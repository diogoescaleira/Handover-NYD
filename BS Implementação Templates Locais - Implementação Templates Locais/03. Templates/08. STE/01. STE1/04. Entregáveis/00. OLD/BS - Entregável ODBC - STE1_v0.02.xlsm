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8. STE/01. STE1/04. Entregáveis/"/>
    </mc:Choice>
  </mc:AlternateContent>
  <bookViews>
    <workbookView xWindow="-108" yWindow="-108" windowWidth="23148" windowHeight="6216" activeTab="2"/>
  </bookViews>
  <sheets>
    <sheet name="Instruções" sheetId="33" r:id="rId1"/>
    <sheet name="Menu" sheetId="29" r:id="rId2"/>
    <sheet name="Input" sheetId="27" r:id="rId3"/>
    <sheet name="R01" sheetId="36" r:id="rId4"/>
    <sheet name="R04" sheetId="37" r:id="rId5"/>
    <sheet name="1.CC Transition risk-Banking b." sheetId="35" r:id="rId6"/>
  </sheets>
  <externalReferences>
    <externalReference r:id="rId7"/>
  </externalReferences>
  <definedNames>
    <definedName name="_xlnm._FilterDatabase" localSheetId="2" hidden="1">Input!$C$6:$Q$6</definedName>
    <definedName name="_xlnm._FilterDatabase" localSheetId="3" hidden="1">'R01'!$C$6:$F$6</definedName>
    <definedName name="_xlnm._FilterDatabase" localSheetId="4" hidden="1">'R04'!$C$6:$F$6</definedName>
    <definedName name="BM" localSheetId="0">#REF!</definedName>
    <definedName name="BM" localSheetId="3">#REF!</definedName>
    <definedName name="BM" localSheetId="4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7" i="35" l="1"/>
  <c r="N56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1" i="35"/>
  <c r="N40" i="35"/>
  <c r="N39" i="35"/>
  <c r="N38" i="35"/>
  <c r="N37" i="35"/>
  <c r="N36" i="35"/>
  <c r="N35" i="35"/>
  <c r="N34" i="35"/>
  <c r="N33" i="35"/>
  <c r="N32" i="35"/>
  <c r="N31" i="35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6" i="35"/>
  <c r="N15" i="35"/>
  <c r="N14" i="35"/>
  <c r="N13" i="35"/>
  <c r="N12" i="35"/>
  <c r="N11" i="35"/>
  <c r="N10" i="35"/>
  <c r="N9" i="35"/>
  <c r="N8" i="35"/>
  <c r="N59" i="35"/>
  <c r="N7" i="35"/>
  <c r="I60" i="35" l="1"/>
  <c r="R60" i="35"/>
  <c r="Q60" i="35"/>
  <c r="P60" i="35"/>
  <c r="O60" i="35"/>
  <c r="M60" i="35"/>
  <c r="L60" i="35"/>
  <c r="K60" i="35"/>
  <c r="J60" i="35"/>
  <c r="H60" i="35"/>
  <c r="G60" i="35"/>
  <c r="F60" i="35"/>
  <c r="E60" i="35"/>
  <c r="D60" i="35"/>
  <c r="N60" i="35" s="1"/>
  <c r="R59" i="35"/>
  <c r="Q59" i="35"/>
  <c r="P59" i="35"/>
  <c r="O59" i="35"/>
  <c r="M59" i="35"/>
  <c r="L59" i="35"/>
  <c r="K59" i="35"/>
  <c r="J59" i="35"/>
  <c r="I59" i="35"/>
  <c r="H59" i="35"/>
  <c r="G59" i="35"/>
  <c r="F59" i="35"/>
  <c r="E59" i="35"/>
  <c r="D59" i="35"/>
  <c r="S59" i="35" s="1"/>
  <c r="R57" i="35"/>
  <c r="Q57" i="35"/>
  <c r="P57" i="35"/>
  <c r="O57" i="35"/>
  <c r="M57" i="35"/>
  <c r="L57" i="35"/>
  <c r="K57" i="35"/>
  <c r="J57" i="35"/>
  <c r="I57" i="35"/>
  <c r="H57" i="35"/>
  <c r="G57" i="35"/>
  <c r="F57" i="35"/>
  <c r="E57" i="35"/>
  <c r="D57" i="35"/>
  <c r="S57" i="35" s="1"/>
  <c r="R56" i="35"/>
  <c r="Q56" i="35"/>
  <c r="P56" i="35"/>
  <c r="O56" i="35"/>
  <c r="M56" i="35"/>
  <c r="L56" i="35"/>
  <c r="K56" i="35"/>
  <c r="J56" i="35"/>
  <c r="I56" i="35"/>
  <c r="H56" i="35"/>
  <c r="G56" i="35"/>
  <c r="F56" i="35"/>
  <c r="E56" i="35"/>
  <c r="D56" i="35"/>
  <c r="S56" i="35" s="1"/>
  <c r="R55" i="35"/>
  <c r="Q55" i="35"/>
  <c r="P55" i="35"/>
  <c r="O55" i="35"/>
  <c r="M55" i="35"/>
  <c r="L55" i="35"/>
  <c r="K55" i="35"/>
  <c r="J55" i="35"/>
  <c r="I55" i="35"/>
  <c r="H55" i="35"/>
  <c r="G55" i="35"/>
  <c r="F55" i="35"/>
  <c r="E55" i="35"/>
  <c r="D55" i="35"/>
  <c r="S55" i="35" s="1"/>
  <c r="R54" i="35"/>
  <c r="Q54" i="35"/>
  <c r="P54" i="35"/>
  <c r="O54" i="35"/>
  <c r="M54" i="35"/>
  <c r="L54" i="35"/>
  <c r="K54" i="35"/>
  <c r="J54" i="35"/>
  <c r="I54" i="35"/>
  <c r="H54" i="35"/>
  <c r="G54" i="35"/>
  <c r="F54" i="35"/>
  <c r="E54" i="35"/>
  <c r="D54" i="35"/>
  <c r="S54" i="35" s="1"/>
  <c r="R53" i="35"/>
  <c r="Q53" i="35"/>
  <c r="P53" i="35"/>
  <c r="O53" i="35"/>
  <c r="M53" i="35"/>
  <c r="L53" i="35"/>
  <c r="K53" i="35"/>
  <c r="J53" i="35"/>
  <c r="I53" i="35"/>
  <c r="H53" i="35"/>
  <c r="G53" i="35"/>
  <c r="F53" i="35"/>
  <c r="E53" i="35"/>
  <c r="D53" i="35"/>
  <c r="S53" i="35" s="1"/>
  <c r="R52" i="35"/>
  <c r="Q52" i="35"/>
  <c r="P52" i="35"/>
  <c r="O52" i="35"/>
  <c r="M52" i="35"/>
  <c r="L52" i="35"/>
  <c r="K52" i="35"/>
  <c r="J52" i="35"/>
  <c r="I52" i="35"/>
  <c r="H52" i="35"/>
  <c r="G52" i="35"/>
  <c r="F52" i="35"/>
  <c r="E52" i="35"/>
  <c r="D52" i="35"/>
  <c r="S52" i="35" s="1"/>
  <c r="R51" i="35"/>
  <c r="Q51" i="35"/>
  <c r="P51" i="35"/>
  <c r="O51" i="35"/>
  <c r="M51" i="35"/>
  <c r="L51" i="35"/>
  <c r="K51" i="35"/>
  <c r="J51" i="35"/>
  <c r="I51" i="35"/>
  <c r="H51" i="35"/>
  <c r="G51" i="35"/>
  <c r="F51" i="35"/>
  <c r="E51" i="35"/>
  <c r="D51" i="35"/>
  <c r="S51" i="35" s="1"/>
  <c r="R50" i="35"/>
  <c r="Q50" i="35"/>
  <c r="P50" i="35"/>
  <c r="O50" i="35"/>
  <c r="M50" i="35"/>
  <c r="L50" i="35"/>
  <c r="K50" i="35"/>
  <c r="J50" i="35"/>
  <c r="I50" i="35"/>
  <c r="H50" i="35"/>
  <c r="G50" i="35"/>
  <c r="F50" i="35"/>
  <c r="E50" i="35"/>
  <c r="D50" i="35"/>
  <c r="S50" i="35" s="1"/>
  <c r="R49" i="35"/>
  <c r="Q49" i="35"/>
  <c r="P49" i="35"/>
  <c r="O49" i="35"/>
  <c r="M49" i="35"/>
  <c r="L49" i="35"/>
  <c r="K49" i="35"/>
  <c r="J49" i="35"/>
  <c r="I49" i="35"/>
  <c r="H49" i="35"/>
  <c r="G49" i="35"/>
  <c r="F49" i="35"/>
  <c r="E49" i="35"/>
  <c r="D49" i="35"/>
  <c r="S49" i="35" s="1"/>
  <c r="R48" i="35"/>
  <c r="Q48" i="35"/>
  <c r="P48" i="35"/>
  <c r="O48" i="35"/>
  <c r="M48" i="35"/>
  <c r="L48" i="35"/>
  <c r="K48" i="35"/>
  <c r="J48" i="35"/>
  <c r="I48" i="35"/>
  <c r="H48" i="35"/>
  <c r="G48" i="35"/>
  <c r="F48" i="35"/>
  <c r="E48" i="35"/>
  <c r="D48" i="35"/>
  <c r="S48" i="35" s="1"/>
  <c r="R47" i="35"/>
  <c r="Q47" i="35"/>
  <c r="P47" i="35"/>
  <c r="O47" i="35"/>
  <c r="M47" i="35"/>
  <c r="L47" i="35"/>
  <c r="K47" i="35"/>
  <c r="J47" i="35"/>
  <c r="I47" i="35"/>
  <c r="H47" i="35"/>
  <c r="G47" i="35"/>
  <c r="F47" i="35"/>
  <c r="E47" i="35"/>
  <c r="D47" i="35"/>
  <c r="S47" i="35" s="1"/>
  <c r="R46" i="35"/>
  <c r="Q46" i="35"/>
  <c r="P46" i="35"/>
  <c r="O46" i="35"/>
  <c r="M46" i="35"/>
  <c r="L46" i="35"/>
  <c r="K46" i="35"/>
  <c r="J46" i="35"/>
  <c r="I46" i="35"/>
  <c r="H46" i="35"/>
  <c r="G46" i="35"/>
  <c r="F46" i="35"/>
  <c r="E46" i="35"/>
  <c r="D46" i="35"/>
  <c r="S46" i="35" s="1"/>
  <c r="R45" i="35"/>
  <c r="Q45" i="35"/>
  <c r="P45" i="35"/>
  <c r="O45" i="35"/>
  <c r="M45" i="35"/>
  <c r="L45" i="35"/>
  <c r="K45" i="35"/>
  <c r="J45" i="35"/>
  <c r="I45" i="35"/>
  <c r="H45" i="35"/>
  <c r="G45" i="35"/>
  <c r="F45" i="35"/>
  <c r="E45" i="35"/>
  <c r="D45" i="35"/>
  <c r="S45" i="35" s="1"/>
  <c r="R44" i="35"/>
  <c r="Q44" i="35"/>
  <c r="P44" i="35"/>
  <c r="O44" i="35"/>
  <c r="M44" i="35"/>
  <c r="L44" i="35"/>
  <c r="K44" i="35"/>
  <c r="J44" i="35"/>
  <c r="I44" i="35"/>
  <c r="H44" i="35"/>
  <c r="G44" i="35"/>
  <c r="F44" i="35"/>
  <c r="E44" i="35"/>
  <c r="D44" i="35"/>
  <c r="S44" i="35" s="1"/>
  <c r="R43" i="35"/>
  <c r="Q43" i="35"/>
  <c r="P43" i="35"/>
  <c r="O43" i="35"/>
  <c r="M43" i="35"/>
  <c r="L43" i="35"/>
  <c r="K43" i="35"/>
  <c r="J43" i="35"/>
  <c r="I43" i="35"/>
  <c r="H43" i="35"/>
  <c r="G43" i="35"/>
  <c r="F43" i="35"/>
  <c r="E43" i="35"/>
  <c r="D43" i="35"/>
  <c r="S43" i="35" s="1"/>
  <c r="R42" i="35"/>
  <c r="Q42" i="35"/>
  <c r="P42" i="35"/>
  <c r="O42" i="35"/>
  <c r="M42" i="35"/>
  <c r="L42" i="35"/>
  <c r="K42" i="35"/>
  <c r="J42" i="35"/>
  <c r="I42" i="35"/>
  <c r="H42" i="35"/>
  <c r="G42" i="35"/>
  <c r="F42" i="35"/>
  <c r="E42" i="35"/>
  <c r="D42" i="35"/>
  <c r="S42" i="35" s="1"/>
  <c r="R41" i="35"/>
  <c r="Q41" i="35"/>
  <c r="P41" i="35"/>
  <c r="O41" i="35"/>
  <c r="M41" i="35"/>
  <c r="L41" i="35"/>
  <c r="K41" i="35"/>
  <c r="J41" i="35"/>
  <c r="I41" i="35"/>
  <c r="H41" i="35"/>
  <c r="G41" i="35"/>
  <c r="F41" i="35"/>
  <c r="E41" i="35"/>
  <c r="D41" i="35"/>
  <c r="S41" i="35" s="1"/>
  <c r="R40" i="35"/>
  <c r="Q40" i="35"/>
  <c r="P40" i="35"/>
  <c r="O40" i="35"/>
  <c r="M40" i="35"/>
  <c r="L40" i="35"/>
  <c r="K40" i="35"/>
  <c r="J40" i="35"/>
  <c r="I40" i="35"/>
  <c r="H40" i="35"/>
  <c r="G40" i="35"/>
  <c r="F40" i="35"/>
  <c r="E40" i="35"/>
  <c r="D40" i="35"/>
  <c r="S40" i="35" s="1"/>
  <c r="R39" i="35"/>
  <c r="Q39" i="35"/>
  <c r="P39" i="35"/>
  <c r="O39" i="35"/>
  <c r="M39" i="35"/>
  <c r="L39" i="35"/>
  <c r="K39" i="35"/>
  <c r="J39" i="35"/>
  <c r="I39" i="35"/>
  <c r="H39" i="35"/>
  <c r="G39" i="35"/>
  <c r="F39" i="35"/>
  <c r="E39" i="35"/>
  <c r="D39" i="35"/>
  <c r="S39" i="35" s="1"/>
  <c r="R38" i="35"/>
  <c r="Q38" i="35"/>
  <c r="P38" i="35"/>
  <c r="O38" i="35"/>
  <c r="M38" i="35"/>
  <c r="L38" i="35"/>
  <c r="K38" i="35"/>
  <c r="J38" i="35"/>
  <c r="I38" i="35"/>
  <c r="H38" i="35"/>
  <c r="G38" i="35"/>
  <c r="F38" i="35"/>
  <c r="E38" i="35"/>
  <c r="D38" i="35"/>
  <c r="S38" i="35" s="1"/>
  <c r="R37" i="35"/>
  <c r="Q37" i="35"/>
  <c r="P37" i="35"/>
  <c r="O37" i="35"/>
  <c r="M37" i="35"/>
  <c r="L37" i="35"/>
  <c r="K37" i="35"/>
  <c r="J37" i="35"/>
  <c r="I37" i="35"/>
  <c r="H37" i="35"/>
  <c r="G37" i="35"/>
  <c r="F37" i="35"/>
  <c r="E37" i="35"/>
  <c r="D37" i="35"/>
  <c r="S37" i="35" s="1"/>
  <c r="R36" i="35"/>
  <c r="Q36" i="35"/>
  <c r="P36" i="35"/>
  <c r="O36" i="35"/>
  <c r="M36" i="35"/>
  <c r="L36" i="35"/>
  <c r="K36" i="35"/>
  <c r="J36" i="35"/>
  <c r="I36" i="35"/>
  <c r="H36" i="35"/>
  <c r="G36" i="35"/>
  <c r="F36" i="35"/>
  <c r="E36" i="35"/>
  <c r="D36" i="35"/>
  <c r="S36" i="35" s="1"/>
  <c r="R35" i="35"/>
  <c r="Q35" i="35"/>
  <c r="P35" i="35"/>
  <c r="O35" i="35"/>
  <c r="M35" i="35"/>
  <c r="L35" i="35"/>
  <c r="K35" i="35"/>
  <c r="J35" i="35"/>
  <c r="I35" i="35"/>
  <c r="H35" i="35"/>
  <c r="G35" i="35"/>
  <c r="F35" i="35"/>
  <c r="E35" i="35"/>
  <c r="D35" i="35"/>
  <c r="S35" i="35" s="1"/>
  <c r="R34" i="35"/>
  <c r="Q34" i="35"/>
  <c r="P34" i="35"/>
  <c r="O34" i="35"/>
  <c r="M34" i="35"/>
  <c r="L34" i="35"/>
  <c r="K34" i="35"/>
  <c r="J34" i="35"/>
  <c r="I34" i="35"/>
  <c r="H34" i="35"/>
  <c r="G34" i="35"/>
  <c r="F34" i="35"/>
  <c r="E34" i="35"/>
  <c r="D34" i="35"/>
  <c r="S34" i="35" s="1"/>
  <c r="R33" i="35"/>
  <c r="Q33" i="35"/>
  <c r="P33" i="35"/>
  <c r="O33" i="35"/>
  <c r="M33" i="35"/>
  <c r="L33" i="35"/>
  <c r="K33" i="35"/>
  <c r="J33" i="35"/>
  <c r="I33" i="35"/>
  <c r="H33" i="35"/>
  <c r="G33" i="35"/>
  <c r="F33" i="35"/>
  <c r="E33" i="35"/>
  <c r="D33" i="35"/>
  <c r="S33" i="35" s="1"/>
  <c r="R32" i="35"/>
  <c r="Q32" i="35"/>
  <c r="P32" i="35"/>
  <c r="O32" i="35"/>
  <c r="M32" i="35"/>
  <c r="L32" i="35"/>
  <c r="K32" i="35"/>
  <c r="J32" i="35"/>
  <c r="I32" i="35"/>
  <c r="H32" i="35"/>
  <c r="G32" i="35"/>
  <c r="F32" i="35"/>
  <c r="E32" i="35"/>
  <c r="D32" i="35"/>
  <c r="S32" i="35" s="1"/>
  <c r="R31" i="35"/>
  <c r="Q31" i="35"/>
  <c r="P31" i="35"/>
  <c r="O31" i="35"/>
  <c r="M31" i="35"/>
  <c r="L31" i="35"/>
  <c r="K31" i="35"/>
  <c r="J31" i="35"/>
  <c r="I31" i="35"/>
  <c r="H31" i="35"/>
  <c r="G31" i="35"/>
  <c r="F31" i="35"/>
  <c r="E31" i="35"/>
  <c r="D31" i="35"/>
  <c r="S31" i="35" s="1"/>
  <c r="R30" i="35"/>
  <c r="Q30" i="35"/>
  <c r="P30" i="35"/>
  <c r="O30" i="35"/>
  <c r="M30" i="35"/>
  <c r="L30" i="35"/>
  <c r="K30" i="35"/>
  <c r="J30" i="35"/>
  <c r="I30" i="35"/>
  <c r="H30" i="35"/>
  <c r="G30" i="35"/>
  <c r="F30" i="35"/>
  <c r="E30" i="35"/>
  <c r="D30" i="35"/>
  <c r="S30" i="35" s="1"/>
  <c r="R29" i="35"/>
  <c r="Q29" i="35"/>
  <c r="P29" i="35"/>
  <c r="O29" i="35"/>
  <c r="M29" i="35"/>
  <c r="L29" i="35"/>
  <c r="K29" i="35"/>
  <c r="J29" i="35"/>
  <c r="I29" i="35"/>
  <c r="H29" i="35"/>
  <c r="G29" i="35"/>
  <c r="F29" i="35"/>
  <c r="E29" i="35"/>
  <c r="D29" i="35"/>
  <c r="S29" i="35" s="1"/>
  <c r="R28" i="35"/>
  <c r="Q28" i="35"/>
  <c r="P28" i="35"/>
  <c r="O28" i="35"/>
  <c r="M28" i="35"/>
  <c r="L28" i="35"/>
  <c r="K28" i="35"/>
  <c r="J28" i="35"/>
  <c r="I28" i="35"/>
  <c r="H28" i="35"/>
  <c r="G28" i="35"/>
  <c r="F28" i="35"/>
  <c r="E28" i="35"/>
  <c r="D28" i="35"/>
  <c r="S28" i="35" s="1"/>
  <c r="R27" i="35"/>
  <c r="Q27" i="35"/>
  <c r="P27" i="35"/>
  <c r="O27" i="35"/>
  <c r="M27" i="35"/>
  <c r="L27" i="35"/>
  <c r="K27" i="35"/>
  <c r="J27" i="35"/>
  <c r="I27" i="35"/>
  <c r="H27" i="35"/>
  <c r="G27" i="35"/>
  <c r="F27" i="35"/>
  <c r="E27" i="35"/>
  <c r="D27" i="35"/>
  <c r="S27" i="35" s="1"/>
  <c r="R26" i="35"/>
  <c r="Q26" i="35"/>
  <c r="P26" i="35"/>
  <c r="O26" i="35"/>
  <c r="M26" i="35"/>
  <c r="L26" i="35"/>
  <c r="K26" i="35"/>
  <c r="J26" i="35"/>
  <c r="I26" i="35"/>
  <c r="H26" i="35"/>
  <c r="G26" i="35"/>
  <c r="F26" i="35"/>
  <c r="E26" i="35"/>
  <c r="D26" i="35"/>
  <c r="S26" i="35" s="1"/>
  <c r="R25" i="35"/>
  <c r="Q25" i="35"/>
  <c r="P25" i="35"/>
  <c r="O25" i="35"/>
  <c r="M25" i="35"/>
  <c r="L25" i="35"/>
  <c r="K25" i="35"/>
  <c r="J25" i="35"/>
  <c r="I25" i="35"/>
  <c r="H25" i="35"/>
  <c r="G25" i="35"/>
  <c r="F25" i="35"/>
  <c r="E25" i="35"/>
  <c r="D25" i="35"/>
  <c r="S25" i="35" s="1"/>
  <c r="R24" i="35"/>
  <c r="Q24" i="35"/>
  <c r="P24" i="35"/>
  <c r="O24" i="35"/>
  <c r="M24" i="35"/>
  <c r="L24" i="35"/>
  <c r="K24" i="35"/>
  <c r="J24" i="35"/>
  <c r="I24" i="35"/>
  <c r="H24" i="35"/>
  <c r="G24" i="35"/>
  <c r="F24" i="35"/>
  <c r="E24" i="35"/>
  <c r="D24" i="35"/>
  <c r="S24" i="35" s="1"/>
  <c r="R23" i="35"/>
  <c r="Q23" i="35"/>
  <c r="P23" i="35"/>
  <c r="O23" i="35"/>
  <c r="M23" i="35"/>
  <c r="L23" i="35"/>
  <c r="K23" i="35"/>
  <c r="J23" i="35"/>
  <c r="I23" i="35"/>
  <c r="H23" i="35"/>
  <c r="G23" i="35"/>
  <c r="F23" i="35"/>
  <c r="E23" i="35"/>
  <c r="D23" i="35"/>
  <c r="S23" i="35" s="1"/>
  <c r="R22" i="35"/>
  <c r="Q22" i="35"/>
  <c r="P22" i="35"/>
  <c r="O22" i="35"/>
  <c r="M22" i="35"/>
  <c r="L22" i="35"/>
  <c r="K22" i="35"/>
  <c r="J22" i="35"/>
  <c r="I22" i="35"/>
  <c r="H22" i="35"/>
  <c r="G22" i="35"/>
  <c r="F22" i="35"/>
  <c r="E22" i="35"/>
  <c r="D22" i="35"/>
  <c r="S22" i="35" s="1"/>
  <c r="R21" i="35"/>
  <c r="Q21" i="35"/>
  <c r="P21" i="35"/>
  <c r="O21" i="35"/>
  <c r="M21" i="35"/>
  <c r="L21" i="35"/>
  <c r="K21" i="35"/>
  <c r="J21" i="35"/>
  <c r="I21" i="35"/>
  <c r="H21" i="35"/>
  <c r="G21" i="35"/>
  <c r="F21" i="35"/>
  <c r="E21" i="35"/>
  <c r="D21" i="35"/>
  <c r="S21" i="35" s="1"/>
  <c r="R20" i="35"/>
  <c r="Q20" i="35"/>
  <c r="P20" i="35"/>
  <c r="O20" i="35"/>
  <c r="M20" i="35"/>
  <c r="L20" i="35"/>
  <c r="K20" i="35"/>
  <c r="J20" i="35"/>
  <c r="I20" i="35"/>
  <c r="H20" i="35"/>
  <c r="G20" i="35"/>
  <c r="F20" i="35"/>
  <c r="E20" i="35"/>
  <c r="D20" i="35"/>
  <c r="S20" i="35" s="1"/>
  <c r="R19" i="35"/>
  <c r="Q19" i="35"/>
  <c r="P19" i="35"/>
  <c r="O19" i="35"/>
  <c r="M19" i="35"/>
  <c r="L19" i="35"/>
  <c r="K19" i="35"/>
  <c r="J19" i="35"/>
  <c r="I19" i="35"/>
  <c r="H19" i="35"/>
  <c r="G19" i="35"/>
  <c r="F19" i="35"/>
  <c r="E19" i="35"/>
  <c r="D19" i="35"/>
  <c r="S19" i="35" s="1"/>
  <c r="R18" i="35"/>
  <c r="Q18" i="35"/>
  <c r="P18" i="35"/>
  <c r="O18" i="35"/>
  <c r="M18" i="35"/>
  <c r="L18" i="35"/>
  <c r="K18" i="35"/>
  <c r="J18" i="35"/>
  <c r="I18" i="35"/>
  <c r="H18" i="35"/>
  <c r="G18" i="35"/>
  <c r="F18" i="35"/>
  <c r="E18" i="35"/>
  <c r="D18" i="35"/>
  <c r="S18" i="35" s="1"/>
  <c r="R17" i="35"/>
  <c r="Q17" i="35"/>
  <c r="P17" i="35"/>
  <c r="O17" i="35"/>
  <c r="M17" i="35"/>
  <c r="L17" i="35"/>
  <c r="K17" i="35"/>
  <c r="J17" i="35"/>
  <c r="I17" i="35"/>
  <c r="H17" i="35"/>
  <c r="G17" i="35"/>
  <c r="F17" i="35"/>
  <c r="E17" i="35"/>
  <c r="D17" i="35"/>
  <c r="S17" i="35" s="1"/>
  <c r="R16" i="35"/>
  <c r="Q16" i="35"/>
  <c r="P16" i="35"/>
  <c r="O16" i="35"/>
  <c r="M16" i="35"/>
  <c r="L16" i="35"/>
  <c r="K16" i="35"/>
  <c r="J16" i="35"/>
  <c r="I16" i="35"/>
  <c r="H16" i="35"/>
  <c r="G16" i="35"/>
  <c r="F16" i="35"/>
  <c r="E16" i="35"/>
  <c r="D16" i="35"/>
  <c r="S16" i="35" s="1"/>
  <c r="R15" i="35"/>
  <c r="Q15" i="35"/>
  <c r="P15" i="35"/>
  <c r="O15" i="35"/>
  <c r="M15" i="35"/>
  <c r="L15" i="35"/>
  <c r="K15" i="35"/>
  <c r="J15" i="35"/>
  <c r="I15" i="35"/>
  <c r="H15" i="35"/>
  <c r="G15" i="35"/>
  <c r="F15" i="35"/>
  <c r="E15" i="35"/>
  <c r="D15" i="35"/>
  <c r="S15" i="35" s="1"/>
  <c r="R14" i="35"/>
  <c r="Q14" i="35"/>
  <c r="P14" i="35"/>
  <c r="O14" i="35"/>
  <c r="M14" i="35"/>
  <c r="L14" i="35"/>
  <c r="K14" i="35"/>
  <c r="J14" i="35"/>
  <c r="I14" i="35"/>
  <c r="H14" i="35"/>
  <c r="G14" i="35"/>
  <c r="F14" i="35"/>
  <c r="E14" i="35"/>
  <c r="D14" i="35"/>
  <c r="S14" i="35" s="1"/>
  <c r="R13" i="35"/>
  <c r="Q13" i="35"/>
  <c r="P13" i="35"/>
  <c r="O13" i="35"/>
  <c r="M13" i="35"/>
  <c r="L13" i="35"/>
  <c r="K13" i="35"/>
  <c r="J13" i="35"/>
  <c r="I13" i="35"/>
  <c r="H13" i="35"/>
  <c r="G13" i="35"/>
  <c r="F13" i="35"/>
  <c r="E13" i="35"/>
  <c r="D13" i="35"/>
  <c r="S13" i="35" s="1"/>
  <c r="R12" i="35"/>
  <c r="Q12" i="35"/>
  <c r="P12" i="35"/>
  <c r="O12" i="35"/>
  <c r="M12" i="35"/>
  <c r="L12" i="35"/>
  <c r="K12" i="35"/>
  <c r="J12" i="35"/>
  <c r="I12" i="35"/>
  <c r="H12" i="35"/>
  <c r="G12" i="35"/>
  <c r="F12" i="35"/>
  <c r="E12" i="35"/>
  <c r="D12" i="35"/>
  <c r="S12" i="35" s="1"/>
  <c r="R11" i="35"/>
  <c r="Q11" i="35"/>
  <c r="P11" i="35"/>
  <c r="O11" i="35"/>
  <c r="M11" i="35"/>
  <c r="L11" i="35"/>
  <c r="K11" i="35"/>
  <c r="J11" i="35"/>
  <c r="I11" i="35"/>
  <c r="H11" i="35"/>
  <c r="G11" i="35"/>
  <c r="F11" i="35"/>
  <c r="E11" i="35"/>
  <c r="D11" i="35"/>
  <c r="S11" i="35" s="1"/>
  <c r="R10" i="35"/>
  <c r="Q10" i="35"/>
  <c r="P10" i="35"/>
  <c r="O10" i="35"/>
  <c r="M10" i="35"/>
  <c r="L10" i="35"/>
  <c r="K10" i="35"/>
  <c r="J10" i="35"/>
  <c r="I10" i="35"/>
  <c r="H10" i="35"/>
  <c r="G10" i="35"/>
  <c r="F10" i="35"/>
  <c r="E10" i="35"/>
  <c r="D10" i="35"/>
  <c r="S10" i="35" s="1"/>
  <c r="R9" i="35"/>
  <c r="Q9" i="35"/>
  <c r="P9" i="35"/>
  <c r="O9" i="35"/>
  <c r="M9" i="35"/>
  <c r="L9" i="35"/>
  <c r="K9" i="35"/>
  <c r="J9" i="35"/>
  <c r="I9" i="35"/>
  <c r="H9" i="35"/>
  <c r="G9" i="35"/>
  <c r="F9" i="35"/>
  <c r="E9" i="35"/>
  <c r="D9" i="35"/>
  <c r="S9" i="35" s="1"/>
  <c r="R8" i="35"/>
  <c r="Q8" i="35"/>
  <c r="P8" i="35"/>
  <c r="O8" i="35"/>
  <c r="M8" i="35"/>
  <c r="L8" i="35"/>
  <c r="K8" i="35"/>
  <c r="J8" i="35"/>
  <c r="I8" i="35"/>
  <c r="H8" i="35"/>
  <c r="G8" i="35"/>
  <c r="F8" i="35"/>
  <c r="E8" i="35"/>
  <c r="D8" i="35"/>
  <c r="S8" i="35" s="1"/>
  <c r="R7" i="35"/>
  <c r="Q7" i="35"/>
  <c r="P7" i="35"/>
  <c r="O7" i="35"/>
  <c r="M7" i="35"/>
  <c r="L7" i="35"/>
  <c r="K7" i="35"/>
  <c r="J7" i="35"/>
  <c r="I7" i="35"/>
  <c r="H7" i="35"/>
  <c r="G7" i="35"/>
  <c r="F7" i="35"/>
  <c r="E7" i="35"/>
  <c r="D7" i="35"/>
  <c r="S7" i="35" s="1"/>
  <c r="S60" i="35" l="1"/>
  <c r="O58" i="35"/>
  <c r="L58" i="35"/>
  <c r="J58" i="35"/>
  <c r="Q58" i="35"/>
  <c r="P58" i="35"/>
  <c r="M58" i="35"/>
  <c r="K58" i="35"/>
  <c r="I58" i="35"/>
  <c r="F58" i="35"/>
  <c r="E58" i="35"/>
  <c r="R58" i="35"/>
  <c r="H58" i="35" l="1"/>
  <c r="J6" i="35"/>
  <c r="J61" i="35" s="1"/>
  <c r="R6" i="35"/>
  <c r="R61" i="35" s="1"/>
  <c r="K6" i="35"/>
  <c r="K61" i="35" s="1"/>
  <c r="G6" i="35"/>
  <c r="O6" i="35"/>
  <c r="O61" i="35" s="1"/>
  <c r="P6" i="35"/>
  <c r="P61" i="35" s="1"/>
  <c r="E6" i="35"/>
  <c r="E61" i="35" s="1"/>
  <c r="M6" i="35"/>
  <c r="M61" i="35" s="1"/>
  <c r="D6" i="35"/>
  <c r="N6" i="35" s="1"/>
  <c r="I6" i="35"/>
  <c r="I61" i="35" s="1"/>
  <c r="Q6" i="35"/>
  <c r="Q61" i="35" s="1"/>
  <c r="H6" i="35"/>
  <c r="G58" i="35"/>
  <c r="L6" i="35"/>
  <c r="L61" i="35" s="1"/>
  <c r="F6" i="35"/>
  <c r="F61" i="35" s="1"/>
  <c r="D58" i="35"/>
  <c r="N58" i="35" s="1"/>
  <c r="S6" i="35" l="1"/>
  <c r="S58" i="35"/>
  <c r="G61" i="35"/>
  <c r="H61" i="35"/>
  <c r="D61" i="35"/>
  <c r="F10" i="29"/>
  <c r="S61" i="35" l="1"/>
  <c r="N61" i="35"/>
</calcChain>
</file>

<file path=xl/sharedStrings.xml><?xml version="1.0" encoding="utf-8"?>
<sst xmlns="http://schemas.openxmlformats.org/spreadsheetml/2006/main" count="6285" uniqueCount="806">
  <si>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</si>
  <si>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</si>
  <si>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</si>
  <si>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</si>
  <si>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</si>
  <si>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</si>
  <si>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</si>
  <si>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</si>
  <si>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</si>
  <si>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</si>
  <si>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</si>
  <si>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</si>
  <si>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</si>
  <si>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</si>
  <si>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</si>
  <si>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</si>
  <si>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</si>
  <si>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</si>
  <si>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</si>
  <si>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</si>
  <si>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</si>
  <si>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</si>
  <si>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</si>
  <si>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</si>
  <si>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</si>
  <si>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</si>
  <si>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</si>
  <si>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</si>
  <si>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</si>
  <si>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</si>
  <si>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aveg_aux</t>
  </si>
  <si>
    <t>imparidade</t>
  </si>
  <si>
    <t>valor bruto</t>
  </si>
  <si>
    <t>stage 2</t>
  </si>
  <si>
    <t>stage 3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</si>
  <si>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</si>
  <si>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"bu_esg_work.ag01_temp_cto_gra".</t>
    </r>
  </si>
  <si>
    <t>excluded_paris</t>
  </si>
  <si>
    <t>asci</t>
  </si>
  <si>
    <t>gesi</t>
  </si>
  <si>
    <t>asc2</t>
  </si>
  <si>
    <t>gesii</t>
  </si>
  <si>
    <t>asciii</t>
  </si>
  <si>
    <t>gesiii</t>
  </si>
  <si>
    <t>flag_nfrd</t>
  </si>
  <si>
    <t>sustainable_ccm</t>
  </si>
  <si>
    <t>excluido</t>
  </si>
  <si>
    <t>D35.1.1</t>
  </si>
  <si>
    <t>Template 1: Banking book- Climate Change transition risk: Credit quality of exposures by sector, emissions and residual maturity</t>
  </si>
  <si>
    <t>Sector/subsector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</si>
  <si>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</si>
  <si>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</si>
  <si>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</si>
  <si>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</si>
  <si>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</si>
  <si>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</si>
  <si>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</si>
  <si>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</si>
  <si>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</si>
  <si>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</si>
  <si>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</si>
  <si>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</si>
  <si>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</si>
  <si>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</si>
  <si>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</si>
  <si>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</si>
  <si>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Gross carrying amount (Mln EUR)</t>
  </si>
  <si>
    <t>Accumulated impairment, accumulated negative changes in fair value due to credit risk and provisions (Mln EUR)</t>
  </si>
  <si>
    <t>GHG financed emissions (scope 1, scope 2 and scope 3 emissions of the counterparty) (in tons of CO2 equivalent)</t>
  </si>
  <si>
    <t>GHG emissions (column i): gross carrying amount percentage of the portfolio derived from company-specific reporting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</si>
  <si>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</si>
  <si>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</si>
  <si>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</si>
  <si>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</si>
  <si>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</si>
  <si>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exposures towards companies excluded from EU Paris-aligned Benchmarks in accordance with points (d) to (g) of Article 12.1 and in accordance with Article 12.2 of Climate Benchmark Standards Regulation</t>
  </si>
  <si>
    <t>Of which environmentally sustainable (CCM)</t>
  </si>
  <si>
    <t>Of which stage 2 exposures</t>
  </si>
  <si>
    <t>Of which non-performing exposures</t>
  </si>
  <si>
    <t>Of which Stage 2 exposures</t>
  </si>
  <si>
    <t>Of which Scope 3 financed emissions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</si>
  <si>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</si>
  <si>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</si>
  <si>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</si>
  <si>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</si>
  <si>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</si>
  <si>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</si>
  <si>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</si>
  <si>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</si>
  <si>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</si>
  <si>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</si>
  <si>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</si>
  <si>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</si>
  <si>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</si>
  <si>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</si>
  <si>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</si>
  <si>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</si>
  <si>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</si>
  <si>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</si>
  <si>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</si>
  <si>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</si>
  <si>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</si>
  <si>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</si>
  <si>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</si>
  <si>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</si>
  <si>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</si>
  <si>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</si>
  <si>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</si>
  <si>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</si>
  <si>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</si>
  <si>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</si>
  <si>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</si>
  <si>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</si>
  <si>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</si>
  <si>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</si>
  <si>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</si>
  <si>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</si>
  <si>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</si>
  <si>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</si>
  <si>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</si>
  <si>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</si>
  <si>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</si>
  <si>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</si>
  <si>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</si>
  <si>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</si>
  <si>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</si>
  <si>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</si>
  <si>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</si>
  <si>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</si>
  <si>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</si>
  <si>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</si>
  <si>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</si>
  <si>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</si>
  <si>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</si>
  <si>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</si>
  <si>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</si>
  <si>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</si>
  <si>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</si>
  <si>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</si>
  <si>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</si>
  <si>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</si>
  <si>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</si>
  <si>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</si>
  <si>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</si>
  <si>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</si>
  <si>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</si>
  <si>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</si>
  <si>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</si>
  <si>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</si>
  <si>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</si>
  <si>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</si>
  <si>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</si>
  <si>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</si>
  <si>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</si>
  <si>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</si>
  <si>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</si>
  <si>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</si>
  <si>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</si>
  <si>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</si>
  <si>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</si>
  <si>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</si>
  <si>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</si>
  <si>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</si>
  <si>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</si>
  <si>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</si>
  <si>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</si>
  <si>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</si>
  <si>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</si>
  <si>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</si>
  <si>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</si>
  <si>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</si>
  <si>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</si>
  <si>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</si>
  <si>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</si>
  <si>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</si>
  <si>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</si>
  <si>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</si>
  <si>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</si>
  <si>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</si>
  <si>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</si>
  <si>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</si>
  <si>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</si>
  <si>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</si>
  <si>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</si>
  <si>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</si>
  <si>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</si>
  <si>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</si>
  <si>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Exposures to other sectors (NACE codes J, M - U)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</si>
  <si>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</si>
  <si>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</si>
  <si>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&gt;5</t>
  </si>
  <si>
    <t>&gt;10</t>
  </si>
  <si>
    <t>&gt;20</t>
  </si>
  <si>
    <t>&lt;=10</t>
  </si>
  <si>
    <t>&lt;=20</t>
  </si>
  <si>
    <t>source_emission_1</t>
  </si>
  <si>
    <t>source_emission_2</t>
  </si>
  <si>
    <t>source_emission_3</t>
  </si>
  <si>
    <t>C30.1.2</t>
  </si>
  <si>
    <t>J58.1.9</t>
  </si>
  <si>
    <t>N81.2.2</t>
  </si>
  <si>
    <t>G46.4.6</t>
  </si>
  <si>
    <t>F43.3.4</t>
  </si>
  <si>
    <t>C13.3.0</t>
  </si>
  <si>
    <t>N81.3.0</t>
  </si>
  <si>
    <t>G46.3.2</t>
  </si>
  <si>
    <t>P85.4.2</t>
  </si>
  <si>
    <t>C20.2.0</t>
  </si>
  <si>
    <t>R93.2.9</t>
  </si>
  <si>
    <t>C10.8.5</t>
  </si>
  <si>
    <t>G46.6.3</t>
  </si>
  <si>
    <t>G46.7.5</t>
  </si>
  <si>
    <t>F43.1.3</t>
  </si>
  <si>
    <t>C25.7.1</t>
  </si>
  <si>
    <t>F41.1.0</t>
  </si>
  <si>
    <t>F42.1.3</t>
  </si>
  <si>
    <t>J59.1.2</t>
  </si>
  <si>
    <t>C18.1.4</t>
  </si>
  <si>
    <t>G46.7.4</t>
  </si>
  <si>
    <t>G47.3.0</t>
  </si>
  <si>
    <t>J63.1.1</t>
  </si>
  <si>
    <t>F42.1.1</t>
  </si>
  <si>
    <t>P85.3.1</t>
  </si>
  <si>
    <t>J58.1.1</t>
  </si>
  <si>
    <t>G47.5.9</t>
  </si>
  <si>
    <t>L68.1.0</t>
  </si>
  <si>
    <t>G45.3.2</t>
  </si>
  <si>
    <t>N81.2.9</t>
  </si>
  <si>
    <t>C20.1.5</t>
  </si>
  <si>
    <t>M75.0.0</t>
  </si>
  <si>
    <t>F43.1.2</t>
  </si>
  <si>
    <t>G46.7.2</t>
  </si>
  <si>
    <t>G47.6.1</t>
  </si>
  <si>
    <t>C27.1.1</t>
  </si>
  <si>
    <t>K66.2.1</t>
  </si>
  <si>
    <t>Q86.2.3</t>
  </si>
  <si>
    <t>I55.1.0</t>
  </si>
  <si>
    <t>Q87.3.0</t>
  </si>
  <si>
    <t>C30.9.2</t>
  </si>
  <si>
    <t>C25.1.2</t>
  </si>
  <si>
    <t>N80.1.0</t>
  </si>
  <si>
    <t>J63.9.1</t>
  </si>
  <si>
    <t>I56.2.1</t>
  </si>
  <si>
    <t>F43.9.9</t>
  </si>
  <si>
    <t>C20.5.9</t>
  </si>
  <si>
    <t>S96.0.3</t>
  </si>
  <si>
    <t>C26.4.0</t>
  </si>
  <si>
    <t>Q86.2.2</t>
  </si>
  <si>
    <t>C23.6.1</t>
  </si>
  <si>
    <t>E36.0.0</t>
  </si>
  <si>
    <t>G46.2.2</t>
  </si>
  <si>
    <t>C32.5.0</t>
  </si>
  <si>
    <t>G46.2.1</t>
  </si>
  <si>
    <t>F41.2.0</t>
  </si>
  <si>
    <t>C31.0.3</t>
  </si>
  <si>
    <t>F43.2.2</t>
  </si>
  <si>
    <t>N77.4.0</t>
  </si>
  <si>
    <t>G47.9.9</t>
  </si>
  <si>
    <t>C32.3.0</t>
  </si>
  <si>
    <t>G46.3.8</t>
  </si>
  <si>
    <t>G46.4.1</t>
  </si>
  <si>
    <t>G45.1.1</t>
  </si>
  <si>
    <t>H49.3.9</t>
  </si>
  <si>
    <t>M70.1.0</t>
  </si>
  <si>
    <t>A1.6.1</t>
  </si>
  <si>
    <t>N77.1.1</t>
  </si>
  <si>
    <t>P85.1.0</t>
  </si>
  <si>
    <t>G47.4.1</t>
  </si>
  <si>
    <t>M74.1.0</t>
  </si>
  <si>
    <t>M70.2.2</t>
  </si>
  <si>
    <t>G47.2.4</t>
  </si>
  <si>
    <t>G47.2.3</t>
  </si>
  <si>
    <t>A2.2.0</t>
  </si>
  <si>
    <t>G47.4.2</t>
  </si>
  <si>
    <t>G47.7.8</t>
  </si>
  <si>
    <t>M71.2.0</t>
  </si>
  <si>
    <t>F43.1.1</t>
  </si>
  <si>
    <t>G46.7.7</t>
  </si>
  <si>
    <t>C23.7.0</t>
  </si>
  <si>
    <t>G47.6.2</t>
  </si>
  <si>
    <t>C14.1.9</t>
  </si>
  <si>
    <t>A1.1.1</t>
  </si>
  <si>
    <t>R93.1.3</t>
  </si>
  <si>
    <t>G47.6.4</t>
  </si>
  <si>
    <t>C14.3.1</t>
  </si>
  <si>
    <t>M71.1.1</t>
  </si>
  <si>
    <t>J61.9.0</t>
  </si>
  <si>
    <t>N77.2.1</t>
  </si>
  <si>
    <t>A1.4.5</t>
  </si>
  <si>
    <t>C33.1.2</t>
  </si>
  <si>
    <t>C20.1.4</t>
  </si>
  <si>
    <t>J60.1.0</t>
  </si>
  <si>
    <t>C25.1.1</t>
  </si>
  <si>
    <t>G46.7.6</t>
  </si>
  <si>
    <t>C33.1.4</t>
  </si>
  <si>
    <t>A1.6.4</t>
  </si>
  <si>
    <t>M71.1.2</t>
  </si>
  <si>
    <t>G47.5.4</t>
  </si>
  <si>
    <t>C10.1.2</t>
  </si>
  <si>
    <t>C10.1.3</t>
  </si>
  <si>
    <t>E37.0.0</t>
  </si>
  <si>
    <t>I55.2.0</t>
  </si>
  <si>
    <t>H52.2.9</t>
  </si>
  <si>
    <t>K64.2.0</t>
  </si>
  <si>
    <t>G46.4.2</t>
  </si>
  <si>
    <t>C13.9.1</t>
  </si>
  <si>
    <t>F43.9.1</t>
  </si>
  <si>
    <t>C10.1.1</t>
  </si>
  <si>
    <t>A1.2.8</t>
  </si>
  <si>
    <t>N78.3.0</t>
  </si>
  <si>
    <t>N82.9.2</t>
  </si>
  <si>
    <t>C17.2.1</t>
  </si>
  <si>
    <t>A1.2.5</t>
  </si>
  <si>
    <t>H49.3.2</t>
  </si>
  <si>
    <t>C10.2.0</t>
  </si>
  <si>
    <t>A1.1.3</t>
  </si>
  <si>
    <t>I56.2.9</t>
  </si>
  <si>
    <t>E38.3.1</t>
  </si>
  <si>
    <t>N77.3.2</t>
  </si>
  <si>
    <t>G46.4.5</t>
  </si>
  <si>
    <t>F43.2.9</t>
  </si>
  <si>
    <t>C10.3.9</t>
  </si>
  <si>
    <t>L68.3.1</t>
  </si>
  <si>
    <t>S95.2.4</t>
  </si>
  <si>
    <t>F43.3.9</t>
  </si>
  <si>
    <t>C28.2.2</t>
  </si>
  <si>
    <t>R93.1.1</t>
  </si>
  <si>
    <t>C11.0.5</t>
  </si>
  <si>
    <t>A1.5.0</t>
  </si>
  <si>
    <t>F43.2.1</t>
  </si>
  <si>
    <t>G45.1.9</t>
  </si>
  <si>
    <t>J62.0.1</t>
  </si>
  <si>
    <t>J61.1.0</t>
  </si>
  <si>
    <t>C22.2.9</t>
  </si>
  <si>
    <t>M69.1.0</t>
  </si>
  <si>
    <t>N81.1.0</t>
  </si>
  <si>
    <t>G46.7.3</t>
  </si>
  <si>
    <t>I56.1.0</t>
  </si>
  <si>
    <t>A1.7.0</t>
  </si>
  <si>
    <t>G45.2.0</t>
  </si>
  <si>
    <t>J60.2.0</t>
  </si>
  <si>
    <t>C32.9.1</t>
  </si>
  <si>
    <t>C25.4.0</t>
  </si>
  <si>
    <t>C22.2.1</t>
  </si>
  <si>
    <t>F42.2.1</t>
  </si>
  <si>
    <t>C16.1.0</t>
  </si>
  <si>
    <t>Q86.2.1</t>
  </si>
  <si>
    <t>C11.0.2</t>
  </si>
  <si>
    <t>C23.4.1</t>
  </si>
  <si>
    <t>M74.9.0</t>
  </si>
  <si>
    <t>G46.3.4</t>
  </si>
  <si>
    <t>S95.2.3</t>
  </si>
  <si>
    <t>C27.5.1</t>
  </si>
  <si>
    <t>I56.3.0</t>
  </si>
  <si>
    <t>C15.2.0</t>
  </si>
  <si>
    <t>Q86.9.0</t>
  </si>
  <si>
    <t>C33.2.0</t>
  </si>
  <si>
    <t>G47.5.1</t>
  </si>
  <si>
    <t>G46.3.6</t>
  </si>
  <si>
    <t>C24.4.1</t>
  </si>
  <si>
    <t>C33.1.3</t>
  </si>
  <si>
    <t>N82.3.0</t>
  </si>
  <si>
    <t>G47.7.4</t>
  </si>
  <si>
    <t>G47.7.7</t>
  </si>
  <si>
    <t>Q86.1.0</t>
  </si>
  <si>
    <t>G46.9.0</t>
  </si>
  <si>
    <t>G47.6.5</t>
  </si>
  <si>
    <t>N82.9.9</t>
  </si>
  <si>
    <t>H51.1.0</t>
  </si>
  <si>
    <t>N81.2.1</t>
  </si>
  <si>
    <t>J59.2.0</t>
  </si>
  <si>
    <t>C27.5.2</t>
  </si>
  <si>
    <t>A2.4.0</t>
  </si>
  <si>
    <t>C25.9.9</t>
  </si>
  <si>
    <t>F42.1.2</t>
  </si>
  <si>
    <t>A1.1.9</t>
  </si>
  <si>
    <t>G46.7.1</t>
  </si>
  <si>
    <t>L68.3.2</t>
  </si>
  <si>
    <t>N79.1.1</t>
  </si>
  <si>
    <t>C33.1.5</t>
  </si>
  <si>
    <t>B8.1.1</t>
  </si>
  <si>
    <t>M69.2.0</t>
  </si>
  <si>
    <t>K66.2.2</t>
  </si>
  <si>
    <t>C16.2.2</t>
  </si>
  <si>
    <t>J62.0.2</t>
  </si>
  <si>
    <t>H52.2.1</t>
  </si>
  <si>
    <t>N77.3.9</t>
  </si>
  <si>
    <t>G46.4.7</t>
  </si>
  <si>
    <t>F42.9.9</t>
  </si>
  <si>
    <t>G47.7.2</t>
  </si>
  <si>
    <t>C32.1.2</t>
  </si>
  <si>
    <t>M74.2.0</t>
  </si>
  <si>
    <t>A1.2.1</t>
  </si>
  <si>
    <t>S96.0.4</t>
  </si>
  <si>
    <t>G46.3.9</t>
  </si>
  <si>
    <t>G46.3.7</t>
  </si>
  <si>
    <t>M72.1.9</t>
  </si>
  <si>
    <t>E38.3.2</t>
  </si>
  <si>
    <t>C31.0.2</t>
  </si>
  <si>
    <t>J59.1.1</t>
  </si>
  <si>
    <t>G47.2.5</t>
  </si>
  <si>
    <t>A1.4.1</t>
  </si>
  <si>
    <t>M70.2.1</t>
  </si>
  <si>
    <t>C31.0.9</t>
  </si>
  <si>
    <t>G47.8.9</t>
  </si>
  <si>
    <t>C25.6.1</t>
  </si>
  <si>
    <t>C14.1.3</t>
  </si>
  <si>
    <t>C28.9.5</t>
  </si>
  <si>
    <t>G47.7.9</t>
  </si>
  <si>
    <t>P85.5.2</t>
  </si>
  <si>
    <t>S94.2.0</t>
  </si>
  <si>
    <t>G46.3.1</t>
  </si>
  <si>
    <t>Q88.9.1</t>
  </si>
  <si>
    <t>R91.0.2</t>
  </si>
  <si>
    <t>C13.9.2</t>
  </si>
  <si>
    <t>G46.1.4</t>
  </si>
  <si>
    <t>N79.1.2</t>
  </si>
  <si>
    <t>C29.3.2</t>
  </si>
  <si>
    <t>R90.0.3</t>
  </si>
  <si>
    <t>G46.2.4</t>
  </si>
  <si>
    <t>K66.2.9</t>
  </si>
  <si>
    <t>C10.8.6</t>
  </si>
  <si>
    <t>G46.1.6</t>
  </si>
  <si>
    <t>G46.6.2</t>
  </si>
  <si>
    <t>C17.2.2</t>
  </si>
  <si>
    <t>C32.4.0</t>
  </si>
  <si>
    <t>N77.2.9</t>
  </si>
  <si>
    <t>C13.9.9</t>
  </si>
  <si>
    <t>S96.0.2</t>
  </si>
  <si>
    <t>G47.7.3</t>
  </si>
  <si>
    <t>G46.6.9</t>
  </si>
  <si>
    <t>N77.1.2</t>
  </si>
  <si>
    <t>M73.1.1</t>
  </si>
  <si>
    <t>G47.7.6</t>
  </si>
  <si>
    <t>A2.1.0</t>
  </si>
  <si>
    <t>G45.4.0</t>
  </si>
  <si>
    <t>C10.9.2</t>
  </si>
  <si>
    <t>E38.1.1</t>
  </si>
  <si>
    <t>C22.2.3</t>
  </si>
  <si>
    <t>C20.4.1</t>
  </si>
  <si>
    <t>C13.1.0</t>
  </si>
  <si>
    <t>G47.7.5</t>
  </si>
  <si>
    <t>G46.5.2</t>
  </si>
  <si>
    <t>C33.1.9</t>
  </si>
  <si>
    <t>H52.2.4</t>
  </si>
  <si>
    <t>C29.1.0</t>
  </si>
  <si>
    <t>C13.9.6</t>
  </si>
  <si>
    <t>G46.1.5</t>
  </si>
  <si>
    <t>G46.4.9</t>
  </si>
  <si>
    <t>C16.2.3</t>
  </si>
  <si>
    <t>G46.5.1</t>
  </si>
  <si>
    <t>C13.2.0</t>
  </si>
  <si>
    <t>C32.2.0</t>
  </si>
  <si>
    <t>U99.0.0</t>
  </si>
  <si>
    <t>N82.2.0</t>
  </si>
  <si>
    <t>C25.2.9</t>
  </si>
  <si>
    <t>C23.1.3</t>
  </si>
  <si>
    <t>A1.2.4</t>
  </si>
  <si>
    <t>G47.2.2</t>
  </si>
  <si>
    <t>H53.2.0</t>
  </si>
  <si>
    <t>A1.2.6</t>
  </si>
  <si>
    <t>J63.9.9</t>
  </si>
  <si>
    <t>C16.2.9</t>
  </si>
  <si>
    <t>H52.2.3</t>
  </si>
  <si>
    <t>C23.6.9</t>
  </si>
  <si>
    <t>H49.4.1</t>
  </si>
  <si>
    <t>C22.2.2</t>
  </si>
  <si>
    <t>D35.3.0</t>
  </si>
  <si>
    <t>C10.7.2</t>
  </si>
  <si>
    <t>H49.4.2</t>
  </si>
  <si>
    <t>G46.1.2</t>
  </si>
  <si>
    <t>C10.6.1</t>
  </si>
  <si>
    <t>G46.1.7</t>
  </si>
  <si>
    <t>P85.5.9</t>
  </si>
  <si>
    <t>C23.1.1</t>
  </si>
  <si>
    <t>P85.5.3</t>
  </si>
  <si>
    <t>C26.2.0</t>
  </si>
  <si>
    <t>G47.2.9</t>
  </si>
  <si>
    <t>G46.4.3</t>
  </si>
  <si>
    <t>C32.9.9</t>
  </si>
  <si>
    <t>J59.1.3</t>
  </si>
  <si>
    <t>T98.1.0</t>
  </si>
  <si>
    <t>C25.6.2</t>
  </si>
  <si>
    <t>G46.6.1</t>
  </si>
  <si>
    <t>F43.3.3</t>
  </si>
  <si>
    <t>S96.0.1</t>
  </si>
  <si>
    <t>C18.1.2</t>
  </si>
  <si>
    <t>F43.3.2</t>
  </si>
  <si>
    <t>J61.2.0</t>
  </si>
  <si>
    <t>J58.2.1</t>
  </si>
  <si>
    <t>C26.3.0</t>
  </si>
  <si>
    <t>J61.3.0</t>
  </si>
  <si>
    <t>C28.9.4</t>
  </si>
  <si>
    <t>C10.7.1</t>
  </si>
  <si>
    <t>G47.5.2</t>
  </si>
  <si>
    <t>B8.9.9</t>
  </si>
  <si>
    <t>C25.9.3</t>
  </si>
  <si>
    <t>N77.3.1</t>
  </si>
  <si>
    <t>C28.9.9</t>
  </si>
  <si>
    <t>J63.1.2</t>
  </si>
  <si>
    <t>G46.1.1</t>
  </si>
  <si>
    <t>G45.3.1</t>
  </si>
  <si>
    <t>C10.8.9</t>
  </si>
  <si>
    <t>C28.9.2</t>
  </si>
  <si>
    <t>P85.3.2</t>
  </si>
  <si>
    <t>C14.1.4</t>
  </si>
  <si>
    <t>C24.2.0</t>
  </si>
  <si>
    <t>C20.3.0</t>
  </si>
  <si>
    <t>A1.4.6</t>
  </si>
  <si>
    <t>G46.4.4</t>
  </si>
  <si>
    <t>J62.0.9</t>
  </si>
  <si>
    <t>N82.1.1</t>
  </si>
  <si>
    <t>A1.4.7</t>
  </si>
  <si>
    <t>L68.2.0</t>
  </si>
  <si>
    <t>C22.1.9</t>
  </si>
  <si>
    <t>C20.5.1</t>
  </si>
  <si>
    <t>H50.1.0</t>
  </si>
  <si>
    <t>C18.1.3</t>
  </si>
  <si>
    <t>C14.1.1</t>
  </si>
  <si>
    <t>C23.3.1</t>
  </si>
  <si>
    <t>G47.4.3</t>
  </si>
  <si>
    <t>C17.1.1</t>
  </si>
  <si>
    <t>G47.1.9</t>
  </si>
  <si>
    <t>A3.2.2</t>
  </si>
  <si>
    <t>C25.7.3</t>
  </si>
  <si>
    <t>N82.9.1</t>
  </si>
  <si>
    <t>C10.9.1</t>
  </si>
  <si>
    <t>G46.6.6</t>
  </si>
  <si>
    <t>G47.7.1</t>
  </si>
  <si>
    <t>N80.2.0</t>
  </si>
  <si>
    <t>C27.9.0</t>
  </si>
  <si>
    <t>C10.5.1</t>
  </si>
  <si>
    <t>C25.9.2</t>
  </si>
  <si>
    <t>N77.2.2</t>
  </si>
  <si>
    <t>C28.9.3</t>
  </si>
  <si>
    <t>S94.1.1</t>
  </si>
  <si>
    <t>G46.1.3</t>
  </si>
  <si>
    <t>J58.1.4</t>
  </si>
  <si>
    <t>C30.9.9</t>
  </si>
  <si>
    <t>C13.9.4</t>
  </si>
  <si>
    <t>C25.5.0</t>
  </si>
  <si>
    <t>Q87.1.0</t>
  </si>
  <si>
    <t>C14.3.9</t>
  </si>
  <si>
    <t>Q87.9.0</t>
  </si>
  <si>
    <t>G47.9.1</t>
  </si>
  <si>
    <t>F42.2.2</t>
  </si>
  <si>
    <t>C20.1.1</t>
  </si>
  <si>
    <t>A3.2.1</t>
  </si>
  <si>
    <t>C10.8.4</t>
  </si>
  <si>
    <t>Q88.1.0</t>
  </si>
  <si>
    <t>C27.1.2</t>
  </si>
  <si>
    <t>I55.9.0</t>
  </si>
  <si>
    <t>H49.3.1</t>
  </si>
  <si>
    <t>G46.1.9</t>
  </si>
  <si>
    <t>G47.2.6</t>
  </si>
  <si>
    <t>C10.4.1</t>
  </si>
  <si>
    <t>K66.1.9</t>
  </si>
  <si>
    <t>G47.2.1</t>
  </si>
  <si>
    <t>C27.3.2</t>
  </si>
  <si>
    <t>C25.7.2</t>
  </si>
  <si>
    <t>C28.2.5</t>
  </si>
  <si>
    <t>C28.1.4</t>
  </si>
  <si>
    <t>C27.4.0</t>
  </si>
  <si>
    <t>S95.2.2</t>
  </si>
  <si>
    <t>N78.1.0</t>
  </si>
  <si>
    <t>C30.1.1</t>
  </si>
  <si>
    <t>C21.2.0</t>
  </si>
  <si>
    <t>G46.6.4</t>
  </si>
  <si>
    <t>G46.1.8</t>
  </si>
  <si>
    <t>K64.9.9</t>
  </si>
  <si>
    <t>C23.5.1</t>
  </si>
  <si>
    <t>F43.3.1</t>
  </si>
  <si>
    <t>C10.3.2</t>
  </si>
  <si>
    <t>C23.3.2</t>
  </si>
  <si>
    <t>G46.6.5</t>
  </si>
  <si>
    <t>C24.3.3</t>
  </si>
  <si>
    <t>S95.2.1</t>
  </si>
  <si>
    <t>P85.5.1</t>
  </si>
  <si>
    <t>A1.3.0</t>
  </si>
  <si>
    <t>C26.7.0</t>
  </si>
  <si>
    <t>C14.1.2</t>
  </si>
  <si>
    <t>C27.3.1</t>
  </si>
  <si>
    <t>R90.0.1</t>
  </si>
  <si>
    <t>C23.1.4</t>
  </si>
  <si>
    <t>S94.9.9</t>
  </si>
  <si>
    <t>E38.2.1</t>
  </si>
  <si>
    <t>M72.1.1</t>
  </si>
  <si>
    <t>M74.3.0</t>
  </si>
  <si>
    <t>C33.1.7</t>
  </si>
  <si>
    <t>B8.1.2</t>
  </si>
  <si>
    <t>G46.3.3</t>
  </si>
  <si>
    <t>B8.9.3</t>
  </si>
  <si>
    <t>F42.9.1</t>
  </si>
  <si>
    <t>C32.1.3</t>
  </si>
  <si>
    <t>N78.2.0</t>
  </si>
  <si>
    <t>N77.3.3</t>
  </si>
  <si>
    <t>A1.2.2</t>
  </si>
  <si>
    <t>C23.6.3</t>
  </si>
  <si>
    <t>P85.6.0</t>
  </si>
  <si>
    <t>P85.2.0</t>
  </si>
  <si>
    <t>R93.2.1</t>
  </si>
  <si>
    <t>C28.1.3</t>
  </si>
  <si>
    <t>C25.2.1</t>
  </si>
  <si>
    <t>C11.0.1</t>
  </si>
  <si>
    <t>C31.0.1</t>
  </si>
  <si>
    <t>C26.1.2</t>
  </si>
  <si>
    <t>C33.1.6</t>
  </si>
  <si>
    <t>A1.1.2</t>
  </si>
  <si>
    <t>H52.1.0</t>
  </si>
  <si>
    <t>G46.4.8</t>
  </si>
  <si>
    <t>C18.2.0</t>
  </si>
  <si>
    <t>C20.1.6</t>
  </si>
  <si>
    <t>C28.2.1</t>
  </si>
  <si>
    <t>C10.5.2</t>
  </si>
  <si>
    <t>C26.5.1</t>
  </si>
  <si>
    <t>C26.1.1</t>
  </si>
  <si>
    <t>C10.3.1</t>
  </si>
  <si>
    <t>C28.1.5</t>
  </si>
  <si>
    <t>M72.2.0</t>
  </si>
  <si>
    <t>A3.1.1</t>
  </si>
  <si>
    <t>R90.0.2</t>
  </si>
  <si>
    <t>C11.0.3</t>
  </si>
  <si>
    <t>G46.3.5</t>
  </si>
  <si>
    <t>D35.1.4</t>
  </si>
  <si>
    <t>C17.2.9</t>
  </si>
  <si>
    <t>C24.5.4</t>
  </si>
  <si>
    <t>R92.0.0</t>
  </si>
  <si>
    <t>C23.2.0</t>
  </si>
  <si>
    <t>A1.2.9</t>
  </si>
  <si>
    <t>C25.3.0</t>
  </si>
  <si>
    <t>C17.2.3</t>
  </si>
  <si>
    <t>C28.2.9</t>
  </si>
  <si>
    <t>R93.1.9</t>
  </si>
  <si>
    <t>G46.2.3</t>
  </si>
  <si>
    <t>C13.9.3</t>
  </si>
  <si>
    <t>G47.1.1</t>
  </si>
  <si>
    <t>S96.0.9</t>
  </si>
  <si>
    <t>N82.1.9</t>
  </si>
  <si>
    <t>R93.1.2</t>
  </si>
  <si>
    <t>A1.6.2</t>
  </si>
  <si>
    <t>C20.4.2</t>
  </si>
  <si>
    <t>C12.0.0</t>
  </si>
  <si>
    <t>C23.9.9</t>
  </si>
  <si>
    <t>M73.2.0</t>
  </si>
  <si>
    <t>C10.8.3</t>
  </si>
  <si>
    <t>A1.4.9</t>
  </si>
  <si>
    <t>H50.2.0</t>
  </si>
  <si>
    <t>H52.2.2</t>
  </si>
  <si>
    <t>C15.1.2</t>
  </si>
  <si>
    <t>C22.1.1</t>
  </si>
  <si>
    <t>G47.8.1</t>
  </si>
  <si>
    <t>I55.3.0</t>
  </si>
  <si>
    <t>H53.1.0</t>
  </si>
  <si>
    <t>C23.4.4</t>
  </si>
  <si>
    <t>C28.9.1</t>
  </si>
  <si>
    <t>C28.9.6</t>
  </si>
  <si>
    <t>J59.1.4</t>
  </si>
  <si>
    <t>C23.9.1</t>
  </si>
  <si>
    <t>C20.6.0</t>
  </si>
  <si>
    <t>J58.1.3</t>
  </si>
  <si>
    <t>C16.2.4</t>
  </si>
  <si>
    <t>C28.4.1</t>
  </si>
  <si>
    <t>C23.1.2</t>
  </si>
  <si>
    <t>C29.2.0</t>
  </si>
  <si>
    <t>R91.0.3</t>
  </si>
  <si>
    <t>C24.1.0</t>
  </si>
  <si>
    <t>C28.3.0</t>
  </si>
  <si>
    <t>E38.2.2</t>
  </si>
  <si>
    <t>C10.7.3</t>
  </si>
  <si>
    <t>C30.9.1</t>
  </si>
  <si>
    <t>A1.4.2</t>
  </si>
  <si>
    <t>C26.5.2</t>
  </si>
  <si>
    <t>J58.2.9</t>
  </si>
  <si>
    <t>A1.2.3</t>
  </si>
  <si>
    <t>B7.2.9</t>
  </si>
  <si>
    <t>C13.9.5</t>
  </si>
  <si>
    <t>A2.3.0</t>
  </si>
  <si>
    <t>C21.1.0</t>
  </si>
  <si>
    <t>K66.1.2</t>
  </si>
  <si>
    <t>G47.5.3</t>
  </si>
  <si>
    <t>C23.4.2</t>
  </si>
  <si>
    <t>S95.1.1</t>
  </si>
  <si>
    <t>A1.6.3</t>
  </si>
  <si>
    <t>C24.5.2</t>
  </si>
  <si>
    <t>C16.2.1</t>
  </si>
  <si>
    <t>J62.0.3</t>
  </si>
  <si>
    <t>C17.1.2</t>
  </si>
  <si>
    <t>C11.0.7</t>
  </si>
  <si>
    <t>C15.1.1</t>
  </si>
  <si>
    <t>C28.4.9</t>
  </si>
  <si>
    <t>C10.8.2</t>
  </si>
  <si>
    <t>C33.1.1</t>
  </si>
  <si>
    <t>C29.3.1</t>
  </si>
  <si>
    <t>C27.2.0</t>
  </si>
  <si>
    <t>S95.1.2</t>
  </si>
  <si>
    <t>S95.2.9</t>
  </si>
  <si>
    <t>H50.3.0</t>
  </si>
  <si>
    <t>G47.8.2</t>
  </si>
  <si>
    <t>N79.9.0</t>
  </si>
  <si>
    <t>C23.6.4</t>
  </si>
  <si>
    <t>N77.3.4</t>
  </si>
  <si>
    <t>M73.1.2</t>
  </si>
  <si>
    <t>C28.1.2</t>
  </si>
  <si>
    <t>C24.4.4</t>
  </si>
  <si>
    <t>G47.6.3</t>
  </si>
  <si>
    <t>C27.3.3</t>
  </si>
  <si>
    <t>K64.1.9</t>
  </si>
  <si>
    <t>C23.4.9</t>
  </si>
  <si>
    <t>B9.9.0</t>
  </si>
  <si>
    <t>C24.4.2</t>
  </si>
  <si>
    <t>C23.1.9</t>
  </si>
  <si>
    <t>K65.1.2</t>
  </si>
  <si>
    <t>O84.2.5</t>
  </si>
  <si>
    <t>B9.1.0</t>
  </si>
  <si>
    <t>C10.4.2</t>
  </si>
  <si>
    <t>C23.6.2</t>
  </si>
  <si>
    <t>C10.8.1</t>
  </si>
  <si>
    <t>C25.9.4</t>
  </si>
  <si>
    <t>C19.2.0</t>
  </si>
  <si>
    <t>K64.9.2</t>
  </si>
  <si>
    <t>C30.3.0</t>
  </si>
  <si>
    <t>T98.2.0</t>
  </si>
  <si>
    <t>C28.2.4</t>
  </si>
  <si>
    <t>S94.9.2</t>
  </si>
  <si>
    <t>D35.2.3</t>
  </si>
  <si>
    <t>R91.0.1</t>
  </si>
  <si>
    <t>C20.1.3</t>
  </si>
  <si>
    <t>D35.2.2</t>
  </si>
  <si>
    <t>C20.5.3</t>
  </si>
  <si>
    <t>C24.3.1</t>
  </si>
  <si>
    <t>S94.1.2</t>
  </si>
  <si>
    <t>R91.0.4</t>
  </si>
  <si>
    <t>R90.0.4</t>
  </si>
  <si>
    <t>S94.9.1</t>
  </si>
  <si>
    <t>C23.5.2</t>
  </si>
  <si>
    <t>Q88.9.9</t>
  </si>
  <si>
    <t>S95.2.5</t>
  </si>
  <si>
    <t>C24.5.3</t>
  </si>
  <si>
    <t>C18.1.1</t>
  </si>
  <si>
    <t>J58.1.2</t>
  </si>
  <si>
    <t>H49.5.0</t>
  </si>
  <si>
    <t>K65.1.1</t>
  </si>
  <si>
    <t>S</t>
  </si>
  <si>
    <t>C30.2.0</t>
  </si>
  <si>
    <t>E38.1.2</t>
  </si>
  <si>
    <t>C24.4.3</t>
  </si>
  <si>
    <t>C24.5.1</t>
  </si>
  <si>
    <t>C24.3.4</t>
  </si>
  <si>
    <t>D35.1.3</t>
  </si>
  <si>
    <t>D35.1.2</t>
  </si>
  <si>
    <t>Q87.2.0</t>
  </si>
  <si>
    <t>C20.5.2</t>
  </si>
  <si>
    <t>C24.3.2</t>
  </si>
  <si>
    <t>A1.4.3</t>
  </si>
  <si>
    <t>E39.0.0</t>
  </si>
  <si>
    <t>C28.1.1</t>
  </si>
  <si>
    <t>K64.3.0</t>
  </si>
  <si>
    <t>N77.3.5</t>
  </si>
  <si>
    <t>P85.4.1</t>
  </si>
  <si>
    <t>K64.9.1</t>
  </si>
  <si>
    <t>K66.3.0</t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</si>
  <si>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Trans-BB. and II"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</si>
  <si>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STE1_v1.0.sql".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</si>
  <si>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(SREP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Trans-BB. and II".</t>
    </r>
  </si>
  <si>
    <t>entidade</t>
  </si>
  <si>
    <t>id_comb</t>
  </si>
  <si>
    <t>amount</t>
  </si>
  <si>
    <t>O84.1.1</t>
  </si>
  <si>
    <t>C11.0.6</t>
  </si>
  <si>
    <t>R04;Fees and commisions income;MC52;EU1</t>
  </si>
  <si>
    <t>R04;Fees and commisions income;MC42;EU1</t>
  </si>
  <si>
    <t>R04;Fees and commisions income;MC45;EU1</t>
  </si>
  <si>
    <t>R04;Fees and commisions income;MC52;EU2</t>
  </si>
  <si>
    <t>R04;Fees and commisions income;MC54;EU1</t>
  </si>
  <si>
    <t>R04;Fees and commisions income;MC41;EU1</t>
  </si>
  <si>
    <t>R04;Fees and commisions income;MC53;EU1</t>
  </si>
  <si>
    <t>C14.2.0</t>
  </si>
  <si>
    <t>R04;Fees and commisions income;MC43;EU1</t>
  </si>
  <si>
    <t>B8.9.1</t>
  </si>
  <si>
    <t>C20.1.2</t>
  </si>
  <si>
    <t>R04;Fees and commisions income;MC53;EU2</t>
  </si>
  <si>
    <t>C23.4.3</t>
  </si>
  <si>
    <t>R04;Fees and commisions income;MC54;EU2</t>
  </si>
  <si>
    <t>R04;Fees and commisions income;MC45;EU2</t>
  </si>
  <si>
    <t>C28.2.3</t>
  </si>
  <si>
    <t>H49.2.0</t>
  </si>
  <si>
    <t>R04;Fees and commisions income;MC43;EU2</t>
  </si>
  <si>
    <t>C19.1.0</t>
  </si>
  <si>
    <t>R04;Fees and commisions income;MC42;EU2</t>
  </si>
  <si>
    <t>O84.3.0</t>
  </si>
  <si>
    <t>B5.1.0</t>
  </si>
  <si>
    <t>T97.0.0</t>
  </si>
  <si>
    <t>A1.1.6</t>
  </si>
  <si>
    <t>C26.8.0</t>
  </si>
  <si>
    <t>C11.0.4</t>
  </si>
  <si>
    <t>H51.2.1</t>
  </si>
  <si>
    <t>C30.4.0</t>
  </si>
  <si>
    <t>O84.2.2</t>
  </si>
  <si>
    <t>N80.3.0</t>
  </si>
  <si>
    <t>B6.1.0</t>
  </si>
  <si>
    <t>O84.1.3</t>
  </si>
  <si>
    <t>C26.6.0</t>
  </si>
  <si>
    <t>R04;Fees and commisions income;MC41;EU2</t>
  </si>
  <si>
    <t>H49.1.0</t>
  </si>
  <si>
    <t>O84.1.2</t>
  </si>
  <si>
    <t>D35.2.1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</si>
</sst>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15">
    <xf numFmtId="0" fontId="0" fillId="0" borderId="0" xfId="0"/>
    <xf numFmtId="0" fontId="1" fillId="2" borderId="0" xfId="0" applyFont="1" applyFill="1"/>
    <xf numFmtId="0" fontId="0" fillId="0" borderId="0" xfId="0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5" borderId="12" xfId="0" applyFont="1" applyFill="1" applyBorder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 applyBorder="1" applyProtection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6" xfId="0" applyFont="1" applyFill="1" applyBorder="1" applyProtection="1">
      <protection locked="0"/>
    </xf>
    <xf numFmtId="0" fontId="11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2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9" xfId="0" applyFont="1" applyFill="1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3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8" xfId="0" applyFont="1" applyFill="1" applyBorder="1" applyProtection="1"/>
    <xf numFmtId="0" fontId="25" fillId="2" borderId="0" xfId="0" applyFont="1" applyFill="1" applyAlignment="1">
      <alignment horizontal="left"/>
    </xf>
    <xf numFmtId="0" fontId="26" fillId="2" borderId="14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horizontal="center"/>
    </xf>
    <xf numFmtId="0" fontId="26" fillId="2" borderId="16" xfId="0" applyFont="1" applyFill="1" applyBorder="1" applyAlignment="1">
      <alignment vertical="center" wrapText="1"/>
    </xf>
    <xf numFmtId="0" fontId="27" fillId="2" borderId="20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6" fillId="2" borderId="15" xfId="0" applyFont="1" applyFill="1" applyBorder="1" applyAlignment="1">
      <alignment horizontal="left" vertical="center" wrapText="1"/>
    </xf>
    <xf numFmtId="0" fontId="1" fillId="2" borderId="15" xfId="0" applyFont="1" applyFill="1" applyBorder="1" applyAlignment="1">
      <alignment horizontal="left" vertical="center" indent="1"/>
    </xf>
    <xf numFmtId="0" fontId="29" fillId="2" borderId="15" xfId="0" applyFont="1" applyFill="1" applyBorder="1" applyAlignment="1">
      <alignment horizontal="left" vertical="center" indent="3"/>
    </xf>
    <xf numFmtId="0" fontId="29" fillId="2" borderId="15" xfId="0" applyFont="1" applyFill="1" applyBorder="1" applyAlignment="1">
      <alignment horizontal="left" vertical="center" wrapText="1" indent="3"/>
    </xf>
    <xf numFmtId="0" fontId="2" fillId="2" borderId="15" xfId="0" applyFont="1" applyFill="1" applyBorder="1" applyAlignment="1">
      <alignment horizontal="left" vertical="center" indent="1"/>
    </xf>
    <xf numFmtId="0" fontId="28" fillId="2" borderId="0" xfId="0" applyFont="1" applyFill="1"/>
    <xf numFmtId="0" fontId="3" fillId="2" borderId="15" xfId="0" applyFont="1" applyFill="1" applyBorder="1" applyAlignment="1">
      <alignment horizontal="left" vertical="center" wrapText="1"/>
    </xf>
    <xf numFmtId="0" fontId="2" fillId="2" borderId="15" xfId="0" applyFont="1" applyFill="1" applyBorder="1" applyAlignment="1">
      <alignment horizontal="left" vertical="center" wrapText="1" indent="1"/>
    </xf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" fontId="1" fillId="2" borderId="0" xfId="0" applyNumberFormat="1" applyFont="1" applyFill="1"/>
    <xf numFmtId="4" fontId="1" fillId="2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Fill="1" applyBorder="1" applyAlignment="1">
      <alignment horizontal="right" vertical="center" wrapText="1"/>
    </xf>
    <xf numFmtId="4" fontId="29" fillId="0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Border="1" applyAlignment="1">
      <alignment horizontal="right" vertical="center"/>
    </xf>
    <xf numFmtId="4" fontId="1" fillId="0" borderId="15" xfId="0" applyNumberFormat="1" applyFont="1" applyFill="1" applyBorder="1" applyAlignment="1">
      <alignment horizontal="right"/>
    </xf>
    <xf numFmtId="4" fontId="1" fillId="2" borderId="15" xfId="0" applyNumberFormat="1" applyFont="1" applyFill="1" applyBorder="1" applyAlignment="1">
      <alignment horizontal="right" vertical="center"/>
    </xf>
    <xf numFmtId="4" fontId="1" fillId="2" borderId="15" xfId="0" applyNumberFormat="1" applyFont="1" applyFill="1" applyBorder="1" applyAlignment="1">
      <alignment horizontal="right"/>
    </xf>
    <xf numFmtId="4" fontId="1" fillId="2" borderId="15" xfId="0" quotePrefix="1" applyNumberFormat="1" applyFont="1" applyFill="1" applyBorder="1" applyAlignment="1">
      <alignment horizontal="right" wrapText="1"/>
    </xf>
    <xf numFmtId="4" fontId="1" fillId="0" borderId="15" xfId="0" applyNumberFormat="1" applyFont="1" applyBorder="1" applyAlignment="1">
      <alignment horizontal="right" vertical="center" wrapText="1"/>
    </xf>
    <xf numFmtId="4" fontId="30" fillId="0" borderId="0" xfId="0" applyNumberFormat="1" applyFont="1" applyAlignment="1">
      <alignment horizontal="right"/>
    </xf>
    <xf numFmtId="9" fontId="1" fillId="0" borderId="15" xfId="1" applyFont="1" applyFill="1" applyBorder="1" applyAlignment="1">
      <alignment horizontal="right" vertical="center" wrapText="1"/>
    </xf>
    <xf numFmtId="9" fontId="1" fillId="0" borderId="15" xfId="1" applyFont="1" applyFill="1" applyBorder="1" applyAlignment="1">
      <alignment horizontal="right"/>
    </xf>
    <xf numFmtId="9" fontId="1" fillId="0" borderId="15" xfId="1" applyFont="1" applyBorder="1" applyAlignment="1">
      <alignment horizontal="right" vertical="center" wrapText="1"/>
    </xf>
    <xf numFmtId="9" fontId="30" fillId="0" borderId="15" xfId="1" applyFont="1" applyBorder="1" applyAlignment="1">
      <alignment horizontal="right"/>
    </xf>
    <xf numFmtId="9" fontId="1" fillId="0" borderId="15" xfId="1" applyFont="1" applyBorder="1" applyAlignment="1">
      <alignment horizontal="right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4" fontId="29" fillId="0" borderId="15" xfId="0" quotePrefix="1" applyNumberFormat="1" applyFont="1" applyFill="1" applyBorder="1" applyAlignment="1">
      <alignment horizontal="right" vertical="center" wrapText="1"/>
    </xf>
    <xf numFmtId="4" fontId="30" fillId="0" borderId="15" xfId="0" applyNumberFormat="1" applyFont="1" applyBorder="1" applyAlignment="1">
      <alignment horizontal="right"/>
    </xf>
    <xf numFmtId="4" fontId="0" fillId="0" borderId="0" xfId="0" applyNumberFormat="1"/>
    <xf numFmtId="9" fontId="1" fillId="0" borderId="15" xfId="1" applyNumberFormat="1" applyFont="1" applyFill="1" applyBorder="1" applyAlignment="1">
      <alignment horizontal="right"/>
    </xf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26" fillId="2" borderId="19" xfId="0" applyFont="1" applyFill="1" applyBorder="1" applyAlignment="1">
      <alignment horizontal="center" vertical="center" wrapText="1"/>
    </xf>
    <xf numFmtId="0" fontId="8" fillId="8" borderId="0" xfId="0" applyFont="1" applyFill="1" applyAlignment="1">
      <alignment horizontal="left" vertical="center" inden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="" xmlns:p="http://schemas.openxmlformats.org/presentationml/2006/main" xmlns:asvg="http://schemas.microsoft.com/office/drawing/2016/SVG/main" xmlns:lc="http://schemas.openxmlformats.org/drawingml/2006/lockedCanvas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77800"/>
          <a:ext cx="1185857" cy="1828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3" name="Rounded Rectangle 2">
          <a:hlinkClick xmlns:r="http://schemas.openxmlformats.org/officeDocument/2006/relationships" r:id="rId3"/>
        </xdr:cNvPr>
        <xdr:cNvSpPr/>
      </xdr:nvSpPr>
      <xdr:spPr>
        <a:xfrm>
          <a:off x="1600200" y="182880"/>
          <a:ext cx="1686933" cy="29605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77800"/>
          <a:ext cx="1185857" cy="18288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3" name="Rounded Rectangle 2">
          <a:hlinkClick xmlns:r="http://schemas.openxmlformats.org/officeDocument/2006/relationships" r:id="rId3"/>
        </xdr:cNvPr>
        <xdr:cNvSpPr/>
      </xdr:nvSpPr>
      <xdr:spPr>
        <a:xfrm>
          <a:off x="1600200" y="182880"/>
          <a:ext cx="1686933" cy="29605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zoomScaleNormal="100" workbookViewId="0">
      <pane ySplit="4" topLeftCell="A5" activePane="bottomLeft" state="frozen"/>
      <selection pane="bottomLeft" activeCell="H47" sqref="H47:T48"/>
    </sheetView>
  </sheetViews>
  <sheetFormatPr defaultColWidth="0" defaultRowHeight="14.7" customHeight="1" zeroHeight="1" x14ac:dyDescent="0.3"/>
  <cols>
    <col min="1" max="2" width="3.6640625" style="2" customWidth="1"/>
    <col min="3" max="4" width="7.6640625" style="2" customWidth="1"/>
    <col min="5" max="5" width="0.44140625" style="2" customWidth="1"/>
    <col min="6" max="6" width="7.6640625" style="2" customWidth="1"/>
    <col min="7" max="7" width="0.44140625" style="2" customWidth="1"/>
    <col min="8" max="20" width="10.6640625" style="2" customWidth="1"/>
    <col min="21" max="21" width="8.6640625" style="2" customWidth="1"/>
    <col min="22" max="22" width="3.6640625" style="2" customWidth="1"/>
    <col min="23" max="16384" width="0" style="2" hidden="1"/>
  </cols>
  <sheetData>
    <row r="1" spans="1:16384" s="3" customFormat="1" ht="14.4" x14ac:dyDescent="0.3"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s="3" customFormat="1" ht="14.4" x14ac:dyDescent="0.3"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  <c r="GJZ2" s="2"/>
      <c r="GKA2" s="2"/>
      <c r="GKB2" s="2"/>
      <c r="GKC2" s="2"/>
      <c r="GKD2" s="2"/>
      <c r="GKE2" s="2"/>
      <c r="GKF2" s="2"/>
      <c r="GKG2" s="2"/>
      <c r="GKH2" s="2"/>
      <c r="GKI2" s="2"/>
      <c r="GKJ2" s="2"/>
      <c r="GKK2" s="2"/>
      <c r="GKL2" s="2"/>
      <c r="GKM2" s="2"/>
      <c r="GKN2" s="2"/>
      <c r="GKO2" s="2"/>
      <c r="GKP2" s="2"/>
      <c r="GKQ2" s="2"/>
      <c r="GKR2" s="2"/>
      <c r="GKS2" s="2"/>
      <c r="GKT2" s="2"/>
      <c r="GKU2" s="2"/>
      <c r="GKV2" s="2"/>
      <c r="GKW2" s="2"/>
      <c r="GKX2" s="2"/>
      <c r="GKY2" s="2"/>
      <c r="GKZ2" s="2"/>
      <c r="GLA2" s="2"/>
      <c r="GLB2" s="2"/>
      <c r="GLC2" s="2"/>
      <c r="GLD2" s="2"/>
      <c r="GLE2" s="2"/>
      <c r="GLF2" s="2"/>
      <c r="GLG2" s="2"/>
      <c r="GLH2" s="2"/>
      <c r="GLI2" s="2"/>
      <c r="GLJ2" s="2"/>
      <c r="GLK2" s="2"/>
      <c r="GLL2" s="2"/>
      <c r="GLM2" s="2"/>
      <c r="GLN2" s="2"/>
      <c r="GLO2" s="2"/>
      <c r="GLP2" s="2"/>
      <c r="GLQ2" s="2"/>
      <c r="GLR2" s="2"/>
      <c r="GLS2" s="2"/>
      <c r="GLT2" s="2"/>
      <c r="GLU2" s="2"/>
      <c r="GLV2" s="2"/>
      <c r="GLW2" s="2"/>
      <c r="GLX2" s="2"/>
      <c r="GLY2" s="2"/>
      <c r="GLZ2" s="2"/>
      <c r="GMA2" s="2"/>
      <c r="GMB2" s="2"/>
      <c r="GMC2" s="2"/>
      <c r="GMD2" s="2"/>
      <c r="GME2" s="2"/>
      <c r="GMF2" s="2"/>
      <c r="GMG2" s="2"/>
      <c r="GMH2" s="2"/>
      <c r="GMI2" s="2"/>
      <c r="GMJ2" s="2"/>
      <c r="GMK2" s="2"/>
      <c r="GML2" s="2"/>
      <c r="GMM2" s="2"/>
      <c r="GMN2" s="2"/>
      <c r="GMO2" s="2"/>
      <c r="GMP2" s="2"/>
      <c r="GMQ2" s="2"/>
      <c r="GMR2" s="2"/>
      <c r="GMS2" s="2"/>
      <c r="GMT2" s="2"/>
      <c r="GMU2" s="2"/>
      <c r="GMV2" s="2"/>
      <c r="GMW2" s="2"/>
      <c r="GMX2" s="2"/>
      <c r="GMY2" s="2"/>
      <c r="GMZ2" s="2"/>
      <c r="GNA2" s="2"/>
      <c r="GNB2" s="2"/>
      <c r="GNC2" s="2"/>
      <c r="GND2" s="2"/>
      <c r="GNE2" s="2"/>
      <c r="GNF2" s="2"/>
      <c r="GNG2" s="2"/>
      <c r="GNH2" s="2"/>
      <c r="GNI2" s="2"/>
      <c r="GNJ2" s="2"/>
      <c r="GNK2" s="2"/>
      <c r="GNL2" s="2"/>
      <c r="GNM2" s="2"/>
      <c r="GNN2" s="2"/>
      <c r="GNO2" s="2"/>
      <c r="GNP2" s="2"/>
      <c r="GNQ2" s="2"/>
      <c r="GNR2" s="2"/>
      <c r="GNS2" s="2"/>
      <c r="GNT2" s="2"/>
      <c r="GNU2" s="2"/>
      <c r="GNV2" s="2"/>
      <c r="GNW2" s="2"/>
      <c r="GNX2" s="2"/>
      <c r="GNY2" s="2"/>
      <c r="GNZ2" s="2"/>
      <c r="GOA2" s="2"/>
      <c r="GOB2" s="2"/>
      <c r="GOC2" s="2"/>
      <c r="GOD2" s="2"/>
      <c r="GOE2" s="2"/>
      <c r="GOF2" s="2"/>
      <c r="GOG2" s="2"/>
      <c r="GOH2" s="2"/>
      <c r="GOI2" s="2"/>
      <c r="GOJ2" s="2"/>
      <c r="GOK2" s="2"/>
      <c r="GOL2" s="2"/>
      <c r="GOM2" s="2"/>
      <c r="GON2" s="2"/>
      <c r="GOO2" s="2"/>
      <c r="GOP2" s="2"/>
      <c r="GOQ2" s="2"/>
      <c r="GOR2" s="2"/>
      <c r="GOS2" s="2"/>
      <c r="GOT2" s="2"/>
      <c r="GOU2" s="2"/>
      <c r="GOV2" s="2"/>
      <c r="GOW2" s="2"/>
      <c r="GOX2" s="2"/>
      <c r="GOY2" s="2"/>
      <c r="GOZ2" s="2"/>
      <c r="GPA2" s="2"/>
      <c r="GPB2" s="2"/>
      <c r="GPC2" s="2"/>
      <c r="GPD2" s="2"/>
      <c r="GPE2" s="2"/>
      <c r="GPF2" s="2"/>
      <c r="GPG2" s="2"/>
      <c r="GPH2" s="2"/>
      <c r="GPI2" s="2"/>
      <c r="GPJ2" s="2"/>
      <c r="GPK2" s="2"/>
      <c r="GPL2" s="2"/>
      <c r="GPM2" s="2"/>
      <c r="GPN2" s="2"/>
      <c r="GPO2" s="2"/>
      <c r="GPP2" s="2"/>
      <c r="GPQ2" s="2"/>
      <c r="GPR2" s="2"/>
      <c r="GPS2" s="2"/>
      <c r="GPT2" s="2"/>
      <c r="GPU2" s="2"/>
      <c r="GPV2" s="2"/>
      <c r="GPW2" s="2"/>
      <c r="GPX2" s="2"/>
      <c r="GPY2" s="2"/>
      <c r="GPZ2" s="2"/>
      <c r="GQA2" s="2"/>
      <c r="GQB2" s="2"/>
      <c r="GQC2" s="2"/>
      <c r="GQD2" s="2"/>
      <c r="GQE2" s="2"/>
      <c r="GQF2" s="2"/>
      <c r="GQG2" s="2"/>
      <c r="GQH2" s="2"/>
      <c r="GQI2" s="2"/>
      <c r="GQJ2" s="2"/>
      <c r="GQK2" s="2"/>
      <c r="GQL2" s="2"/>
      <c r="GQM2" s="2"/>
      <c r="GQN2" s="2"/>
      <c r="GQO2" s="2"/>
      <c r="GQP2" s="2"/>
      <c r="GQQ2" s="2"/>
      <c r="GQR2" s="2"/>
      <c r="GQS2" s="2"/>
      <c r="GQT2" s="2"/>
      <c r="GQU2" s="2"/>
      <c r="GQV2" s="2"/>
      <c r="GQW2" s="2"/>
      <c r="GQX2" s="2"/>
      <c r="GQY2" s="2"/>
      <c r="GQZ2" s="2"/>
      <c r="GRA2" s="2"/>
      <c r="GRB2" s="2"/>
      <c r="GRC2" s="2"/>
      <c r="GRD2" s="2"/>
      <c r="GRE2" s="2"/>
      <c r="GRF2" s="2"/>
      <c r="GRG2" s="2"/>
      <c r="GRH2" s="2"/>
      <c r="GRI2" s="2"/>
      <c r="GRJ2" s="2"/>
      <c r="GRK2" s="2"/>
      <c r="GRL2" s="2"/>
      <c r="GRM2" s="2"/>
      <c r="GRN2" s="2"/>
      <c r="GRO2" s="2"/>
      <c r="GRP2" s="2"/>
      <c r="GRQ2" s="2"/>
      <c r="GRR2" s="2"/>
      <c r="GRS2" s="2"/>
      <c r="GRT2" s="2"/>
      <c r="GRU2" s="2"/>
      <c r="GRV2" s="2"/>
      <c r="GRW2" s="2"/>
      <c r="GRX2" s="2"/>
      <c r="GRY2" s="2"/>
      <c r="GRZ2" s="2"/>
      <c r="GSA2" s="2"/>
      <c r="GSB2" s="2"/>
      <c r="GSC2" s="2"/>
      <c r="GSD2" s="2"/>
      <c r="GSE2" s="2"/>
      <c r="GSF2" s="2"/>
      <c r="GSG2" s="2"/>
      <c r="GSH2" s="2"/>
      <c r="GSI2" s="2"/>
      <c r="GSJ2" s="2"/>
      <c r="GSK2" s="2"/>
      <c r="GSL2" s="2"/>
      <c r="GSM2" s="2"/>
      <c r="GSN2" s="2"/>
      <c r="GSO2" s="2"/>
      <c r="GSP2" s="2"/>
      <c r="GSQ2" s="2"/>
      <c r="GSR2" s="2"/>
      <c r="GSS2" s="2"/>
      <c r="GST2" s="2"/>
      <c r="GSU2" s="2"/>
      <c r="GSV2" s="2"/>
      <c r="GSW2" s="2"/>
      <c r="GSX2" s="2"/>
      <c r="GSY2" s="2"/>
      <c r="GSZ2" s="2"/>
      <c r="GTA2" s="2"/>
      <c r="GTB2" s="2"/>
      <c r="GTC2" s="2"/>
      <c r="GTD2" s="2"/>
      <c r="GTE2" s="2"/>
      <c r="GTF2" s="2"/>
      <c r="GTG2" s="2"/>
      <c r="GTH2" s="2"/>
      <c r="GTI2" s="2"/>
      <c r="GTJ2" s="2"/>
      <c r="GTK2" s="2"/>
      <c r="GTL2" s="2"/>
      <c r="GTM2" s="2"/>
      <c r="GTN2" s="2"/>
      <c r="GTO2" s="2"/>
      <c r="GTP2" s="2"/>
      <c r="GTQ2" s="2"/>
      <c r="GTR2" s="2"/>
      <c r="GTS2" s="2"/>
      <c r="GTT2" s="2"/>
      <c r="GTU2" s="2"/>
      <c r="GTV2" s="2"/>
      <c r="GTW2" s="2"/>
      <c r="GTX2" s="2"/>
      <c r="GTY2" s="2"/>
      <c r="GTZ2" s="2"/>
      <c r="GUA2" s="2"/>
      <c r="GUB2" s="2"/>
      <c r="GUC2" s="2"/>
      <c r="GUD2" s="2"/>
      <c r="GUE2" s="2"/>
      <c r="GUF2" s="2"/>
      <c r="GUG2" s="2"/>
      <c r="GUH2" s="2"/>
      <c r="GUI2" s="2"/>
      <c r="GUJ2" s="2"/>
      <c r="GUK2" s="2"/>
      <c r="GUL2" s="2"/>
      <c r="GUM2" s="2"/>
      <c r="GUN2" s="2"/>
      <c r="GUO2" s="2"/>
      <c r="GUP2" s="2"/>
      <c r="GUQ2" s="2"/>
      <c r="GUR2" s="2"/>
      <c r="GUS2" s="2"/>
      <c r="GUT2" s="2"/>
      <c r="GUU2" s="2"/>
      <c r="GUV2" s="2"/>
      <c r="GUW2" s="2"/>
      <c r="GUX2" s="2"/>
      <c r="GUY2" s="2"/>
      <c r="GUZ2" s="2"/>
      <c r="GVA2" s="2"/>
      <c r="GVB2" s="2"/>
      <c r="GVC2" s="2"/>
      <c r="GVD2" s="2"/>
      <c r="GVE2" s="2"/>
      <c r="GVF2" s="2"/>
      <c r="GVG2" s="2"/>
      <c r="GVH2" s="2"/>
      <c r="GVI2" s="2"/>
      <c r="GVJ2" s="2"/>
      <c r="GVK2" s="2"/>
      <c r="GVL2" s="2"/>
      <c r="GVM2" s="2"/>
      <c r="GVN2" s="2"/>
      <c r="GVO2" s="2"/>
      <c r="GVP2" s="2"/>
      <c r="GVQ2" s="2"/>
      <c r="GVR2" s="2"/>
      <c r="GVS2" s="2"/>
      <c r="GVT2" s="2"/>
      <c r="GVU2" s="2"/>
      <c r="GVV2" s="2"/>
      <c r="GVW2" s="2"/>
      <c r="GVX2" s="2"/>
      <c r="GVY2" s="2"/>
      <c r="GVZ2" s="2"/>
      <c r="GWA2" s="2"/>
      <c r="GWB2" s="2"/>
      <c r="GWC2" s="2"/>
      <c r="GWD2" s="2"/>
      <c r="GWE2" s="2"/>
      <c r="GWF2" s="2"/>
      <c r="GWG2" s="2"/>
      <c r="GWH2" s="2"/>
      <c r="GWI2" s="2"/>
      <c r="GWJ2" s="2"/>
      <c r="GWK2" s="2"/>
      <c r="GWL2" s="2"/>
      <c r="GWM2" s="2"/>
      <c r="GWN2" s="2"/>
      <c r="GWO2" s="2"/>
      <c r="GWP2" s="2"/>
      <c r="GWQ2" s="2"/>
      <c r="GWR2" s="2"/>
      <c r="GWS2" s="2"/>
      <c r="GWT2" s="2"/>
      <c r="GWU2" s="2"/>
      <c r="GWV2" s="2"/>
      <c r="GWW2" s="2"/>
      <c r="GWX2" s="2"/>
      <c r="GWY2" s="2"/>
      <c r="GWZ2" s="2"/>
      <c r="GXA2" s="2"/>
      <c r="GXB2" s="2"/>
      <c r="GXC2" s="2"/>
      <c r="GXD2" s="2"/>
      <c r="GXE2" s="2"/>
      <c r="GXF2" s="2"/>
      <c r="GXG2" s="2"/>
      <c r="GXH2" s="2"/>
      <c r="GXI2" s="2"/>
      <c r="GXJ2" s="2"/>
      <c r="GXK2" s="2"/>
      <c r="GXL2" s="2"/>
      <c r="GXM2" s="2"/>
      <c r="GXN2" s="2"/>
      <c r="GXO2" s="2"/>
      <c r="GXP2" s="2"/>
      <c r="GXQ2" s="2"/>
      <c r="GXR2" s="2"/>
      <c r="GXS2" s="2"/>
      <c r="GXT2" s="2"/>
      <c r="GXU2" s="2"/>
      <c r="GXV2" s="2"/>
      <c r="GXW2" s="2"/>
      <c r="GXX2" s="2"/>
      <c r="GXY2" s="2"/>
      <c r="GXZ2" s="2"/>
      <c r="GYA2" s="2"/>
      <c r="GYB2" s="2"/>
      <c r="GYC2" s="2"/>
      <c r="GYD2" s="2"/>
      <c r="GYE2" s="2"/>
      <c r="GYF2" s="2"/>
      <c r="GYG2" s="2"/>
      <c r="GYH2" s="2"/>
      <c r="GYI2" s="2"/>
      <c r="GYJ2" s="2"/>
      <c r="GYK2" s="2"/>
      <c r="GYL2" s="2"/>
      <c r="GYM2" s="2"/>
      <c r="GYN2" s="2"/>
      <c r="GYO2" s="2"/>
      <c r="GYP2" s="2"/>
      <c r="GYQ2" s="2"/>
      <c r="GYR2" s="2"/>
      <c r="GYS2" s="2"/>
      <c r="GYT2" s="2"/>
      <c r="GYU2" s="2"/>
      <c r="GYV2" s="2"/>
      <c r="GYW2" s="2"/>
      <c r="GYX2" s="2"/>
      <c r="GYY2" s="2"/>
      <c r="GYZ2" s="2"/>
      <c r="GZA2" s="2"/>
      <c r="GZB2" s="2"/>
      <c r="GZC2" s="2"/>
      <c r="GZD2" s="2"/>
      <c r="GZE2" s="2"/>
      <c r="GZF2" s="2"/>
      <c r="GZG2" s="2"/>
      <c r="GZH2" s="2"/>
      <c r="GZI2" s="2"/>
      <c r="GZJ2" s="2"/>
      <c r="GZK2" s="2"/>
      <c r="GZL2" s="2"/>
      <c r="GZM2" s="2"/>
      <c r="GZN2" s="2"/>
      <c r="GZO2" s="2"/>
      <c r="GZP2" s="2"/>
      <c r="GZQ2" s="2"/>
      <c r="GZR2" s="2"/>
      <c r="GZS2" s="2"/>
      <c r="GZT2" s="2"/>
      <c r="GZU2" s="2"/>
      <c r="GZV2" s="2"/>
      <c r="GZW2" s="2"/>
      <c r="GZX2" s="2"/>
      <c r="GZY2" s="2"/>
      <c r="GZZ2" s="2"/>
      <c r="HAA2" s="2"/>
      <c r="HAB2" s="2"/>
      <c r="HAC2" s="2"/>
      <c r="HAD2" s="2"/>
      <c r="HAE2" s="2"/>
      <c r="HAF2" s="2"/>
      <c r="HAG2" s="2"/>
      <c r="HAH2" s="2"/>
      <c r="HAI2" s="2"/>
      <c r="HAJ2" s="2"/>
      <c r="HAK2" s="2"/>
      <c r="HAL2" s="2"/>
      <c r="HAM2" s="2"/>
      <c r="HAN2" s="2"/>
      <c r="HAO2" s="2"/>
      <c r="HAP2" s="2"/>
      <c r="HAQ2" s="2"/>
      <c r="HAR2" s="2"/>
      <c r="HAS2" s="2"/>
      <c r="HAT2" s="2"/>
      <c r="HAU2" s="2"/>
      <c r="HAV2" s="2"/>
      <c r="HAW2" s="2"/>
      <c r="HAX2" s="2"/>
      <c r="HAY2" s="2"/>
      <c r="HAZ2" s="2"/>
      <c r="HBA2" s="2"/>
      <c r="HBB2" s="2"/>
      <c r="HBC2" s="2"/>
      <c r="HBD2" s="2"/>
      <c r="HBE2" s="2"/>
      <c r="HBF2" s="2"/>
      <c r="HBG2" s="2"/>
      <c r="HBH2" s="2"/>
      <c r="HBI2" s="2"/>
      <c r="HBJ2" s="2"/>
      <c r="HBK2" s="2"/>
      <c r="HBL2" s="2"/>
      <c r="HBM2" s="2"/>
      <c r="HBN2" s="2"/>
      <c r="HBO2" s="2"/>
      <c r="HBP2" s="2"/>
      <c r="HBQ2" s="2"/>
      <c r="HBR2" s="2"/>
      <c r="HBS2" s="2"/>
      <c r="HBT2" s="2"/>
      <c r="HBU2" s="2"/>
      <c r="HBV2" s="2"/>
      <c r="HBW2" s="2"/>
      <c r="HBX2" s="2"/>
      <c r="HBY2" s="2"/>
      <c r="HBZ2" s="2"/>
      <c r="HCA2" s="2"/>
      <c r="HCB2" s="2"/>
      <c r="HCC2" s="2"/>
      <c r="HCD2" s="2"/>
      <c r="HCE2" s="2"/>
      <c r="HCF2" s="2"/>
      <c r="HCG2" s="2"/>
      <c r="HCH2" s="2"/>
      <c r="HCI2" s="2"/>
      <c r="HCJ2" s="2"/>
      <c r="HCK2" s="2"/>
      <c r="HCL2" s="2"/>
      <c r="HCM2" s="2"/>
      <c r="HCN2" s="2"/>
      <c r="HCO2" s="2"/>
      <c r="HCP2" s="2"/>
      <c r="HCQ2" s="2"/>
      <c r="HCR2" s="2"/>
      <c r="HCS2" s="2"/>
      <c r="HCT2" s="2"/>
      <c r="HCU2" s="2"/>
      <c r="HCV2" s="2"/>
      <c r="HCW2" s="2"/>
      <c r="HCX2" s="2"/>
      <c r="HCY2" s="2"/>
      <c r="HCZ2" s="2"/>
      <c r="HDA2" s="2"/>
      <c r="HDB2" s="2"/>
      <c r="HDC2" s="2"/>
      <c r="HDD2" s="2"/>
      <c r="HDE2" s="2"/>
      <c r="HDF2" s="2"/>
      <c r="HDG2" s="2"/>
      <c r="HDH2" s="2"/>
      <c r="HDI2" s="2"/>
      <c r="HDJ2" s="2"/>
      <c r="HDK2" s="2"/>
      <c r="HDL2" s="2"/>
      <c r="HDM2" s="2"/>
      <c r="HDN2" s="2"/>
      <c r="HDO2" s="2"/>
      <c r="HDP2" s="2"/>
      <c r="HDQ2" s="2"/>
      <c r="HDR2" s="2"/>
      <c r="HDS2" s="2"/>
      <c r="HDT2" s="2"/>
      <c r="HDU2" s="2"/>
      <c r="HDV2" s="2"/>
      <c r="HDW2" s="2"/>
      <c r="HDX2" s="2"/>
      <c r="HDY2" s="2"/>
      <c r="HDZ2" s="2"/>
      <c r="HEA2" s="2"/>
      <c r="HEB2" s="2"/>
      <c r="HEC2" s="2"/>
      <c r="HED2" s="2"/>
      <c r="HEE2" s="2"/>
      <c r="HEF2" s="2"/>
      <c r="HEG2" s="2"/>
      <c r="HEH2" s="2"/>
      <c r="HEI2" s="2"/>
      <c r="HEJ2" s="2"/>
      <c r="HEK2" s="2"/>
      <c r="HEL2" s="2"/>
      <c r="HEM2" s="2"/>
      <c r="HEN2" s="2"/>
      <c r="HEO2" s="2"/>
      <c r="HEP2" s="2"/>
      <c r="HEQ2" s="2"/>
      <c r="HER2" s="2"/>
      <c r="HES2" s="2"/>
      <c r="HET2" s="2"/>
      <c r="HEU2" s="2"/>
      <c r="HEV2" s="2"/>
      <c r="HEW2" s="2"/>
      <c r="HEX2" s="2"/>
      <c r="HEY2" s="2"/>
      <c r="HEZ2" s="2"/>
      <c r="HFA2" s="2"/>
      <c r="HFB2" s="2"/>
      <c r="HFC2" s="2"/>
      <c r="HFD2" s="2"/>
      <c r="HFE2" s="2"/>
      <c r="HFF2" s="2"/>
      <c r="HFG2" s="2"/>
      <c r="HFH2" s="2"/>
      <c r="HFI2" s="2"/>
      <c r="HFJ2" s="2"/>
      <c r="HFK2" s="2"/>
      <c r="HFL2" s="2"/>
      <c r="HFM2" s="2"/>
      <c r="HFN2" s="2"/>
      <c r="HFO2" s="2"/>
      <c r="HFP2" s="2"/>
      <c r="HFQ2" s="2"/>
      <c r="HFR2" s="2"/>
      <c r="HFS2" s="2"/>
      <c r="HFT2" s="2"/>
      <c r="HFU2" s="2"/>
      <c r="HFV2" s="2"/>
      <c r="HFW2" s="2"/>
      <c r="HFX2" s="2"/>
      <c r="HFY2" s="2"/>
      <c r="HFZ2" s="2"/>
      <c r="HGA2" s="2"/>
      <c r="HGB2" s="2"/>
      <c r="HGC2" s="2"/>
      <c r="HGD2" s="2"/>
      <c r="HGE2" s="2"/>
      <c r="HGF2" s="2"/>
      <c r="HGG2" s="2"/>
      <c r="HGH2" s="2"/>
      <c r="HGI2" s="2"/>
      <c r="HGJ2" s="2"/>
      <c r="HGK2" s="2"/>
      <c r="HGL2" s="2"/>
      <c r="HGM2" s="2"/>
      <c r="HGN2" s="2"/>
      <c r="HGO2" s="2"/>
      <c r="HGP2" s="2"/>
      <c r="HGQ2" s="2"/>
      <c r="HGR2" s="2"/>
      <c r="HGS2" s="2"/>
      <c r="HGT2" s="2"/>
      <c r="HGU2" s="2"/>
      <c r="HGV2" s="2"/>
      <c r="HGW2" s="2"/>
      <c r="HGX2" s="2"/>
      <c r="HGY2" s="2"/>
      <c r="HGZ2" s="2"/>
      <c r="HHA2" s="2"/>
      <c r="HHB2" s="2"/>
      <c r="HHC2" s="2"/>
      <c r="HHD2" s="2"/>
      <c r="HHE2" s="2"/>
      <c r="HHF2" s="2"/>
      <c r="HHG2" s="2"/>
      <c r="HHH2" s="2"/>
      <c r="HHI2" s="2"/>
      <c r="HHJ2" s="2"/>
      <c r="HHK2" s="2"/>
      <c r="HHL2" s="2"/>
      <c r="HHM2" s="2"/>
      <c r="HHN2" s="2"/>
      <c r="HHO2" s="2"/>
      <c r="HHP2" s="2"/>
      <c r="HHQ2" s="2"/>
      <c r="HHR2" s="2"/>
      <c r="HHS2" s="2"/>
      <c r="HHT2" s="2"/>
      <c r="HHU2" s="2"/>
      <c r="HHV2" s="2"/>
      <c r="HHW2" s="2"/>
      <c r="HHX2" s="2"/>
      <c r="HHY2" s="2"/>
      <c r="HHZ2" s="2"/>
      <c r="HIA2" s="2"/>
      <c r="HIB2" s="2"/>
      <c r="HIC2" s="2"/>
      <c r="HID2" s="2"/>
      <c r="HIE2" s="2"/>
      <c r="HIF2" s="2"/>
      <c r="HIG2" s="2"/>
      <c r="HIH2" s="2"/>
      <c r="HII2" s="2"/>
      <c r="HIJ2" s="2"/>
      <c r="HIK2" s="2"/>
      <c r="HIL2" s="2"/>
      <c r="HIM2" s="2"/>
      <c r="HIN2" s="2"/>
      <c r="HIO2" s="2"/>
      <c r="HIP2" s="2"/>
      <c r="HIQ2" s="2"/>
      <c r="HIR2" s="2"/>
      <c r="HIS2" s="2"/>
      <c r="HIT2" s="2"/>
      <c r="HIU2" s="2"/>
      <c r="HIV2" s="2"/>
      <c r="HIW2" s="2"/>
      <c r="HIX2" s="2"/>
      <c r="HIY2" s="2"/>
      <c r="HIZ2" s="2"/>
      <c r="HJA2" s="2"/>
      <c r="HJB2" s="2"/>
      <c r="HJC2" s="2"/>
      <c r="HJD2" s="2"/>
      <c r="HJE2" s="2"/>
      <c r="HJF2" s="2"/>
      <c r="HJG2" s="2"/>
      <c r="HJH2" s="2"/>
      <c r="HJI2" s="2"/>
      <c r="HJJ2" s="2"/>
      <c r="HJK2" s="2"/>
      <c r="HJL2" s="2"/>
      <c r="HJM2" s="2"/>
      <c r="HJN2" s="2"/>
      <c r="HJO2" s="2"/>
      <c r="HJP2" s="2"/>
      <c r="HJQ2" s="2"/>
      <c r="HJR2" s="2"/>
      <c r="HJS2" s="2"/>
      <c r="HJT2" s="2"/>
      <c r="HJU2" s="2"/>
      <c r="HJV2" s="2"/>
      <c r="HJW2" s="2"/>
      <c r="HJX2" s="2"/>
      <c r="HJY2" s="2"/>
      <c r="HJZ2" s="2"/>
      <c r="HKA2" s="2"/>
      <c r="HKB2" s="2"/>
      <c r="HKC2" s="2"/>
      <c r="HKD2" s="2"/>
      <c r="HKE2" s="2"/>
      <c r="HKF2" s="2"/>
      <c r="HKG2" s="2"/>
      <c r="HKH2" s="2"/>
      <c r="HKI2" s="2"/>
      <c r="HKJ2" s="2"/>
      <c r="HKK2" s="2"/>
      <c r="HKL2" s="2"/>
      <c r="HKM2" s="2"/>
      <c r="HKN2" s="2"/>
      <c r="HKO2" s="2"/>
      <c r="HKP2" s="2"/>
      <c r="HKQ2" s="2"/>
      <c r="HKR2" s="2"/>
      <c r="HKS2" s="2"/>
      <c r="HKT2" s="2"/>
      <c r="HKU2" s="2"/>
      <c r="HKV2" s="2"/>
      <c r="HKW2" s="2"/>
      <c r="HKX2" s="2"/>
      <c r="HKY2" s="2"/>
      <c r="HKZ2" s="2"/>
      <c r="HLA2" s="2"/>
      <c r="HLB2" s="2"/>
      <c r="HLC2" s="2"/>
      <c r="HLD2" s="2"/>
      <c r="HLE2" s="2"/>
      <c r="HLF2" s="2"/>
      <c r="HLG2" s="2"/>
      <c r="HLH2" s="2"/>
      <c r="HLI2" s="2"/>
      <c r="HLJ2" s="2"/>
      <c r="HLK2" s="2"/>
      <c r="HLL2" s="2"/>
      <c r="HLM2" s="2"/>
      <c r="HLN2" s="2"/>
      <c r="HLO2" s="2"/>
      <c r="HLP2" s="2"/>
      <c r="HLQ2" s="2"/>
      <c r="HLR2" s="2"/>
      <c r="HLS2" s="2"/>
      <c r="HLT2" s="2"/>
      <c r="HLU2" s="2"/>
      <c r="HLV2" s="2"/>
      <c r="HLW2" s="2"/>
      <c r="HLX2" s="2"/>
      <c r="HLY2" s="2"/>
      <c r="HLZ2" s="2"/>
      <c r="HMA2" s="2"/>
      <c r="HMB2" s="2"/>
      <c r="HMC2" s="2"/>
      <c r="HMD2" s="2"/>
      <c r="HME2" s="2"/>
      <c r="HMF2" s="2"/>
      <c r="HMG2" s="2"/>
      <c r="HMH2" s="2"/>
      <c r="HMI2" s="2"/>
      <c r="HMJ2" s="2"/>
      <c r="HMK2" s="2"/>
      <c r="HML2" s="2"/>
      <c r="HMM2" s="2"/>
      <c r="HMN2" s="2"/>
      <c r="HMO2" s="2"/>
      <c r="HMP2" s="2"/>
      <c r="HMQ2" s="2"/>
      <c r="HMR2" s="2"/>
      <c r="HMS2" s="2"/>
      <c r="HMT2" s="2"/>
      <c r="HMU2" s="2"/>
      <c r="HMV2" s="2"/>
      <c r="HMW2" s="2"/>
      <c r="HMX2" s="2"/>
      <c r="HMY2" s="2"/>
      <c r="HMZ2" s="2"/>
      <c r="HNA2" s="2"/>
      <c r="HNB2" s="2"/>
      <c r="HNC2" s="2"/>
      <c r="HND2" s="2"/>
      <c r="HNE2" s="2"/>
      <c r="HNF2" s="2"/>
      <c r="HNG2" s="2"/>
      <c r="HNH2" s="2"/>
      <c r="HNI2" s="2"/>
      <c r="HNJ2" s="2"/>
      <c r="HNK2" s="2"/>
      <c r="HNL2" s="2"/>
      <c r="HNM2" s="2"/>
      <c r="HNN2" s="2"/>
      <c r="HNO2" s="2"/>
      <c r="HNP2" s="2"/>
      <c r="HNQ2" s="2"/>
      <c r="HNR2" s="2"/>
      <c r="HNS2" s="2"/>
      <c r="HNT2" s="2"/>
      <c r="HNU2" s="2"/>
      <c r="HNV2" s="2"/>
      <c r="HNW2" s="2"/>
      <c r="HNX2" s="2"/>
      <c r="HNY2" s="2"/>
      <c r="HNZ2" s="2"/>
      <c r="HOA2" s="2"/>
      <c r="HOB2" s="2"/>
      <c r="HOC2" s="2"/>
      <c r="HOD2" s="2"/>
      <c r="HOE2" s="2"/>
      <c r="HOF2" s="2"/>
      <c r="HOG2" s="2"/>
      <c r="HOH2" s="2"/>
      <c r="HOI2" s="2"/>
      <c r="HOJ2" s="2"/>
      <c r="HOK2" s="2"/>
      <c r="HOL2" s="2"/>
      <c r="HOM2" s="2"/>
      <c r="HON2" s="2"/>
      <c r="HOO2" s="2"/>
      <c r="HOP2" s="2"/>
      <c r="HOQ2" s="2"/>
      <c r="HOR2" s="2"/>
      <c r="HOS2" s="2"/>
      <c r="HOT2" s="2"/>
      <c r="HOU2" s="2"/>
      <c r="HOV2" s="2"/>
      <c r="HOW2" s="2"/>
      <c r="HOX2" s="2"/>
      <c r="HOY2" s="2"/>
      <c r="HOZ2" s="2"/>
      <c r="HPA2" s="2"/>
      <c r="HPB2" s="2"/>
      <c r="HPC2" s="2"/>
      <c r="HPD2" s="2"/>
      <c r="HPE2" s="2"/>
      <c r="HPF2" s="2"/>
      <c r="HPG2" s="2"/>
      <c r="HPH2" s="2"/>
      <c r="HPI2" s="2"/>
      <c r="HPJ2" s="2"/>
      <c r="HPK2" s="2"/>
      <c r="HPL2" s="2"/>
      <c r="HPM2" s="2"/>
      <c r="HPN2" s="2"/>
      <c r="HPO2" s="2"/>
      <c r="HPP2" s="2"/>
      <c r="HPQ2" s="2"/>
      <c r="HPR2" s="2"/>
      <c r="HPS2" s="2"/>
      <c r="HPT2" s="2"/>
      <c r="HPU2" s="2"/>
      <c r="HPV2" s="2"/>
      <c r="HPW2" s="2"/>
      <c r="HPX2" s="2"/>
      <c r="HPY2" s="2"/>
      <c r="HPZ2" s="2"/>
      <c r="HQA2" s="2"/>
      <c r="HQB2" s="2"/>
      <c r="HQC2" s="2"/>
      <c r="HQD2" s="2"/>
      <c r="HQE2" s="2"/>
      <c r="HQF2" s="2"/>
      <c r="HQG2" s="2"/>
      <c r="HQH2" s="2"/>
      <c r="HQI2" s="2"/>
      <c r="HQJ2" s="2"/>
      <c r="HQK2" s="2"/>
      <c r="HQL2" s="2"/>
      <c r="HQM2" s="2"/>
      <c r="HQN2" s="2"/>
      <c r="HQO2" s="2"/>
      <c r="HQP2" s="2"/>
      <c r="HQQ2" s="2"/>
      <c r="HQR2" s="2"/>
      <c r="HQS2" s="2"/>
      <c r="HQT2" s="2"/>
      <c r="HQU2" s="2"/>
      <c r="HQV2" s="2"/>
      <c r="HQW2" s="2"/>
      <c r="HQX2" s="2"/>
      <c r="HQY2" s="2"/>
      <c r="HQZ2" s="2"/>
      <c r="HRA2" s="2"/>
      <c r="HRB2" s="2"/>
      <c r="HRC2" s="2"/>
      <c r="HRD2" s="2"/>
      <c r="HRE2" s="2"/>
      <c r="HRF2" s="2"/>
      <c r="HRG2" s="2"/>
      <c r="HRH2" s="2"/>
      <c r="HRI2" s="2"/>
      <c r="HRJ2" s="2"/>
      <c r="HRK2" s="2"/>
      <c r="HRL2" s="2"/>
      <c r="HRM2" s="2"/>
      <c r="HRN2" s="2"/>
      <c r="HRO2" s="2"/>
      <c r="HRP2" s="2"/>
      <c r="HRQ2" s="2"/>
      <c r="HRR2" s="2"/>
      <c r="HRS2" s="2"/>
      <c r="HRT2" s="2"/>
      <c r="HRU2" s="2"/>
      <c r="HRV2" s="2"/>
      <c r="HRW2" s="2"/>
      <c r="HRX2" s="2"/>
      <c r="HRY2" s="2"/>
      <c r="HRZ2" s="2"/>
      <c r="HSA2" s="2"/>
      <c r="HSB2" s="2"/>
      <c r="HSC2" s="2"/>
      <c r="HSD2" s="2"/>
      <c r="HSE2" s="2"/>
      <c r="HSF2" s="2"/>
      <c r="HSG2" s="2"/>
      <c r="HSH2" s="2"/>
      <c r="HSI2" s="2"/>
      <c r="HSJ2" s="2"/>
      <c r="HSK2" s="2"/>
      <c r="HSL2" s="2"/>
      <c r="HSM2" s="2"/>
      <c r="HSN2" s="2"/>
      <c r="HSO2" s="2"/>
      <c r="HSP2" s="2"/>
      <c r="HSQ2" s="2"/>
      <c r="HSR2" s="2"/>
      <c r="HSS2" s="2"/>
      <c r="HST2" s="2"/>
      <c r="HSU2" s="2"/>
      <c r="HSV2" s="2"/>
      <c r="HSW2" s="2"/>
      <c r="HSX2" s="2"/>
      <c r="HSY2" s="2"/>
      <c r="HSZ2" s="2"/>
      <c r="HTA2" s="2"/>
      <c r="HTB2" s="2"/>
      <c r="HTC2" s="2"/>
      <c r="HTD2" s="2"/>
      <c r="HTE2" s="2"/>
      <c r="HTF2" s="2"/>
      <c r="HTG2" s="2"/>
      <c r="HTH2" s="2"/>
      <c r="HTI2" s="2"/>
      <c r="HTJ2" s="2"/>
      <c r="HTK2" s="2"/>
      <c r="HTL2" s="2"/>
      <c r="HTM2" s="2"/>
      <c r="HTN2" s="2"/>
      <c r="HTO2" s="2"/>
      <c r="HTP2" s="2"/>
      <c r="HTQ2" s="2"/>
      <c r="HTR2" s="2"/>
      <c r="HTS2" s="2"/>
      <c r="HTT2" s="2"/>
      <c r="HTU2" s="2"/>
      <c r="HTV2" s="2"/>
      <c r="HTW2" s="2"/>
      <c r="HTX2" s="2"/>
      <c r="HTY2" s="2"/>
      <c r="HTZ2" s="2"/>
      <c r="HUA2" s="2"/>
      <c r="HUB2" s="2"/>
      <c r="HUC2" s="2"/>
      <c r="HUD2" s="2"/>
      <c r="HUE2" s="2"/>
      <c r="HUF2" s="2"/>
      <c r="HUG2" s="2"/>
      <c r="HUH2" s="2"/>
      <c r="HUI2" s="2"/>
      <c r="HUJ2" s="2"/>
      <c r="HUK2" s="2"/>
      <c r="HUL2" s="2"/>
      <c r="HUM2" s="2"/>
      <c r="HUN2" s="2"/>
      <c r="HUO2" s="2"/>
      <c r="HUP2" s="2"/>
      <c r="HUQ2" s="2"/>
      <c r="HUR2" s="2"/>
      <c r="HUS2" s="2"/>
      <c r="HUT2" s="2"/>
      <c r="HUU2" s="2"/>
      <c r="HUV2" s="2"/>
      <c r="HUW2" s="2"/>
      <c r="HUX2" s="2"/>
      <c r="HUY2" s="2"/>
      <c r="HUZ2" s="2"/>
      <c r="HVA2" s="2"/>
      <c r="HVB2" s="2"/>
      <c r="HVC2" s="2"/>
      <c r="HVD2" s="2"/>
      <c r="HVE2" s="2"/>
      <c r="HVF2" s="2"/>
      <c r="HVG2" s="2"/>
      <c r="HVH2" s="2"/>
      <c r="HVI2" s="2"/>
      <c r="HVJ2" s="2"/>
      <c r="HVK2" s="2"/>
      <c r="HVL2" s="2"/>
      <c r="HVM2" s="2"/>
      <c r="HVN2" s="2"/>
      <c r="HVO2" s="2"/>
      <c r="HVP2" s="2"/>
      <c r="HVQ2" s="2"/>
      <c r="HVR2" s="2"/>
      <c r="HVS2" s="2"/>
      <c r="HVT2" s="2"/>
      <c r="HVU2" s="2"/>
      <c r="HVV2" s="2"/>
      <c r="HVW2" s="2"/>
      <c r="HVX2" s="2"/>
      <c r="HVY2" s="2"/>
      <c r="HVZ2" s="2"/>
      <c r="HWA2" s="2"/>
      <c r="HWB2" s="2"/>
      <c r="HWC2" s="2"/>
      <c r="HWD2" s="2"/>
      <c r="HWE2" s="2"/>
      <c r="HWF2" s="2"/>
      <c r="HWG2" s="2"/>
      <c r="HWH2" s="2"/>
      <c r="HWI2" s="2"/>
      <c r="HWJ2" s="2"/>
      <c r="HWK2" s="2"/>
      <c r="HWL2" s="2"/>
      <c r="HWM2" s="2"/>
      <c r="HWN2" s="2"/>
      <c r="HWO2" s="2"/>
      <c r="HWP2" s="2"/>
      <c r="HWQ2" s="2"/>
      <c r="HWR2" s="2"/>
      <c r="HWS2" s="2"/>
      <c r="HWT2" s="2"/>
      <c r="HWU2" s="2"/>
      <c r="HWV2" s="2"/>
      <c r="HWW2" s="2"/>
      <c r="HWX2" s="2"/>
      <c r="HWY2" s="2"/>
      <c r="HWZ2" s="2"/>
      <c r="HXA2" s="2"/>
      <c r="HXB2" s="2"/>
      <c r="HXC2" s="2"/>
      <c r="HXD2" s="2"/>
      <c r="HXE2" s="2"/>
      <c r="HXF2" s="2"/>
      <c r="HXG2" s="2"/>
      <c r="HXH2" s="2"/>
      <c r="HXI2" s="2"/>
      <c r="HXJ2" s="2"/>
      <c r="HXK2" s="2"/>
      <c r="HXL2" s="2"/>
      <c r="HXM2" s="2"/>
      <c r="HXN2" s="2"/>
      <c r="HXO2" s="2"/>
      <c r="HXP2" s="2"/>
      <c r="HXQ2" s="2"/>
      <c r="HXR2" s="2"/>
      <c r="HXS2" s="2"/>
      <c r="HXT2" s="2"/>
      <c r="HXU2" s="2"/>
      <c r="HXV2" s="2"/>
      <c r="HXW2" s="2"/>
      <c r="HXX2" s="2"/>
      <c r="HXY2" s="2"/>
      <c r="HXZ2" s="2"/>
      <c r="HYA2" s="2"/>
      <c r="HYB2" s="2"/>
      <c r="HYC2" s="2"/>
      <c r="HYD2" s="2"/>
      <c r="HYE2" s="2"/>
      <c r="HYF2" s="2"/>
      <c r="HYG2" s="2"/>
      <c r="HYH2" s="2"/>
      <c r="HYI2" s="2"/>
      <c r="HYJ2" s="2"/>
      <c r="HYK2" s="2"/>
      <c r="HYL2" s="2"/>
      <c r="HYM2" s="2"/>
      <c r="HYN2" s="2"/>
      <c r="HYO2" s="2"/>
      <c r="HYP2" s="2"/>
      <c r="HYQ2" s="2"/>
      <c r="HYR2" s="2"/>
      <c r="HYS2" s="2"/>
      <c r="HYT2" s="2"/>
      <c r="HYU2" s="2"/>
      <c r="HYV2" s="2"/>
      <c r="HYW2" s="2"/>
      <c r="HYX2" s="2"/>
      <c r="HYY2" s="2"/>
      <c r="HYZ2" s="2"/>
      <c r="HZA2" s="2"/>
      <c r="HZB2" s="2"/>
      <c r="HZC2" s="2"/>
      <c r="HZD2" s="2"/>
      <c r="HZE2" s="2"/>
      <c r="HZF2" s="2"/>
      <c r="HZG2" s="2"/>
      <c r="HZH2" s="2"/>
      <c r="HZI2" s="2"/>
      <c r="HZJ2" s="2"/>
      <c r="HZK2" s="2"/>
      <c r="HZL2" s="2"/>
      <c r="HZM2" s="2"/>
      <c r="HZN2" s="2"/>
      <c r="HZO2" s="2"/>
      <c r="HZP2" s="2"/>
      <c r="HZQ2" s="2"/>
      <c r="HZR2" s="2"/>
      <c r="HZS2" s="2"/>
      <c r="HZT2" s="2"/>
      <c r="HZU2" s="2"/>
      <c r="HZV2" s="2"/>
      <c r="HZW2" s="2"/>
      <c r="HZX2" s="2"/>
      <c r="HZY2" s="2"/>
      <c r="HZZ2" s="2"/>
      <c r="IAA2" s="2"/>
      <c r="IAB2" s="2"/>
      <c r="IAC2" s="2"/>
      <c r="IAD2" s="2"/>
      <c r="IAE2" s="2"/>
      <c r="IAF2" s="2"/>
      <c r="IAG2" s="2"/>
      <c r="IAH2" s="2"/>
      <c r="IAI2" s="2"/>
      <c r="IAJ2" s="2"/>
      <c r="IAK2" s="2"/>
      <c r="IAL2" s="2"/>
      <c r="IAM2" s="2"/>
      <c r="IAN2" s="2"/>
      <c r="IAO2" s="2"/>
      <c r="IAP2" s="2"/>
      <c r="IAQ2" s="2"/>
      <c r="IAR2" s="2"/>
      <c r="IAS2" s="2"/>
      <c r="IAT2" s="2"/>
      <c r="IAU2" s="2"/>
      <c r="IAV2" s="2"/>
      <c r="IAW2" s="2"/>
      <c r="IAX2" s="2"/>
      <c r="IAY2" s="2"/>
      <c r="IAZ2" s="2"/>
      <c r="IBA2" s="2"/>
      <c r="IBB2" s="2"/>
      <c r="IBC2" s="2"/>
      <c r="IBD2" s="2"/>
      <c r="IBE2" s="2"/>
      <c r="IBF2" s="2"/>
      <c r="IBG2" s="2"/>
      <c r="IBH2" s="2"/>
      <c r="IBI2" s="2"/>
      <c r="IBJ2" s="2"/>
      <c r="IBK2" s="2"/>
      <c r="IBL2" s="2"/>
      <c r="IBM2" s="2"/>
      <c r="IBN2" s="2"/>
      <c r="IBO2" s="2"/>
      <c r="IBP2" s="2"/>
      <c r="IBQ2" s="2"/>
      <c r="IBR2" s="2"/>
      <c r="IBS2" s="2"/>
      <c r="IBT2" s="2"/>
      <c r="IBU2" s="2"/>
      <c r="IBV2" s="2"/>
      <c r="IBW2" s="2"/>
      <c r="IBX2" s="2"/>
      <c r="IBY2" s="2"/>
      <c r="IBZ2" s="2"/>
      <c r="ICA2" s="2"/>
      <c r="ICB2" s="2"/>
      <c r="ICC2" s="2"/>
      <c r="ICD2" s="2"/>
      <c r="ICE2" s="2"/>
      <c r="ICF2" s="2"/>
      <c r="ICG2" s="2"/>
      <c r="ICH2" s="2"/>
      <c r="ICI2" s="2"/>
      <c r="ICJ2" s="2"/>
      <c r="ICK2" s="2"/>
      <c r="ICL2" s="2"/>
      <c r="ICM2" s="2"/>
      <c r="ICN2" s="2"/>
      <c r="ICO2" s="2"/>
      <c r="ICP2" s="2"/>
      <c r="ICQ2" s="2"/>
      <c r="ICR2" s="2"/>
      <c r="ICS2" s="2"/>
      <c r="ICT2" s="2"/>
      <c r="ICU2" s="2"/>
      <c r="ICV2" s="2"/>
      <c r="ICW2" s="2"/>
      <c r="ICX2" s="2"/>
      <c r="ICY2" s="2"/>
      <c r="ICZ2" s="2"/>
      <c r="IDA2" s="2"/>
      <c r="IDB2" s="2"/>
      <c r="IDC2" s="2"/>
      <c r="IDD2" s="2"/>
      <c r="IDE2" s="2"/>
      <c r="IDF2" s="2"/>
      <c r="IDG2" s="2"/>
      <c r="IDH2" s="2"/>
      <c r="IDI2" s="2"/>
      <c r="IDJ2" s="2"/>
      <c r="IDK2" s="2"/>
      <c r="IDL2" s="2"/>
      <c r="IDM2" s="2"/>
      <c r="IDN2" s="2"/>
      <c r="IDO2" s="2"/>
      <c r="IDP2" s="2"/>
      <c r="IDQ2" s="2"/>
      <c r="IDR2" s="2"/>
      <c r="IDS2" s="2"/>
      <c r="IDT2" s="2"/>
      <c r="IDU2" s="2"/>
      <c r="IDV2" s="2"/>
      <c r="IDW2" s="2"/>
      <c r="IDX2" s="2"/>
      <c r="IDY2" s="2"/>
      <c r="IDZ2" s="2"/>
      <c r="IEA2" s="2"/>
      <c r="IEB2" s="2"/>
      <c r="IEC2" s="2"/>
      <c r="IED2" s="2"/>
      <c r="IEE2" s="2"/>
      <c r="IEF2" s="2"/>
      <c r="IEG2" s="2"/>
      <c r="IEH2" s="2"/>
      <c r="IEI2" s="2"/>
      <c r="IEJ2" s="2"/>
      <c r="IEK2" s="2"/>
      <c r="IEL2" s="2"/>
      <c r="IEM2" s="2"/>
      <c r="IEN2" s="2"/>
      <c r="IEO2" s="2"/>
      <c r="IEP2" s="2"/>
      <c r="IEQ2" s="2"/>
      <c r="IER2" s="2"/>
      <c r="IES2" s="2"/>
      <c r="IET2" s="2"/>
      <c r="IEU2" s="2"/>
      <c r="IEV2" s="2"/>
      <c r="IEW2" s="2"/>
      <c r="IEX2" s="2"/>
      <c r="IEY2" s="2"/>
      <c r="IEZ2" s="2"/>
      <c r="IFA2" s="2"/>
      <c r="IFB2" s="2"/>
      <c r="IFC2" s="2"/>
      <c r="IFD2" s="2"/>
      <c r="IFE2" s="2"/>
      <c r="IFF2" s="2"/>
      <c r="IFG2" s="2"/>
      <c r="IFH2" s="2"/>
      <c r="IFI2" s="2"/>
      <c r="IFJ2" s="2"/>
      <c r="IFK2" s="2"/>
      <c r="IFL2" s="2"/>
      <c r="IFM2" s="2"/>
      <c r="IFN2" s="2"/>
      <c r="IFO2" s="2"/>
      <c r="IFP2" s="2"/>
      <c r="IFQ2" s="2"/>
      <c r="IFR2" s="2"/>
      <c r="IFS2" s="2"/>
      <c r="IFT2" s="2"/>
      <c r="IFU2" s="2"/>
      <c r="IFV2" s="2"/>
      <c r="IFW2" s="2"/>
      <c r="IFX2" s="2"/>
      <c r="IFY2" s="2"/>
      <c r="IFZ2" s="2"/>
      <c r="IGA2" s="2"/>
      <c r="IGB2" s="2"/>
      <c r="IGC2" s="2"/>
      <c r="IGD2" s="2"/>
      <c r="IGE2" s="2"/>
      <c r="IGF2" s="2"/>
      <c r="IGG2" s="2"/>
      <c r="IGH2" s="2"/>
      <c r="IGI2" s="2"/>
      <c r="IGJ2" s="2"/>
      <c r="IGK2" s="2"/>
      <c r="IGL2" s="2"/>
      <c r="IGM2" s="2"/>
      <c r="IGN2" s="2"/>
      <c r="IGO2" s="2"/>
      <c r="IGP2" s="2"/>
      <c r="IGQ2" s="2"/>
      <c r="IGR2" s="2"/>
      <c r="IGS2" s="2"/>
      <c r="IGT2" s="2"/>
      <c r="IGU2" s="2"/>
      <c r="IGV2" s="2"/>
      <c r="IGW2" s="2"/>
      <c r="IGX2" s="2"/>
      <c r="IGY2" s="2"/>
      <c r="IGZ2" s="2"/>
      <c r="IHA2" s="2"/>
      <c r="IHB2" s="2"/>
      <c r="IHC2" s="2"/>
      <c r="IHD2" s="2"/>
      <c r="IHE2" s="2"/>
      <c r="IHF2" s="2"/>
      <c r="IHG2" s="2"/>
      <c r="IHH2" s="2"/>
      <c r="IHI2" s="2"/>
      <c r="IHJ2" s="2"/>
      <c r="IHK2" s="2"/>
      <c r="IHL2" s="2"/>
      <c r="IHM2" s="2"/>
      <c r="IHN2" s="2"/>
      <c r="IHO2" s="2"/>
      <c r="IHP2" s="2"/>
      <c r="IHQ2" s="2"/>
      <c r="IHR2" s="2"/>
      <c r="IHS2" s="2"/>
      <c r="IHT2" s="2"/>
      <c r="IHU2" s="2"/>
      <c r="IHV2" s="2"/>
      <c r="IHW2" s="2"/>
      <c r="IHX2" s="2"/>
      <c r="IHY2" s="2"/>
      <c r="IHZ2" s="2"/>
      <c r="IIA2" s="2"/>
      <c r="IIB2" s="2"/>
      <c r="IIC2" s="2"/>
      <c r="IID2" s="2"/>
      <c r="IIE2" s="2"/>
      <c r="IIF2" s="2"/>
      <c r="IIG2" s="2"/>
      <c r="IIH2" s="2"/>
      <c r="III2" s="2"/>
      <c r="IIJ2" s="2"/>
      <c r="IIK2" s="2"/>
      <c r="IIL2" s="2"/>
      <c r="IIM2" s="2"/>
      <c r="IIN2" s="2"/>
      <c r="IIO2" s="2"/>
      <c r="IIP2" s="2"/>
      <c r="IIQ2" s="2"/>
      <c r="IIR2" s="2"/>
      <c r="IIS2" s="2"/>
      <c r="IIT2" s="2"/>
      <c r="IIU2" s="2"/>
      <c r="IIV2" s="2"/>
      <c r="IIW2" s="2"/>
      <c r="IIX2" s="2"/>
      <c r="IIY2" s="2"/>
      <c r="IIZ2" s="2"/>
      <c r="IJA2" s="2"/>
      <c r="IJB2" s="2"/>
      <c r="IJC2" s="2"/>
      <c r="IJD2" s="2"/>
      <c r="IJE2" s="2"/>
      <c r="IJF2" s="2"/>
      <c r="IJG2" s="2"/>
      <c r="IJH2" s="2"/>
      <c r="IJI2" s="2"/>
      <c r="IJJ2" s="2"/>
      <c r="IJK2" s="2"/>
      <c r="IJL2" s="2"/>
      <c r="IJM2" s="2"/>
      <c r="IJN2" s="2"/>
      <c r="IJO2" s="2"/>
      <c r="IJP2" s="2"/>
      <c r="IJQ2" s="2"/>
      <c r="IJR2" s="2"/>
      <c r="IJS2" s="2"/>
      <c r="IJT2" s="2"/>
      <c r="IJU2" s="2"/>
      <c r="IJV2" s="2"/>
      <c r="IJW2" s="2"/>
      <c r="IJX2" s="2"/>
      <c r="IJY2" s="2"/>
      <c r="IJZ2" s="2"/>
      <c r="IKA2" s="2"/>
      <c r="IKB2" s="2"/>
      <c r="IKC2" s="2"/>
      <c r="IKD2" s="2"/>
      <c r="IKE2" s="2"/>
      <c r="IKF2" s="2"/>
      <c r="IKG2" s="2"/>
      <c r="IKH2" s="2"/>
      <c r="IKI2" s="2"/>
      <c r="IKJ2" s="2"/>
      <c r="IKK2" s="2"/>
      <c r="IKL2" s="2"/>
      <c r="IKM2" s="2"/>
      <c r="IKN2" s="2"/>
      <c r="IKO2" s="2"/>
      <c r="IKP2" s="2"/>
      <c r="IKQ2" s="2"/>
      <c r="IKR2" s="2"/>
      <c r="IKS2" s="2"/>
      <c r="IKT2" s="2"/>
      <c r="IKU2" s="2"/>
      <c r="IKV2" s="2"/>
      <c r="IKW2" s="2"/>
      <c r="IKX2" s="2"/>
      <c r="IKY2" s="2"/>
      <c r="IKZ2" s="2"/>
      <c r="ILA2" s="2"/>
      <c r="ILB2" s="2"/>
      <c r="ILC2" s="2"/>
      <c r="ILD2" s="2"/>
      <c r="ILE2" s="2"/>
      <c r="ILF2" s="2"/>
      <c r="ILG2" s="2"/>
      <c r="ILH2" s="2"/>
      <c r="ILI2" s="2"/>
      <c r="ILJ2" s="2"/>
      <c r="ILK2" s="2"/>
      <c r="ILL2" s="2"/>
      <c r="ILM2" s="2"/>
      <c r="ILN2" s="2"/>
      <c r="ILO2" s="2"/>
      <c r="ILP2" s="2"/>
      <c r="ILQ2" s="2"/>
      <c r="ILR2" s="2"/>
      <c r="ILS2" s="2"/>
      <c r="ILT2" s="2"/>
      <c r="ILU2" s="2"/>
      <c r="ILV2" s="2"/>
      <c r="ILW2" s="2"/>
      <c r="ILX2" s="2"/>
      <c r="ILY2" s="2"/>
      <c r="ILZ2" s="2"/>
      <c r="IMA2" s="2"/>
      <c r="IMB2" s="2"/>
      <c r="IMC2" s="2"/>
      <c r="IMD2" s="2"/>
      <c r="IME2" s="2"/>
      <c r="IMF2" s="2"/>
      <c r="IMG2" s="2"/>
      <c r="IMH2" s="2"/>
      <c r="IMI2" s="2"/>
      <c r="IMJ2" s="2"/>
      <c r="IMK2" s="2"/>
      <c r="IML2" s="2"/>
      <c r="IMM2" s="2"/>
      <c r="IMN2" s="2"/>
      <c r="IMO2" s="2"/>
      <c r="IMP2" s="2"/>
      <c r="IMQ2" s="2"/>
      <c r="IMR2" s="2"/>
      <c r="IMS2" s="2"/>
      <c r="IMT2" s="2"/>
      <c r="IMU2" s="2"/>
      <c r="IMV2" s="2"/>
      <c r="IMW2" s="2"/>
      <c r="IMX2" s="2"/>
      <c r="IMY2" s="2"/>
      <c r="IMZ2" s="2"/>
      <c r="INA2" s="2"/>
      <c r="INB2" s="2"/>
      <c r="INC2" s="2"/>
      <c r="IND2" s="2"/>
      <c r="INE2" s="2"/>
      <c r="INF2" s="2"/>
      <c r="ING2" s="2"/>
      <c r="INH2" s="2"/>
      <c r="INI2" s="2"/>
      <c r="INJ2" s="2"/>
      <c r="INK2" s="2"/>
      <c r="INL2" s="2"/>
      <c r="INM2" s="2"/>
      <c r="INN2" s="2"/>
      <c r="INO2" s="2"/>
      <c r="INP2" s="2"/>
      <c r="INQ2" s="2"/>
      <c r="INR2" s="2"/>
      <c r="INS2" s="2"/>
      <c r="INT2" s="2"/>
      <c r="INU2" s="2"/>
      <c r="INV2" s="2"/>
      <c r="INW2" s="2"/>
      <c r="INX2" s="2"/>
      <c r="INY2" s="2"/>
      <c r="INZ2" s="2"/>
      <c r="IOA2" s="2"/>
      <c r="IOB2" s="2"/>
      <c r="IOC2" s="2"/>
      <c r="IOD2" s="2"/>
      <c r="IOE2" s="2"/>
      <c r="IOF2" s="2"/>
      <c r="IOG2" s="2"/>
      <c r="IOH2" s="2"/>
      <c r="IOI2" s="2"/>
      <c r="IOJ2" s="2"/>
      <c r="IOK2" s="2"/>
      <c r="IOL2" s="2"/>
      <c r="IOM2" s="2"/>
      <c r="ION2" s="2"/>
      <c r="IOO2" s="2"/>
      <c r="IOP2" s="2"/>
      <c r="IOQ2" s="2"/>
      <c r="IOR2" s="2"/>
      <c r="IOS2" s="2"/>
      <c r="IOT2" s="2"/>
      <c r="IOU2" s="2"/>
      <c r="IOV2" s="2"/>
      <c r="IOW2" s="2"/>
      <c r="IOX2" s="2"/>
      <c r="IOY2" s="2"/>
      <c r="IOZ2" s="2"/>
      <c r="IPA2" s="2"/>
      <c r="IPB2" s="2"/>
      <c r="IPC2" s="2"/>
      <c r="IPD2" s="2"/>
      <c r="IPE2" s="2"/>
      <c r="IPF2" s="2"/>
      <c r="IPG2" s="2"/>
      <c r="IPH2" s="2"/>
      <c r="IPI2" s="2"/>
      <c r="IPJ2" s="2"/>
      <c r="IPK2" s="2"/>
      <c r="IPL2" s="2"/>
      <c r="IPM2" s="2"/>
      <c r="IPN2" s="2"/>
      <c r="IPO2" s="2"/>
      <c r="IPP2" s="2"/>
      <c r="IPQ2" s="2"/>
      <c r="IPR2" s="2"/>
      <c r="IPS2" s="2"/>
      <c r="IPT2" s="2"/>
      <c r="IPU2" s="2"/>
      <c r="IPV2" s="2"/>
      <c r="IPW2" s="2"/>
      <c r="IPX2" s="2"/>
      <c r="IPY2" s="2"/>
      <c r="IPZ2" s="2"/>
      <c r="IQA2" s="2"/>
      <c r="IQB2" s="2"/>
      <c r="IQC2" s="2"/>
      <c r="IQD2" s="2"/>
      <c r="IQE2" s="2"/>
      <c r="IQF2" s="2"/>
      <c r="IQG2" s="2"/>
      <c r="IQH2" s="2"/>
      <c r="IQI2" s="2"/>
      <c r="IQJ2" s="2"/>
      <c r="IQK2" s="2"/>
      <c r="IQL2" s="2"/>
      <c r="IQM2" s="2"/>
      <c r="IQN2" s="2"/>
      <c r="IQO2" s="2"/>
      <c r="IQP2" s="2"/>
      <c r="IQQ2" s="2"/>
      <c r="IQR2" s="2"/>
      <c r="IQS2" s="2"/>
      <c r="IQT2" s="2"/>
      <c r="IQU2" s="2"/>
      <c r="IQV2" s="2"/>
      <c r="IQW2" s="2"/>
      <c r="IQX2" s="2"/>
      <c r="IQY2" s="2"/>
      <c r="IQZ2" s="2"/>
      <c r="IRA2" s="2"/>
      <c r="IRB2" s="2"/>
      <c r="IRC2" s="2"/>
      <c r="IRD2" s="2"/>
      <c r="IRE2" s="2"/>
      <c r="IRF2" s="2"/>
      <c r="IRG2" s="2"/>
      <c r="IRH2" s="2"/>
      <c r="IRI2" s="2"/>
      <c r="IRJ2" s="2"/>
      <c r="IRK2" s="2"/>
      <c r="IRL2" s="2"/>
      <c r="IRM2" s="2"/>
      <c r="IRN2" s="2"/>
      <c r="IRO2" s="2"/>
      <c r="IRP2" s="2"/>
      <c r="IRQ2" s="2"/>
      <c r="IRR2" s="2"/>
      <c r="IRS2" s="2"/>
      <c r="IRT2" s="2"/>
      <c r="IRU2" s="2"/>
      <c r="IRV2" s="2"/>
      <c r="IRW2" s="2"/>
      <c r="IRX2" s="2"/>
      <c r="IRY2" s="2"/>
      <c r="IRZ2" s="2"/>
      <c r="ISA2" s="2"/>
      <c r="ISB2" s="2"/>
      <c r="ISC2" s="2"/>
      <c r="ISD2" s="2"/>
      <c r="ISE2" s="2"/>
      <c r="ISF2" s="2"/>
      <c r="ISG2" s="2"/>
      <c r="ISH2" s="2"/>
      <c r="ISI2" s="2"/>
      <c r="ISJ2" s="2"/>
      <c r="ISK2" s="2"/>
      <c r="ISL2" s="2"/>
      <c r="ISM2" s="2"/>
      <c r="ISN2" s="2"/>
      <c r="ISO2" s="2"/>
      <c r="ISP2" s="2"/>
      <c r="ISQ2" s="2"/>
      <c r="ISR2" s="2"/>
      <c r="ISS2" s="2"/>
      <c r="IST2" s="2"/>
      <c r="ISU2" s="2"/>
      <c r="ISV2" s="2"/>
      <c r="ISW2" s="2"/>
      <c r="ISX2" s="2"/>
      <c r="ISY2" s="2"/>
      <c r="ISZ2" s="2"/>
      <c r="ITA2" s="2"/>
      <c r="ITB2" s="2"/>
      <c r="ITC2" s="2"/>
      <c r="ITD2" s="2"/>
      <c r="ITE2" s="2"/>
      <c r="ITF2" s="2"/>
      <c r="ITG2" s="2"/>
      <c r="ITH2" s="2"/>
      <c r="ITI2" s="2"/>
      <c r="ITJ2" s="2"/>
      <c r="ITK2" s="2"/>
      <c r="ITL2" s="2"/>
      <c r="ITM2" s="2"/>
      <c r="ITN2" s="2"/>
      <c r="ITO2" s="2"/>
      <c r="ITP2" s="2"/>
      <c r="ITQ2" s="2"/>
      <c r="ITR2" s="2"/>
      <c r="ITS2" s="2"/>
      <c r="ITT2" s="2"/>
      <c r="ITU2" s="2"/>
      <c r="ITV2" s="2"/>
      <c r="ITW2" s="2"/>
      <c r="ITX2" s="2"/>
      <c r="ITY2" s="2"/>
      <c r="ITZ2" s="2"/>
      <c r="IUA2" s="2"/>
      <c r="IUB2" s="2"/>
      <c r="IUC2" s="2"/>
      <c r="IUD2" s="2"/>
      <c r="IUE2" s="2"/>
      <c r="IUF2" s="2"/>
      <c r="IUG2" s="2"/>
      <c r="IUH2" s="2"/>
      <c r="IUI2" s="2"/>
      <c r="IUJ2" s="2"/>
      <c r="IUK2" s="2"/>
      <c r="IUL2" s="2"/>
      <c r="IUM2" s="2"/>
      <c r="IUN2" s="2"/>
      <c r="IUO2" s="2"/>
      <c r="IUP2" s="2"/>
      <c r="IUQ2" s="2"/>
      <c r="IUR2" s="2"/>
      <c r="IUS2" s="2"/>
      <c r="IUT2" s="2"/>
      <c r="IUU2" s="2"/>
      <c r="IUV2" s="2"/>
      <c r="IUW2" s="2"/>
      <c r="IUX2" s="2"/>
      <c r="IUY2" s="2"/>
      <c r="IUZ2" s="2"/>
      <c r="IVA2" s="2"/>
      <c r="IVB2" s="2"/>
      <c r="IVC2" s="2"/>
      <c r="IVD2" s="2"/>
      <c r="IVE2" s="2"/>
      <c r="IVF2" s="2"/>
      <c r="IVG2" s="2"/>
      <c r="IVH2" s="2"/>
      <c r="IVI2" s="2"/>
      <c r="IVJ2" s="2"/>
      <c r="IVK2" s="2"/>
      <c r="IVL2" s="2"/>
      <c r="IVM2" s="2"/>
      <c r="IVN2" s="2"/>
      <c r="IVO2" s="2"/>
      <c r="IVP2" s="2"/>
      <c r="IVQ2" s="2"/>
      <c r="IVR2" s="2"/>
      <c r="IVS2" s="2"/>
      <c r="IVT2" s="2"/>
      <c r="IVU2" s="2"/>
      <c r="IVV2" s="2"/>
      <c r="IVW2" s="2"/>
      <c r="IVX2" s="2"/>
      <c r="IVY2" s="2"/>
      <c r="IVZ2" s="2"/>
      <c r="IWA2" s="2"/>
      <c r="IWB2" s="2"/>
      <c r="IWC2" s="2"/>
      <c r="IWD2" s="2"/>
      <c r="IWE2" s="2"/>
      <c r="IWF2" s="2"/>
      <c r="IWG2" s="2"/>
      <c r="IWH2" s="2"/>
      <c r="IWI2" s="2"/>
      <c r="IWJ2" s="2"/>
      <c r="IWK2" s="2"/>
      <c r="IWL2" s="2"/>
      <c r="IWM2" s="2"/>
      <c r="IWN2" s="2"/>
      <c r="IWO2" s="2"/>
      <c r="IWP2" s="2"/>
      <c r="IWQ2" s="2"/>
      <c r="IWR2" s="2"/>
      <c r="IWS2" s="2"/>
      <c r="IWT2" s="2"/>
      <c r="IWU2" s="2"/>
      <c r="IWV2" s="2"/>
      <c r="IWW2" s="2"/>
      <c r="IWX2" s="2"/>
      <c r="IWY2" s="2"/>
      <c r="IWZ2" s="2"/>
      <c r="IXA2" s="2"/>
      <c r="IXB2" s="2"/>
      <c r="IXC2" s="2"/>
      <c r="IXD2" s="2"/>
      <c r="IXE2" s="2"/>
      <c r="IXF2" s="2"/>
      <c r="IXG2" s="2"/>
      <c r="IXH2" s="2"/>
      <c r="IXI2" s="2"/>
      <c r="IXJ2" s="2"/>
      <c r="IXK2" s="2"/>
      <c r="IXL2" s="2"/>
      <c r="IXM2" s="2"/>
      <c r="IXN2" s="2"/>
      <c r="IXO2" s="2"/>
      <c r="IXP2" s="2"/>
      <c r="IXQ2" s="2"/>
      <c r="IXR2" s="2"/>
      <c r="IXS2" s="2"/>
      <c r="IXT2" s="2"/>
      <c r="IXU2" s="2"/>
      <c r="IXV2" s="2"/>
      <c r="IXW2" s="2"/>
      <c r="IXX2" s="2"/>
      <c r="IXY2" s="2"/>
      <c r="IXZ2" s="2"/>
      <c r="IYA2" s="2"/>
      <c r="IYB2" s="2"/>
      <c r="IYC2" s="2"/>
      <c r="IYD2" s="2"/>
      <c r="IYE2" s="2"/>
      <c r="IYF2" s="2"/>
      <c r="IYG2" s="2"/>
      <c r="IYH2" s="2"/>
      <c r="IYI2" s="2"/>
      <c r="IYJ2" s="2"/>
      <c r="IYK2" s="2"/>
      <c r="IYL2" s="2"/>
      <c r="IYM2" s="2"/>
      <c r="IYN2" s="2"/>
      <c r="IYO2" s="2"/>
      <c r="IYP2" s="2"/>
      <c r="IYQ2" s="2"/>
      <c r="IYR2" s="2"/>
      <c r="IYS2" s="2"/>
      <c r="IYT2" s="2"/>
      <c r="IYU2" s="2"/>
      <c r="IYV2" s="2"/>
      <c r="IYW2" s="2"/>
      <c r="IYX2" s="2"/>
      <c r="IYY2" s="2"/>
      <c r="IYZ2" s="2"/>
      <c r="IZA2" s="2"/>
      <c r="IZB2" s="2"/>
      <c r="IZC2" s="2"/>
      <c r="IZD2" s="2"/>
      <c r="IZE2" s="2"/>
      <c r="IZF2" s="2"/>
      <c r="IZG2" s="2"/>
      <c r="IZH2" s="2"/>
      <c r="IZI2" s="2"/>
      <c r="IZJ2" s="2"/>
      <c r="IZK2" s="2"/>
      <c r="IZL2" s="2"/>
      <c r="IZM2" s="2"/>
      <c r="IZN2" s="2"/>
      <c r="IZO2" s="2"/>
      <c r="IZP2" s="2"/>
      <c r="IZQ2" s="2"/>
      <c r="IZR2" s="2"/>
      <c r="IZS2" s="2"/>
      <c r="IZT2" s="2"/>
      <c r="IZU2" s="2"/>
      <c r="IZV2" s="2"/>
      <c r="IZW2" s="2"/>
      <c r="IZX2" s="2"/>
      <c r="IZY2" s="2"/>
      <c r="IZZ2" s="2"/>
      <c r="JAA2" s="2"/>
      <c r="JAB2" s="2"/>
      <c r="JAC2" s="2"/>
      <c r="JAD2" s="2"/>
      <c r="JAE2" s="2"/>
      <c r="JAF2" s="2"/>
      <c r="JAG2" s="2"/>
      <c r="JAH2" s="2"/>
      <c r="JAI2" s="2"/>
      <c r="JAJ2" s="2"/>
      <c r="JAK2" s="2"/>
      <c r="JAL2" s="2"/>
      <c r="JAM2" s="2"/>
      <c r="JAN2" s="2"/>
      <c r="JAO2" s="2"/>
      <c r="JAP2" s="2"/>
      <c r="JAQ2" s="2"/>
      <c r="JAR2" s="2"/>
      <c r="JAS2" s="2"/>
      <c r="JAT2" s="2"/>
      <c r="JAU2" s="2"/>
      <c r="JAV2" s="2"/>
      <c r="JAW2" s="2"/>
      <c r="JAX2" s="2"/>
      <c r="JAY2" s="2"/>
      <c r="JAZ2" s="2"/>
      <c r="JBA2" s="2"/>
      <c r="JBB2" s="2"/>
      <c r="JBC2" s="2"/>
      <c r="JBD2" s="2"/>
      <c r="JBE2" s="2"/>
      <c r="JBF2" s="2"/>
      <c r="JBG2" s="2"/>
      <c r="JBH2" s="2"/>
      <c r="JBI2" s="2"/>
      <c r="JBJ2" s="2"/>
      <c r="JBK2" s="2"/>
      <c r="JBL2" s="2"/>
      <c r="JBM2" s="2"/>
      <c r="JBN2" s="2"/>
      <c r="JBO2" s="2"/>
      <c r="JBP2" s="2"/>
      <c r="JBQ2" s="2"/>
      <c r="JBR2" s="2"/>
      <c r="JBS2" s="2"/>
      <c r="JBT2" s="2"/>
      <c r="JBU2" s="2"/>
      <c r="JBV2" s="2"/>
      <c r="JBW2" s="2"/>
      <c r="JBX2" s="2"/>
      <c r="JBY2" s="2"/>
      <c r="JBZ2" s="2"/>
      <c r="JCA2" s="2"/>
      <c r="JCB2" s="2"/>
      <c r="JCC2" s="2"/>
      <c r="JCD2" s="2"/>
      <c r="JCE2" s="2"/>
      <c r="JCF2" s="2"/>
      <c r="JCG2" s="2"/>
      <c r="JCH2" s="2"/>
      <c r="JCI2" s="2"/>
      <c r="JCJ2" s="2"/>
      <c r="JCK2" s="2"/>
      <c r="JCL2" s="2"/>
      <c r="JCM2" s="2"/>
      <c r="JCN2" s="2"/>
      <c r="JCO2" s="2"/>
      <c r="JCP2" s="2"/>
      <c r="JCQ2" s="2"/>
      <c r="JCR2" s="2"/>
      <c r="JCS2" s="2"/>
      <c r="JCT2" s="2"/>
      <c r="JCU2" s="2"/>
      <c r="JCV2" s="2"/>
      <c r="JCW2" s="2"/>
      <c r="JCX2" s="2"/>
      <c r="JCY2" s="2"/>
      <c r="JCZ2" s="2"/>
      <c r="JDA2" s="2"/>
      <c r="JDB2" s="2"/>
      <c r="JDC2" s="2"/>
      <c r="JDD2" s="2"/>
      <c r="JDE2" s="2"/>
      <c r="JDF2" s="2"/>
      <c r="JDG2" s="2"/>
      <c r="JDH2" s="2"/>
      <c r="JDI2" s="2"/>
      <c r="JDJ2" s="2"/>
      <c r="JDK2" s="2"/>
      <c r="JDL2" s="2"/>
      <c r="JDM2" s="2"/>
      <c r="JDN2" s="2"/>
      <c r="JDO2" s="2"/>
      <c r="JDP2" s="2"/>
      <c r="JDQ2" s="2"/>
      <c r="JDR2" s="2"/>
      <c r="JDS2" s="2"/>
      <c r="JDT2" s="2"/>
      <c r="JDU2" s="2"/>
      <c r="JDV2" s="2"/>
      <c r="JDW2" s="2"/>
      <c r="JDX2" s="2"/>
      <c r="JDY2" s="2"/>
      <c r="JDZ2" s="2"/>
      <c r="JEA2" s="2"/>
      <c r="JEB2" s="2"/>
      <c r="JEC2" s="2"/>
      <c r="JED2" s="2"/>
      <c r="JEE2" s="2"/>
      <c r="JEF2" s="2"/>
      <c r="JEG2" s="2"/>
      <c r="JEH2" s="2"/>
      <c r="JEI2" s="2"/>
      <c r="JEJ2" s="2"/>
      <c r="JEK2" s="2"/>
      <c r="JEL2" s="2"/>
      <c r="JEM2" s="2"/>
      <c r="JEN2" s="2"/>
      <c r="JEO2" s="2"/>
      <c r="JEP2" s="2"/>
      <c r="JEQ2" s="2"/>
      <c r="JER2" s="2"/>
      <c r="JES2" s="2"/>
      <c r="JET2" s="2"/>
      <c r="JEU2" s="2"/>
      <c r="JEV2" s="2"/>
      <c r="JEW2" s="2"/>
      <c r="JEX2" s="2"/>
      <c r="JEY2" s="2"/>
      <c r="JEZ2" s="2"/>
      <c r="JFA2" s="2"/>
      <c r="JFB2" s="2"/>
      <c r="JFC2" s="2"/>
      <c r="JFD2" s="2"/>
      <c r="JFE2" s="2"/>
      <c r="JFF2" s="2"/>
      <c r="JFG2" s="2"/>
      <c r="JFH2" s="2"/>
      <c r="JFI2" s="2"/>
      <c r="JFJ2" s="2"/>
      <c r="JFK2" s="2"/>
      <c r="JFL2" s="2"/>
      <c r="JFM2" s="2"/>
      <c r="JFN2" s="2"/>
      <c r="JFO2" s="2"/>
      <c r="JFP2" s="2"/>
      <c r="JFQ2" s="2"/>
      <c r="JFR2" s="2"/>
      <c r="JFS2" s="2"/>
      <c r="JFT2" s="2"/>
      <c r="JFU2" s="2"/>
      <c r="JFV2" s="2"/>
      <c r="JFW2" s="2"/>
      <c r="JFX2" s="2"/>
      <c r="JFY2" s="2"/>
      <c r="JFZ2" s="2"/>
      <c r="JGA2" s="2"/>
      <c r="JGB2" s="2"/>
      <c r="JGC2" s="2"/>
      <c r="JGD2" s="2"/>
      <c r="JGE2" s="2"/>
      <c r="JGF2" s="2"/>
      <c r="JGG2" s="2"/>
      <c r="JGH2" s="2"/>
      <c r="JGI2" s="2"/>
      <c r="JGJ2" s="2"/>
      <c r="JGK2" s="2"/>
      <c r="JGL2" s="2"/>
      <c r="JGM2" s="2"/>
      <c r="JGN2" s="2"/>
      <c r="JGO2" s="2"/>
      <c r="JGP2" s="2"/>
      <c r="JGQ2" s="2"/>
      <c r="JGR2" s="2"/>
      <c r="JGS2" s="2"/>
      <c r="JGT2" s="2"/>
      <c r="JGU2" s="2"/>
      <c r="JGV2" s="2"/>
      <c r="JGW2" s="2"/>
      <c r="JGX2" s="2"/>
      <c r="JGY2" s="2"/>
      <c r="JGZ2" s="2"/>
      <c r="JHA2" s="2"/>
      <c r="JHB2" s="2"/>
      <c r="JHC2" s="2"/>
      <c r="JHD2" s="2"/>
      <c r="JHE2" s="2"/>
      <c r="JHF2" s="2"/>
      <c r="JHG2" s="2"/>
      <c r="JHH2" s="2"/>
      <c r="JHI2" s="2"/>
      <c r="JHJ2" s="2"/>
      <c r="JHK2" s="2"/>
      <c r="JHL2" s="2"/>
      <c r="JHM2" s="2"/>
      <c r="JHN2" s="2"/>
      <c r="JHO2" s="2"/>
      <c r="JHP2" s="2"/>
      <c r="JHQ2" s="2"/>
      <c r="JHR2" s="2"/>
      <c r="JHS2" s="2"/>
      <c r="JHT2" s="2"/>
      <c r="JHU2" s="2"/>
      <c r="JHV2" s="2"/>
      <c r="JHW2" s="2"/>
      <c r="JHX2" s="2"/>
      <c r="JHY2" s="2"/>
      <c r="JHZ2" s="2"/>
      <c r="JIA2" s="2"/>
      <c r="JIB2" s="2"/>
      <c r="JIC2" s="2"/>
      <c r="JID2" s="2"/>
      <c r="JIE2" s="2"/>
      <c r="JIF2" s="2"/>
      <c r="JIG2" s="2"/>
      <c r="JIH2" s="2"/>
      <c r="JII2" s="2"/>
      <c r="JIJ2" s="2"/>
      <c r="JIK2" s="2"/>
      <c r="JIL2" s="2"/>
      <c r="JIM2" s="2"/>
      <c r="JIN2" s="2"/>
      <c r="JIO2" s="2"/>
      <c r="JIP2" s="2"/>
      <c r="JIQ2" s="2"/>
      <c r="JIR2" s="2"/>
      <c r="JIS2" s="2"/>
      <c r="JIT2" s="2"/>
      <c r="JIU2" s="2"/>
      <c r="JIV2" s="2"/>
      <c r="JIW2" s="2"/>
      <c r="JIX2" s="2"/>
      <c r="JIY2" s="2"/>
      <c r="JIZ2" s="2"/>
      <c r="JJA2" s="2"/>
      <c r="JJB2" s="2"/>
      <c r="JJC2" s="2"/>
      <c r="JJD2" s="2"/>
      <c r="JJE2" s="2"/>
      <c r="JJF2" s="2"/>
      <c r="JJG2" s="2"/>
      <c r="JJH2" s="2"/>
      <c r="JJI2" s="2"/>
      <c r="JJJ2" s="2"/>
      <c r="JJK2" s="2"/>
      <c r="JJL2" s="2"/>
      <c r="JJM2" s="2"/>
      <c r="JJN2" s="2"/>
      <c r="JJO2" s="2"/>
      <c r="JJP2" s="2"/>
      <c r="JJQ2" s="2"/>
      <c r="JJR2" s="2"/>
      <c r="JJS2" s="2"/>
      <c r="JJT2" s="2"/>
      <c r="JJU2" s="2"/>
      <c r="JJV2" s="2"/>
      <c r="JJW2" s="2"/>
      <c r="JJX2" s="2"/>
      <c r="JJY2" s="2"/>
      <c r="JJZ2" s="2"/>
      <c r="JKA2" s="2"/>
      <c r="JKB2" s="2"/>
      <c r="JKC2" s="2"/>
      <c r="JKD2" s="2"/>
      <c r="JKE2" s="2"/>
      <c r="JKF2" s="2"/>
      <c r="JKG2" s="2"/>
      <c r="JKH2" s="2"/>
      <c r="JKI2" s="2"/>
      <c r="JKJ2" s="2"/>
      <c r="JKK2" s="2"/>
      <c r="JKL2" s="2"/>
      <c r="JKM2" s="2"/>
      <c r="JKN2" s="2"/>
      <c r="JKO2" s="2"/>
      <c r="JKP2" s="2"/>
      <c r="JKQ2" s="2"/>
      <c r="JKR2" s="2"/>
      <c r="JKS2" s="2"/>
      <c r="JKT2" s="2"/>
      <c r="JKU2" s="2"/>
      <c r="JKV2" s="2"/>
      <c r="JKW2" s="2"/>
      <c r="JKX2" s="2"/>
      <c r="JKY2" s="2"/>
      <c r="JKZ2" s="2"/>
      <c r="JLA2" s="2"/>
      <c r="JLB2" s="2"/>
      <c r="JLC2" s="2"/>
      <c r="JLD2" s="2"/>
      <c r="JLE2" s="2"/>
      <c r="JLF2" s="2"/>
      <c r="JLG2" s="2"/>
      <c r="JLH2" s="2"/>
      <c r="JLI2" s="2"/>
      <c r="JLJ2" s="2"/>
      <c r="JLK2" s="2"/>
      <c r="JLL2" s="2"/>
      <c r="JLM2" s="2"/>
      <c r="JLN2" s="2"/>
      <c r="JLO2" s="2"/>
      <c r="JLP2" s="2"/>
      <c r="JLQ2" s="2"/>
      <c r="JLR2" s="2"/>
      <c r="JLS2" s="2"/>
      <c r="JLT2" s="2"/>
      <c r="JLU2" s="2"/>
      <c r="JLV2" s="2"/>
      <c r="JLW2" s="2"/>
      <c r="JLX2" s="2"/>
      <c r="JLY2" s="2"/>
      <c r="JLZ2" s="2"/>
      <c r="JMA2" s="2"/>
      <c r="JMB2" s="2"/>
      <c r="JMC2" s="2"/>
      <c r="JMD2" s="2"/>
      <c r="JME2" s="2"/>
      <c r="JMF2" s="2"/>
      <c r="JMG2" s="2"/>
      <c r="JMH2" s="2"/>
      <c r="JMI2" s="2"/>
      <c r="JMJ2" s="2"/>
      <c r="JMK2" s="2"/>
      <c r="JML2" s="2"/>
      <c r="JMM2" s="2"/>
      <c r="JMN2" s="2"/>
      <c r="JMO2" s="2"/>
      <c r="JMP2" s="2"/>
      <c r="JMQ2" s="2"/>
      <c r="JMR2" s="2"/>
      <c r="JMS2" s="2"/>
      <c r="JMT2" s="2"/>
      <c r="JMU2" s="2"/>
      <c r="JMV2" s="2"/>
      <c r="JMW2" s="2"/>
      <c r="JMX2" s="2"/>
      <c r="JMY2" s="2"/>
      <c r="JMZ2" s="2"/>
      <c r="JNA2" s="2"/>
      <c r="JNB2" s="2"/>
      <c r="JNC2" s="2"/>
      <c r="JND2" s="2"/>
      <c r="JNE2" s="2"/>
      <c r="JNF2" s="2"/>
      <c r="JNG2" s="2"/>
      <c r="JNH2" s="2"/>
      <c r="JNI2" s="2"/>
      <c r="JNJ2" s="2"/>
      <c r="JNK2" s="2"/>
      <c r="JNL2" s="2"/>
      <c r="JNM2" s="2"/>
      <c r="JNN2" s="2"/>
      <c r="JNO2" s="2"/>
      <c r="JNP2" s="2"/>
      <c r="JNQ2" s="2"/>
      <c r="JNR2" s="2"/>
      <c r="JNS2" s="2"/>
      <c r="JNT2" s="2"/>
      <c r="JNU2" s="2"/>
      <c r="JNV2" s="2"/>
      <c r="JNW2" s="2"/>
      <c r="JNX2" s="2"/>
      <c r="JNY2" s="2"/>
      <c r="JNZ2" s="2"/>
      <c r="JOA2" s="2"/>
      <c r="JOB2" s="2"/>
      <c r="JOC2" s="2"/>
      <c r="JOD2" s="2"/>
      <c r="JOE2" s="2"/>
      <c r="JOF2" s="2"/>
      <c r="JOG2" s="2"/>
      <c r="JOH2" s="2"/>
      <c r="JOI2" s="2"/>
      <c r="JOJ2" s="2"/>
      <c r="JOK2" s="2"/>
      <c r="JOL2" s="2"/>
      <c r="JOM2" s="2"/>
      <c r="JON2" s="2"/>
      <c r="JOO2" s="2"/>
      <c r="JOP2" s="2"/>
      <c r="JOQ2" s="2"/>
      <c r="JOR2" s="2"/>
      <c r="JOS2" s="2"/>
      <c r="JOT2" s="2"/>
      <c r="JOU2" s="2"/>
      <c r="JOV2" s="2"/>
      <c r="JOW2" s="2"/>
      <c r="JOX2" s="2"/>
      <c r="JOY2" s="2"/>
      <c r="JOZ2" s="2"/>
      <c r="JPA2" s="2"/>
      <c r="JPB2" s="2"/>
      <c r="JPC2" s="2"/>
      <c r="JPD2" s="2"/>
      <c r="JPE2" s="2"/>
      <c r="JPF2" s="2"/>
      <c r="JPG2" s="2"/>
      <c r="JPH2" s="2"/>
      <c r="JPI2" s="2"/>
      <c r="JPJ2" s="2"/>
      <c r="JPK2" s="2"/>
      <c r="JPL2" s="2"/>
      <c r="JPM2" s="2"/>
      <c r="JPN2" s="2"/>
      <c r="JPO2" s="2"/>
      <c r="JPP2" s="2"/>
      <c r="JPQ2" s="2"/>
      <c r="JPR2" s="2"/>
      <c r="JPS2" s="2"/>
      <c r="JPT2" s="2"/>
      <c r="JPU2" s="2"/>
      <c r="JPV2" s="2"/>
      <c r="JPW2" s="2"/>
      <c r="JPX2" s="2"/>
      <c r="JPY2" s="2"/>
      <c r="JPZ2" s="2"/>
      <c r="JQA2" s="2"/>
      <c r="JQB2" s="2"/>
      <c r="JQC2" s="2"/>
      <c r="JQD2" s="2"/>
      <c r="JQE2" s="2"/>
      <c r="JQF2" s="2"/>
      <c r="JQG2" s="2"/>
      <c r="JQH2" s="2"/>
      <c r="JQI2" s="2"/>
      <c r="JQJ2" s="2"/>
      <c r="JQK2" s="2"/>
      <c r="JQL2" s="2"/>
      <c r="JQM2" s="2"/>
      <c r="JQN2" s="2"/>
      <c r="JQO2" s="2"/>
      <c r="JQP2" s="2"/>
      <c r="JQQ2" s="2"/>
      <c r="JQR2" s="2"/>
      <c r="JQS2" s="2"/>
      <c r="JQT2" s="2"/>
      <c r="JQU2" s="2"/>
      <c r="JQV2" s="2"/>
      <c r="JQW2" s="2"/>
      <c r="JQX2" s="2"/>
      <c r="JQY2" s="2"/>
      <c r="JQZ2" s="2"/>
      <c r="JRA2" s="2"/>
      <c r="JRB2" s="2"/>
      <c r="JRC2" s="2"/>
      <c r="JRD2" s="2"/>
      <c r="JRE2" s="2"/>
      <c r="JRF2" s="2"/>
      <c r="JRG2" s="2"/>
      <c r="JRH2" s="2"/>
      <c r="JRI2" s="2"/>
      <c r="JRJ2" s="2"/>
      <c r="JRK2" s="2"/>
      <c r="JRL2" s="2"/>
      <c r="JRM2" s="2"/>
      <c r="JRN2" s="2"/>
      <c r="JRO2" s="2"/>
      <c r="JRP2" s="2"/>
      <c r="JRQ2" s="2"/>
      <c r="JRR2" s="2"/>
      <c r="JRS2" s="2"/>
      <c r="JRT2" s="2"/>
      <c r="JRU2" s="2"/>
      <c r="JRV2" s="2"/>
      <c r="JRW2" s="2"/>
      <c r="JRX2" s="2"/>
      <c r="JRY2" s="2"/>
      <c r="JRZ2" s="2"/>
      <c r="JSA2" s="2"/>
      <c r="JSB2" s="2"/>
      <c r="JSC2" s="2"/>
      <c r="JSD2" s="2"/>
      <c r="JSE2" s="2"/>
      <c r="JSF2" s="2"/>
      <c r="JSG2" s="2"/>
      <c r="JSH2" s="2"/>
      <c r="JSI2" s="2"/>
      <c r="JSJ2" s="2"/>
      <c r="JSK2" s="2"/>
      <c r="JSL2" s="2"/>
      <c r="JSM2" s="2"/>
      <c r="JSN2" s="2"/>
      <c r="JSO2" s="2"/>
      <c r="JSP2" s="2"/>
      <c r="JSQ2" s="2"/>
      <c r="JSR2" s="2"/>
      <c r="JSS2" s="2"/>
      <c r="JST2" s="2"/>
      <c r="JSU2" s="2"/>
      <c r="JSV2" s="2"/>
      <c r="JSW2" s="2"/>
      <c r="JSX2" s="2"/>
      <c r="JSY2" s="2"/>
      <c r="JSZ2" s="2"/>
      <c r="JTA2" s="2"/>
      <c r="JTB2" s="2"/>
      <c r="JTC2" s="2"/>
      <c r="JTD2" s="2"/>
      <c r="JTE2" s="2"/>
      <c r="JTF2" s="2"/>
      <c r="JTG2" s="2"/>
      <c r="JTH2" s="2"/>
      <c r="JTI2" s="2"/>
      <c r="JTJ2" s="2"/>
      <c r="JTK2" s="2"/>
      <c r="JTL2" s="2"/>
      <c r="JTM2" s="2"/>
      <c r="JTN2" s="2"/>
      <c r="JTO2" s="2"/>
      <c r="JTP2" s="2"/>
      <c r="JTQ2" s="2"/>
      <c r="JTR2" s="2"/>
      <c r="JTS2" s="2"/>
      <c r="JTT2" s="2"/>
      <c r="JTU2" s="2"/>
      <c r="JTV2" s="2"/>
      <c r="JTW2" s="2"/>
      <c r="JTX2" s="2"/>
      <c r="JTY2" s="2"/>
      <c r="JTZ2" s="2"/>
      <c r="JUA2" s="2"/>
      <c r="JUB2" s="2"/>
      <c r="JUC2" s="2"/>
      <c r="JUD2" s="2"/>
      <c r="JUE2" s="2"/>
      <c r="JUF2" s="2"/>
      <c r="JUG2" s="2"/>
      <c r="JUH2" s="2"/>
      <c r="JUI2" s="2"/>
      <c r="JUJ2" s="2"/>
      <c r="JUK2" s="2"/>
      <c r="JUL2" s="2"/>
      <c r="JUM2" s="2"/>
      <c r="JUN2" s="2"/>
      <c r="JUO2" s="2"/>
      <c r="JUP2" s="2"/>
      <c r="JUQ2" s="2"/>
      <c r="JUR2" s="2"/>
      <c r="JUS2" s="2"/>
      <c r="JUT2" s="2"/>
      <c r="JUU2" s="2"/>
      <c r="JUV2" s="2"/>
      <c r="JUW2" s="2"/>
      <c r="JUX2" s="2"/>
      <c r="JUY2" s="2"/>
      <c r="JUZ2" s="2"/>
      <c r="JVA2" s="2"/>
      <c r="JVB2" s="2"/>
      <c r="JVC2" s="2"/>
      <c r="JVD2" s="2"/>
      <c r="JVE2" s="2"/>
      <c r="JVF2" s="2"/>
      <c r="JVG2" s="2"/>
      <c r="JVH2" s="2"/>
      <c r="JVI2" s="2"/>
      <c r="JVJ2" s="2"/>
      <c r="JVK2" s="2"/>
      <c r="JVL2" s="2"/>
      <c r="JVM2" s="2"/>
      <c r="JVN2" s="2"/>
      <c r="JVO2" s="2"/>
      <c r="JVP2" s="2"/>
      <c r="JVQ2" s="2"/>
      <c r="JVR2" s="2"/>
      <c r="JVS2" s="2"/>
      <c r="JVT2" s="2"/>
      <c r="JVU2" s="2"/>
      <c r="JVV2" s="2"/>
      <c r="JVW2" s="2"/>
      <c r="JVX2" s="2"/>
      <c r="JVY2" s="2"/>
      <c r="JVZ2" s="2"/>
      <c r="JWA2" s="2"/>
      <c r="JWB2" s="2"/>
      <c r="JWC2" s="2"/>
      <c r="JWD2" s="2"/>
      <c r="JWE2" s="2"/>
      <c r="JWF2" s="2"/>
      <c r="JWG2" s="2"/>
      <c r="JWH2" s="2"/>
      <c r="JWI2" s="2"/>
      <c r="JWJ2" s="2"/>
      <c r="JWK2" s="2"/>
      <c r="JWL2" s="2"/>
      <c r="JWM2" s="2"/>
      <c r="JWN2" s="2"/>
      <c r="JWO2" s="2"/>
      <c r="JWP2" s="2"/>
      <c r="JWQ2" s="2"/>
      <c r="JWR2" s="2"/>
      <c r="JWS2" s="2"/>
      <c r="JWT2" s="2"/>
      <c r="JWU2" s="2"/>
      <c r="JWV2" s="2"/>
      <c r="JWW2" s="2"/>
      <c r="JWX2" s="2"/>
      <c r="JWY2" s="2"/>
      <c r="JWZ2" s="2"/>
      <c r="JXA2" s="2"/>
      <c r="JXB2" s="2"/>
      <c r="JXC2" s="2"/>
      <c r="JXD2" s="2"/>
      <c r="JXE2" s="2"/>
      <c r="JXF2" s="2"/>
      <c r="JXG2" s="2"/>
      <c r="JXH2" s="2"/>
      <c r="JXI2" s="2"/>
      <c r="JXJ2" s="2"/>
      <c r="JXK2" s="2"/>
      <c r="JXL2" s="2"/>
      <c r="JXM2" s="2"/>
      <c r="JXN2" s="2"/>
      <c r="JXO2" s="2"/>
      <c r="JXP2" s="2"/>
      <c r="JXQ2" s="2"/>
      <c r="JXR2" s="2"/>
      <c r="JXS2" s="2"/>
      <c r="JXT2" s="2"/>
      <c r="JXU2" s="2"/>
      <c r="JXV2" s="2"/>
      <c r="JXW2" s="2"/>
      <c r="JXX2" s="2"/>
      <c r="JXY2" s="2"/>
      <c r="JXZ2" s="2"/>
      <c r="JYA2" s="2"/>
      <c r="JYB2" s="2"/>
      <c r="JYC2" s="2"/>
      <c r="JYD2" s="2"/>
      <c r="JYE2" s="2"/>
      <c r="JYF2" s="2"/>
      <c r="JYG2" s="2"/>
      <c r="JYH2" s="2"/>
      <c r="JYI2" s="2"/>
      <c r="JYJ2" s="2"/>
      <c r="JYK2" s="2"/>
      <c r="JYL2" s="2"/>
      <c r="JYM2" s="2"/>
      <c r="JYN2" s="2"/>
      <c r="JYO2" s="2"/>
      <c r="JYP2" s="2"/>
      <c r="JYQ2" s="2"/>
      <c r="JYR2" s="2"/>
      <c r="JYS2" s="2"/>
      <c r="JYT2" s="2"/>
      <c r="JYU2" s="2"/>
      <c r="JYV2" s="2"/>
      <c r="JYW2" s="2"/>
      <c r="JYX2" s="2"/>
      <c r="JYY2" s="2"/>
      <c r="JYZ2" s="2"/>
      <c r="JZA2" s="2"/>
      <c r="JZB2" s="2"/>
      <c r="JZC2" s="2"/>
      <c r="JZD2" s="2"/>
      <c r="JZE2" s="2"/>
      <c r="JZF2" s="2"/>
      <c r="JZG2" s="2"/>
      <c r="JZH2" s="2"/>
      <c r="JZI2" s="2"/>
      <c r="JZJ2" s="2"/>
      <c r="JZK2" s="2"/>
      <c r="JZL2" s="2"/>
      <c r="JZM2" s="2"/>
      <c r="JZN2" s="2"/>
      <c r="JZO2" s="2"/>
      <c r="JZP2" s="2"/>
      <c r="JZQ2" s="2"/>
      <c r="JZR2" s="2"/>
      <c r="JZS2" s="2"/>
      <c r="JZT2" s="2"/>
      <c r="JZU2" s="2"/>
      <c r="JZV2" s="2"/>
      <c r="JZW2" s="2"/>
      <c r="JZX2" s="2"/>
      <c r="JZY2" s="2"/>
      <c r="JZZ2" s="2"/>
      <c r="KAA2" s="2"/>
      <c r="KAB2" s="2"/>
      <c r="KAC2" s="2"/>
      <c r="KAD2" s="2"/>
      <c r="KAE2" s="2"/>
      <c r="KAF2" s="2"/>
      <c r="KAG2" s="2"/>
      <c r="KAH2" s="2"/>
      <c r="KAI2" s="2"/>
      <c r="KAJ2" s="2"/>
      <c r="KAK2" s="2"/>
      <c r="KAL2" s="2"/>
      <c r="KAM2" s="2"/>
      <c r="KAN2" s="2"/>
      <c r="KAO2" s="2"/>
      <c r="KAP2" s="2"/>
      <c r="KAQ2" s="2"/>
      <c r="KAR2" s="2"/>
      <c r="KAS2" s="2"/>
      <c r="KAT2" s="2"/>
      <c r="KAU2" s="2"/>
      <c r="KAV2" s="2"/>
      <c r="KAW2" s="2"/>
      <c r="KAX2" s="2"/>
      <c r="KAY2" s="2"/>
      <c r="KAZ2" s="2"/>
      <c r="KBA2" s="2"/>
      <c r="KBB2" s="2"/>
      <c r="KBC2" s="2"/>
      <c r="KBD2" s="2"/>
      <c r="KBE2" s="2"/>
      <c r="KBF2" s="2"/>
      <c r="KBG2" s="2"/>
      <c r="KBH2" s="2"/>
      <c r="KBI2" s="2"/>
      <c r="KBJ2" s="2"/>
      <c r="KBK2" s="2"/>
      <c r="KBL2" s="2"/>
      <c r="KBM2" s="2"/>
      <c r="KBN2" s="2"/>
      <c r="KBO2" s="2"/>
      <c r="KBP2" s="2"/>
      <c r="KBQ2" s="2"/>
      <c r="KBR2" s="2"/>
      <c r="KBS2" s="2"/>
      <c r="KBT2" s="2"/>
      <c r="KBU2" s="2"/>
      <c r="KBV2" s="2"/>
      <c r="KBW2" s="2"/>
      <c r="KBX2" s="2"/>
      <c r="KBY2" s="2"/>
      <c r="KBZ2" s="2"/>
      <c r="KCA2" s="2"/>
      <c r="KCB2" s="2"/>
      <c r="KCC2" s="2"/>
      <c r="KCD2" s="2"/>
      <c r="KCE2" s="2"/>
      <c r="KCF2" s="2"/>
      <c r="KCG2" s="2"/>
      <c r="KCH2" s="2"/>
      <c r="KCI2" s="2"/>
      <c r="KCJ2" s="2"/>
      <c r="KCK2" s="2"/>
      <c r="KCL2" s="2"/>
      <c r="KCM2" s="2"/>
      <c r="KCN2" s="2"/>
      <c r="KCO2" s="2"/>
      <c r="KCP2" s="2"/>
      <c r="KCQ2" s="2"/>
      <c r="KCR2" s="2"/>
      <c r="KCS2" s="2"/>
      <c r="KCT2" s="2"/>
      <c r="KCU2" s="2"/>
      <c r="KCV2" s="2"/>
      <c r="KCW2" s="2"/>
      <c r="KCX2" s="2"/>
      <c r="KCY2" s="2"/>
      <c r="KCZ2" s="2"/>
      <c r="KDA2" s="2"/>
      <c r="KDB2" s="2"/>
      <c r="KDC2" s="2"/>
      <c r="KDD2" s="2"/>
      <c r="KDE2" s="2"/>
      <c r="KDF2" s="2"/>
      <c r="KDG2" s="2"/>
      <c r="KDH2" s="2"/>
      <c r="KDI2" s="2"/>
      <c r="KDJ2" s="2"/>
      <c r="KDK2" s="2"/>
      <c r="KDL2" s="2"/>
      <c r="KDM2" s="2"/>
      <c r="KDN2" s="2"/>
      <c r="KDO2" s="2"/>
      <c r="KDP2" s="2"/>
      <c r="KDQ2" s="2"/>
      <c r="KDR2" s="2"/>
      <c r="KDS2" s="2"/>
      <c r="KDT2" s="2"/>
      <c r="KDU2" s="2"/>
      <c r="KDV2" s="2"/>
      <c r="KDW2" s="2"/>
      <c r="KDX2" s="2"/>
      <c r="KDY2" s="2"/>
      <c r="KDZ2" s="2"/>
      <c r="KEA2" s="2"/>
      <c r="KEB2" s="2"/>
      <c r="KEC2" s="2"/>
      <c r="KED2" s="2"/>
      <c r="KEE2" s="2"/>
      <c r="KEF2" s="2"/>
      <c r="KEG2" s="2"/>
      <c r="KEH2" s="2"/>
      <c r="KEI2" s="2"/>
      <c r="KEJ2" s="2"/>
      <c r="KEK2" s="2"/>
      <c r="KEL2" s="2"/>
      <c r="KEM2" s="2"/>
      <c r="KEN2" s="2"/>
      <c r="KEO2" s="2"/>
      <c r="KEP2" s="2"/>
      <c r="KEQ2" s="2"/>
      <c r="KER2" s="2"/>
      <c r="KES2" s="2"/>
      <c r="KET2" s="2"/>
      <c r="KEU2" s="2"/>
      <c r="KEV2" s="2"/>
      <c r="KEW2" s="2"/>
      <c r="KEX2" s="2"/>
      <c r="KEY2" s="2"/>
      <c r="KEZ2" s="2"/>
      <c r="KFA2" s="2"/>
      <c r="KFB2" s="2"/>
      <c r="KFC2" s="2"/>
      <c r="KFD2" s="2"/>
      <c r="KFE2" s="2"/>
      <c r="KFF2" s="2"/>
      <c r="KFG2" s="2"/>
      <c r="KFH2" s="2"/>
      <c r="KFI2" s="2"/>
      <c r="KFJ2" s="2"/>
      <c r="KFK2" s="2"/>
      <c r="KFL2" s="2"/>
      <c r="KFM2" s="2"/>
      <c r="KFN2" s="2"/>
      <c r="KFO2" s="2"/>
      <c r="KFP2" s="2"/>
      <c r="KFQ2" s="2"/>
      <c r="KFR2" s="2"/>
      <c r="KFS2" s="2"/>
      <c r="KFT2" s="2"/>
      <c r="KFU2" s="2"/>
      <c r="KFV2" s="2"/>
      <c r="KFW2" s="2"/>
      <c r="KFX2" s="2"/>
      <c r="KFY2" s="2"/>
      <c r="KFZ2" s="2"/>
      <c r="KGA2" s="2"/>
      <c r="KGB2" s="2"/>
      <c r="KGC2" s="2"/>
      <c r="KGD2" s="2"/>
      <c r="KGE2" s="2"/>
      <c r="KGF2" s="2"/>
      <c r="KGG2" s="2"/>
      <c r="KGH2" s="2"/>
      <c r="KGI2" s="2"/>
      <c r="KGJ2" s="2"/>
      <c r="KGK2" s="2"/>
      <c r="KGL2" s="2"/>
      <c r="KGM2" s="2"/>
      <c r="KGN2" s="2"/>
      <c r="KGO2" s="2"/>
      <c r="KGP2" s="2"/>
      <c r="KGQ2" s="2"/>
      <c r="KGR2" s="2"/>
      <c r="KGS2" s="2"/>
      <c r="KGT2" s="2"/>
      <c r="KGU2" s="2"/>
      <c r="KGV2" s="2"/>
      <c r="KGW2" s="2"/>
      <c r="KGX2" s="2"/>
      <c r="KGY2" s="2"/>
      <c r="KGZ2" s="2"/>
      <c r="KHA2" s="2"/>
      <c r="KHB2" s="2"/>
      <c r="KHC2" s="2"/>
      <c r="KHD2" s="2"/>
      <c r="KHE2" s="2"/>
      <c r="KHF2" s="2"/>
      <c r="KHG2" s="2"/>
      <c r="KHH2" s="2"/>
      <c r="KHI2" s="2"/>
      <c r="KHJ2" s="2"/>
      <c r="KHK2" s="2"/>
      <c r="KHL2" s="2"/>
      <c r="KHM2" s="2"/>
      <c r="KHN2" s="2"/>
      <c r="KHO2" s="2"/>
      <c r="KHP2" s="2"/>
      <c r="KHQ2" s="2"/>
      <c r="KHR2" s="2"/>
      <c r="KHS2" s="2"/>
      <c r="KHT2" s="2"/>
      <c r="KHU2" s="2"/>
      <c r="KHV2" s="2"/>
      <c r="KHW2" s="2"/>
      <c r="KHX2" s="2"/>
      <c r="KHY2" s="2"/>
      <c r="KHZ2" s="2"/>
      <c r="KIA2" s="2"/>
      <c r="KIB2" s="2"/>
      <c r="KIC2" s="2"/>
      <c r="KID2" s="2"/>
      <c r="KIE2" s="2"/>
      <c r="KIF2" s="2"/>
      <c r="KIG2" s="2"/>
      <c r="KIH2" s="2"/>
      <c r="KII2" s="2"/>
      <c r="KIJ2" s="2"/>
      <c r="KIK2" s="2"/>
      <c r="KIL2" s="2"/>
      <c r="KIM2" s="2"/>
      <c r="KIN2" s="2"/>
      <c r="KIO2" s="2"/>
      <c r="KIP2" s="2"/>
      <c r="KIQ2" s="2"/>
      <c r="KIR2" s="2"/>
      <c r="KIS2" s="2"/>
      <c r="KIT2" s="2"/>
      <c r="KIU2" s="2"/>
      <c r="KIV2" s="2"/>
      <c r="KIW2" s="2"/>
      <c r="KIX2" s="2"/>
      <c r="KIY2" s="2"/>
      <c r="KIZ2" s="2"/>
      <c r="KJA2" s="2"/>
      <c r="KJB2" s="2"/>
      <c r="KJC2" s="2"/>
      <c r="KJD2" s="2"/>
      <c r="KJE2" s="2"/>
      <c r="KJF2" s="2"/>
      <c r="KJG2" s="2"/>
      <c r="KJH2" s="2"/>
      <c r="KJI2" s="2"/>
      <c r="KJJ2" s="2"/>
      <c r="KJK2" s="2"/>
      <c r="KJL2" s="2"/>
      <c r="KJM2" s="2"/>
      <c r="KJN2" s="2"/>
      <c r="KJO2" s="2"/>
      <c r="KJP2" s="2"/>
      <c r="KJQ2" s="2"/>
      <c r="KJR2" s="2"/>
      <c r="KJS2" s="2"/>
      <c r="KJT2" s="2"/>
      <c r="KJU2" s="2"/>
      <c r="KJV2" s="2"/>
      <c r="KJW2" s="2"/>
      <c r="KJX2" s="2"/>
      <c r="KJY2" s="2"/>
      <c r="KJZ2" s="2"/>
      <c r="KKA2" s="2"/>
      <c r="KKB2" s="2"/>
      <c r="KKC2" s="2"/>
      <c r="KKD2" s="2"/>
      <c r="KKE2" s="2"/>
      <c r="KKF2" s="2"/>
      <c r="KKG2" s="2"/>
      <c r="KKH2" s="2"/>
      <c r="KKI2" s="2"/>
      <c r="KKJ2" s="2"/>
      <c r="KKK2" s="2"/>
      <c r="KKL2" s="2"/>
      <c r="KKM2" s="2"/>
      <c r="KKN2" s="2"/>
      <c r="KKO2" s="2"/>
      <c r="KKP2" s="2"/>
      <c r="KKQ2" s="2"/>
      <c r="KKR2" s="2"/>
      <c r="KKS2" s="2"/>
      <c r="KKT2" s="2"/>
      <c r="KKU2" s="2"/>
      <c r="KKV2" s="2"/>
      <c r="KKW2" s="2"/>
      <c r="KKX2" s="2"/>
      <c r="KKY2" s="2"/>
      <c r="KKZ2" s="2"/>
      <c r="KLA2" s="2"/>
      <c r="KLB2" s="2"/>
      <c r="KLC2" s="2"/>
      <c r="KLD2" s="2"/>
      <c r="KLE2" s="2"/>
      <c r="KLF2" s="2"/>
      <c r="KLG2" s="2"/>
      <c r="KLH2" s="2"/>
      <c r="KLI2" s="2"/>
      <c r="KLJ2" s="2"/>
      <c r="KLK2" s="2"/>
      <c r="KLL2" s="2"/>
      <c r="KLM2" s="2"/>
      <c r="KLN2" s="2"/>
      <c r="KLO2" s="2"/>
      <c r="KLP2" s="2"/>
      <c r="KLQ2" s="2"/>
      <c r="KLR2" s="2"/>
      <c r="KLS2" s="2"/>
      <c r="KLT2" s="2"/>
      <c r="KLU2" s="2"/>
      <c r="KLV2" s="2"/>
      <c r="KLW2" s="2"/>
      <c r="KLX2" s="2"/>
      <c r="KLY2" s="2"/>
      <c r="KLZ2" s="2"/>
      <c r="KMA2" s="2"/>
      <c r="KMB2" s="2"/>
      <c r="KMC2" s="2"/>
      <c r="KMD2" s="2"/>
      <c r="KME2" s="2"/>
      <c r="KMF2" s="2"/>
      <c r="KMG2" s="2"/>
      <c r="KMH2" s="2"/>
      <c r="KMI2" s="2"/>
      <c r="KMJ2" s="2"/>
      <c r="KMK2" s="2"/>
      <c r="KML2" s="2"/>
      <c r="KMM2" s="2"/>
      <c r="KMN2" s="2"/>
      <c r="KMO2" s="2"/>
      <c r="KMP2" s="2"/>
      <c r="KMQ2" s="2"/>
      <c r="KMR2" s="2"/>
      <c r="KMS2" s="2"/>
      <c r="KMT2" s="2"/>
      <c r="KMU2" s="2"/>
      <c r="KMV2" s="2"/>
      <c r="KMW2" s="2"/>
      <c r="KMX2" s="2"/>
      <c r="KMY2" s="2"/>
      <c r="KMZ2" s="2"/>
      <c r="KNA2" s="2"/>
      <c r="KNB2" s="2"/>
      <c r="KNC2" s="2"/>
      <c r="KND2" s="2"/>
      <c r="KNE2" s="2"/>
      <c r="KNF2" s="2"/>
      <c r="KNG2" s="2"/>
      <c r="KNH2" s="2"/>
      <c r="KNI2" s="2"/>
      <c r="KNJ2" s="2"/>
      <c r="KNK2" s="2"/>
      <c r="KNL2" s="2"/>
      <c r="KNM2" s="2"/>
      <c r="KNN2" s="2"/>
      <c r="KNO2" s="2"/>
      <c r="KNP2" s="2"/>
      <c r="KNQ2" s="2"/>
      <c r="KNR2" s="2"/>
      <c r="KNS2" s="2"/>
      <c r="KNT2" s="2"/>
      <c r="KNU2" s="2"/>
      <c r="KNV2" s="2"/>
      <c r="KNW2" s="2"/>
      <c r="KNX2" s="2"/>
      <c r="KNY2" s="2"/>
      <c r="KNZ2" s="2"/>
      <c r="KOA2" s="2"/>
      <c r="KOB2" s="2"/>
      <c r="KOC2" s="2"/>
      <c r="KOD2" s="2"/>
      <c r="KOE2" s="2"/>
      <c r="KOF2" s="2"/>
      <c r="KOG2" s="2"/>
      <c r="KOH2" s="2"/>
      <c r="KOI2" s="2"/>
      <c r="KOJ2" s="2"/>
      <c r="KOK2" s="2"/>
      <c r="KOL2" s="2"/>
      <c r="KOM2" s="2"/>
      <c r="KON2" s="2"/>
      <c r="KOO2" s="2"/>
      <c r="KOP2" s="2"/>
      <c r="KOQ2" s="2"/>
      <c r="KOR2" s="2"/>
      <c r="KOS2" s="2"/>
      <c r="KOT2" s="2"/>
      <c r="KOU2" s="2"/>
      <c r="KOV2" s="2"/>
      <c r="KOW2" s="2"/>
      <c r="KOX2" s="2"/>
      <c r="KOY2" s="2"/>
      <c r="KOZ2" s="2"/>
      <c r="KPA2" s="2"/>
      <c r="KPB2" s="2"/>
      <c r="KPC2" s="2"/>
      <c r="KPD2" s="2"/>
      <c r="KPE2" s="2"/>
      <c r="KPF2" s="2"/>
      <c r="KPG2" s="2"/>
      <c r="KPH2" s="2"/>
      <c r="KPI2" s="2"/>
      <c r="KPJ2" s="2"/>
      <c r="KPK2" s="2"/>
      <c r="KPL2" s="2"/>
      <c r="KPM2" s="2"/>
      <c r="KPN2" s="2"/>
      <c r="KPO2" s="2"/>
      <c r="KPP2" s="2"/>
      <c r="KPQ2" s="2"/>
      <c r="KPR2" s="2"/>
      <c r="KPS2" s="2"/>
      <c r="KPT2" s="2"/>
      <c r="KPU2" s="2"/>
      <c r="KPV2" s="2"/>
      <c r="KPW2" s="2"/>
      <c r="KPX2" s="2"/>
      <c r="KPY2" s="2"/>
      <c r="KPZ2" s="2"/>
      <c r="KQA2" s="2"/>
      <c r="KQB2" s="2"/>
      <c r="KQC2" s="2"/>
      <c r="KQD2" s="2"/>
      <c r="KQE2" s="2"/>
      <c r="KQF2" s="2"/>
      <c r="KQG2" s="2"/>
      <c r="KQH2" s="2"/>
      <c r="KQI2" s="2"/>
      <c r="KQJ2" s="2"/>
      <c r="KQK2" s="2"/>
      <c r="KQL2" s="2"/>
      <c r="KQM2" s="2"/>
      <c r="KQN2" s="2"/>
      <c r="KQO2" s="2"/>
      <c r="KQP2" s="2"/>
      <c r="KQQ2" s="2"/>
      <c r="KQR2" s="2"/>
      <c r="KQS2" s="2"/>
      <c r="KQT2" s="2"/>
      <c r="KQU2" s="2"/>
      <c r="KQV2" s="2"/>
      <c r="KQW2" s="2"/>
      <c r="KQX2" s="2"/>
      <c r="KQY2" s="2"/>
      <c r="KQZ2" s="2"/>
      <c r="KRA2" s="2"/>
      <c r="KRB2" s="2"/>
      <c r="KRC2" s="2"/>
      <c r="KRD2" s="2"/>
      <c r="KRE2" s="2"/>
      <c r="KRF2" s="2"/>
      <c r="KRG2" s="2"/>
      <c r="KRH2" s="2"/>
      <c r="KRI2" s="2"/>
      <c r="KRJ2" s="2"/>
      <c r="KRK2" s="2"/>
      <c r="KRL2" s="2"/>
      <c r="KRM2" s="2"/>
      <c r="KRN2" s="2"/>
      <c r="KRO2" s="2"/>
      <c r="KRP2" s="2"/>
      <c r="KRQ2" s="2"/>
      <c r="KRR2" s="2"/>
      <c r="KRS2" s="2"/>
      <c r="KRT2" s="2"/>
      <c r="KRU2" s="2"/>
      <c r="KRV2" s="2"/>
      <c r="KRW2" s="2"/>
      <c r="KRX2" s="2"/>
      <c r="KRY2" s="2"/>
      <c r="KRZ2" s="2"/>
      <c r="KSA2" s="2"/>
      <c r="KSB2" s="2"/>
      <c r="KSC2" s="2"/>
      <c r="KSD2" s="2"/>
      <c r="KSE2" s="2"/>
      <c r="KSF2" s="2"/>
      <c r="KSG2" s="2"/>
      <c r="KSH2" s="2"/>
      <c r="KSI2" s="2"/>
      <c r="KSJ2" s="2"/>
      <c r="KSK2" s="2"/>
      <c r="KSL2" s="2"/>
      <c r="KSM2" s="2"/>
      <c r="KSN2" s="2"/>
      <c r="KSO2" s="2"/>
      <c r="KSP2" s="2"/>
      <c r="KSQ2" s="2"/>
      <c r="KSR2" s="2"/>
      <c r="KSS2" s="2"/>
      <c r="KST2" s="2"/>
      <c r="KSU2" s="2"/>
      <c r="KSV2" s="2"/>
      <c r="KSW2" s="2"/>
      <c r="KSX2" s="2"/>
      <c r="KSY2" s="2"/>
      <c r="KSZ2" s="2"/>
      <c r="KTA2" s="2"/>
      <c r="KTB2" s="2"/>
      <c r="KTC2" s="2"/>
      <c r="KTD2" s="2"/>
      <c r="KTE2" s="2"/>
      <c r="KTF2" s="2"/>
      <c r="KTG2" s="2"/>
      <c r="KTH2" s="2"/>
      <c r="KTI2" s="2"/>
      <c r="KTJ2" s="2"/>
      <c r="KTK2" s="2"/>
      <c r="KTL2" s="2"/>
      <c r="KTM2" s="2"/>
      <c r="KTN2" s="2"/>
      <c r="KTO2" s="2"/>
      <c r="KTP2" s="2"/>
      <c r="KTQ2" s="2"/>
      <c r="KTR2" s="2"/>
      <c r="KTS2" s="2"/>
      <c r="KTT2" s="2"/>
      <c r="KTU2" s="2"/>
      <c r="KTV2" s="2"/>
      <c r="KTW2" s="2"/>
      <c r="KTX2" s="2"/>
      <c r="KTY2" s="2"/>
      <c r="KTZ2" s="2"/>
      <c r="KUA2" s="2"/>
      <c r="KUB2" s="2"/>
      <c r="KUC2" s="2"/>
      <c r="KUD2" s="2"/>
      <c r="KUE2" s="2"/>
      <c r="KUF2" s="2"/>
      <c r="KUG2" s="2"/>
      <c r="KUH2" s="2"/>
      <c r="KUI2" s="2"/>
      <c r="KUJ2" s="2"/>
      <c r="KUK2" s="2"/>
      <c r="KUL2" s="2"/>
      <c r="KUM2" s="2"/>
      <c r="KUN2" s="2"/>
      <c r="KUO2" s="2"/>
      <c r="KUP2" s="2"/>
      <c r="KUQ2" s="2"/>
      <c r="KUR2" s="2"/>
      <c r="KUS2" s="2"/>
      <c r="KUT2" s="2"/>
      <c r="KUU2" s="2"/>
      <c r="KUV2" s="2"/>
      <c r="KUW2" s="2"/>
      <c r="KUX2" s="2"/>
      <c r="KUY2" s="2"/>
      <c r="KUZ2" s="2"/>
      <c r="KVA2" s="2"/>
      <c r="KVB2" s="2"/>
      <c r="KVC2" s="2"/>
      <c r="KVD2" s="2"/>
      <c r="KVE2" s="2"/>
      <c r="KVF2" s="2"/>
      <c r="KVG2" s="2"/>
      <c r="KVH2" s="2"/>
      <c r="KVI2" s="2"/>
      <c r="KVJ2" s="2"/>
      <c r="KVK2" s="2"/>
      <c r="KVL2" s="2"/>
      <c r="KVM2" s="2"/>
      <c r="KVN2" s="2"/>
      <c r="KVO2" s="2"/>
      <c r="KVP2" s="2"/>
      <c r="KVQ2" s="2"/>
      <c r="KVR2" s="2"/>
      <c r="KVS2" s="2"/>
      <c r="KVT2" s="2"/>
      <c r="KVU2" s="2"/>
      <c r="KVV2" s="2"/>
      <c r="KVW2" s="2"/>
      <c r="KVX2" s="2"/>
      <c r="KVY2" s="2"/>
      <c r="KVZ2" s="2"/>
      <c r="KWA2" s="2"/>
      <c r="KWB2" s="2"/>
      <c r="KWC2" s="2"/>
      <c r="KWD2" s="2"/>
      <c r="KWE2" s="2"/>
      <c r="KWF2" s="2"/>
      <c r="KWG2" s="2"/>
      <c r="KWH2" s="2"/>
      <c r="KWI2" s="2"/>
      <c r="KWJ2" s="2"/>
      <c r="KWK2" s="2"/>
      <c r="KWL2" s="2"/>
      <c r="KWM2" s="2"/>
      <c r="KWN2" s="2"/>
      <c r="KWO2" s="2"/>
      <c r="KWP2" s="2"/>
      <c r="KWQ2" s="2"/>
      <c r="KWR2" s="2"/>
      <c r="KWS2" s="2"/>
      <c r="KWT2" s="2"/>
      <c r="KWU2" s="2"/>
      <c r="KWV2" s="2"/>
      <c r="KWW2" s="2"/>
      <c r="KWX2" s="2"/>
      <c r="KWY2" s="2"/>
      <c r="KWZ2" s="2"/>
      <c r="KXA2" s="2"/>
      <c r="KXB2" s="2"/>
      <c r="KXC2" s="2"/>
      <c r="KXD2" s="2"/>
      <c r="KXE2" s="2"/>
      <c r="KXF2" s="2"/>
      <c r="KXG2" s="2"/>
      <c r="KXH2" s="2"/>
      <c r="KXI2" s="2"/>
      <c r="KXJ2" s="2"/>
      <c r="KXK2" s="2"/>
      <c r="KXL2" s="2"/>
      <c r="KXM2" s="2"/>
      <c r="KXN2" s="2"/>
      <c r="KXO2" s="2"/>
      <c r="KXP2" s="2"/>
      <c r="KXQ2" s="2"/>
      <c r="KXR2" s="2"/>
      <c r="KXS2" s="2"/>
      <c r="KXT2" s="2"/>
      <c r="KXU2" s="2"/>
      <c r="KXV2" s="2"/>
      <c r="KXW2" s="2"/>
      <c r="KXX2" s="2"/>
      <c r="KXY2" s="2"/>
      <c r="KXZ2" s="2"/>
      <c r="KYA2" s="2"/>
      <c r="KYB2" s="2"/>
      <c r="KYC2" s="2"/>
      <c r="KYD2" s="2"/>
      <c r="KYE2" s="2"/>
      <c r="KYF2" s="2"/>
      <c r="KYG2" s="2"/>
      <c r="KYH2" s="2"/>
      <c r="KYI2" s="2"/>
      <c r="KYJ2" s="2"/>
      <c r="KYK2" s="2"/>
      <c r="KYL2" s="2"/>
      <c r="KYM2" s="2"/>
      <c r="KYN2" s="2"/>
      <c r="KYO2" s="2"/>
      <c r="KYP2" s="2"/>
      <c r="KYQ2" s="2"/>
      <c r="KYR2" s="2"/>
      <c r="KYS2" s="2"/>
      <c r="KYT2" s="2"/>
      <c r="KYU2" s="2"/>
      <c r="KYV2" s="2"/>
      <c r="KYW2" s="2"/>
      <c r="KYX2" s="2"/>
      <c r="KYY2" s="2"/>
      <c r="KYZ2" s="2"/>
      <c r="KZA2" s="2"/>
      <c r="KZB2" s="2"/>
      <c r="KZC2" s="2"/>
      <c r="KZD2" s="2"/>
      <c r="KZE2" s="2"/>
      <c r="KZF2" s="2"/>
      <c r="KZG2" s="2"/>
      <c r="KZH2" s="2"/>
      <c r="KZI2" s="2"/>
      <c r="KZJ2" s="2"/>
      <c r="KZK2" s="2"/>
      <c r="KZL2" s="2"/>
      <c r="KZM2" s="2"/>
      <c r="KZN2" s="2"/>
      <c r="KZO2" s="2"/>
      <c r="KZP2" s="2"/>
      <c r="KZQ2" s="2"/>
      <c r="KZR2" s="2"/>
      <c r="KZS2" s="2"/>
      <c r="KZT2" s="2"/>
      <c r="KZU2" s="2"/>
      <c r="KZV2" s="2"/>
      <c r="KZW2" s="2"/>
      <c r="KZX2" s="2"/>
      <c r="KZY2" s="2"/>
      <c r="KZZ2" s="2"/>
      <c r="LAA2" s="2"/>
      <c r="LAB2" s="2"/>
      <c r="LAC2" s="2"/>
      <c r="LAD2" s="2"/>
      <c r="LAE2" s="2"/>
      <c r="LAF2" s="2"/>
      <c r="LAG2" s="2"/>
      <c r="LAH2" s="2"/>
      <c r="LAI2" s="2"/>
      <c r="LAJ2" s="2"/>
      <c r="LAK2" s="2"/>
      <c r="LAL2" s="2"/>
      <c r="LAM2" s="2"/>
      <c r="LAN2" s="2"/>
      <c r="LAO2" s="2"/>
      <c r="LAP2" s="2"/>
      <c r="LAQ2" s="2"/>
      <c r="LAR2" s="2"/>
      <c r="LAS2" s="2"/>
      <c r="LAT2" s="2"/>
      <c r="LAU2" s="2"/>
      <c r="LAV2" s="2"/>
      <c r="LAW2" s="2"/>
      <c r="LAX2" s="2"/>
      <c r="LAY2" s="2"/>
      <c r="LAZ2" s="2"/>
      <c r="LBA2" s="2"/>
      <c r="LBB2" s="2"/>
      <c r="LBC2" s="2"/>
      <c r="LBD2" s="2"/>
      <c r="LBE2" s="2"/>
      <c r="LBF2" s="2"/>
      <c r="LBG2" s="2"/>
      <c r="LBH2" s="2"/>
      <c r="LBI2" s="2"/>
      <c r="LBJ2" s="2"/>
      <c r="LBK2" s="2"/>
      <c r="LBL2" s="2"/>
      <c r="LBM2" s="2"/>
      <c r="LBN2" s="2"/>
      <c r="LBO2" s="2"/>
      <c r="LBP2" s="2"/>
      <c r="LBQ2" s="2"/>
      <c r="LBR2" s="2"/>
      <c r="LBS2" s="2"/>
      <c r="LBT2" s="2"/>
      <c r="LBU2" s="2"/>
      <c r="LBV2" s="2"/>
      <c r="LBW2" s="2"/>
      <c r="LBX2" s="2"/>
      <c r="LBY2" s="2"/>
      <c r="LBZ2" s="2"/>
      <c r="LCA2" s="2"/>
      <c r="LCB2" s="2"/>
      <c r="LCC2" s="2"/>
      <c r="LCD2" s="2"/>
      <c r="LCE2" s="2"/>
      <c r="LCF2" s="2"/>
      <c r="LCG2" s="2"/>
      <c r="LCH2" s="2"/>
      <c r="LCI2" s="2"/>
      <c r="LCJ2" s="2"/>
      <c r="LCK2" s="2"/>
      <c r="LCL2" s="2"/>
      <c r="LCM2" s="2"/>
      <c r="LCN2" s="2"/>
      <c r="LCO2" s="2"/>
      <c r="LCP2" s="2"/>
      <c r="LCQ2" s="2"/>
      <c r="LCR2" s="2"/>
      <c r="LCS2" s="2"/>
      <c r="LCT2" s="2"/>
      <c r="LCU2" s="2"/>
      <c r="LCV2" s="2"/>
      <c r="LCW2" s="2"/>
      <c r="LCX2" s="2"/>
      <c r="LCY2" s="2"/>
      <c r="LCZ2" s="2"/>
      <c r="LDA2" s="2"/>
      <c r="LDB2" s="2"/>
      <c r="LDC2" s="2"/>
      <c r="LDD2" s="2"/>
      <c r="LDE2" s="2"/>
      <c r="LDF2" s="2"/>
      <c r="LDG2" s="2"/>
      <c r="LDH2" s="2"/>
      <c r="LDI2" s="2"/>
      <c r="LDJ2" s="2"/>
      <c r="LDK2" s="2"/>
      <c r="LDL2" s="2"/>
      <c r="LDM2" s="2"/>
      <c r="LDN2" s="2"/>
      <c r="LDO2" s="2"/>
      <c r="LDP2" s="2"/>
      <c r="LDQ2" s="2"/>
      <c r="LDR2" s="2"/>
      <c r="LDS2" s="2"/>
      <c r="LDT2" s="2"/>
      <c r="LDU2" s="2"/>
      <c r="LDV2" s="2"/>
      <c r="LDW2" s="2"/>
      <c r="LDX2" s="2"/>
      <c r="LDY2" s="2"/>
      <c r="LDZ2" s="2"/>
      <c r="LEA2" s="2"/>
      <c r="LEB2" s="2"/>
      <c r="LEC2" s="2"/>
      <c r="LED2" s="2"/>
      <c r="LEE2" s="2"/>
      <c r="LEF2" s="2"/>
      <c r="LEG2" s="2"/>
      <c r="LEH2" s="2"/>
      <c r="LEI2" s="2"/>
      <c r="LEJ2" s="2"/>
      <c r="LEK2" s="2"/>
      <c r="LEL2" s="2"/>
      <c r="LEM2" s="2"/>
      <c r="LEN2" s="2"/>
      <c r="LEO2" s="2"/>
      <c r="LEP2" s="2"/>
      <c r="LEQ2" s="2"/>
      <c r="LER2" s="2"/>
      <c r="LES2" s="2"/>
      <c r="LET2" s="2"/>
      <c r="LEU2" s="2"/>
      <c r="LEV2" s="2"/>
      <c r="LEW2" s="2"/>
      <c r="LEX2" s="2"/>
      <c r="LEY2" s="2"/>
      <c r="LEZ2" s="2"/>
      <c r="LFA2" s="2"/>
      <c r="LFB2" s="2"/>
      <c r="LFC2" s="2"/>
      <c r="LFD2" s="2"/>
      <c r="LFE2" s="2"/>
      <c r="LFF2" s="2"/>
      <c r="LFG2" s="2"/>
      <c r="LFH2" s="2"/>
      <c r="LFI2" s="2"/>
      <c r="LFJ2" s="2"/>
      <c r="LFK2" s="2"/>
      <c r="LFL2" s="2"/>
      <c r="LFM2" s="2"/>
      <c r="LFN2" s="2"/>
      <c r="LFO2" s="2"/>
      <c r="LFP2" s="2"/>
      <c r="LFQ2" s="2"/>
      <c r="LFR2" s="2"/>
      <c r="LFS2" s="2"/>
      <c r="LFT2" s="2"/>
      <c r="LFU2" s="2"/>
      <c r="LFV2" s="2"/>
      <c r="LFW2" s="2"/>
      <c r="LFX2" s="2"/>
      <c r="LFY2" s="2"/>
      <c r="LFZ2" s="2"/>
      <c r="LGA2" s="2"/>
      <c r="LGB2" s="2"/>
      <c r="LGC2" s="2"/>
      <c r="LGD2" s="2"/>
      <c r="LGE2" s="2"/>
      <c r="LGF2" s="2"/>
      <c r="LGG2" s="2"/>
      <c r="LGH2" s="2"/>
      <c r="LGI2" s="2"/>
      <c r="LGJ2" s="2"/>
      <c r="LGK2" s="2"/>
      <c r="LGL2" s="2"/>
      <c r="LGM2" s="2"/>
      <c r="LGN2" s="2"/>
      <c r="LGO2" s="2"/>
      <c r="LGP2" s="2"/>
      <c r="LGQ2" s="2"/>
      <c r="LGR2" s="2"/>
      <c r="LGS2" s="2"/>
      <c r="LGT2" s="2"/>
      <c r="LGU2" s="2"/>
      <c r="LGV2" s="2"/>
      <c r="LGW2" s="2"/>
      <c r="LGX2" s="2"/>
      <c r="LGY2" s="2"/>
      <c r="LGZ2" s="2"/>
      <c r="LHA2" s="2"/>
      <c r="LHB2" s="2"/>
      <c r="LHC2" s="2"/>
      <c r="LHD2" s="2"/>
      <c r="LHE2" s="2"/>
      <c r="LHF2" s="2"/>
      <c r="LHG2" s="2"/>
      <c r="LHH2" s="2"/>
      <c r="LHI2" s="2"/>
      <c r="LHJ2" s="2"/>
      <c r="LHK2" s="2"/>
      <c r="LHL2" s="2"/>
      <c r="LHM2" s="2"/>
      <c r="LHN2" s="2"/>
      <c r="LHO2" s="2"/>
      <c r="LHP2" s="2"/>
      <c r="LHQ2" s="2"/>
      <c r="LHR2" s="2"/>
      <c r="LHS2" s="2"/>
      <c r="LHT2" s="2"/>
      <c r="LHU2" s="2"/>
      <c r="LHV2" s="2"/>
      <c r="LHW2" s="2"/>
      <c r="LHX2" s="2"/>
      <c r="LHY2" s="2"/>
      <c r="LHZ2" s="2"/>
      <c r="LIA2" s="2"/>
      <c r="LIB2" s="2"/>
      <c r="LIC2" s="2"/>
      <c r="LID2" s="2"/>
      <c r="LIE2" s="2"/>
      <c r="LIF2" s="2"/>
      <c r="LIG2" s="2"/>
      <c r="LIH2" s="2"/>
      <c r="LII2" s="2"/>
      <c r="LIJ2" s="2"/>
      <c r="LIK2" s="2"/>
      <c r="LIL2" s="2"/>
      <c r="LIM2" s="2"/>
      <c r="LIN2" s="2"/>
      <c r="LIO2" s="2"/>
      <c r="LIP2" s="2"/>
      <c r="LIQ2" s="2"/>
      <c r="LIR2" s="2"/>
      <c r="LIS2" s="2"/>
      <c r="LIT2" s="2"/>
      <c r="LIU2" s="2"/>
      <c r="LIV2" s="2"/>
      <c r="LIW2" s="2"/>
      <c r="LIX2" s="2"/>
      <c r="LIY2" s="2"/>
      <c r="LIZ2" s="2"/>
      <c r="LJA2" s="2"/>
      <c r="LJB2" s="2"/>
      <c r="LJC2" s="2"/>
      <c r="LJD2" s="2"/>
      <c r="LJE2" s="2"/>
      <c r="LJF2" s="2"/>
      <c r="LJG2" s="2"/>
      <c r="LJH2" s="2"/>
      <c r="LJI2" s="2"/>
      <c r="LJJ2" s="2"/>
      <c r="LJK2" s="2"/>
      <c r="LJL2" s="2"/>
      <c r="LJM2" s="2"/>
      <c r="LJN2" s="2"/>
      <c r="LJO2" s="2"/>
      <c r="LJP2" s="2"/>
      <c r="LJQ2" s="2"/>
      <c r="LJR2" s="2"/>
      <c r="LJS2" s="2"/>
      <c r="LJT2" s="2"/>
      <c r="LJU2" s="2"/>
      <c r="LJV2" s="2"/>
      <c r="LJW2" s="2"/>
      <c r="LJX2" s="2"/>
      <c r="LJY2" s="2"/>
      <c r="LJZ2" s="2"/>
      <c r="LKA2" s="2"/>
      <c r="LKB2" s="2"/>
      <c r="LKC2" s="2"/>
      <c r="LKD2" s="2"/>
      <c r="LKE2" s="2"/>
      <c r="LKF2" s="2"/>
      <c r="LKG2" s="2"/>
      <c r="LKH2" s="2"/>
      <c r="LKI2" s="2"/>
      <c r="LKJ2" s="2"/>
      <c r="LKK2" s="2"/>
      <c r="LKL2" s="2"/>
      <c r="LKM2" s="2"/>
      <c r="LKN2" s="2"/>
      <c r="LKO2" s="2"/>
      <c r="LKP2" s="2"/>
      <c r="LKQ2" s="2"/>
      <c r="LKR2" s="2"/>
      <c r="LKS2" s="2"/>
      <c r="LKT2" s="2"/>
      <c r="LKU2" s="2"/>
      <c r="LKV2" s="2"/>
      <c r="LKW2" s="2"/>
      <c r="LKX2" s="2"/>
      <c r="LKY2" s="2"/>
      <c r="LKZ2" s="2"/>
      <c r="LLA2" s="2"/>
      <c r="LLB2" s="2"/>
      <c r="LLC2" s="2"/>
      <c r="LLD2" s="2"/>
      <c r="LLE2" s="2"/>
      <c r="LLF2" s="2"/>
      <c r="LLG2" s="2"/>
      <c r="LLH2" s="2"/>
      <c r="LLI2" s="2"/>
      <c r="LLJ2" s="2"/>
      <c r="LLK2" s="2"/>
      <c r="LLL2" s="2"/>
      <c r="LLM2" s="2"/>
      <c r="LLN2" s="2"/>
      <c r="LLO2" s="2"/>
      <c r="LLP2" s="2"/>
      <c r="LLQ2" s="2"/>
      <c r="LLR2" s="2"/>
      <c r="LLS2" s="2"/>
      <c r="LLT2" s="2"/>
      <c r="LLU2" s="2"/>
      <c r="LLV2" s="2"/>
      <c r="LLW2" s="2"/>
      <c r="LLX2" s="2"/>
      <c r="LLY2" s="2"/>
      <c r="LLZ2" s="2"/>
      <c r="LMA2" s="2"/>
      <c r="LMB2" s="2"/>
      <c r="LMC2" s="2"/>
      <c r="LMD2" s="2"/>
      <c r="LME2" s="2"/>
      <c r="LMF2" s="2"/>
      <c r="LMG2" s="2"/>
      <c r="LMH2" s="2"/>
      <c r="LMI2" s="2"/>
      <c r="LMJ2" s="2"/>
      <c r="LMK2" s="2"/>
      <c r="LML2" s="2"/>
      <c r="LMM2" s="2"/>
      <c r="LMN2" s="2"/>
      <c r="LMO2" s="2"/>
      <c r="LMP2" s="2"/>
      <c r="LMQ2" s="2"/>
      <c r="LMR2" s="2"/>
      <c r="LMS2" s="2"/>
      <c r="LMT2" s="2"/>
      <c r="LMU2" s="2"/>
      <c r="LMV2" s="2"/>
      <c r="LMW2" s="2"/>
      <c r="LMX2" s="2"/>
      <c r="LMY2" s="2"/>
      <c r="LMZ2" s="2"/>
      <c r="LNA2" s="2"/>
      <c r="LNB2" s="2"/>
      <c r="LNC2" s="2"/>
      <c r="LND2" s="2"/>
      <c r="LNE2" s="2"/>
      <c r="LNF2" s="2"/>
      <c r="LNG2" s="2"/>
      <c r="LNH2" s="2"/>
      <c r="LNI2" s="2"/>
      <c r="LNJ2" s="2"/>
      <c r="LNK2" s="2"/>
      <c r="LNL2" s="2"/>
      <c r="LNM2" s="2"/>
      <c r="LNN2" s="2"/>
      <c r="LNO2" s="2"/>
      <c r="LNP2" s="2"/>
      <c r="LNQ2" s="2"/>
      <c r="LNR2" s="2"/>
      <c r="LNS2" s="2"/>
      <c r="LNT2" s="2"/>
      <c r="LNU2" s="2"/>
      <c r="LNV2" s="2"/>
      <c r="LNW2" s="2"/>
      <c r="LNX2" s="2"/>
      <c r="LNY2" s="2"/>
      <c r="LNZ2" s="2"/>
      <c r="LOA2" s="2"/>
      <c r="LOB2" s="2"/>
      <c r="LOC2" s="2"/>
      <c r="LOD2" s="2"/>
      <c r="LOE2" s="2"/>
      <c r="LOF2" s="2"/>
      <c r="LOG2" s="2"/>
      <c r="LOH2" s="2"/>
      <c r="LOI2" s="2"/>
      <c r="LOJ2" s="2"/>
      <c r="LOK2" s="2"/>
      <c r="LOL2" s="2"/>
      <c r="LOM2" s="2"/>
      <c r="LON2" s="2"/>
      <c r="LOO2" s="2"/>
      <c r="LOP2" s="2"/>
      <c r="LOQ2" s="2"/>
      <c r="LOR2" s="2"/>
      <c r="LOS2" s="2"/>
      <c r="LOT2" s="2"/>
      <c r="LOU2" s="2"/>
      <c r="LOV2" s="2"/>
      <c r="LOW2" s="2"/>
      <c r="LOX2" s="2"/>
      <c r="LOY2" s="2"/>
      <c r="LOZ2" s="2"/>
      <c r="LPA2" s="2"/>
      <c r="LPB2" s="2"/>
      <c r="LPC2" s="2"/>
      <c r="LPD2" s="2"/>
      <c r="LPE2" s="2"/>
      <c r="LPF2" s="2"/>
      <c r="LPG2" s="2"/>
      <c r="LPH2" s="2"/>
      <c r="LPI2" s="2"/>
      <c r="LPJ2" s="2"/>
      <c r="LPK2" s="2"/>
      <c r="LPL2" s="2"/>
      <c r="LPM2" s="2"/>
      <c r="LPN2" s="2"/>
      <c r="LPO2" s="2"/>
      <c r="LPP2" s="2"/>
      <c r="LPQ2" s="2"/>
      <c r="LPR2" s="2"/>
      <c r="LPS2" s="2"/>
      <c r="LPT2" s="2"/>
      <c r="LPU2" s="2"/>
      <c r="LPV2" s="2"/>
      <c r="LPW2" s="2"/>
      <c r="LPX2" s="2"/>
      <c r="LPY2" s="2"/>
      <c r="LPZ2" s="2"/>
      <c r="LQA2" s="2"/>
      <c r="LQB2" s="2"/>
      <c r="LQC2" s="2"/>
      <c r="LQD2" s="2"/>
      <c r="LQE2" s="2"/>
      <c r="LQF2" s="2"/>
      <c r="LQG2" s="2"/>
      <c r="LQH2" s="2"/>
      <c r="LQI2" s="2"/>
      <c r="LQJ2" s="2"/>
      <c r="LQK2" s="2"/>
      <c r="LQL2" s="2"/>
      <c r="LQM2" s="2"/>
      <c r="LQN2" s="2"/>
      <c r="LQO2" s="2"/>
      <c r="LQP2" s="2"/>
      <c r="LQQ2" s="2"/>
      <c r="LQR2" s="2"/>
      <c r="LQS2" s="2"/>
      <c r="LQT2" s="2"/>
      <c r="LQU2" s="2"/>
      <c r="LQV2" s="2"/>
      <c r="LQW2" s="2"/>
      <c r="LQX2" s="2"/>
      <c r="LQY2" s="2"/>
      <c r="LQZ2" s="2"/>
      <c r="LRA2" s="2"/>
      <c r="LRB2" s="2"/>
      <c r="LRC2" s="2"/>
      <c r="LRD2" s="2"/>
      <c r="LRE2" s="2"/>
      <c r="LRF2" s="2"/>
      <c r="LRG2" s="2"/>
      <c r="LRH2" s="2"/>
      <c r="LRI2" s="2"/>
      <c r="LRJ2" s="2"/>
      <c r="LRK2" s="2"/>
      <c r="LRL2" s="2"/>
      <c r="LRM2" s="2"/>
      <c r="LRN2" s="2"/>
      <c r="LRO2" s="2"/>
      <c r="LRP2" s="2"/>
      <c r="LRQ2" s="2"/>
      <c r="LRR2" s="2"/>
      <c r="LRS2" s="2"/>
      <c r="LRT2" s="2"/>
      <c r="LRU2" s="2"/>
      <c r="LRV2" s="2"/>
      <c r="LRW2" s="2"/>
      <c r="LRX2" s="2"/>
      <c r="LRY2" s="2"/>
      <c r="LRZ2" s="2"/>
      <c r="LSA2" s="2"/>
      <c r="LSB2" s="2"/>
      <c r="LSC2" s="2"/>
      <c r="LSD2" s="2"/>
      <c r="LSE2" s="2"/>
      <c r="LSF2" s="2"/>
      <c r="LSG2" s="2"/>
      <c r="LSH2" s="2"/>
      <c r="LSI2" s="2"/>
      <c r="LSJ2" s="2"/>
      <c r="LSK2" s="2"/>
      <c r="LSL2" s="2"/>
      <c r="LSM2" s="2"/>
      <c r="LSN2" s="2"/>
      <c r="LSO2" s="2"/>
      <c r="LSP2" s="2"/>
      <c r="LSQ2" s="2"/>
      <c r="LSR2" s="2"/>
      <c r="LSS2" s="2"/>
      <c r="LST2" s="2"/>
      <c r="LSU2" s="2"/>
      <c r="LSV2" s="2"/>
      <c r="LSW2" s="2"/>
      <c r="LSX2" s="2"/>
      <c r="LSY2" s="2"/>
      <c r="LSZ2" s="2"/>
      <c r="LTA2" s="2"/>
      <c r="LTB2" s="2"/>
      <c r="LTC2" s="2"/>
      <c r="LTD2" s="2"/>
      <c r="LTE2" s="2"/>
      <c r="LTF2" s="2"/>
      <c r="LTG2" s="2"/>
      <c r="LTH2" s="2"/>
      <c r="LTI2" s="2"/>
      <c r="LTJ2" s="2"/>
      <c r="LTK2" s="2"/>
      <c r="LTL2" s="2"/>
      <c r="LTM2" s="2"/>
      <c r="LTN2" s="2"/>
      <c r="LTO2" s="2"/>
      <c r="LTP2" s="2"/>
      <c r="LTQ2" s="2"/>
      <c r="LTR2" s="2"/>
      <c r="LTS2" s="2"/>
      <c r="LTT2" s="2"/>
      <c r="LTU2" s="2"/>
      <c r="LTV2" s="2"/>
      <c r="LTW2" s="2"/>
      <c r="LTX2" s="2"/>
      <c r="LTY2" s="2"/>
      <c r="LTZ2" s="2"/>
      <c r="LUA2" s="2"/>
      <c r="LUB2" s="2"/>
      <c r="LUC2" s="2"/>
      <c r="LUD2" s="2"/>
      <c r="LUE2" s="2"/>
      <c r="LUF2" s="2"/>
      <c r="LUG2" s="2"/>
      <c r="LUH2" s="2"/>
      <c r="LUI2" s="2"/>
      <c r="LUJ2" s="2"/>
      <c r="LUK2" s="2"/>
      <c r="LUL2" s="2"/>
      <c r="LUM2" s="2"/>
      <c r="LUN2" s="2"/>
      <c r="LUO2" s="2"/>
      <c r="LUP2" s="2"/>
      <c r="LUQ2" s="2"/>
      <c r="LUR2" s="2"/>
      <c r="LUS2" s="2"/>
      <c r="LUT2" s="2"/>
      <c r="LUU2" s="2"/>
      <c r="LUV2" s="2"/>
      <c r="LUW2" s="2"/>
      <c r="LUX2" s="2"/>
      <c r="LUY2" s="2"/>
      <c r="LUZ2" s="2"/>
      <c r="LVA2" s="2"/>
      <c r="LVB2" s="2"/>
      <c r="LVC2" s="2"/>
      <c r="LVD2" s="2"/>
      <c r="LVE2" s="2"/>
      <c r="LVF2" s="2"/>
      <c r="LVG2" s="2"/>
      <c r="LVH2" s="2"/>
      <c r="LVI2" s="2"/>
      <c r="LVJ2" s="2"/>
      <c r="LVK2" s="2"/>
      <c r="LVL2" s="2"/>
      <c r="LVM2" s="2"/>
      <c r="LVN2" s="2"/>
      <c r="LVO2" s="2"/>
      <c r="LVP2" s="2"/>
      <c r="LVQ2" s="2"/>
      <c r="LVR2" s="2"/>
      <c r="LVS2" s="2"/>
      <c r="LVT2" s="2"/>
      <c r="LVU2" s="2"/>
      <c r="LVV2" s="2"/>
      <c r="LVW2" s="2"/>
      <c r="LVX2" s="2"/>
      <c r="LVY2" s="2"/>
      <c r="LVZ2" s="2"/>
      <c r="LWA2" s="2"/>
      <c r="LWB2" s="2"/>
      <c r="LWC2" s="2"/>
      <c r="LWD2" s="2"/>
      <c r="LWE2" s="2"/>
      <c r="LWF2" s="2"/>
      <c r="LWG2" s="2"/>
      <c r="LWH2" s="2"/>
      <c r="LWI2" s="2"/>
      <c r="LWJ2" s="2"/>
      <c r="LWK2" s="2"/>
      <c r="LWL2" s="2"/>
      <c r="LWM2" s="2"/>
      <c r="LWN2" s="2"/>
      <c r="LWO2" s="2"/>
      <c r="LWP2" s="2"/>
      <c r="LWQ2" s="2"/>
      <c r="LWR2" s="2"/>
      <c r="LWS2" s="2"/>
      <c r="LWT2" s="2"/>
      <c r="LWU2" s="2"/>
      <c r="LWV2" s="2"/>
      <c r="LWW2" s="2"/>
      <c r="LWX2" s="2"/>
      <c r="LWY2" s="2"/>
      <c r="LWZ2" s="2"/>
      <c r="LXA2" s="2"/>
      <c r="LXB2" s="2"/>
      <c r="LXC2" s="2"/>
      <c r="LXD2" s="2"/>
      <c r="LXE2" s="2"/>
      <c r="LXF2" s="2"/>
      <c r="LXG2" s="2"/>
      <c r="LXH2" s="2"/>
      <c r="LXI2" s="2"/>
      <c r="LXJ2" s="2"/>
      <c r="LXK2" s="2"/>
      <c r="LXL2" s="2"/>
      <c r="LXM2" s="2"/>
      <c r="LXN2" s="2"/>
      <c r="LXO2" s="2"/>
      <c r="LXP2" s="2"/>
      <c r="LXQ2" s="2"/>
      <c r="LXR2" s="2"/>
      <c r="LXS2" s="2"/>
      <c r="LXT2" s="2"/>
      <c r="LXU2" s="2"/>
      <c r="LXV2" s="2"/>
      <c r="LXW2" s="2"/>
      <c r="LXX2" s="2"/>
      <c r="LXY2" s="2"/>
      <c r="LXZ2" s="2"/>
      <c r="LYA2" s="2"/>
      <c r="LYB2" s="2"/>
      <c r="LYC2" s="2"/>
      <c r="LYD2" s="2"/>
      <c r="LYE2" s="2"/>
      <c r="LYF2" s="2"/>
      <c r="LYG2" s="2"/>
      <c r="LYH2" s="2"/>
      <c r="LYI2" s="2"/>
      <c r="LYJ2" s="2"/>
      <c r="LYK2" s="2"/>
      <c r="LYL2" s="2"/>
      <c r="LYM2" s="2"/>
      <c r="LYN2" s="2"/>
      <c r="LYO2" s="2"/>
      <c r="LYP2" s="2"/>
      <c r="LYQ2" s="2"/>
      <c r="LYR2" s="2"/>
      <c r="LYS2" s="2"/>
      <c r="LYT2" s="2"/>
      <c r="LYU2" s="2"/>
      <c r="LYV2" s="2"/>
      <c r="LYW2" s="2"/>
      <c r="LYX2" s="2"/>
      <c r="LYY2" s="2"/>
      <c r="LYZ2" s="2"/>
      <c r="LZA2" s="2"/>
      <c r="LZB2" s="2"/>
      <c r="LZC2" s="2"/>
      <c r="LZD2" s="2"/>
      <c r="LZE2" s="2"/>
      <c r="LZF2" s="2"/>
      <c r="LZG2" s="2"/>
      <c r="LZH2" s="2"/>
      <c r="LZI2" s="2"/>
      <c r="LZJ2" s="2"/>
      <c r="LZK2" s="2"/>
      <c r="LZL2" s="2"/>
      <c r="LZM2" s="2"/>
      <c r="LZN2" s="2"/>
      <c r="LZO2" s="2"/>
      <c r="LZP2" s="2"/>
      <c r="LZQ2" s="2"/>
      <c r="LZR2" s="2"/>
      <c r="LZS2" s="2"/>
      <c r="LZT2" s="2"/>
      <c r="LZU2" s="2"/>
      <c r="LZV2" s="2"/>
      <c r="LZW2" s="2"/>
      <c r="LZX2" s="2"/>
      <c r="LZY2" s="2"/>
      <c r="LZZ2" s="2"/>
      <c r="MAA2" s="2"/>
      <c r="MAB2" s="2"/>
      <c r="MAC2" s="2"/>
      <c r="MAD2" s="2"/>
      <c r="MAE2" s="2"/>
      <c r="MAF2" s="2"/>
      <c r="MAG2" s="2"/>
      <c r="MAH2" s="2"/>
      <c r="MAI2" s="2"/>
      <c r="MAJ2" s="2"/>
      <c r="MAK2" s="2"/>
      <c r="MAL2" s="2"/>
      <c r="MAM2" s="2"/>
      <c r="MAN2" s="2"/>
      <c r="MAO2" s="2"/>
      <c r="MAP2" s="2"/>
      <c r="MAQ2" s="2"/>
      <c r="MAR2" s="2"/>
      <c r="MAS2" s="2"/>
      <c r="MAT2" s="2"/>
      <c r="MAU2" s="2"/>
      <c r="MAV2" s="2"/>
      <c r="MAW2" s="2"/>
      <c r="MAX2" s="2"/>
      <c r="MAY2" s="2"/>
      <c r="MAZ2" s="2"/>
      <c r="MBA2" s="2"/>
      <c r="MBB2" s="2"/>
      <c r="MBC2" s="2"/>
      <c r="MBD2" s="2"/>
      <c r="MBE2" s="2"/>
      <c r="MBF2" s="2"/>
      <c r="MBG2" s="2"/>
      <c r="MBH2" s="2"/>
      <c r="MBI2" s="2"/>
      <c r="MBJ2" s="2"/>
      <c r="MBK2" s="2"/>
      <c r="MBL2" s="2"/>
      <c r="MBM2" s="2"/>
      <c r="MBN2" s="2"/>
      <c r="MBO2" s="2"/>
      <c r="MBP2" s="2"/>
      <c r="MBQ2" s="2"/>
      <c r="MBR2" s="2"/>
      <c r="MBS2" s="2"/>
      <c r="MBT2" s="2"/>
      <c r="MBU2" s="2"/>
      <c r="MBV2" s="2"/>
      <c r="MBW2" s="2"/>
      <c r="MBX2" s="2"/>
      <c r="MBY2" s="2"/>
      <c r="MBZ2" s="2"/>
      <c r="MCA2" s="2"/>
      <c r="MCB2" s="2"/>
      <c r="MCC2" s="2"/>
      <c r="MCD2" s="2"/>
      <c r="MCE2" s="2"/>
      <c r="MCF2" s="2"/>
      <c r="MCG2" s="2"/>
      <c r="MCH2" s="2"/>
      <c r="MCI2" s="2"/>
      <c r="MCJ2" s="2"/>
      <c r="MCK2" s="2"/>
      <c r="MCL2" s="2"/>
      <c r="MCM2" s="2"/>
      <c r="MCN2" s="2"/>
      <c r="MCO2" s="2"/>
      <c r="MCP2" s="2"/>
      <c r="MCQ2" s="2"/>
      <c r="MCR2" s="2"/>
      <c r="MCS2" s="2"/>
      <c r="MCT2" s="2"/>
      <c r="MCU2" s="2"/>
      <c r="MCV2" s="2"/>
      <c r="MCW2" s="2"/>
      <c r="MCX2" s="2"/>
      <c r="MCY2" s="2"/>
      <c r="MCZ2" s="2"/>
      <c r="MDA2" s="2"/>
      <c r="MDB2" s="2"/>
      <c r="MDC2" s="2"/>
      <c r="MDD2" s="2"/>
      <c r="MDE2" s="2"/>
      <c r="MDF2" s="2"/>
      <c r="MDG2" s="2"/>
      <c r="MDH2" s="2"/>
      <c r="MDI2" s="2"/>
      <c r="MDJ2" s="2"/>
      <c r="MDK2" s="2"/>
      <c r="MDL2" s="2"/>
      <c r="MDM2" s="2"/>
      <c r="MDN2" s="2"/>
      <c r="MDO2" s="2"/>
      <c r="MDP2" s="2"/>
      <c r="MDQ2" s="2"/>
      <c r="MDR2" s="2"/>
      <c r="MDS2" s="2"/>
      <c r="MDT2" s="2"/>
      <c r="MDU2" s="2"/>
      <c r="MDV2" s="2"/>
      <c r="MDW2" s="2"/>
      <c r="MDX2" s="2"/>
      <c r="MDY2" s="2"/>
      <c r="MDZ2" s="2"/>
      <c r="MEA2" s="2"/>
      <c r="MEB2" s="2"/>
      <c r="MEC2" s="2"/>
      <c r="MED2" s="2"/>
      <c r="MEE2" s="2"/>
      <c r="MEF2" s="2"/>
      <c r="MEG2" s="2"/>
      <c r="MEH2" s="2"/>
      <c r="MEI2" s="2"/>
      <c r="MEJ2" s="2"/>
      <c r="MEK2" s="2"/>
      <c r="MEL2" s="2"/>
      <c r="MEM2" s="2"/>
      <c r="MEN2" s="2"/>
      <c r="MEO2" s="2"/>
      <c r="MEP2" s="2"/>
      <c r="MEQ2" s="2"/>
      <c r="MER2" s="2"/>
      <c r="MES2" s="2"/>
      <c r="MET2" s="2"/>
      <c r="MEU2" s="2"/>
      <c r="MEV2" s="2"/>
      <c r="MEW2" s="2"/>
      <c r="MEX2" s="2"/>
      <c r="MEY2" s="2"/>
      <c r="MEZ2" s="2"/>
      <c r="MFA2" s="2"/>
      <c r="MFB2" s="2"/>
      <c r="MFC2" s="2"/>
      <c r="MFD2" s="2"/>
      <c r="MFE2" s="2"/>
      <c r="MFF2" s="2"/>
      <c r="MFG2" s="2"/>
      <c r="MFH2" s="2"/>
      <c r="MFI2" s="2"/>
      <c r="MFJ2" s="2"/>
      <c r="MFK2" s="2"/>
      <c r="MFL2" s="2"/>
      <c r="MFM2" s="2"/>
      <c r="MFN2" s="2"/>
      <c r="MFO2" s="2"/>
      <c r="MFP2" s="2"/>
      <c r="MFQ2" s="2"/>
      <c r="MFR2" s="2"/>
      <c r="MFS2" s="2"/>
      <c r="MFT2" s="2"/>
      <c r="MFU2" s="2"/>
      <c r="MFV2" s="2"/>
      <c r="MFW2" s="2"/>
      <c r="MFX2" s="2"/>
      <c r="MFY2" s="2"/>
      <c r="MFZ2" s="2"/>
      <c r="MGA2" s="2"/>
      <c r="MGB2" s="2"/>
      <c r="MGC2" s="2"/>
      <c r="MGD2" s="2"/>
      <c r="MGE2" s="2"/>
      <c r="MGF2" s="2"/>
      <c r="MGG2" s="2"/>
      <c r="MGH2" s="2"/>
      <c r="MGI2" s="2"/>
      <c r="MGJ2" s="2"/>
      <c r="MGK2" s="2"/>
      <c r="MGL2" s="2"/>
      <c r="MGM2" s="2"/>
      <c r="MGN2" s="2"/>
      <c r="MGO2" s="2"/>
      <c r="MGP2" s="2"/>
      <c r="MGQ2" s="2"/>
      <c r="MGR2" s="2"/>
      <c r="MGS2" s="2"/>
      <c r="MGT2" s="2"/>
      <c r="MGU2" s="2"/>
      <c r="MGV2" s="2"/>
      <c r="MGW2" s="2"/>
      <c r="MGX2" s="2"/>
      <c r="MGY2" s="2"/>
      <c r="MGZ2" s="2"/>
      <c r="MHA2" s="2"/>
      <c r="MHB2" s="2"/>
      <c r="MHC2" s="2"/>
      <c r="MHD2" s="2"/>
      <c r="MHE2" s="2"/>
      <c r="MHF2" s="2"/>
      <c r="MHG2" s="2"/>
      <c r="MHH2" s="2"/>
      <c r="MHI2" s="2"/>
      <c r="MHJ2" s="2"/>
      <c r="MHK2" s="2"/>
      <c r="MHL2" s="2"/>
      <c r="MHM2" s="2"/>
      <c r="MHN2" s="2"/>
      <c r="MHO2" s="2"/>
      <c r="MHP2" s="2"/>
      <c r="MHQ2" s="2"/>
      <c r="MHR2" s="2"/>
      <c r="MHS2" s="2"/>
      <c r="MHT2" s="2"/>
      <c r="MHU2" s="2"/>
      <c r="MHV2" s="2"/>
      <c r="MHW2" s="2"/>
      <c r="MHX2" s="2"/>
      <c r="MHY2" s="2"/>
      <c r="MHZ2" s="2"/>
      <c r="MIA2" s="2"/>
      <c r="MIB2" s="2"/>
      <c r="MIC2" s="2"/>
      <c r="MID2" s="2"/>
      <c r="MIE2" s="2"/>
      <c r="MIF2" s="2"/>
      <c r="MIG2" s="2"/>
      <c r="MIH2" s="2"/>
      <c r="MII2" s="2"/>
      <c r="MIJ2" s="2"/>
      <c r="MIK2" s="2"/>
      <c r="MIL2" s="2"/>
      <c r="MIM2" s="2"/>
      <c r="MIN2" s="2"/>
      <c r="MIO2" s="2"/>
      <c r="MIP2" s="2"/>
      <c r="MIQ2" s="2"/>
      <c r="MIR2" s="2"/>
      <c r="MIS2" s="2"/>
      <c r="MIT2" s="2"/>
      <c r="MIU2" s="2"/>
      <c r="MIV2" s="2"/>
      <c r="MIW2" s="2"/>
      <c r="MIX2" s="2"/>
      <c r="MIY2" s="2"/>
      <c r="MIZ2" s="2"/>
      <c r="MJA2" s="2"/>
      <c r="MJB2" s="2"/>
      <c r="MJC2" s="2"/>
      <c r="MJD2" s="2"/>
      <c r="MJE2" s="2"/>
      <c r="MJF2" s="2"/>
      <c r="MJG2" s="2"/>
      <c r="MJH2" s="2"/>
      <c r="MJI2" s="2"/>
      <c r="MJJ2" s="2"/>
      <c r="MJK2" s="2"/>
      <c r="MJL2" s="2"/>
      <c r="MJM2" s="2"/>
      <c r="MJN2" s="2"/>
      <c r="MJO2" s="2"/>
      <c r="MJP2" s="2"/>
      <c r="MJQ2" s="2"/>
      <c r="MJR2" s="2"/>
      <c r="MJS2" s="2"/>
      <c r="MJT2" s="2"/>
      <c r="MJU2" s="2"/>
      <c r="MJV2" s="2"/>
      <c r="MJW2" s="2"/>
      <c r="MJX2" s="2"/>
      <c r="MJY2" s="2"/>
      <c r="MJZ2" s="2"/>
      <c r="MKA2" s="2"/>
      <c r="MKB2" s="2"/>
      <c r="MKC2" s="2"/>
      <c r="MKD2" s="2"/>
      <c r="MKE2" s="2"/>
      <c r="MKF2" s="2"/>
      <c r="MKG2" s="2"/>
      <c r="MKH2" s="2"/>
      <c r="MKI2" s="2"/>
      <c r="MKJ2" s="2"/>
      <c r="MKK2" s="2"/>
      <c r="MKL2" s="2"/>
      <c r="MKM2" s="2"/>
      <c r="MKN2" s="2"/>
      <c r="MKO2" s="2"/>
      <c r="MKP2" s="2"/>
      <c r="MKQ2" s="2"/>
      <c r="MKR2" s="2"/>
      <c r="MKS2" s="2"/>
      <c r="MKT2" s="2"/>
      <c r="MKU2" s="2"/>
      <c r="MKV2" s="2"/>
      <c r="MKW2" s="2"/>
      <c r="MKX2" s="2"/>
      <c r="MKY2" s="2"/>
      <c r="MKZ2" s="2"/>
      <c r="MLA2" s="2"/>
      <c r="MLB2" s="2"/>
      <c r="MLC2" s="2"/>
      <c r="MLD2" s="2"/>
      <c r="MLE2" s="2"/>
      <c r="MLF2" s="2"/>
      <c r="MLG2" s="2"/>
      <c r="MLH2" s="2"/>
      <c r="MLI2" s="2"/>
      <c r="MLJ2" s="2"/>
      <c r="MLK2" s="2"/>
      <c r="MLL2" s="2"/>
      <c r="MLM2" s="2"/>
      <c r="MLN2" s="2"/>
      <c r="MLO2" s="2"/>
      <c r="MLP2" s="2"/>
      <c r="MLQ2" s="2"/>
      <c r="MLR2" s="2"/>
      <c r="MLS2" s="2"/>
      <c r="MLT2" s="2"/>
      <c r="MLU2" s="2"/>
      <c r="MLV2" s="2"/>
      <c r="MLW2" s="2"/>
      <c r="MLX2" s="2"/>
      <c r="MLY2" s="2"/>
      <c r="MLZ2" s="2"/>
      <c r="MMA2" s="2"/>
      <c r="MMB2" s="2"/>
      <c r="MMC2" s="2"/>
      <c r="MMD2" s="2"/>
      <c r="MME2" s="2"/>
      <c r="MMF2" s="2"/>
      <c r="MMG2" s="2"/>
      <c r="MMH2" s="2"/>
      <c r="MMI2" s="2"/>
      <c r="MMJ2" s="2"/>
      <c r="MMK2" s="2"/>
      <c r="MML2" s="2"/>
      <c r="MMM2" s="2"/>
      <c r="MMN2" s="2"/>
      <c r="MMO2" s="2"/>
      <c r="MMP2" s="2"/>
      <c r="MMQ2" s="2"/>
      <c r="MMR2" s="2"/>
      <c r="MMS2" s="2"/>
      <c r="MMT2" s="2"/>
      <c r="MMU2" s="2"/>
      <c r="MMV2" s="2"/>
      <c r="MMW2" s="2"/>
      <c r="MMX2" s="2"/>
      <c r="MMY2" s="2"/>
      <c r="MMZ2" s="2"/>
      <c r="MNA2" s="2"/>
      <c r="MNB2" s="2"/>
      <c r="MNC2" s="2"/>
      <c r="MND2" s="2"/>
      <c r="MNE2" s="2"/>
      <c r="MNF2" s="2"/>
      <c r="MNG2" s="2"/>
      <c r="MNH2" s="2"/>
      <c r="MNI2" s="2"/>
      <c r="MNJ2" s="2"/>
      <c r="MNK2" s="2"/>
      <c r="MNL2" s="2"/>
      <c r="MNM2" s="2"/>
      <c r="MNN2" s="2"/>
      <c r="MNO2" s="2"/>
      <c r="MNP2" s="2"/>
      <c r="MNQ2" s="2"/>
      <c r="MNR2" s="2"/>
      <c r="MNS2" s="2"/>
      <c r="MNT2" s="2"/>
      <c r="MNU2" s="2"/>
      <c r="MNV2" s="2"/>
      <c r="MNW2" s="2"/>
      <c r="MNX2" s="2"/>
      <c r="MNY2" s="2"/>
      <c r="MNZ2" s="2"/>
      <c r="MOA2" s="2"/>
      <c r="MOB2" s="2"/>
      <c r="MOC2" s="2"/>
      <c r="MOD2" s="2"/>
      <c r="MOE2" s="2"/>
      <c r="MOF2" s="2"/>
      <c r="MOG2" s="2"/>
      <c r="MOH2" s="2"/>
      <c r="MOI2" s="2"/>
      <c r="MOJ2" s="2"/>
      <c r="MOK2" s="2"/>
      <c r="MOL2" s="2"/>
      <c r="MOM2" s="2"/>
      <c r="MON2" s="2"/>
      <c r="MOO2" s="2"/>
      <c r="MOP2" s="2"/>
      <c r="MOQ2" s="2"/>
      <c r="MOR2" s="2"/>
      <c r="MOS2" s="2"/>
      <c r="MOT2" s="2"/>
      <c r="MOU2" s="2"/>
      <c r="MOV2" s="2"/>
      <c r="MOW2" s="2"/>
      <c r="MOX2" s="2"/>
      <c r="MOY2" s="2"/>
      <c r="MOZ2" s="2"/>
      <c r="MPA2" s="2"/>
      <c r="MPB2" s="2"/>
      <c r="MPC2" s="2"/>
      <c r="MPD2" s="2"/>
      <c r="MPE2" s="2"/>
      <c r="MPF2" s="2"/>
      <c r="MPG2" s="2"/>
      <c r="MPH2" s="2"/>
      <c r="MPI2" s="2"/>
      <c r="MPJ2" s="2"/>
      <c r="MPK2" s="2"/>
      <c r="MPL2" s="2"/>
      <c r="MPM2" s="2"/>
      <c r="MPN2" s="2"/>
      <c r="MPO2" s="2"/>
      <c r="MPP2" s="2"/>
      <c r="MPQ2" s="2"/>
      <c r="MPR2" s="2"/>
      <c r="MPS2" s="2"/>
      <c r="MPT2" s="2"/>
      <c r="MPU2" s="2"/>
      <c r="MPV2" s="2"/>
      <c r="MPW2" s="2"/>
      <c r="MPX2" s="2"/>
      <c r="MPY2" s="2"/>
      <c r="MPZ2" s="2"/>
      <c r="MQA2" s="2"/>
      <c r="MQB2" s="2"/>
      <c r="MQC2" s="2"/>
      <c r="MQD2" s="2"/>
      <c r="MQE2" s="2"/>
      <c r="MQF2" s="2"/>
      <c r="MQG2" s="2"/>
      <c r="MQH2" s="2"/>
      <c r="MQI2" s="2"/>
      <c r="MQJ2" s="2"/>
      <c r="MQK2" s="2"/>
      <c r="MQL2" s="2"/>
      <c r="MQM2" s="2"/>
      <c r="MQN2" s="2"/>
      <c r="MQO2" s="2"/>
      <c r="MQP2" s="2"/>
      <c r="MQQ2" s="2"/>
      <c r="MQR2" s="2"/>
      <c r="MQS2" s="2"/>
      <c r="MQT2" s="2"/>
      <c r="MQU2" s="2"/>
      <c r="MQV2" s="2"/>
      <c r="MQW2" s="2"/>
      <c r="MQX2" s="2"/>
      <c r="MQY2" s="2"/>
      <c r="MQZ2" s="2"/>
      <c r="MRA2" s="2"/>
      <c r="MRB2" s="2"/>
      <c r="MRC2" s="2"/>
      <c r="MRD2" s="2"/>
      <c r="MRE2" s="2"/>
      <c r="MRF2" s="2"/>
      <c r="MRG2" s="2"/>
      <c r="MRH2" s="2"/>
      <c r="MRI2" s="2"/>
      <c r="MRJ2" s="2"/>
      <c r="MRK2" s="2"/>
      <c r="MRL2" s="2"/>
      <c r="MRM2" s="2"/>
      <c r="MRN2" s="2"/>
      <c r="MRO2" s="2"/>
      <c r="MRP2" s="2"/>
      <c r="MRQ2" s="2"/>
      <c r="MRR2" s="2"/>
      <c r="MRS2" s="2"/>
      <c r="MRT2" s="2"/>
      <c r="MRU2" s="2"/>
      <c r="MRV2" s="2"/>
      <c r="MRW2" s="2"/>
      <c r="MRX2" s="2"/>
      <c r="MRY2" s="2"/>
      <c r="MRZ2" s="2"/>
      <c r="MSA2" s="2"/>
      <c r="MSB2" s="2"/>
      <c r="MSC2" s="2"/>
      <c r="MSD2" s="2"/>
      <c r="MSE2" s="2"/>
      <c r="MSF2" s="2"/>
      <c r="MSG2" s="2"/>
      <c r="MSH2" s="2"/>
      <c r="MSI2" s="2"/>
      <c r="MSJ2" s="2"/>
      <c r="MSK2" s="2"/>
      <c r="MSL2" s="2"/>
      <c r="MSM2" s="2"/>
      <c r="MSN2" s="2"/>
      <c r="MSO2" s="2"/>
      <c r="MSP2" s="2"/>
      <c r="MSQ2" s="2"/>
      <c r="MSR2" s="2"/>
      <c r="MSS2" s="2"/>
      <c r="MST2" s="2"/>
      <c r="MSU2" s="2"/>
      <c r="MSV2" s="2"/>
      <c r="MSW2" s="2"/>
      <c r="MSX2" s="2"/>
      <c r="MSY2" s="2"/>
      <c r="MSZ2" s="2"/>
      <c r="MTA2" s="2"/>
      <c r="MTB2" s="2"/>
      <c r="MTC2" s="2"/>
      <c r="MTD2" s="2"/>
      <c r="MTE2" s="2"/>
      <c r="MTF2" s="2"/>
      <c r="MTG2" s="2"/>
      <c r="MTH2" s="2"/>
      <c r="MTI2" s="2"/>
      <c r="MTJ2" s="2"/>
      <c r="MTK2" s="2"/>
      <c r="MTL2" s="2"/>
      <c r="MTM2" s="2"/>
      <c r="MTN2" s="2"/>
      <c r="MTO2" s="2"/>
      <c r="MTP2" s="2"/>
      <c r="MTQ2" s="2"/>
      <c r="MTR2" s="2"/>
      <c r="MTS2" s="2"/>
      <c r="MTT2" s="2"/>
      <c r="MTU2" s="2"/>
      <c r="MTV2" s="2"/>
      <c r="MTW2" s="2"/>
      <c r="MTX2" s="2"/>
      <c r="MTY2" s="2"/>
      <c r="MTZ2" s="2"/>
      <c r="MUA2" s="2"/>
      <c r="MUB2" s="2"/>
      <c r="MUC2" s="2"/>
      <c r="MUD2" s="2"/>
      <c r="MUE2" s="2"/>
      <c r="MUF2" s="2"/>
      <c r="MUG2" s="2"/>
      <c r="MUH2" s="2"/>
      <c r="MUI2" s="2"/>
      <c r="MUJ2" s="2"/>
      <c r="MUK2" s="2"/>
      <c r="MUL2" s="2"/>
      <c r="MUM2" s="2"/>
      <c r="MUN2" s="2"/>
      <c r="MUO2" s="2"/>
      <c r="MUP2" s="2"/>
      <c r="MUQ2" s="2"/>
      <c r="MUR2" s="2"/>
      <c r="MUS2" s="2"/>
      <c r="MUT2" s="2"/>
      <c r="MUU2" s="2"/>
      <c r="MUV2" s="2"/>
      <c r="MUW2" s="2"/>
      <c r="MUX2" s="2"/>
      <c r="MUY2" s="2"/>
      <c r="MUZ2" s="2"/>
      <c r="MVA2" s="2"/>
      <c r="MVB2" s="2"/>
      <c r="MVC2" s="2"/>
      <c r="MVD2" s="2"/>
      <c r="MVE2" s="2"/>
      <c r="MVF2" s="2"/>
      <c r="MVG2" s="2"/>
      <c r="MVH2" s="2"/>
      <c r="MVI2" s="2"/>
      <c r="MVJ2" s="2"/>
      <c r="MVK2" s="2"/>
      <c r="MVL2" s="2"/>
      <c r="MVM2" s="2"/>
      <c r="MVN2" s="2"/>
      <c r="MVO2" s="2"/>
      <c r="MVP2" s="2"/>
      <c r="MVQ2" s="2"/>
      <c r="MVR2" s="2"/>
      <c r="MVS2" s="2"/>
      <c r="MVT2" s="2"/>
      <c r="MVU2" s="2"/>
      <c r="MVV2" s="2"/>
      <c r="MVW2" s="2"/>
      <c r="MVX2" s="2"/>
      <c r="MVY2" s="2"/>
      <c r="MVZ2" s="2"/>
      <c r="MWA2" s="2"/>
      <c r="MWB2" s="2"/>
      <c r="MWC2" s="2"/>
      <c r="MWD2" s="2"/>
      <c r="MWE2" s="2"/>
      <c r="MWF2" s="2"/>
      <c r="MWG2" s="2"/>
      <c r="MWH2" s="2"/>
      <c r="MWI2" s="2"/>
      <c r="MWJ2" s="2"/>
      <c r="MWK2" s="2"/>
      <c r="MWL2" s="2"/>
      <c r="MWM2" s="2"/>
      <c r="MWN2" s="2"/>
      <c r="MWO2" s="2"/>
      <c r="MWP2" s="2"/>
      <c r="MWQ2" s="2"/>
      <c r="MWR2" s="2"/>
      <c r="MWS2" s="2"/>
      <c r="MWT2" s="2"/>
      <c r="MWU2" s="2"/>
      <c r="MWV2" s="2"/>
      <c r="MWW2" s="2"/>
      <c r="MWX2" s="2"/>
      <c r="MWY2" s="2"/>
      <c r="MWZ2" s="2"/>
      <c r="MXA2" s="2"/>
      <c r="MXB2" s="2"/>
      <c r="MXC2" s="2"/>
      <c r="MXD2" s="2"/>
      <c r="MXE2" s="2"/>
      <c r="MXF2" s="2"/>
      <c r="MXG2" s="2"/>
      <c r="MXH2" s="2"/>
      <c r="MXI2" s="2"/>
      <c r="MXJ2" s="2"/>
      <c r="MXK2" s="2"/>
      <c r="MXL2" s="2"/>
      <c r="MXM2" s="2"/>
      <c r="MXN2" s="2"/>
      <c r="MXO2" s="2"/>
      <c r="MXP2" s="2"/>
      <c r="MXQ2" s="2"/>
      <c r="MXR2" s="2"/>
      <c r="MXS2" s="2"/>
      <c r="MXT2" s="2"/>
      <c r="MXU2" s="2"/>
      <c r="MXV2" s="2"/>
      <c r="MXW2" s="2"/>
      <c r="MXX2" s="2"/>
      <c r="MXY2" s="2"/>
      <c r="MXZ2" s="2"/>
      <c r="MYA2" s="2"/>
      <c r="MYB2" s="2"/>
      <c r="MYC2" s="2"/>
      <c r="MYD2" s="2"/>
      <c r="MYE2" s="2"/>
      <c r="MYF2" s="2"/>
      <c r="MYG2" s="2"/>
      <c r="MYH2" s="2"/>
      <c r="MYI2" s="2"/>
      <c r="MYJ2" s="2"/>
      <c r="MYK2" s="2"/>
      <c r="MYL2" s="2"/>
      <c r="MYM2" s="2"/>
      <c r="MYN2" s="2"/>
      <c r="MYO2" s="2"/>
      <c r="MYP2" s="2"/>
      <c r="MYQ2" s="2"/>
      <c r="MYR2" s="2"/>
      <c r="MYS2" s="2"/>
      <c r="MYT2" s="2"/>
      <c r="MYU2" s="2"/>
      <c r="MYV2" s="2"/>
      <c r="MYW2" s="2"/>
      <c r="MYX2" s="2"/>
      <c r="MYY2" s="2"/>
      <c r="MYZ2" s="2"/>
      <c r="MZA2" s="2"/>
      <c r="MZB2" s="2"/>
      <c r="MZC2" s="2"/>
      <c r="MZD2" s="2"/>
      <c r="MZE2" s="2"/>
      <c r="MZF2" s="2"/>
      <c r="MZG2" s="2"/>
      <c r="MZH2" s="2"/>
      <c r="MZI2" s="2"/>
      <c r="MZJ2" s="2"/>
      <c r="MZK2" s="2"/>
      <c r="MZL2" s="2"/>
      <c r="MZM2" s="2"/>
      <c r="MZN2" s="2"/>
      <c r="MZO2" s="2"/>
      <c r="MZP2" s="2"/>
      <c r="MZQ2" s="2"/>
      <c r="MZR2" s="2"/>
      <c r="MZS2" s="2"/>
      <c r="MZT2" s="2"/>
      <c r="MZU2" s="2"/>
      <c r="MZV2" s="2"/>
      <c r="MZW2" s="2"/>
      <c r="MZX2" s="2"/>
      <c r="MZY2" s="2"/>
      <c r="MZZ2" s="2"/>
      <c r="NAA2" s="2"/>
      <c r="NAB2" s="2"/>
      <c r="NAC2" s="2"/>
      <c r="NAD2" s="2"/>
      <c r="NAE2" s="2"/>
      <c r="NAF2" s="2"/>
      <c r="NAG2" s="2"/>
      <c r="NAH2" s="2"/>
      <c r="NAI2" s="2"/>
      <c r="NAJ2" s="2"/>
      <c r="NAK2" s="2"/>
      <c r="NAL2" s="2"/>
      <c r="NAM2" s="2"/>
      <c r="NAN2" s="2"/>
      <c r="NAO2" s="2"/>
      <c r="NAP2" s="2"/>
      <c r="NAQ2" s="2"/>
      <c r="NAR2" s="2"/>
      <c r="NAS2" s="2"/>
      <c r="NAT2" s="2"/>
      <c r="NAU2" s="2"/>
      <c r="NAV2" s="2"/>
      <c r="NAW2" s="2"/>
      <c r="NAX2" s="2"/>
      <c r="NAY2" s="2"/>
      <c r="NAZ2" s="2"/>
      <c r="NBA2" s="2"/>
      <c r="NBB2" s="2"/>
      <c r="NBC2" s="2"/>
      <c r="NBD2" s="2"/>
      <c r="NBE2" s="2"/>
      <c r="NBF2" s="2"/>
      <c r="NBG2" s="2"/>
      <c r="NBH2" s="2"/>
      <c r="NBI2" s="2"/>
      <c r="NBJ2" s="2"/>
      <c r="NBK2" s="2"/>
      <c r="NBL2" s="2"/>
      <c r="NBM2" s="2"/>
      <c r="NBN2" s="2"/>
      <c r="NBO2" s="2"/>
      <c r="NBP2" s="2"/>
      <c r="NBQ2" s="2"/>
      <c r="NBR2" s="2"/>
      <c r="NBS2" s="2"/>
      <c r="NBT2" s="2"/>
      <c r="NBU2" s="2"/>
      <c r="NBV2" s="2"/>
      <c r="NBW2" s="2"/>
      <c r="NBX2" s="2"/>
      <c r="NBY2" s="2"/>
      <c r="NBZ2" s="2"/>
      <c r="NCA2" s="2"/>
      <c r="NCB2" s="2"/>
      <c r="NCC2" s="2"/>
      <c r="NCD2" s="2"/>
      <c r="NCE2" s="2"/>
      <c r="NCF2" s="2"/>
      <c r="NCG2" s="2"/>
      <c r="NCH2" s="2"/>
      <c r="NCI2" s="2"/>
      <c r="NCJ2" s="2"/>
      <c r="NCK2" s="2"/>
      <c r="NCL2" s="2"/>
      <c r="NCM2" s="2"/>
      <c r="NCN2" s="2"/>
      <c r="NCO2" s="2"/>
      <c r="NCP2" s="2"/>
      <c r="NCQ2" s="2"/>
      <c r="NCR2" s="2"/>
      <c r="NCS2" s="2"/>
      <c r="NCT2" s="2"/>
      <c r="NCU2" s="2"/>
      <c r="NCV2" s="2"/>
      <c r="NCW2" s="2"/>
      <c r="NCX2" s="2"/>
      <c r="NCY2" s="2"/>
      <c r="NCZ2" s="2"/>
      <c r="NDA2" s="2"/>
      <c r="NDB2" s="2"/>
      <c r="NDC2" s="2"/>
      <c r="NDD2" s="2"/>
      <c r="NDE2" s="2"/>
      <c r="NDF2" s="2"/>
      <c r="NDG2" s="2"/>
      <c r="NDH2" s="2"/>
      <c r="NDI2" s="2"/>
      <c r="NDJ2" s="2"/>
      <c r="NDK2" s="2"/>
      <c r="NDL2" s="2"/>
      <c r="NDM2" s="2"/>
      <c r="NDN2" s="2"/>
      <c r="NDO2" s="2"/>
      <c r="NDP2" s="2"/>
      <c r="NDQ2" s="2"/>
      <c r="NDR2" s="2"/>
      <c r="NDS2" s="2"/>
      <c r="NDT2" s="2"/>
      <c r="NDU2" s="2"/>
      <c r="NDV2" s="2"/>
      <c r="NDW2" s="2"/>
      <c r="NDX2" s="2"/>
      <c r="NDY2" s="2"/>
      <c r="NDZ2" s="2"/>
      <c r="NEA2" s="2"/>
      <c r="NEB2" s="2"/>
      <c r="NEC2" s="2"/>
      <c r="NED2" s="2"/>
      <c r="NEE2" s="2"/>
      <c r="NEF2" s="2"/>
      <c r="NEG2" s="2"/>
      <c r="NEH2" s="2"/>
      <c r="NEI2" s="2"/>
      <c r="NEJ2" s="2"/>
      <c r="NEK2" s="2"/>
      <c r="NEL2" s="2"/>
      <c r="NEM2" s="2"/>
      <c r="NEN2" s="2"/>
      <c r="NEO2" s="2"/>
      <c r="NEP2" s="2"/>
      <c r="NEQ2" s="2"/>
      <c r="NER2" s="2"/>
      <c r="NES2" s="2"/>
      <c r="NET2" s="2"/>
      <c r="NEU2" s="2"/>
      <c r="NEV2" s="2"/>
      <c r="NEW2" s="2"/>
      <c r="NEX2" s="2"/>
      <c r="NEY2" s="2"/>
      <c r="NEZ2" s="2"/>
      <c r="NFA2" s="2"/>
      <c r="NFB2" s="2"/>
      <c r="NFC2" s="2"/>
      <c r="NFD2" s="2"/>
      <c r="NFE2" s="2"/>
      <c r="NFF2" s="2"/>
      <c r="NFG2" s="2"/>
      <c r="NFH2" s="2"/>
      <c r="NFI2" s="2"/>
      <c r="NFJ2" s="2"/>
      <c r="NFK2" s="2"/>
      <c r="NFL2" s="2"/>
      <c r="NFM2" s="2"/>
      <c r="NFN2" s="2"/>
      <c r="NFO2" s="2"/>
      <c r="NFP2" s="2"/>
      <c r="NFQ2" s="2"/>
      <c r="NFR2" s="2"/>
      <c r="NFS2" s="2"/>
      <c r="NFT2" s="2"/>
      <c r="NFU2" s="2"/>
      <c r="NFV2" s="2"/>
      <c r="NFW2" s="2"/>
      <c r="NFX2" s="2"/>
      <c r="NFY2" s="2"/>
      <c r="NFZ2" s="2"/>
      <c r="NGA2" s="2"/>
      <c r="NGB2" s="2"/>
      <c r="NGC2" s="2"/>
      <c r="NGD2" s="2"/>
      <c r="NGE2" s="2"/>
      <c r="NGF2" s="2"/>
      <c r="NGG2" s="2"/>
      <c r="NGH2" s="2"/>
      <c r="NGI2" s="2"/>
      <c r="NGJ2" s="2"/>
      <c r="NGK2" s="2"/>
      <c r="NGL2" s="2"/>
      <c r="NGM2" s="2"/>
      <c r="NGN2" s="2"/>
      <c r="NGO2" s="2"/>
      <c r="NGP2" s="2"/>
      <c r="NGQ2" s="2"/>
      <c r="NGR2" s="2"/>
      <c r="NGS2" s="2"/>
      <c r="NGT2" s="2"/>
      <c r="NGU2" s="2"/>
      <c r="NGV2" s="2"/>
      <c r="NGW2" s="2"/>
      <c r="NGX2" s="2"/>
      <c r="NGY2" s="2"/>
      <c r="NGZ2" s="2"/>
      <c r="NHA2" s="2"/>
      <c r="NHB2" s="2"/>
      <c r="NHC2" s="2"/>
      <c r="NHD2" s="2"/>
      <c r="NHE2" s="2"/>
      <c r="NHF2" s="2"/>
      <c r="NHG2" s="2"/>
      <c r="NHH2" s="2"/>
      <c r="NHI2" s="2"/>
      <c r="NHJ2" s="2"/>
      <c r="NHK2" s="2"/>
      <c r="NHL2" s="2"/>
      <c r="NHM2" s="2"/>
      <c r="NHN2" s="2"/>
      <c r="NHO2" s="2"/>
      <c r="NHP2" s="2"/>
      <c r="NHQ2" s="2"/>
      <c r="NHR2" s="2"/>
      <c r="NHS2" s="2"/>
      <c r="NHT2" s="2"/>
      <c r="NHU2" s="2"/>
      <c r="NHV2" s="2"/>
      <c r="NHW2" s="2"/>
      <c r="NHX2" s="2"/>
      <c r="NHY2" s="2"/>
      <c r="NHZ2" s="2"/>
      <c r="NIA2" s="2"/>
      <c r="NIB2" s="2"/>
      <c r="NIC2" s="2"/>
      <c r="NID2" s="2"/>
      <c r="NIE2" s="2"/>
      <c r="NIF2" s="2"/>
      <c r="NIG2" s="2"/>
      <c r="NIH2" s="2"/>
      <c r="NII2" s="2"/>
      <c r="NIJ2" s="2"/>
      <c r="NIK2" s="2"/>
      <c r="NIL2" s="2"/>
      <c r="NIM2" s="2"/>
      <c r="NIN2" s="2"/>
      <c r="NIO2" s="2"/>
      <c r="NIP2" s="2"/>
      <c r="NIQ2" s="2"/>
      <c r="NIR2" s="2"/>
      <c r="NIS2" s="2"/>
      <c r="NIT2" s="2"/>
      <c r="NIU2" s="2"/>
      <c r="NIV2" s="2"/>
      <c r="NIW2" s="2"/>
      <c r="NIX2" s="2"/>
      <c r="NIY2" s="2"/>
      <c r="NIZ2" s="2"/>
      <c r="NJA2" s="2"/>
      <c r="NJB2" s="2"/>
      <c r="NJC2" s="2"/>
      <c r="NJD2" s="2"/>
      <c r="NJE2" s="2"/>
      <c r="NJF2" s="2"/>
      <c r="NJG2" s="2"/>
      <c r="NJH2" s="2"/>
      <c r="NJI2" s="2"/>
      <c r="NJJ2" s="2"/>
      <c r="NJK2" s="2"/>
      <c r="NJL2" s="2"/>
      <c r="NJM2" s="2"/>
      <c r="NJN2" s="2"/>
      <c r="NJO2" s="2"/>
      <c r="NJP2" s="2"/>
      <c r="NJQ2" s="2"/>
      <c r="NJR2" s="2"/>
      <c r="NJS2" s="2"/>
      <c r="NJT2" s="2"/>
      <c r="NJU2" s="2"/>
      <c r="NJV2" s="2"/>
      <c r="NJW2" s="2"/>
      <c r="NJX2" s="2"/>
      <c r="NJY2" s="2"/>
      <c r="NJZ2" s="2"/>
      <c r="NKA2" s="2"/>
      <c r="NKB2" s="2"/>
      <c r="NKC2" s="2"/>
      <c r="NKD2" s="2"/>
      <c r="NKE2" s="2"/>
      <c r="NKF2" s="2"/>
      <c r="NKG2" s="2"/>
      <c r="NKH2" s="2"/>
      <c r="NKI2" s="2"/>
      <c r="NKJ2" s="2"/>
      <c r="NKK2" s="2"/>
      <c r="NKL2" s="2"/>
      <c r="NKM2" s="2"/>
      <c r="NKN2" s="2"/>
      <c r="NKO2" s="2"/>
      <c r="NKP2" s="2"/>
      <c r="NKQ2" s="2"/>
      <c r="NKR2" s="2"/>
      <c r="NKS2" s="2"/>
      <c r="NKT2" s="2"/>
      <c r="NKU2" s="2"/>
      <c r="NKV2" s="2"/>
      <c r="NKW2" s="2"/>
      <c r="NKX2" s="2"/>
      <c r="NKY2" s="2"/>
      <c r="NKZ2" s="2"/>
      <c r="NLA2" s="2"/>
      <c r="NLB2" s="2"/>
      <c r="NLC2" s="2"/>
      <c r="NLD2" s="2"/>
      <c r="NLE2" s="2"/>
      <c r="NLF2" s="2"/>
      <c r="NLG2" s="2"/>
      <c r="NLH2" s="2"/>
      <c r="NLI2" s="2"/>
      <c r="NLJ2" s="2"/>
      <c r="NLK2" s="2"/>
      <c r="NLL2" s="2"/>
      <c r="NLM2" s="2"/>
      <c r="NLN2" s="2"/>
      <c r="NLO2" s="2"/>
      <c r="NLP2" s="2"/>
      <c r="NLQ2" s="2"/>
      <c r="NLR2" s="2"/>
      <c r="NLS2" s="2"/>
      <c r="NLT2" s="2"/>
      <c r="NLU2" s="2"/>
      <c r="NLV2" s="2"/>
      <c r="NLW2" s="2"/>
      <c r="NLX2" s="2"/>
      <c r="NLY2" s="2"/>
      <c r="NLZ2" s="2"/>
      <c r="NMA2" s="2"/>
      <c r="NMB2" s="2"/>
      <c r="NMC2" s="2"/>
      <c r="NMD2" s="2"/>
      <c r="NME2" s="2"/>
      <c r="NMF2" s="2"/>
      <c r="NMG2" s="2"/>
      <c r="NMH2" s="2"/>
      <c r="NMI2" s="2"/>
      <c r="NMJ2" s="2"/>
      <c r="NMK2" s="2"/>
      <c r="NML2" s="2"/>
      <c r="NMM2" s="2"/>
      <c r="NMN2" s="2"/>
      <c r="NMO2" s="2"/>
      <c r="NMP2" s="2"/>
      <c r="NMQ2" s="2"/>
      <c r="NMR2" s="2"/>
      <c r="NMS2" s="2"/>
      <c r="NMT2" s="2"/>
      <c r="NMU2" s="2"/>
      <c r="NMV2" s="2"/>
      <c r="NMW2" s="2"/>
      <c r="NMX2" s="2"/>
      <c r="NMY2" s="2"/>
      <c r="NMZ2" s="2"/>
      <c r="NNA2" s="2"/>
      <c r="NNB2" s="2"/>
      <c r="NNC2" s="2"/>
      <c r="NND2" s="2"/>
      <c r="NNE2" s="2"/>
      <c r="NNF2" s="2"/>
      <c r="NNG2" s="2"/>
      <c r="NNH2" s="2"/>
      <c r="NNI2" s="2"/>
      <c r="NNJ2" s="2"/>
      <c r="NNK2" s="2"/>
      <c r="NNL2" s="2"/>
      <c r="NNM2" s="2"/>
      <c r="NNN2" s="2"/>
      <c r="NNO2" s="2"/>
      <c r="NNP2" s="2"/>
      <c r="NNQ2" s="2"/>
      <c r="NNR2" s="2"/>
      <c r="NNS2" s="2"/>
      <c r="NNT2" s="2"/>
      <c r="NNU2" s="2"/>
      <c r="NNV2" s="2"/>
      <c r="NNW2" s="2"/>
      <c r="NNX2" s="2"/>
      <c r="NNY2" s="2"/>
      <c r="NNZ2" s="2"/>
      <c r="NOA2" s="2"/>
      <c r="NOB2" s="2"/>
      <c r="NOC2" s="2"/>
      <c r="NOD2" s="2"/>
      <c r="NOE2" s="2"/>
      <c r="NOF2" s="2"/>
      <c r="NOG2" s="2"/>
      <c r="NOH2" s="2"/>
      <c r="NOI2" s="2"/>
      <c r="NOJ2" s="2"/>
      <c r="NOK2" s="2"/>
      <c r="NOL2" s="2"/>
      <c r="NOM2" s="2"/>
      <c r="NON2" s="2"/>
      <c r="NOO2" s="2"/>
      <c r="NOP2" s="2"/>
      <c r="NOQ2" s="2"/>
      <c r="NOR2" s="2"/>
      <c r="NOS2" s="2"/>
      <c r="NOT2" s="2"/>
      <c r="NOU2" s="2"/>
      <c r="NOV2" s="2"/>
      <c r="NOW2" s="2"/>
      <c r="NOX2" s="2"/>
      <c r="NOY2" s="2"/>
      <c r="NOZ2" s="2"/>
      <c r="NPA2" s="2"/>
      <c r="NPB2" s="2"/>
      <c r="NPC2" s="2"/>
      <c r="NPD2" s="2"/>
      <c r="NPE2" s="2"/>
      <c r="NPF2" s="2"/>
      <c r="NPG2" s="2"/>
      <c r="NPH2" s="2"/>
      <c r="NPI2" s="2"/>
      <c r="NPJ2" s="2"/>
      <c r="NPK2" s="2"/>
      <c r="NPL2" s="2"/>
      <c r="NPM2" s="2"/>
      <c r="NPN2" s="2"/>
      <c r="NPO2" s="2"/>
      <c r="NPP2" s="2"/>
      <c r="NPQ2" s="2"/>
      <c r="NPR2" s="2"/>
      <c r="NPS2" s="2"/>
      <c r="NPT2" s="2"/>
      <c r="NPU2" s="2"/>
      <c r="NPV2" s="2"/>
      <c r="NPW2" s="2"/>
      <c r="NPX2" s="2"/>
      <c r="NPY2" s="2"/>
      <c r="NPZ2" s="2"/>
      <c r="NQA2" s="2"/>
      <c r="NQB2" s="2"/>
      <c r="NQC2" s="2"/>
      <c r="NQD2" s="2"/>
      <c r="NQE2" s="2"/>
      <c r="NQF2" s="2"/>
      <c r="NQG2" s="2"/>
      <c r="NQH2" s="2"/>
      <c r="NQI2" s="2"/>
      <c r="NQJ2" s="2"/>
      <c r="NQK2" s="2"/>
      <c r="NQL2" s="2"/>
      <c r="NQM2" s="2"/>
      <c r="NQN2" s="2"/>
      <c r="NQO2" s="2"/>
      <c r="NQP2" s="2"/>
      <c r="NQQ2" s="2"/>
      <c r="NQR2" s="2"/>
      <c r="NQS2" s="2"/>
      <c r="NQT2" s="2"/>
      <c r="NQU2" s="2"/>
      <c r="NQV2" s="2"/>
      <c r="NQW2" s="2"/>
      <c r="NQX2" s="2"/>
      <c r="NQY2" s="2"/>
      <c r="NQZ2" s="2"/>
      <c r="NRA2" s="2"/>
      <c r="NRB2" s="2"/>
      <c r="NRC2" s="2"/>
      <c r="NRD2" s="2"/>
      <c r="NRE2" s="2"/>
      <c r="NRF2" s="2"/>
      <c r="NRG2" s="2"/>
      <c r="NRH2" s="2"/>
      <c r="NRI2" s="2"/>
      <c r="NRJ2" s="2"/>
      <c r="NRK2" s="2"/>
      <c r="NRL2" s="2"/>
      <c r="NRM2" s="2"/>
      <c r="NRN2" s="2"/>
      <c r="NRO2" s="2"/>
      <c r="NRP2" s="2"/>
      <c r="NRQ2" s="2"/>
      <c r="NRR2" s="2"/>
      <c r="NRS2" s="2"/>
      <c r="NRT2" s="2"/>
      <c r="NRU2" s="2"/>
      <c r="NRV2" s="2"/>
      <c r="NRW2" s="2"/>
      <c r="NRX2" s="2"/>
      <c r="NRY2" s="2"/>
      <c r="NRZ2" s="2"/>
      <c r="NSA2" s="2"/>
      <c r="NSB2" s="2"/>
      <c r="NSC2" s="2"/>
      <c r="NSD2" s="2"/>
      <c r="NSE2" s="2"/>
      <c r="NSF2" s="2"/>
      <c r="NSG2" s="2"/>
      <c r="NSH2" s="2"/>
      <c r="NSI2" s="2"/>
      <c r="NSJ2" s="2"/>
      <c r="NSK2" s="2"/>
      <c r="NSL2" s="2"/>
      <c r="NSM2" s="2"/>
      <c r="NSN2" s="2"/>
      <c r="NSO2" s="2"/>
      <c r="NSP2" s="2"/>
      <c r="NSQ2" s="2"/>
      <c r="NSR2" s="2"/>
      <c r="NSS2" s="2"/>
      <c r="NST2" s="2"/>
      <c r="NSU2" s="2"/>
      <c r="NSV2" s="2"/>
      <c r="NSW2" s="2"/>
      <c r="NSX2" s="2"/>
      <c r="NSY2" s="2"/>
      <c r="NSZ2" s="2"/>
      <c r="NTA2" s="2"/>
      <c r="NTB2" s="2"/>
      <c r="NTC2" s="2"/>
      <c r="NTD2" s="2"/>
      <c r="NTE2" s="2"/>
      <c r="NTF2" s="2"/>
      <c r="NTG2" s="2"/>
      <c r="NTH2" s="2"/>
      <c r="NTI2" s="2"/>
      <c r="NTJ2" s="2"/>
      <c r="NTK2" s="2"/>
      <c r="NTL2" s="2"/>
      <c r="NTM2" s="2"/>
      <c r="NTN2" s="2"/>
      <c r="NTO2" s="2"/>
      <c r="NTP2" s="2"/>
      <c r="NTQ2" s="2"/>
      <c r="NTR2" s="2"/>
      <c r="NTS2" s="2"/>
      <c r="NTT2" s="2"/>
      <c r="NTU2" s="2"/>
      <c r="NTV2" s="2"/>
      <c r="NTW2" s="2"/>
      <c r="NTX2" s="2"/>
      <c r="NTY2" s="2"/>
      <c r="NTZ2" s="2"/>
      <c r="NUA2" s="2"/>
      <c r="NUB2" s="2"/>
      <c r="NUC2" s="2"/>
      <c r="NUD2" s="2"/>
      <c r="NUE2" s="2"/>
      <c r="NUF2" s="2"/>
      <c r="NUG2" s="2"/>
      <c r="NUH2" s="2"/>
      <c r="NUI2" s="2"/>
      <c r="NUJ2" s="2"/>
      <c r="NUK2" s="2"/>
      <c r="NUL2" s="2"/>
      <c r="NUM2" s="2"/>
      <c r="NUN2" s="2"/>
      <c r="NUO2" s="2"/>
      <c r="NUP2" s="2"/>
      <c r="NUQ2" s="2"/>
      <c r="NUR2" s="2"/>
      <c r="NUS2" s="2"/>
      <c r="NUT2" s="2"/>
      <c r="NUU2" s="2"/>
      <c r="NUV2" s="2"/>
      <c r="NUW2" s="2"/>
      <c r="NUX2" s="2"/>
      <c r="NUY2" s="2"/>
      <c r="NUZ2" s="2"/>
      <c r="NVA2" s="2"/>
      <c r="NVB2" s="2"/>
      <c r="NVC2" s="2"/>
      <c r="NVD2" s="2"/>
      <c r="NVE2" s="2"/>
      <c r="NVF2" s="2"/>
      <c r="NVG2" s="2"/>
      <c r="NVH2" s="2"/>
      <c r="NVI2" s="2"/>
      <c r="NVJ2" s="2"/>
      <c r="NVK2" s="2"/>
      <c r="NVL2" s="2"/>
      <c r="NVM2" s="2"/>
      <c r="NVN2" s="2"/>
      <c r="NVO2" s="2"/>
      <c r="NVP2" s="2"/>
      <c r="NVQ2" s="2"/>
      <c r="NVR2" s="2"/>
      <c r="NVS2" s="2"/>
      <c r="NVT2" s="2"/>
      <c r="NVU2" s="2"/>
      <c r="NVV2" s="2"/>
      <c r="NVW2" s="2"/>
      <c r="NVX2" s="2"/>
      <c r="NVY2" s="2"/>
      <c r="NVZ2" s="2"/>
      <c r="NWA2" s="2"/>
      <c r="NWB2" s="2"/>
      <c r="NWC2" s="2"/>
      <c r="NWD2" s="2"/>
      <c r="NWE2" s="2"/>
      <c r="NWF2" s="2"/>
      <c r="NWG2" s="2"/>
      <c r="NWH2" s="2"/>
      <c r="NWI2" s="2"/>
      <c r="NWJ2" s="2"/>
      <c r="NWK2" s="2"/>
      <c r="NWL2" s="2"/>
      <c r="NWM2" s="2"/>
      <c r="NWN2" s="2"/>
      <c r="NWO2" s="2"/>
      <c r="NWP2" s="2"/>
      <c r="NWQ2" s="2"/>
      <c r="NWR2" s="2"/>
      <c r="NWS2" s="2"/>
      <c r="NWT2" s="2"/>
      <c r="NWU2" s="2"/>
      <c r="NWV2" s="2"/>
      <c r="NWW2" s="2"/>
      <c r="NWX2" s="2"/>
      <c r="NWY2" s="2"/>
      <c r="NWZ2" s="2"/>
      <c r="NXA2" s="2"/>
      <c r="NXB2" s="2"/>
      <c r="NXC2" s="2"/>
      <c r="NXD2" s="2"/>
      <c r="NXE2" s="2"/>
      <c r="NXF2" s="2"/>
      <c r="NXG2" s="2"/>
      <c r="NXH2" s="2"/>
      <c r="NXI2" s="2"/>
      <c r="NXJ2" s="2"/>
      <c r="NXK2" s="2"/>
      <c r="NXL2" s="2"/>
      <c r="NXM2" s="2"/>
      <c r="NXN2" s="2"/>
      <c r="NXO2" s="2"/>
      <c r="NXP2" s="2"/>
      <c r="NXQ2" s="2"/>
      <c r="NXR2" s="2"/>
      <c r="NXS2" s="2"/>
      <c r="NXT2" s="2"/>
      <c r="NXU2" s="2"/>
      <c r="NXV2" s="2"/>
      <c r="NXW2" s="2"/>
      <c r="NXX2" s="2"/>
      <c r="NXY2" s="2"/>
      <c r="NXZ2" s="2"/>
      <c r="NYA2" s="2"/>
      <c r="NYB2" s="2"/>
      <c r="NYC2" s="2"/>
      <c r="NYD2" s="2"/>
      <c r="NYE2" s="2"/>
      <c r="NYF2" s="2"/>
      <c r="NYG2" s="2"/>
      <c r="NYH2" s="2"/>
      <c r="NYI2" s="2"/>
      <c r="NYJ2" s="2"/>
      <c r="NYK2" s="2"/>
      <c r="NYL2" s="2"/>
      <c r="NYM2" s="2"/>
      <c r="NYN2" s="2"/>
      <c r="NYO2" s="2"/>
      <c r="NYP2" s="2"/>
      <c r="NYQ2" s="2"/>
      <c r="NYR2" s="2"/>
      <c r="NYS2" s="2"/>
      <c r="NYT2" s="2"/>
      <c r="NYU2" s="2"/>
      <c r="NYV2" s="2"/>
      <c r="NYW2" s="2"/>
      <c r="NYX2" s="2"/>
      <c r="NYY2" s="2"/>
      <c r="NYZ2" s="2"/>
      <c r="NZA2" s="2"/>
      <c r="NZB2" s="2"/>
      <c r="NZC2" s="2"/>
      <c r="NZD2" s="2"/>
      <c r="NZE2" s="2"/>
      <c r="NZF2" s="2"/>
      <c r="NZG2" s="2"/>
      <c r="NZH2" s="2"/>
      <c r="NZI2" s="2"/>
      <c r="NZJ2" s="2"/>
      <c r="NZK2" s="2"/>
      <c r="NZL2" s="2"/>
      <c r="NZM2" s="2"/>
      <c r="NZN2" s="2"/>
      <c r="NZO2" s="2"/>
      <c r="NZP2" s="2"/>
      <c r="NZQ2" s="2"/>
      <c r="NZR2" s="2"/>
      <c r="NZS2" s="2"/>
      <c r="NZT2" s="2"/>
      <c r="NZU2" s="2"/>
      <c r="NZV2" s="2"/>
      <c r="NZW2" s="2"/>
      <c r="NZX2" s="2"/>
      <c r="NZY2" s="2"/>
      <c r="NZZ2" s="2"/>
      <c r="OAA2" s="2"/>
      <c r="OAB2" s="2"/>
      <c r="OAC2" s="2"/>
      <c r="OAD2" s="2"/>
      <c r="OAE2" s="2"/>
      <c r="OAF2" s="2"/>
      <c r="OAG2" s="2"/>
      <c r="OAH2" s="2"/>
      <c r="OAI2" s="2"/>
      <c r="OAJ2" s="2"/>
      <c r="OAK2" s="2"/>
      <c r="OAL2" s="2"/>
      <c r="OAM2" s="2"/>
      <c r="OAN2" s="2"/>
      <c r="OAO2" s="2"/>
      <c r="OAP2" s="2"/>
      <c r="OAQ2" s="2"/>
      <c r="OAR2" s="2"/>
      <c r="OAS2" s="2"/>
      <c r="OAT2" s="2"/>
      <c r="OAU2" s="2"/>
      <c r="OAV2" s="2"/>
      <c r="OAW2" s="2"/>
      <c r="OAX2" s="2"/>
      <c r="OAY2" s="2"/>
      <c r="OAZ2" s="2"/>
      <c r="OBA2" s="2"/>
      <c r="OBB2" s="2"/>
      <c r="OBC2" s="2"/>
      <c r="OBD2" s="2"/>
      <c r="OBE2" s="2"/>
      <c r="OBF2" s="2"/>
      <c r="OBG2" s="2"/>
      <c r="OBH2" s="2"/>
      <c r="OBI2" s="2"/>
      <c r="OBJ2" s="2"/>
      <c r="OBK2" s="2"/>
      <c r="OBL2" s="2"/>
      <c r="OBM2" s="2"/>
      <c r="OBN2" s="2"/>
      <c r="OBO2" s="2"/>
      <c r="OBP2" s="2"/>
      <c r="OBQ2" s="2"/>
      <c r="OBR2" s="2"/>
      <c r="OBS2" s="2"/>
      <c r="OBT2" s="2"/>
      <c r="OBU2" s="2"/>
      <c r="OBV2" s="2"/>
      <c r="OBW2" s="2"/>
      <c r="OBX2" s="2"/>
      <c r="OBY2" s="2"/>
      <c r="OBZ2" s="2"/>
      <c r="OCA2" s="2"/>
      <c r="OCB2" s="2"/>
      <c r="OCC2" s="2"/>
      <c r="OCD2" s="2"/>
      <c r="OCE2" s="2"/>
      <c r="OCF2" s="2"/>
      <c r="OCG2" s="2"/>
      <c r="OCH2" s="2"/>
      <c r="OCI2" s="2"/>
      <c r="OCJ2" s="2"/>
      <c r="OCK2" s="2"/>
      <c r="OCL2" s="2"/>
      <c r="OCM2" s="2"/>
      <c r="OCN2" s="2"/>
      <c r="OCO2" s="2"/>
      <c r="OCP2" s="2"/>
      <c r="OCQ2" s="2"/>
      <c r="OCR2" s="2"/>
      <c r="OCS2" s="2"/>
      <c r="OCT2" s="2"/>
      <c r="OCU2" s="2"/>
      <c r="OCV2" s="2"/>
      <c r="OCW2" s="2"/>
      <c r="OCX2" s="2"/>
      <c r="OCY2" s="2"/>
      <c r="OCZ2" s="2"/>
      <c r="ODA2" s="2"/>
      <c r="ODB2" s="2"/>
      <c r="ODC2" s="2"/>
      <c r="ODD2" s="2"/>
      <c r="ODE2" s="2"/>
      <c r="ODF2" s="2"/>
      <c r="ODG2" s="2"/>
      <c r="ODH2" s="2"/>
      <c r="ODI2" s="2"/>
      <c r="ODJ2" s="2"/>
      <c r="ODK2" s="2"/>
      <c r="ODL2" s="2"/>
      <c r="ODM2" s="2"/>
      <c r="ODN2" s="2"/>
      <c r="ODO2" s="2"/>
      <c r="ODP2" s="2"/>
      <c r="ODQ2" s="2"/>
      <c r="ODR2" s="2"/>
      <c r="ODS2" s="2"/>
      <c r="ODT2" s="2"/>
      <c r="ODU2" s="2"/>
      <c r="ODV2" s="2"/>
      <c r="ODW2" s="2"/>
      <c r="ODX2" s="2"/>
      <c r="ODY2" s="2"/>
      <c r="ODZ2" s="2"/>
      <c r="OEA2" s="2"/>
      <c r="OEB2" s="2"/>
      <c r="OEC2" s="2"/>
      <c r="OED2" s="2"/>
      <c r="OEE2" s="2"/>
      <c r="OEF2" s="2"/>
      <c r="OEG2" s="2"/>
      <c r="OEH2" s="2"/>
      <c r="OEI2" s="2"/>
      <c r="OEJ2" s="2"/>
      <c r="OEK2" s="2"/>
      <c r="OEL2" s="2"/>
      <c r="OEM2" s="2"/>
      <c r="OEN2" s="2"/>
      <c r="OEO2" s="2"/>
      <c r="OEP2" s="2"/>
      <c r="OEQ2" s="2"/>
      <c r="OER2" s="2"/>
      <c r="OES2" s="2"/>
      <c r="OET2" s="2"/>
      <c r="OEU2" s="2"/>
      <c r="OEV2" s="2"/>
      <c r="OEW2" s="2"/>
      <c r="OEX2" s="2"/>
      <c r="OEY2" s="2"/>
      <c r="OEZ2" s="2"/>
      <c r="OFA2" s="2"/>
      <c r="OFB2" s="2"/>
      <c r="OFC2" s="2"/>
      <c r="OFD2" s="2"/>
      <c r="OFE2" s="2"/>
      <c r="OFF2" s="2"/>
      <c r="OFG2" s="2"/>
      <c r="OFH2" s="2"/>
      <c r="OFI2" s="2"/>
      <c r="OFJ2" s="2"/>
      <c r="OFK2" s="2"/>
      <c r="OFL2" s="2"/>
      <c r="OFM2" s="2"/>
      <c r="OFN2" s="2"/>
      <c r="OFO2" s="2"/>
      <c r="OFP2" s="2"/>
      <c r="OFQ2" s="2"/>
      <c r="OFR2" s="2"/>
      <c r="OFS2" s="2"/>
      <c r="OFT2" s="2"/>
      <c r="OFU2" s="2"/>
      <c r="OFV2" s="2"/>
      <c r="OFW2" s="2"/>
      <c r="OFX2" s="2"/>
      <c r="OFY2" s="2"/>
      <c r="OFZ2" s="2"/>
      <c r="OGA2" s="2"/>
      <c r="OGB2" s="2"/>
      <c r="OGC2" s="2"/>
      <c r="OGD2" s="2"/>
      <c r="OGE2" s="2"/>
      <c r="OGF2" s="2"/>
      <c r="OGG2" s="2"/>
      <c r="OGH2" s="2"/>
      <c r="OGI2" s="2"/>
      <c r="OGJ2" s="2"/>
      <c r="OGK2" s="2"/>
      <c r="OGL2" s="2"/>
      <c r="OGM2" s="2"/>
      <c r="OGN2" s="2"/>
      <c r="OGO2" s="2"/>
      <c r="OGP2" s="2"/>
      <c r="OGQ2" s="2"/>
      <c r="OGR2" s="2"/>
      <c r="OGS2" s="2"/>
      <c r="OGT2" s="2"/>
      <c r="OGU2" s="2"/>
      <c r="OGV2" s="2"/>
      <c r="OGW2" s="2"/>
      <c r="OGX2" s="2"/>
      <c r="OGY2" s="2"/>
      <c r="OGZ2" s="2"/>
      <c r="OHA2" s="2"/>
      <c r="OHB2" s="2"/>
      <c r="OHC2" s="2"/>
      <c r="OHD2" s="2"/>
      <c r="OHE2" s="2"/>
      <c r="OHF2" s="2"/>
      <c r="OHG2" s="2"/>
      <c r="OHH2" s="2"/>
      <c r="OHI2" s="2"/>
      <c r="OHJ2" s="2"/>
      <c r="OHK2" s="2"/>
      <c r="OHL2" s="2"/>
      <c r="OHM2" s="2"/>
      <c r="OHN2" s="2"/>
      <c r="OHO2" s="2"/>
      <c r="OHP2" s="2"/>
      <c r="OHQ2" s="2"/>
      <c r="OHR2" s="2"/>
      <c r="OHS2" s="2"/>
      <c r="OHT2" s="2"/>
      <c r="OHU2" s="2"/>
      <c r="OHV2" s="2"/>
      <c r="OHW2" s="2"/>
      <c r="OHX2" s="2"/>
      <c r="OHY2" s="2"/>
      <c r="OHZ2" s="2"/>
      <c r="OIA2" s="2"/>
      <c r="OIB2" s="2"/>
      <c r="OIC2" s="2"/>
      <c r="OID2" s="2"/>
      <c r="OIE2" s="2"/>
      <c r="OIF2" s="2"/>
      <c r="OIG2" s="2"/>
      <c r="OIH2" s="2"/>
      <c r="OII2" s="2"/>
      <c r="OIJ2" s="2"/>
      <c r="OIK2" s="2"/>
      <c r="OIL2" s="2"/>
      <c r="OIM2" s="2"/>
      <c r="OIN2" s="2"/>
      <c r="OIO2" s="2"/>
      <c r="OIP2" s="2"/>
      <c r="OIQ2" s="2"/>
      <c r="OIR2" s="2"/>
      <c r="OIS2" s="2"/>
      <c r="OIT2" s="2"/>
      <c r="OIU2" s="2"/>
      <c r="OIV2" s="2"/>
      <c r="OIW2" s="2"/>
      <c r="OIX2" s="2"/>
      <c r="OIY2" s="2"/>
      <c r="OIZ2" s="2"/>
      <c r="OJA2" s="2"/>
      <c r="OJB2" s="2"/>
      <c r="OJC2" s="2"/>
      <c r="OJD2" s="2"/>
      <c r="OJE2" s="2"/>
      <c r="OJF2" s="2"/>
      <c r="OJG2" s="2"/>
      <c r="OJH2" s="2"/>
      <c r="OJI2" s="2"/>
      <c r="OJJ2" s="2"/>
      <c r="OJK2" s="2"/>
      <c r="OJL2" s="2"/>
      <c r="OJM2" s="2"/>
      <c r="OJN2" s="2"/>
      <c r="OJO2" s="2"/>
      <c r="OJP2" s="2"/>
      <c r="OJQ2" s="2"/>
      <c r="OJR2" s="2"/>
      <c r="OJS2" s="2"/>
      <c r="OJT2" s="2"/>
      <c r="OJU2" s="2"/>
      <c r="OJV2" s="2"/>
      <c r="OJW2" s="2"/>
      <c r="OJX2" s="2"/>
      <c r="OJY2" s="2"/>
      <c r="OJZ2" s="2"/>
      <c r="OKA2" s="2"/>
      <c r="OKB2" s="2"/>
      <c r="OKC2" s="2"/>
      <c r="OKD2" s="2"/>
      <c r="OKE2" s="2"/>
      <c r="OKF2" s="2"/>
      <c r="OKG2" s="2"/>
      <c r="OKH2" s="2"/>
      <c r="OKI2" s="2"/>
      <c r="OKJ2" s="2"/>
      <c r="OKK2" s="2"/>
      <c r="OKL2" s="2"/>
      <c r="OKM2" s="2"/>
      <c r="OKN2" s="2"/>
      <c r="OKO2" s="2"/>
      <c r="OKP2" s="2"/>
      <c r="OKQ2" s="2"/>
      <c r="OKR2" s="2"/>
      <c r="OKS2" s="2"/>
      <c r="OKT2" s="2"/>
      <c r="OKU2" s="2"/>
      <c r="OKV2" s="2"/>
      <c r="OKW2" s="2"/>
      <c r="OKX2" s="2"/>
      <c r="OKY2" s="2"/>
      <c r="OKZ2" s="2"/>
      <c r="OLA2" s="2"/>
      <c r="OLB2" s="2"/>
      <c r="OLC2" s="2"/>
      <c r="OLD2" s="2"/>
      <c r="OLE2" s="2"/>
      <c r="OLF2" s="2"/>
      <c r="OLG2" s="2"/>
      <c r="OLH2" s="2"/>
      <c r="OLI2" s="2"/>
      <c r="OLJ2" s="2"/>
      <c r="OLK2" s="2"/>
      <c r="OLL2" s="2"/>
      <c r="OLM2" s="2"/>
      <c r="OLN2" s="2"/>
      <c r="OLO2" s="2"/>
      <c r="OLP2" s="2"/>
      <c r="OLQ2" s="2"/>
      <c r="OLR2" s="2"/>
      <c r="OLS2" s="2"/>
      <c r="OLT2" s="2"/>
      <c r="OLU2" s="2"/>
      <c r="OLV2" s="2"/>
      <c r="OLW2" s="2"/>
      <c r="OLX2" s="2"/>
      <c r="OLY2" s="2"/>
      <c r="OLZ2" s="2"/>
      <c r="OMA2" s="2"/>
      <c r="OMB2" s="2"/>
      <c r="OMC2" s="2"/>
      <c r="OMD2" s="2"/>
      <c r="OME2" s="2"/>
      <c r="OMF2" s="2"/>
      <c r="OMG2" s="2"/>
      <c r="OMH2" s="2"/>
      <c r="OMI2" s="2"/>
      <c r="OMJ2" s="2"/>
      <c r="OMK2" s="2"/>
      <c r="OML2" s="2"/>
      <c r="OMM2" s="2"/>
      <c r="OMN2" s="2"/>
      <c r="OMO2" s="2"/>
      <c r="OMP2" s="2"/>
      <c r="OMQ2" s="2"/>
      <c r="OMR2" s="2"/>
      <c r="OMS2" s="2"/>
      <c r="OMT2" s="2"/>
      <c r="OMU2" s="2"/>
      <c r="OMV2" s="2"/>
      <c r="OMW2" s="2"/>
      <c r="OMX2" s="2"/>
      <c r="OMY2" s="2"/>
      <c r="OMZ2" s="2"/>
      <c r="ONA2" s="2"/>
      <c r="ONB2" s="2"/>
      <c r="ONC2" s="2"/>
      <c r="OND2" s="2"/>
      <c r="ONE2" s="2"/>
      <c r="ONF2" s="2"/>
      <c r="ONG2" s="2"/>
      <c r="ONH2" s="2"/>
      <c r="ONI2" s="2"/>
      <c r="ONJ2" s="2"/>
      <c r="ONK2" s="2"/>
      <c r="ONL2" s="2"/>
      <c r="ONM2" s="2"/>
      <c r="ONN2" s="2"/>
      <c r="ONO2" s="2"/>
      <c r="ONP2" s="2"/>
      <c r="ONQ2" s="2"/>
      <c r="ONR2" s="2"/>
      <c r="ONS2" s="2"/>
      <c r="ONT2" s="2"/>
      <c r="ONU2" s="2"/>
      <c r="ONV2" s="2"/>
      <c r="ONW2" s="2"/>
      <c r="ONX2" s="2"/>
      <c r="ONY2" s="2"/>
      <c r="ONZ2" s="2"/>
      <c r="OOA2" s="2"/>
      <c r="OOB2" s="2"/>
      <c r="OOC2" s="2"/>
      <c r="OOD2" s="2"/>
      <c r="OOE2" s="2"/>
      <c r="OOF2" s="2"/>
      <c r="OOG2" s="2"/>
      <c r="OOH2" s="2"/>
      <c r="OOI2" s="2"/>
      <c r="OOJ2" s="2"/>
      <c r="OOK2" s="2"/>
      <c r="OOL2" s="2"/>
      <c r="OOM2" s="2"/>
      <c r="OON2" s="2"/>
      <c r="OOO2" s="2"/>
      <c r="OOP2" s="2"/>
      <c r="OOQ2" s="2"/>
      <c r="OOR2" s="2"/>
      <c r="OOS2" s="2"/>
      <c r="OOT2" s="2"/>
      <c r="OOU2" s="2"/>
      <c r="OOV2" s="2"/>
      <c r="OOW2" s="2"/>
      <c r="OOX2" s="2"/>
      <c r="OOY2" s="2"/>
      <c r="OOZ2" s="2"/>
      <c r="OPA2" s="2"/>
      <c r="OPB2" s="2"/>
      <c r="OPC2" s="2"/>
      <c r="OPD2" s="2"/>
      <c r="OPE2" s="2"/>
      <c r="OPF2" s="2"/>
      <c r="OPG2" s="2"/>
      <c r="OPH2" s="2"/>
      <c r="OPI2" s="2"/>
      <c r="OPJ2" s="2"/>
      <c r="OPK2" s="2"/>
      <c r="OPL2" s="2"/>
      <c r="OPM2" s="2"/>
      <c r="OPN2" s="2"/>
      <c r="OPO2" s="2"/>
      <c r="OPP2" s="2"/>
      <c r="OPQ2" s="2"/>
      <c r="OPR2" s="2"/>
      <c r="OPS2" s="2"/>
      <c r="OPT2" s="2"/>
      <c r="OPU2" s="2"/>
      <c r="OPV2" s="2"/>
      <c r="OPW2" s="2"/>
      <c r="OPX2" s="2"/>
      <c r="OPY2" s="2"/>
      <c r="OPZ2" s="2"/>
      <c r="OQA2" s="2"/>
      <c r="OQB2" s="2"/>
      <c r="OQC2" s="2"/>
      <c r="OQD2" s="2"/>
      <c r="OQE2" s="2"/>
      <c r="OQF2" s="2"/>
      <c r="OQG2" s="2"/>
      <c r="OQH2" s="2"/>
      <c r="OQI2" s="2"/>
      <c r="OQJ2" s="2"/>
      <c r="OQK2" s="2"/>
      <c r="OQL2" s="2"/>
      <c r="OQM2" s="2"/>
      <c r="OQN2" s="2"/>
      <c r="OQO2" s="2"/>
      <c r="OQP2" s="2"/>
      <c r="OQQ2" s="2"/>
      <c r="OQR2" s="2"/>
      <c r="OQS2" s="2"/>
      <c r="OQT2" s="2"/>
      <c r="OQU2" s="2"/>
      <c r="OQV2" s="2"/>
      <c r="OQW2" s="2"/>
      <c r="OQX2" s="2"/>
      <c r="OQY2" s="2"/>
      <c r="OQZ2" s="2"/>
      <c r="ORA2" s="2"/>
      <c r="ORB2" s="2"/>
      <c r="ORC2" s="2"/>
      <c r="ORD2" s="2"/>
      <c r="ORE2" s="2"/>
      <c r="ORF2" s="2"/>
      <c r="ORG2" s="2"/>
      <c r="ORH2" s="2"/>
      <c r="ORI2" s="2"/>
      <c r="ORJ2" s="2"/>
      <c r="ORK2" s="2"/>
      <c r="ORL2" s="2"/>
      <c r="ORM2" s="2"/>
      <c r="ORN2" s="2"/>
      <c r="ORO2" s="2"/>
      <c r="ORP2" s="2"/>
      <c r="ORQ2" s="2"/>
      <c r="ORR2" s="2"/>
      <c r="ORS2" s="2"/>
      <c r="ORT2" s="2"/>
      <c r="ORU2" s="2"/>
      <c r="ORV2" s="2"/>
      <c r="ORW2" s="2"/>
      <c r="ORX2" s="2"/>
      <c r="ORY2" s="2"/>
      <c r="ORZ2" s="2"/>
      <c r="OSA2" s="2"/>
      <c r="OSB2" s="2"/>
      <c r="OSC2" s="2"/>
      <c r="OSD2" s="2"/>
      <c r="OSE2" s="2"/>
      <c r="OSF2" s="2"/>
      <c r="OSG2" s="2"/>
      <c r="OSH2" s="2"/>
      <c r="OSI2" s="2"/>
      <c r="OSJ2" s="2"/>
      <c r="OSK2" s="2"/>
      <c r="OSL2" s="2"/>
      <c r="OSM2" s="2"/>
      <c r="OSN2" s="2"/>
      <c r="OSO2" s="2"/>
      <c r="OSP2" s="2"/>
      <c r="OSQ2" s="2"/>
      <c r="OSR2" s="2"/>
      <c r="OSS2" s="2"/>
      <c r="OST2" s="2"/>
      <c r="OSU2" s="2"/>
      <c r="OSV2" s="2"/>
      <c r="OSW2" s="2"/>
      <c r="OSX2" s="2"/>
      <c r="OSY2" s="2"/>
      <c r="OSZ2" s="2"/>
      <c r="OTA2" s="2"/>
      <c r="OTB2" s="2"/>
      <c r="OTC2" s="2"/>
      <c r="OTD2" s="2"/>
      <c r="OTE2" s="2"/>
      <c r="OTF2" s="2"/>
      <c r="OTG2" s="2"/>
      <c r="OTH2" s="2"/>
      <c r="OTI2" s="2"/>
      <c r="OTJ2" s="2"/>
      <c r="OTK2" s="2"/>
      <c r="OTL2" s="2"/>
      <c r="OTM2" s="2"/>
      <c r="OTN2" s="2"/>
      <c r="OTO2" s="2"/>
      <c r="OTP2" s="2"/>
      <c r="OTQ2" s="2"/>
      <c r="OTR2" s="2"/>
      <c r="OTS2" s="2"/>
      <c r="OTT2" s="2"/>
      <c r="OTU2" s="2"/>
      <c r="OTV2" s="2"/>
      <c r="OTW2" s="2"/>
      <c r="OTX2" s="2"/>
      <c r="OTY2" s="2"/>
      <c r="OTZ2" s="2"/>
      <c r="OUA2" s="2"/>
      <c r="OUB2" s="2"/>
      <c r="OUC2" s="2"/>
      <c r="OUD2" s="2"/>
      <c r="OUE2" s="2"/>
      <c r="OUF2" s="2"/>
      <c r="OUG2" s="2"/>
      <c r="OUH2" s="2"/>
      <c r="OUI2" s="2"/>
      <c r="OUJ2" s="2"/>
      <c r="OUK2" s="2"/>
      <c r="OUL2" s="2"/>
      <c r="OUM2" s="2"/>
      <c r="OUN2" s="2"/>
      <c r="OUO2" s="2"/>
      <c r="OUP2" s="2"/>
      <c r="OUQ2" s="2"/>
      <c r="OUR2" s="2"/>
      <c r="OUS2" s="2"/>
      <c r="OUT2" s="2"/>
      <c r="OUU2" s="2"/>
      <c r="OUV2" s="2"/>
      <c r="OUW2" s="2"/>
      <c r="OUX2" s="2"/>
      <c r="OUY2" s="2"/>
      <c r="OUZ2" s="2"/>
      <c r="OVA2" s="2"/>
      <c r="OVB2" s="2"/>
      <c r="OVC2" s="2"/>
      <c r="OVD2" s="2"/>
      <c r="OVE2" s="2"/>
      <c r="OVF2" s="2"/>
      <c r="OVG2" s="2"/>
      <c r="OVH2" s="2"/>
      <c r="OVI2" s="2"/>
      <c r="OVJ2" s="2"/>
      <c r="OVK2" s="2"/>
      <c r="OVL2" s="2"/>
      <c r="OVM2" s="2"/>
      <c r="OVN2" s="2"/>
      <c r="OVO2" s="2"/>
      <c r="OVP2" s="2"/>
      <c r="OVQ2" s="2"/>
      <c r="OVR2" s="2"/>
      <c r="OVS2" s="2"/>
      <c r="OVT2" s="2"/>
      <c r="OVU2" s="2"/>
      <c r="OVV2" s="2"/>
      <c r="OVW2" s="2"/>
      <c r="OVX2" s="2"/>
      <c r="OVY2" s="2"/>
      <c r="OVZ2" s="2"/>
      <c r="OWA2" s="2"/>
      <c r="OWB2" s="2"/>
      <c r="OWC2" s="2"/>
      <c r="OWD2" s="2"/>
      <c r="OWE2" s="2"/>
      <c r="OWF2" s="2"/>
      <c r="OWG2" s="2"/>
      <c r="OWH2" s="2"/>
      <c r="OWI2" s="2"/>
      <c r="OWJ2" s="2"/>
      <c r="OWK2" s="2"/>
      <c r="OWL2" s="2"/>
      <c r="OWM2" s="2"/>
      <c r="OWN2" s="2"/>
      <c r="OWO2" s="2"/>
      <c r="OWP2" s="2"/>
      <c r="OWQ2" s="2"/>
      <c r="OWR2" s="2"/>
      <c r="OWS2" s="2"/>
      <c r="OWT2" s="2"/>
      <c r="OWU2" s="2"/>
      <c r="OWV2" s="2"/>
      <c r="OWW2" s="2"/>
      <c r="OWX2" s="2"/>
      <c r="OWY2" s="2"/>
      <c r="OWZ2" s="2"/>
      <c r="OXA2" s="2"/>
      <c r="OXB2" s="2"/>
      <c r="OXC2" s="2"/>
      <c r="OXD2" s="2"/>
      <c r="OXE2" s="2"/>
      <c r="OXF2" s="2"/>
      <c r="OXG2" s="2"/>
      <c r="OXH2" s="2"/>
      <c r="OXI2" s="2"/>
      <c r="OXJ2" s="2"/>
      <c r="OXK2" s="2"/>
      <c r="OXL2" s="2"/>
      <c r="OXM2" s="2"/>
      <c r="OXN2" s="2"/>
      <c r="OXO2" s="2"/>
      <c r="OXP2" s="2"/>
      <c r="OXQ2" s="2"/>
      <c r="OXR2" s="2"/>
      <c r="OXS2" s="2"/>
      <c r="OXT2" s="2"/>
      <c r="OXU2" s="2"/>
      <c r="OXV2" s="2"/>
      <c r="OXW2" s="2"/>
      <c r="OXX2" s="2"/>
      <c r="OXY2" s="2"/>
      <c r="OXZ2" s="2"/>
      <c r="OYA2" s="2"/>
      <c r="OYB2" s="2"/>
      <c r="OYC2" s="2"/>
      <c r="OYD2" s="2"/>
      <c r="OYE2" s="2"/>
      <c r="OYF2" s="2"/>
      <c r="OYG2" s="2"/>
      <c r="OYH2" s="2"/>
      <c r="OYI2" s="2"/>
      <c r="OYJ2" s="2"/>
      <c r="OYK2" s="2"/>
      <c r="OYL2" s="2"/>
      <c r="OYM2" s="2"/>
      <c r="OYN2" s="2"/>
      <c r="OYO2" s="2"/>
      <c r="OYP2" s="2"/>
      <c r="OYQ2" s="2"/>
      <c r="OYR2" s="2"/>
      <c r="OYS2" s="2"/>
      <c r="OYT2" s="2"/>
      <c r="OYU2" s="2"/>
      <c r="OYV2" s="2"/>
      <c r="OYW2" s="2"/>
      <c r="OYX2" s="2"/>
      <c r="OYY2" s="2"/>
      <c r="OYZ2" s="2"/>
      <c r="OZA2" s="2"/>
      <c r="OZB2" s="2"/>
      <c r="OZC2" s="2"/>
      <c r="OZD2" s="2"/>
      <c r="OZE2" s="2"/>
      <c r="OZF2" s="2"/>
      <c r="OZG2" s="2"/>
      <c r="OZH2" s="2"/>
      <c r="OZI2" s="2"/>
      <c r="OZJ2" s="2"/>
      <c r="OZK2" s="2"/>
      <c r="OZL2" s="2"/>
      <c r="OZM2" s="2"/>
      <c r="OZN2" s="2"/>
      <c r="OZO2" s="2"/>
      <c r="OZP2" s="2"/>
      <c r="OZQ2" s="2"/>
      <c r="OZR2" s="2"/>
      <c r="OZS2" s="2"/>
      <c r="OZT2" s="2"/>
      <c r="OZU2" s="2"/>
      <c r="OZV2" s="2"/>
      <c r="OZW2" s="2"/>
      <c r="OZX2" s="2"/>
      <c r="OZY2" s="2"/>
      <c r="OZZ2" s="2"/>
      <c r="PAA2" s="2"/>
      <c r="PAB2" s="2"/>
      <c r="PAC2" s="2"/>
      <c r="PAD2" s="2"/>
      <c r="PAE2" s="2"/>
      <c r="PAF2" s="2"/>
      <c r="PAG2" s="2"/>
      <c r="PAH2" s="2"/>
      <c r="PAI2" s="2"/>
      <c r="PAJ2" s="2"/>
      <c r="PAK2" s="2"/>
      <c r="PAL2" s="2"/>
      <c r="PAM2" s="2"/>
      <c r="PAN2" s="2"/>
      <c r="PAO2" s="2"/>
      <c r="PAP2" s="2"/>
      <c r="PAQ2" s="2"/>
      <c r="PAR2" s="2"/>
      <c r="PAS2" s="2"/>
      <c r="PAT2" s="2"/>
      <c r="PAU2" s="2"/>
      <c r="PAV2" s="2"/>
      <c r="PAW2" s="2"/>
      <c r="PAX2" s="2"/>
      <c r="PAY2" s="2"/>
      <c r="PAZ2" s="2"/>
      <c r="PBA2" s="2"/>
      <c r="PBB2" s="2"/>
      <c r="PBC2" s="2"/>
      <c r="PBD2" s="2"/>
      <c r="PBE2" s="2"/>
      <c r="PBF2" s="2"/>
      <c r="PBG2" s="2"/>
      <c r="PBH2" s="2"/>
      <c r="PBI2" s="2"/>
      <c r="PBJ2" s="2"/>
      <c r="PBK2" s="2"/>
      <c r="PBL2" s="2"/>
      <c r="PBM2" s="2"/>
      <c r="PBN2" s="2"/>
      <c r="PBO2" s="2"/>
      <c r="PBP2" s="2"/>
      <c r="PBQ2" s="2"/>
      <c r="PBR2" s="2"/>
      <c r="PBS2" s="2"/>
      <c r="PBT2" s="2"/>
      <c r="PBU2" s="2"/>
      <c r="PBV2" s="2"/>
      <c r="PBW2" s="2"/>
      <c r="PBX2" s="2"/>
      <c r="PBY2" s="2"/>
      <c r="PBZ2" s="2"/>
      <c r="PCA2" s="2"/>
      <c r="PCB2" s="2"/>
      <c r="PCC2" s="2"/>
      <c r="PCD2" s="2"/>
      <c r="PCE2" s="2"/>
      <c r="PCF2" s="2"/>
      <c r="PCG2" s="2"/>
      <c r="PCH2" s="2"/>
      <c r="PCI2" s="2"/>
      <c r="PCJ2" s="2"/>
      <c r="PCK2" s="2"/>
      <c r="PCL2" s="2"/>
      <c r="PCM2" s="2"/>
      <c r="PCN2" s="2"/>
      <c r="PCO2" s="2"/>
      <c r="PCP2" s="2"/>
      <c r="PCQ2" s="2"/>
      <c r="PCR2" s="2"/>
      <c r="PCS2" s="2"/>
      <c r="PCT2" s="2"/>
      <c r="PCU2" s="2"/>
      <c r="PCV2" s="2"/>
      <c r="PCW2" s="2"/>
      <c r="PCX2" s="2"/>
      <c r="PCY2" s="2"/>
      <c r="PCZ2" s="2"/>
      <c r="PDA2" s="2"/>
      <c r="PDB2" s="2"/>
      <c r="PDC2" s="2"/>
      <c r="PDD2" s="2"/>
      <c r="PDE2" s="2"/>
      <c r="PDF2" s="2"/>
      <c r="PDG2" s="2"/>
      <c r="PDH2" s="2"/>
      <c r="PDI2" s="2"/>
      <c r="PDJ2" s="2"/>
      <c r="PDK2" s="2"/>
      <c r="PDL2" s="2"/>
      <c r="PDM2" s="2"/>
      <c r="PDN2" s="2"/>
      <c r="PDO2" s="2"/>
      <c r="PDP2" s="2"/>
      <c r="PDQ2" s="2"/>
      <c r="PDR2" s="2"/>
      <c r="PDS2" s="2"/>
      <c r="PDT2" s="2"/>
      <c r="PDU2" s="2"/>
      <c r="PDV2" s="2"/>
      <c r="PDW2" s="2"/>
      <c r="PDX2" s="2"/>
      <c r="PDY2" s="2"/>
      <c r="PDZ2" s="2"/>
      <c r="PEA2" s="2"/>
      <c r="PEB2" s="2"/>
      <c r="PEC2" s="2"/>
      <c r="PED2" s="2"/>
      <c r="PEE2" s="2"/>
      <c r="PEF2" s="2"/>
      <c r="PEG2" s="2"/>
      <c r="PEH2" s="2"/>
      <c r="PEI2" s="2"/>
      <c r="PEJ2" s="2"/>
      <c r="PEK2" s="2"/>
      <c r="PEL2" s="2"/>
      <c r="PEM2" s="2"/>
      <c r="PEN2" s="2"/>
      <c r="PEO2" s="2"/>
      <c r="PEP2" s="2"/>
      <c r="PEQ2" s="2"/>
      <c r="PER2" s="2"/>
      <c r="PES2" s="2"/>
      <c r="PET2" s="2"/>
      <c r="PEU2" s="2"/>
      <c r="PEV2" s="2"/>
      <c r="PEW2" s="2"/>
      <c r="PEX2" s="2"/>
      <c r="PEY2" s="2"/>
      <c r="PEZ2" s="2"/>
      <c r="PFA2" s="2"/>
      <c r="PFB2" s="2"/>
      <c r="PFC2" s="2"/>
      <c r="PFD2" s="2"/>
      <c r="PFE2" s="2"/>
      <c r="PFF2" s="2"/>
      <c r="PFG2" s="2"/>
      <c r="PFH2" s="2"/>
      <c r="PFI2" s="2"/>
      <c r="PFJ2" s="2"/>
      <c r="PFK2" s="2"/>
      <c r="PFL2" s="2"/>
      <c r="PFM2" s="2"/>
      <c r="PFN2" s="2"/>
      <c r="PFO2" s="2"/>
      <c r="PFP2" s="2"/>
      <c r="PFQ2" s="2"/>
      <c r="PFR2" s="2"/>
      <c r="PFS2" s="2"/>
      <c r="PFT2" s="2"/>
      <c r="PFU2" s="2"/>
      <c r="PFV2" s="2"/>
      <c r="PFW2" s="2"/>
      <c r="PFX2" s="2"/>
      <c r="PFY2" s="2"/>
      <c r="PFZ2" s="2"/>
      <c r="PGA2" s="2"/>
      <c r="PGB2" s="2"/>
      <c r="PGC2" s="2"/>
      <c r="PGD2" s="2"/>
      <c r="PGE2" s="2"/>
      <c r="PGF2" s="2"/>
      <c r="PGG2" s="2"/>
      <c r="PGH2" s="2"/>
      <c r="PGI2" s="2"/>
      <c r="PGJ2" s="2"/>
      <c r="PGK2" s="2"/>
      <c r="PGL2" s="2"/>
      <c r="PGM2" s="2"/>
      <c r="PGN2" s="2"/>
      <c r="PGO2" s="2"/>
      <c r="PGP2" s="2"/>
      <c r="PGQ2" s="2"/>
      <c r="PGR2" s="2"/>
      <c r="PGS2" s="2"/>
      <c r="PGT2" s="2"/>
      <c r="PGU2" s="2"/>
      <c r="PGV2" s="2"/>
      <c r="PGW2" s="2"/>
      <c r="PGX2" s="2"/>
      <c r="PGY2" s="2"/>
      <c r="PGZ2" s="2"/>
      <c r="PHA2" s="2"/>
      <c r="PHB2" s="2"/>
      <c r="PHC2" s="2"/>
      <c r="PHD2" s="2"/>
      <c r="PHE2" s="2"/>
      <c r="PHF2" s="2"/>
      <c r="PHG2" s="2"/>
      <c r="PHH2" s="2"/>
      <c r="PHI2" s="2"/>
      <c r="PHJ2" s="2"/>
      <c r="PHK2" s="2"/>
      <c r="PHL2" s="2"/>
      <c r="PHM2" s="2"/>
      <c r="PHN2" s="2"/>
      <c r="PHO2" s="2"/>
      <c r="PHP2" s="2"/>
      <c r="PHQ2" s="2"/>
      <c r="PHR2" s="2"/>
      <c r="PHS2" s="2"/>
      <c r="PHT2" s="2"/>
      <c r="PHU2" s="2"/>
      <c r="PHV2" s="2"/>
      <c r="PHW2" s="2"/>
      <c r="PHX2" s="2"/>
      <c r="PHY2" s="2"/>
      <c r="PHZ2" s="2"/>
      <c r="PIA2" s="2"/>
      <c r="PIB2" s="2"/>
      <c r="PIC2" s="2"/>
      <c r="PID2" s="2"/>
      <c r="PIE2" s="2"/>
      <c r="PIF2" s="2"/>
      <c r="PIG2" s="2"/>
      <c r="PIH2" s="2"/>
      <c r="PII2" s="2"/>
      <c r="PIJ2" s="2"/>
      <c r="PIK2" s="2"/>
      <c r="PIL2" s="2"/>
      <c r="PIM2" s="2"/>
      <c r="PIN2" s="2"/>
      <c r="PIO2" s="2"/>
      <c r="PIP2" s="2"/>
      <c r="PIQ2" s="2"/>
      <c r="PIR2" s="2"/>
      <c r="PIS2" s="2"/>
      <c r="PIT2" s="2"/>
      <c r="PIU2" s="2"/>
      <c r="PIV2" s="2"/>
      <c r="PIW2" s="2"/>
      <c r="PIX2" s="2"/>
      <c r="PIY2" s="2"/>
      <c r="PIZ2" s="2"/>
      <c r="PJA2" s="2"/>
      <c r="PJB2" s="2"/>
      <c r="PJC2" s="2"/>
      <c r="PJD2" s="2"/>
      <c r="PJE2" s="2"/>
      <c r="PJF2" s="2"/>
      <c r="PJG2" s="2"/>
      <c r="PJH2" s="2"/>
      <c r="PJI2" s="2"/>
      <c r="PJJ2" s="2"/>
      <c r="PJK2" s="2"/>
      <c r="PJL2" s="2"/>
      <c r="PJM2" s="2"/>
      <c r="PJN2" s="2"/>
      <c r="PJO2" s="2"/>
      <c r="PJP2" s="2"/>
      <c r="PJQ2" s="2"/>
      <c r="PJR2" s="2"/>
      <c r="PJS2" s="2"/>
      <c r="PJT2" s="2"/>
      <c r="PJU2" s="2"/>
      <c r="PJV2" s="2"/>
      <c r="PJW2" s="2"/>
      <c r="PJX2" s="2"/>
      <c r="PJY2" s="2"/>
      <c r="PJZ2" s="2"/>
      <c r="PKA2" s="2"/>
      <c r="PKB2" s="2"/>
      <c r="PKC2" s="2"/>
      <c r="PKD2" s="2"/>
      <c r="PKE2" s="2"/>
      <c r="PKF2" s="2"/>
      <c r="PKG2" s="2"/>
      <c r="PKH2" s="2"/>
      <c r="PKI2" s="2"/>
      <c r="PKJ2" s="2"/>
      <c r="PKK2" s="2"/>
      <c r="PKL2" s="2"/>
      <c r="PKM2" s="2"/>
      <c r="PKN2" s="2"/>
      <c r="PKO2" s="2"/>
      <c r="PKP2" s="2"/>
      <c r="PKQ2" s="2"/>
      <c r="PKR2" s="2"/>
      <c r="PKS2" s="2"/>
      <c r="PKT2" s="2"/>
      <c r="PKU2" s="2"/>
      <c r="PKV2" s="2"/>
      <c r="PKW2" s="2"/>
      <c r="PKX2" s="2"/>
      <c r="PKY2" s="2"/>
      <c r="PKZ2" s="2"/>
      <c r="PLA2" s="2"/>
      <c r="PLB2" s="2"/>
      <c r="PLC2" s="2"/>
      <c r="PLD2" s="2"/>
      <c r="PLE2" s="2"/>
      <c r="PLF2" s="2"/>
      <c r="PLG2" s="2"/>
      <c r="PLH2" s="2"/>
      <c r="PLI2" s="2"/>
      <c r="PLJ2" s="2"/>
      <c r="PLK2" s="2"/>
      <c r="PLL2" s="2"/>
      <c r="PLM2" s="2"/>
      <c r="PLN2" s="2"/>
      <c r="PLO2" s="2"/>
      <c r="PLP2" s="2"/>
      <c r="PLQ2" s="2"/>
      <c r="PLR2" s="2"/>
      <c r="PLS2" s="2"/>
      <c r="PLT2" s="2"/>
      <c r="PLU2" s="2"/>
      <c r="PLV2" s="2"/>
      <c r="PLW2" s="2"/>
      <c r="PLX2" s="2"/>
      <c r="PLY2" s="2"/>
      <c r="PLZ2" s="2"/>
      <c r="PMA2" s="2"/>
      <c r="PMB2" s="2"/>
      <c r="PMC2" s="2"/>
      <c r="PMD2" s="2"/>
      <c r="PME2" s="2"/>
      <c r="PMF2" s="2"/>
      <c r="PMG2" s="2"/>
      <c r="PMH2" s="2"/>
      <c r="PMI2" s="2"/>
      <c r="PMJ2" s="2"/>
      <c r="PMK2" s="2"/>
      <c r="PML2" s="2"/>
      <c r="PMM2" s="2"/>
      <c r="PMN2" s="2"/>
      <c r="PMO2" s="2"/>
      <c r="PMP2" s="2"/>
      <c r="PMQ2" s="2"/>
      <c r="PMR2" s="2"/>
      <c r="PMS2" s="2"/>
      <c r="PMT2" s="2"/>
      <c r="PMU2" s="2"/>
      <c r="PMV2" s="2"/>
      <c r="PMW2" s="2"/>
      <c r="PMX2" s="2"/>
      <c r="PMY2" s="2"/>
      <c r="PMZ2" s="2"/>
      <c r="PNA2" s="2"/>
      <c r="PNB2" s="2"/>
      <c r="PNC2" s="2"/>
      <c r="PND2" s="2"/>
      <c r="PNE2" s="2"/>
      <c r="PNF2" s="2"/>
      <c r="PNG2" s="2"/>
      <c r="PNH2" s="2"/>
      <c r="PNI2" s="2"/>
      <c r="PNJ2" s="2"/>
      <c r="PNK2" s="2"/>
      <c r="PNL2" s="2"/>
      <c r="PNM2" s="2"/>
      <c r="PNN2" s="2"/>
      <c r="PNO2" s="2"/>
      <c r="PNP2" s="2"/>
      <c r="PNQ2" s="2"/>
      <c r="PNR2" s="2"/>
      <c r="PNS2" s="2"/>
      <c r="PNT2" s="2"/>
      <c r="PNU2" s="2"/>
      <c r="PNV2" s="2"/>
      <c r="PNW2" s="2"/>
      <c r="PNX2" s="2"/>
      <c r="PNY2" s="2"/>
      <c r="PNZ2" s="2"/>
      <c r="POA2" s="2"/>
      <c r="POB2" s="2"/>
      <c r="POC2" s="2"/>
      <c r="POD2" s="2"/>
      <c r="POE2" s="2"/>
      <c r="POF2" s="2"/>
      <c r="POG2" s="2"/>
      <c r="POH2" s="2"/>
      <c r="POI2" s="2"/>
      <c r="POJ2" s="2"/>
      <c r="POK2" s="2"/>
      <c r="POL2" s="2"/>
      <c r="POM2" s="2"/>
      <c r="PON2" s="2"/>
      <c r="POO2" s="2"/>
      <c r="POP2" s="2"/>
      <c r="POQ2" s="2"/>
      <c r="POR2" s="2"/>
      <c r="POS2" s="2"/>
      <c r="POT2" s="2"/>
      <c r="POU2" s="2"/>
      <c r="POV2" s="2"/>
      <c r="POW2" s="2"/>
      <c r="POX2" s="2"/>
      <c r="POY2" s="2"/>
      <c r="POZ2" s="2"/>
      <c r="PPA2" s="2"/>
      <c r="PPB2" s="2"/>
      <c r="PPC2" s="2"/>
      <c r="PPD2" s="2"/>
      <c r="PPE2" s="2"/>
      <c r="PPF2" s="2"/>
      <c r="PPG2" s="2"/>
      <c r="PPH2" s="2"/>
      <c r="PPI2" s="2"/>
      <c r="PPJ2" s="2"/>
      <c r="PPK2" s="2"/>
      <c r="PPL2" s="2"/>
      <c r="PPM2" s="2"/>
      <c r="PPN2" s="2"/>
      <c r="PPO2" s="2"/>
      <c r="PPP2" s="2"/>
      <c r="PPQ2" s="2"/>
      <c r="PPR2" s="2"/>
      <c r="PPS2" s="2"/>
      <c r="PPT2" s="2"/>
      <c r="PPU2" s="2"/>
      <c r="PPV2" s="2"/>
      <c r="PPW2" s="2"/>
      <c r="PPX2" s="2"/>
      <c r="PPY2" s="2"/>
      <c r="PPZ2" s="2"/>
      <c r="PQA2" s="2"/>
      <c r="PQB2" s="2"/>
      <c r="PQC2" s="2"/>
      <c r="PQD2" s="2"/>
      <c r="PQE2" s="2"/>
      <c r="PQF2" s="2"/>
      <c r="PQG2" s="2"/>
      <c r="PQH2" s="2"/>
      <c r="PQI2" s="2"/>
      <c r="PQJ2" s="2"/>
      <c r="PQK2" s="2"/>
      <c r="PQL2" s="2"/>
      <c r="PQM2" s="2"/>
      <c r="PQN2" s="2"/>
      <c r="PQO2" s="2"/>
      <c r="PQP2" s="2"/>
      <c r="PQQ2" s="2"/>
      <c r="PQR2" s="2"/>
      <c r="PQS2" s="2"/>
      <c r="PQT2" s="2"/>
      <c r="PQU2" s="2"/>
      <c r="PQV2" s="2"/>
      <c r="PQW2" s="2"/>
      <c r="PQX2" s="2"/>
      <c r="PQY2" s="2"/>
      <c r="PQZ2" s="2"/>
      <c r="PRA2" s="2"/>
      <c r="PRB2" s="2"/>
      <c r="PRC2" s="2"/>
      <c r="PRD2" s="2"/>
      <c r="PRE2" s="2"/>
      <c r="PRF2" s="2"/>
      <c r="PRG2" s="2"/>
      <c r="PRH2" s="2"/>
      <c r="PRI2" s="2"/>
      <c r="PRJ2" s="2"/>
      <c r="PRK2" s="2"/>
      <c r="PRL2" s="2"/>
      <c r="PRM2" s="2"/>
      <c r="PRN2" s="2"/>
      <c r="PRO2" s="2"/>
      <c r="PRP2" s="2"/>
      <c r="PRQ2" s="2"/>
      <c r="PRR2" s="2"/>
      <c r="PRS2" s="2"/>
      <c r="PRT2" s="2"/>
      <c r="PRU2" s="2"/>
      <c r="PRV2" s="2"/>
      <c r="PRW2" s="2"/>
      <c r="PRX2" s="2"/>
      <c r="PRY2" s="2"/>
      <c r="PRZ2" s="2"/>
      <c r="PSA2" s="2"/>
      <c r="PSB2" s="2"/>
      <c r="PSC2" s="2"/>
      <c r="PSD2" s="2"/>
      <c r="PSE2" s="2"/>
      <c r="PSF2" s="2"/>
      <c r="PSG2" s="2"/>
      <c r="PSH2" s="2"/>
      <c r="PSI2" s="2"/>
      <c r="PSJ2" s="2"/>
      <c r="PSK2" s="2"/>
      <c r="PSL2" s="2"/>
      <c r="PSM2" s="2"/>
      <c r="PSN2" s="2"/>
      <c r="PSO2" s="2"/>
      <c r="PSP2" s="2"/>
      <c r="PSQ2" s="2"/>
      <c r="PSR2" s="2"/>
      <c r="PSS2" s="2"/>
      <c r="PST2" s="2"/>
      <c r="PSU2" s="2"/>
      <c r="PSV2" s="2"/>
      <c r="PSW2" s="2"/>
      <c r="PSX2" s="2"/>
      <c r="PSY2" s="2"/>
      <c r="PSZ2" s="2"/>
      <c r="PTA2" s="2"/>
      <c r="PTB2" s="2"/>
      <c r="PTC2" s="2"/>
      <c r="PTD2" s="2"/>
      <c r="PTE2" s="2"/>
      <c r="PTF2" s="2"/>
      <c r="PTG2" s="2"/>
      <c r="PTH2" s="2"/>
      <c r="PTI2" s="2"/>
      <c r="PTJ2" s="2"/>
      <c r="PTK2" s="2"/>
      <c r="PTL2" s="2"/>
      <c r="PTM2" s="2"/>
      <c r="PTN2" s="2"/>
      <c r="PTO2" s="2"/>
      <c r="PTP2" s="2"/>
      <c r="PTQ2" s="2"/>
      <c r="PTR2" s="2"/>
      <c r="PTS2" s="2"/>
      <c r="PTT2" s="2"/>
      <c r="PTU2" s="2"/>
      <c r="PTV2" s="2"/>
      <c r="PTW2" s="2"/>
      <c r="PTX2" s="2"/>
      <c r="PTY2" s="2"/>
      <c r="PTZ2" s="2"/>
      <c r="PUA2" s="2"/>
      <c r="PUB2" s="2"/>
      <c r="PUC2" s="2"/>
      <c r="PUD2" s="2"/>
      <c r="PUE2" s="2"/>
      <c r="PUF2" s="2"/>
      <c r="PUG2" s="2"/>
      <c r="PUH2" s="2"/>
      <c r="PUI2" s="2"/>
      <c r="PUJ2" s="2"/>
      <c r="PUK2" s="2"/>
      <c r="PUL2" s="2"/>
      <c r="PUM2" s="2"/>
      <c r="PUN2" s="2"/>
      <c r="PUO2" s="2"/>
      <c r="PUP2" s="2"/>
      <c r="PUQ2" s="2"/>
      <c r="PUR2" s="2"/>
      <c r="PUS2" s="2"/>
      <c r="PUT2" s="2"/>
      <c r="PUU2" s="2"/>
      <c r="PUV2" s="2"/>
      <c r="PUW2" s="2"/>
      <c r="PUX2" s="2"/>
      <c r="PUY2" s="2"/>
      <c r="PUZ2" s="2"/>
      <c r="PVA2" s="2"/>
      <c r="PVB2" s="2"/>
      <c r="PVC2" s="2"/>
      <c r="PVD2" s="2"/>
      <c r="PVE2" s="2"/>
      <c r="PVF2" s="2"/>
      <c r="PVG2" s="2"/>
      <c r="PVH2" s="2"/>
      <c r="PVI2" s="2"/>
      <c r="PVJ2" s="2"/>
      <c r="PVK2" s="2"/>
      <c r="PVL2" s="2"/>
      <c r="PVM2" s="2"/>
      <c r="PVN2" s="2"/>
      <c r="PVO2" s="2"/>
      <c r="PVP2" s="2"/>
      <c r="PVQ2" s="2"/>
      <c r="PVR2" s="2"/>
      <c r="PVS2" s="2"/>
      <c r="PVT2" s="2"/>
      <c r="PVU2" s="2"/>
      <c r="PVV2" s="2"/>
      <c r="PVW2" s="2"/>
      <c r="PVX2" s="2"/>
      <c r="PVY2" s="2"/>
      <c r="PVZ2" s="2"/>
      <c r="PWA2" s="2"/>
      <c r="PWB2" s="2"/>
      <c r="PWC2" s="2"/>
      <c r="PWD2" s="2"/>
      <c r="PWE2" s="2"/>
      <c r="PWF2" s="2"/>
      <c r="PWG2" s="2"/>
      <c r="PWH2" s="2"/>
      <c r="PWI2" s="2"/>
      <c r="PWJ2" s="2"/>
      <c r="PWK2" s="2"/>
      <c r="PWL2" s="2"/>
      <c r="PWM2" s="2"/>
      <c r="PWN2" s="2"/>
      <c r="PWO2" s="2"/>
      <c r="PWP2" s="2"/>
      <c r="PWQ2" s="2"/>
      <c r="PWR2" s="2"/>
      <c r="PWS2" s="2"/>
      <c r="PWT2" s="2"/>
      <c r="PWU2" s="2"/>
      <c r="PWV2" s="2"/>
      <c r="PWW2" s="2"/>
      <c r="PWX2" s="2"/>
      <c r="PWY2" s="2"/>
      <c r="PWZ2" s="2"/>
      <c r="PXA2" s="2"/>
      <c r="PXB2" s="2"/>
      <c r="PXC2" s="2"/>
      <c r="PXD2" s="2"/>
      <c r="PXE2" s="2"/>
      <c r="PXF2" s="2"/>
      <c r="PXG2" s="2"/>
      <c r="PXH2" s="2"/>
      <c r="PXI2" s="2"/>
      <c r="PXJ2" s="2"/>
      <c r="PXK2" s="2"/>
      <c r="PXL2" s="2"/>
      <c r="PXM2" s="2"/>
      <c r="PXN2" s="2"/>
      <c r="PXO2" s="2"/>
      <c r="PXP2" s="2"/>
      <c r="PXQ2" s="2"/>
      <c r="PXR2" s="2"/>
      <c r="PXS2" s="2"/>
      <c r="PXT2" s="2"/>
      <c r="PXU2" s="2"/>
      <c r="PXV2" s="2"/>
      <c r="PXW2" s="2"/>
      <c r="PXX2" s="2"/>
      <c r="PXY2" s="2"/>
      <c r="PXZ2" s="2"/>
      <c r="PYA2" s="2"/>
      <c r="PYB2" s="2"/>
      <c r="PYC2" s="2"/>
      <c r="PYD2" s="2"/>
      <c r="PYE2" s="2"/>
      <c r="PYF2" s="2"/>
      <c r="PYG2" s="2"/>
      <c r="PYH2" s="2"/>
      <c r="PYI2" s="2"/>
      <c r="PYJ2" s="2"/>
      <c r="PYK2" s="2"/>
      <c r="PYL2" s="2"/>
      <c r="PYM2" s="2"/>
      <c r="PYN2" s="2"/>
      <c r="PYO2" s="2"/>
      <c r="PYP2" s="2"/>
      <c r="PYQ2" s="2"/>
      <c r="PYR2" s="2"/>
      <c r="PYS2" s="2"/>
      <c r="PYT2" s="2"/>
      <c r="PYU2" s="2"/>
      <c r="PYV2" s="2"/>
      <c r="PYW2" s="2"/>
      <c r="PYX2" s="2"/>
      <c r="PYY2" s="2"/>
      <c r="PYZ2" s="2"/>
      <c r="PZA2" s="2"/>
      <c r="PZB2" s="2"/>
      <c r="PZC2" s="2"/>
      <c r="PZD2" s="2"/>
      <c r="PZE2" s="2"/>
      <c r="PZF2" s="2"/>
      <c r="PZG2" s="2"/>
      <c r="PZH2" s="2"/>
      <c r="PZI2" s="2"/>
      <c r="PZJ2" s="2"/>
      <c r="PZK2" s="2"/>
      <c r="PZL2" s="2"/>
      <c r="PZM2" s="2"/>
      <c r="PZN2" s="2"/>
      <c r="PZO2" s="2"/>
      <c r="PZP2" s="2"/>
      <c r="PZQ2" s="2"/>
      <c r="PZR2" s="2"/>
      <c r="PZS2" s="2"/>
      <c r="PZT2" s="2"/>
      <c r="PZU2" s="2"/>
      <c r="PZV2" s="2"/>
      <c r="PZW2" s="2"/>
      <c r="PZX2" s="2"/>
      <c r="PZY2" s="2"/>
      <c r="PZZ2" s="2"/>
      <c r="QAA2" s="2"/>
      <c r="QAB2" s="2"/>
      <c r="QAC2" s="2"/>
      <c r="QAD2" s="2"/>
      <c r="QAE2" s="2"/>
      <c r="QAF2" s="2"/>
      <c r="QAG2" s="2"/>
      <c r="QAH2" s="2"/>
      <c r="QAI2" s="2"/>
      <c r="QAJ2" s="2"/>
      <c r="QAK2" s="2"/>
      <c r="QAL2" s="2"/>
      <c r="QAM2" s="2"/>
      <c r="QAN2" s="2"/>
      <c r="QAO2" s="2"/>
      <c r="QAP2" s="2"/>
      <c r="QAQ2" s="2"/>
      <c r="QAR2" s="2"/>
      <c r="QAS2" s="2"/>
      <c r="QAT2" s="2"/>
      <c r="QAU2" s="2"/>
      <c r="QAV2" s="2"/>
      <c r="QAW2" s="2"/>
      <c r="QAX2" s="2"/>
      <c r="QAY2" s="2"/>
      <c r="QAZ2" s="2"/>
      <c r="QBA2" s="2"/>
      <c r="QBB2" s="2"/>
      <c r="QBC2" s="2"/>
      <c r="QBD2" s="2"/>
      <c r="QBE2" s="2"/>
      <c r="QBF2" s="2"/>
      <c r="QBG2" s="2"/>
      <c r="QBH2" s="2"/>
      <c r="QBI2" s="2"/>
      <c r="QBJ2" s="2"/>
      <c r="QBK2" s="2"/>
      <c r="QBL2" s="2"/>
      <c r="QBM2" s="2"/>
      <c r="QBN2" s="2"/>
      <c r="QBO2" s="2"/>
      <c r="QBP2" s="2"/>
      <c r="QBQ2" s="2"/>
      <c r="QBR2" s="2"/>
      <c r="QBS2" s="2"/>
      <c r="QBT2" s="2"/>
      <c r="QBU2" s="2"/>
      <c r="QBV2" s="2"/>
      <c r="QBW2" s="2"/>
      <c r="QBX2" s="2"/>
      <c r="QBY2" s="2"/>
      <c r="QBZ2" s="2"/>
      <c r="QCA2" s="2"/>
      <c r="QCB2" s="2"/>
      <c r="QCC2" s="2"/>
      <c r="QCD2" s="2"/>
      <c r="QCE2" s="2"/>
      <c r="QCF2" s="2"/>
      <c r="QCG2" s="2"/>
      <c r="QCH2" s="2"/>
      <c r="QCI2" s="2"/>
      <c r="QCJ2" s="2"/>
      <c r="QCK2" s="2"/>
      <c r="QCL2" s="2"/>
      <c r="QCM2" s="2"/>
      <c r="QCN2" s="2"/>
      <c r="QCO2" s="2"/>
      <c r="QCP2" s="2"/>
      <c r="QCQ2" s="2"/>
      <c r="QCR2" s="2"/>
      <c r="QCS2" s="2"/>
      <c r="QCT2" s="2"/>
      <c r="QCU2" s="2"/>
      <c r="QCV2" s="2"/>
      <c r="QCW2" s="2"/>
      <c r="QCX2" s="2"/>
      <c r="QCY2" s="2"/>
      <c r="QCZ2" s="2"/>
      <c r="QDA2" s="2"/>
      <c r="QDB2" s="2"/>
      <c r="QDC2" s="2"/>
      <c r="QDD2" s="2"/>
      <c r="QDE2" s="2"/>
      <c r="QDF2" s="2"/>
      <c r="QDG2" s="2"/>
      <c r="QDH2" s="2"/>
      <c r="QDI2" s="2"/>
      <c r="QDJ2" s="2"/>
      <c r="QDK2" s="2"/>
      <c r="QDL2" s="2"/>
      <c r="QDM2" s="2"/>
      <c r="QDN2" s="2"/>
      <c r="QDO2" s="2"/>
      <c r="QDP2" s="2"/>
      <c r="QDQ2" s="2"/>
      <c r="QDR2" s="2"/>
      <c r="QDS2" s="2"/>
      <c r="QDT2" s="2"/>
      <c r="QDU2" s="2"/>
      <c r="QDV2" s="2"/>
      <c r="QDW2" s="2"/>
      <c r="QDX2" s="2"/>
      <c r="QDY2" s="2"/>
      <c r="QDZ2" s="2"/>
      <c r="QEA2" s="2"/>
      <c r="QEB2" s="2"/>
      <c r="QEC2" s="2"/>
      <c r="QED2" s="2"/>
      <c r="QEE2" s="2"/>
      <c r="QEF2" s="2"/>
      <c r="QEG2" s="2"/>
      <c r="QEH2" s="2"/>
      <c r="QEI2" s="2"/>
      <c r="QEJ2" s="2"/>
      <c r="QEK2" s="2"/>
      <c r="QEL2" s="2"/>
      <c r="QEM2" s="2"/>
      <c r="QEN2" s="2"/>
      <c r="QEO2" s="2"/>
      <c r="QEP2" s="2"/>
      <c r="QEQ2" s="2"/>
      <c r="QER2" s="2"/>
      <c r="QES2" s="2"/>
      <c r="QET2" s="2"/>
      <c r="QEU2" s="2"/>
      <c r="QEV2" s="2"/>
      <c r="QEW2" s="2"/>
      <c r="QEX2" s="2"/>
      <c r="QEY2" s="2"/>
      <c r="QEZ2" s="2"/>
      <c r="QFA2" s="2"/>
      <c r="QFB2" s="2"/>
      <c r="QFC2" s="2"/>
      <c r="QFD2" s="2"/>
      <c r="QFE2" s="2"/>
      <c r="QFF2" s="2"/>
      <c r="QFG2" s="2"/>
      <c r="QFH2" s="2"/>
      <c r="QFI2" s="2"/>
      <c r="QFJ2" s="2"/>
      <c r="QFK2" s="2"/>
      <c r="QFL2" s="2"/>
      <c r="QFM2" s="2"/>
      <c r="QFN2" s="2"/>
      <c r="QFO2" s="2"/>
      <c r="QFP2" s="2"/>
      <c r="QFQ2" s="2"/>
      <c r="QFR2" s="2"/>
      <c r="QFS2" s="2"/>
      <c r="QFT2" s="2"/>
      <c r="QFU2" s="2"/>
      <c r="QFV2" s="2"/>
      <c r="QFW2" s="2"/>
      <c r="QFX2" s="2"/>
      <c r="QFY2" s="2"/>
      <c r="QFZ2" s="2"/>
      <c r="QGA2" s="2"/>
      <c r="QGB2" s="2"/>
      <c r="QGC2" s="2"/>
      <c r="QGD2" s="2"/>
      <c r="QGE2" s="2"/>
      <c r="QGF2" s="2"/>
      <c r="QGG2" s="2"/>
      <c r="QGH2" s="2"/>
      <c r="QGI2" s="2"/>
      <c r="QGJ2" s="2"/>
      <c r="QGK2" s="2"/>
      <c r="QGL2" s="2"/>
      <c r="QGM2" s="2"/>
      <c r="QGN2" s="2"/>
      <c r="QGO2" s="2"/>
      <c r="QGP2" s="2"/>
      <c r="QGQ2" s="2"/>
      <c r="QGR2" s="2"/>
      <c r="QGS2" s="2"/>
      <c r="QGT2" s="2"/>
      <c r="QGU2" s="2"/>
      <c r="QGV2" s="2"/>
      <c r="QGW2" s="2"/>
      <c r="QGX2" s="2"/>
      <c r="QGY2" s="2"/>
      <c r="QGZ2" s="2"/>
      <c r="QHA2" s="2"/>
      <c r="QHB2" s="2"/>
      <c r="QHC2" s="2"/>
      <c r="QHD2" s="2"/>
      <c r="QHE2" s="2"/>
      <c r="QHF2" s="2"/>
      <c r="QHG2" s="2"/>
      <c r="QHH2" s="2"/>
      <c r="QHI2" s="2"/>
      <c r="QHJ2" s="2"/>
      <c r="QHK2" s="2"/>
      <c r="QHL2" s="2"/>
      <c r="QHM2" s="2"/>
      <c r="QHN2" s="2"/>
      <c r="QHO2" s="2"/>
      <c r="QHP2" s="2"/>
      <c r="QHQ2" s="2"/>
      <c r="QHR2" s="2"/>
      <c r="QHS2" s="2"/>
      <c r="QHT2" s="2"/>
      <c r="QHU2" s="2"/>
      <c r="QHV2" s="2"/>
      <c r="QHW2" s="2"/>
      <c r="QHX2" s="2"/>
      <c r="QHY2" s="2"/>
      <c r="QHZ2" s="2"/>
      <c r="QIA2" s="2"/>
      <c r="QIB2" s="2"/>
      <c r="QIC2" s="2"/>
      <c r="QID2" s="2"/>
      <c r="QIE2" s="2"/>
      <c r="QIF2" s="2"/>
      <c r="QIG2" s="2"/>
      <c r="QIH2" s="2"/>
      <c r="QII2" s="2"/>
      <c r="QIJ2" s="2"/>
      <c r="QIK2" s="2"/>
      <c r="QIL2" s="2"/>
      <c r="QIM2" s="2"/>
      <c r="QIN2" s="2"/>
      <c r="QIO2" s="2"/>
      <c r="QIP2" s="2"/>
      <c r="QIQ2" s="2"/>
      <c r="QIR2" s="2"/>
      <c r="QIS2" s="2"/>
      <c r="QIT2" s="2"/>
      <c r="QIU2" s="2"/>
      <c r="QIV2" s="2"/>
      <c r="QIW2" s="2"/>
      <c r="QIX2" s="2"/>
      <c r="QIY2" s="2"/>
      <c r="QIZ2" s="2"/>
      <c r="QJA2" s="2"/>
      <c r="QJB2" s="2"/>
      <c r="QJC2" s="2"/>
      <c r="QJD2" s="2"/>
      <c r="QJE2" s="2"/>
      <c r="QJF2" s="2"/>
      <c r="QJG2" s="2"/>
      <c r="QJH2" s="2"/>
      <c r="QJI2" s="2"/>
      <c r="QJJ2" s="2"/>
      <c r="QJK2" s="2"/>
      <c r="QJL2" s="2"/>
      <c r="QJM2" s="2"/>
      <c r="QJN2" s="2"/>
      <c r="QJO2" s="2"/>
      <c r="QJP2" s="2"/>
      <c r="QJQ2" s="2"/>
      <c r="QJR2" s="2"/>
      <c r="QJS2" s="2"/>
      <c r="QJT2" s="2"/>
      <c r="QJU2" s="2"/>
      <c r="QJV2" s="2"/>
      <c r="QJW2" s="2"/>
      <c r="QJX2" s="2"/>
      <c r="QJY2" s="2"/>
      <c r="QJZ2" s="2"/>
      <c r="QKA2" s="2"/>
      <c r="QKB2" s="2"/>
      <c r="QKC2" s="2"/>
      <c r="QKD2" s="2"/>
      <c r="QKE2" s="2"/>
      <c r="QKF2" s="2"/>
      <c r="QKG2" s="2"/>
      <c r="QKH2" s="2"/>
      <c r="QKI2" s="2"/>
      <c r="QKJ2" s="2"/>
      <c r="QKK2" s="2"/>
      <c r="QKL2" s="2"/>
      <c r="QKM2" s="2"/>
      <c r="QKN2" s="2"/>
      <c r="QKO2" s="2"/>
      <c r="QKP2" s="2"/>
      <c r="QKQ2" s="2"/>
      <c r="QKR2" s="2"/>
      <c r="QKS2" s="2"/>
      <c r="QKT2" s="2"/>
      <c r="QKU2" s="2"/>
      <c r="QKV2" s="2"/>
      <c r="QKW2" s="2"/>
      <c r="QKX2" s="2"/>
      <c r="QKY2" s="2"/>
      <c r="QKZ2" s="2"/>
      <c r="QLA2" s="2"/>
      <c r="QLB2" s="2"/>
      <c r="QLC2" s="2"/>
      <c r="QLD2" s="2"/>
      <c r="QLE2" s="2"/>
      <c r="QLF2" s="2"/>
      <c r="QLG2" s="2"/>
      <c r="QLH2" s="2"/>
      <c r="QLI2" s="2"/>
      <c r="QLJ2" s="2"/>
      <c r="QLK2" s="2"/>
      <c r="QLL2" s="2"/>
      <c r="QLM2" s="2"/>
      <c r="QLN2" s="2"/>
      <c r="QLO2" s="2"/>
      <c r="QLP2" s="2"/>
      <c r="QLQ2" s="2"/>
      <c r="QLR2" s="2"/>
      <c r="QLS2" s="2"/>
      <c r="QLT2" s="2"/>
      <c r="QLU2" s="2"/>
      <c r="QLV2" s="2"/>
      <c r="QLW2" s="2"/>
      <c r="QLX2" s="2"/>
      <c r="QLY2" s="2"/>
      <c r="QLZ2" s="2"/>
      <c r="QMA2" s="2"/>
      <c r="QMB2" s="2"/>
      <c r="QMC2" s="2"/>
      <c r="QMD2" s="2"/>
      <c r="QME2" s="2"/>
      <c r="QMF2" s="2"/>
      <c r="QMG2" s="2"/>
      <c r="QMH2" s="2"/>
      <c r="QMI2" s="2"/>
      <c r="QMJ2" s="2"/>
      <c r="QMK2" s="2"/>
      <c r="QML2" s="2"/>
      <c r="QMM2" s="2"/>
      <c r="QMN2" s="2"/>
      <c r="QMO2" s="2"/>
      <c r="QMP2" s="2"/>
      <c r="QMQ2" s="2"/>
      <c r="QMR2" s="2"/>
      <c r="QMS2" s="2"/>
      <c r="QMT2" s="2"/>
      <c r="QMU2" s="2"/>
      <c r="QMV2" s="2"/>
      <c r="QMW2" s="2"/>
      <c r="QMX2" s="2"/>
      <c r="QMY2" s="2"/>
      <c r="QMZ2" s="2"/>
      <c r="QNA2" s="2"/>
      <c r="QNB2" s="2"/>
      <c r="QNC2" s="2"/>
      <c r="QND2" s="2"/>
      <c r="QNE2" s="2"/>
      <c r="QNF2" s="2"/>
      <c r="QNG2" s="2"/>
      <c r="QNH2" s="2"/>
      <c r="QNI2" s="2"/>
      <c r="QNJ2" s="2"/>
      <c r="QNK2" s="2"/>
      <c r="QNL2" s="2"/>
      <c r="QNM2" s="2"/>
      <c r="QNN2" s="2"/>
      <c r="QNO2" s="2"/>
      <c r="QNP2" s="2"/>
      <c r="QNQ2" s="2"/>
      <c r="QNR2" s="2"/>
      <c r="QNS2" s="2"/>
      <c r="QNT2" s="2"/>
      <c r="QNU2" s="2"/>
      <c r="QNV2" s="2"/>
      <c r="QNW2" s="2"/>
      <c r="QNX2" s="2"/>
      <c r="QNY2" s="2"/>
      <c r="QNZ2" s="2"/>
      <c r="QOA2" s="2"/>
      <c r="QOB2" s="2"/>
      <c r="QOC2" s="2"/>
      <c r="QOD2" s="2"/>
      <c r="QOE2" s="2"/>
      <c r="QOF2" s="2"/>
      <c r="QOG2" s="2"/>
      <c r="QOH2" s="2"/>
      <c r="QOI2" s="2"/>
      <c r="QOJ2" s="2"/>
      <c r="QOK2" s="2"/>
      <c r="QOL2" s="2"/>
      <c r="QOM2" s="2"/>
      <c r="QON2" s="2"/>
      <c r="QOO2" s="2"/>
      <c r="QOP2" s="2"/>
      <c r="QOQ2" s="2"/>
      <c r="QOR2" s="2"/>
      <c r="QOS2" s="2"/>
      <c r="QOT2" s="2"/>
      <c r="QOU2" s="2"/>
      <c r="QOV2" s="2"/>
      <c r="QOW2" s="2"/>
      <c r="QOX2" s="2"/>
      <c r="QOY2" s="2"/>
      <c r="QOZ2" s="2"/>
      <c r="QPA2" s="2"/>
      <c r="QPB2" s="2"/>
      <c r="QPC2" s="2"/>
      <c r="QPD2" s="2"/>
      <c r="QPE2" s="2"/>
      <c r="QPF2" s="2"/>
      <c r="QPG2" s="2"/>
      <c r="QPH2" s="2"/>
      <c r="QPI2" s="2"/>
      <c r="QPJ2" s="2"/>
      <c r="QPK2" s="2"/>
      <c r="QPL2" s="2"/>
      <c r="QPM2" s="2"/>
      <c r="QPN2" s="2"/>
      <c r="QPO2" s="2"/>
      <c r="QPP2" s="2"/>
      <c r="QPQ2" s="2"/>
      <c r="QPR2" s="2"/>
      <c r="QPS2" s="2"/>
      <c r="QPT2" s="2"/>
      <c r="QPU2" s="2"/>
      <c r="QPV2" s="2"/>
      <c r="QPW2" s="2"/>
      <c r="QPX2" s="2"/>
      <c r="QPY2" s="2"/>
      <c r="QPZ2" s="2"/>
      <c r="QQA2" s="2"/>
      <c r="QQB2" s="2"/>
      <c r="QQC2" s="2"/>
      <c r="QQD2" s="2"/>
      <c r="QQE2" s="2"/>
      <c r="QQF2" s="2"/>
      <c r="QQG2" s="2"/>
      <c r="QQH2" s="2"/>
      <c r="QQI2" s="2"/>
      <c r="QQJ2" s="2"/>
      <c r="QQK2" s="2"/>
      <c r="QQL2" s="2"/>
      <c r="QQM2" s="2"/>
      <c r="QQN2" s="2"/>
      <c r="QQO2" s="2"/>
      <c r="QQP2" s="2"/>
      <c r="QQQ2" s="2"/>
      <c r="QQR2" s="2"/>
      <c r="QQS2" s="2"/>
      <c r="QQT2" s="2"/>
      <c r="QQU2" s="2"/>
      <c r="QQV2" s="2"/>
      <c r="QQW2" s="2"/>
      <c r="QQX2" s="2"/>
      <c r="QQY2" s="2"/>
      <c r="QQZ2" s="2"/>
      <c r="QRA2" s="2"/>
      <c r="QRB2" s="2"/>
      <c r="QRC2" s="2"/>
      <c r="QRD2" s="2"/>
      <c r="QRE2" s="2"/>
      <c r="QRF2" s="2"/>
      <c r="QRG2" s="2"/>
      <c r="QRH2" s="2"/>
      <c r="QRI2" s="2"/>
      <c r="QRJ2" s="2"/>
      <c r="QRK2" s="2"/>
      <c r="QRL2" s="2"/>
      <c r="QRM2" s="2"/>
      <c r="QRN2" s="2"/>
      <c r="QRO2" s="2"/>
      <c r="QRP2" s="2"/>
      <c r="QRQ2" s="2"/>
      <c r="QRR2" s="2"/>
      <c r="QRS2" s="2"/>
      <c r="QRT2" s="2"/>
      <c r="QRU2" s="2"/>
      <c r="QRV2" s="2"/>
      <c r="QRW2" s="2"/>
      <c r="QRX2" s="2"/>
      <c r="QRY2" s="2"/>
      <c r="QRZ2" s="2"/>
      <c r="QSA2" s="2"/>
      <c r="QSB2" s="2"/>
      <c r="QSC2" s="2"/>
      <c r="QSD2" s="2"/>
      <c r="QSE2" s="2"/>
      <c r="QSF2" s="2"/>
      <c r="QSG2" s="2"/>
      <c r="QSH2" s="2"/>
      <c r="QSI2" s="2"/>
      <c r="QSJ2" s="2"/>
      <c r="QSK2" s="2"/>
      <c r="QSL2" s="2"/>
      <c r="QSM2" s="2"/>
      <c r="QSN2" s="2"/>
      <c r="QSO2" s="2"/>
      <c r="QSP2" s="2"/>
      <c r="QSQ2" s="2"/>
      <c r="QSR2" s="2"/>
      <c r="QSS2" s="2"/>
      <c r="QST2" s="2"/>
      <c r="QSU2" s="2"/>
      <c r="QSV2" s="2"/>
      <c r="QSW2" s="2"/>
      <c r="QSX2" s="2"/>
      <c r="QSY2" s="2"/>
      <c r="QSZ2" s="2"/>
      <c r="QTA2" s="2"/>
      <c r="QTB2" s="2"/>
      <c r="QTC2" s="2"/>
      <c r="QTD2" s="2"/>
      <c r="QTE2" s="2"/>
      <c r="QTF2" s="2"/>
      <c r="QTG2" s="2"/>
      <c r="QTH2" s="2"/>
      <c r="QTI2" s="2"/>
      <c r="QTJ2" s="2"/>
      <c r="QTK2" s="2"/>
      <c r="QTL2" s="2"/>
      <c r="QTM2" s="2"/>
      <c r="QTN2" s="2"/>
      <c r="QTO2" s="2"/>
      <c r="QTP2" s="2"/>
      <c r="QTQ2" s="2"/>
      <c r="QTR2" s="2"/>
      <c r="QTS2" s="2"/>
      <c r="QTT2" s="2"/>
      <c r="QTU2" s="2"/>
      <c r="QTV2" s="2"/>
      <c r="QTW2" s="2"/>
      <c r="QTX2" s="2"/>
      <c r="QTY2" s="2"/>
      <c r="QTZ2" s="2"/>
      <c r="QUA2" s="2"/>
      <c r="QUB2" s="2"/>
      <c r="QUC2" s="2"/>
      <c r="QUD2" s="2"/>
      <c r="QUE2" s="2"/>
      <c r="QUF2" s="2"/>
      <c r="QUG2" s="2"/>
      <c r="QUH2" s="2"/>
      <c r="QUI2" s="2"/>
      <c r="QUJ2" s="2"/>
      <c r="QUK2" s="2"/>
      <c r="QUL2" s="2"/>
      <c r="QUM2" s="2"/>
      <c r="QUN2" s="2"/>
      <c r="QUO2" s="2"/>
      <c r="QUP2" s="2"/>
      <c r="QUQ2" s="2"/>
      <c r="QUR2" s="2"/>
      <c r="QUS2" s="2"/>
      <c r="QUT2" s="2"/>
      <c r="QUU2" s="2"/>
      <c r="QUV2" s="2"/>
      <c r="QUW2" s="2"/>
      <c r="QUX2" s="2"/>
      <c r="QUY2" s="2"/>
      <c r="QUZ2" s="2"/>
      <c r="QVA2" s="2"/>
      <c r="QVB2" s="2"/>
      <c r="QVC2" s="2"/>
      <c r="QVD2" s="2"/>
      <c r="QVE2" s="2"/>
      <c r="QVF2" s="2"/>
      <c r="QVG2" s="2"/>
      <c r="QVH2" s="2"/>
      <c r="QVI2" s="2"/>
      <c r="QVJ2" s="2"/>
      <c r="QVK2" s="2"/>
      <c r="QVL2" s="2"/>
      <c r="QVM2" s="2"/>
      <c r="QVN2" s="2"/>
      <c r="QVO2" s="2"/>
      <c r="QVP2" s="2"/>
      <c r="QVQ2" s="2"/>
      <c r="QVR2" s="2"/>
      <c r="QVS2" s="2"/>
      <c r="QVT2" s="2"/>
      <c r="QVU2" s="2"/>
      <c r="QVV2" s="2"/>
      <c r="QVW2" s="2"/>
      <c r="QVX2" s="2"/>
      <c r="QVY2" s="2"/>
      <c r="QVZ2" s="2"/>
      <c r="QWA2" s="2"/>
      <c r="QWB2" s="2"/>
      <c r="QWC2" s="2"/>
      <c r="QWD2" s="2"/>
      <c r="QWE2" s="2"/>
      <c r="QWF2" s="2"/>
      <c r="QWG2" s="2"/>
      <c r="QWH2" s="2"/>
      <c r="QWI2" s="2"/>
      <c r="QWJ2" s="2"/>
      <c r="QWK2" s="2"/>
      <c r="QWL2" s="2"/>
      <c r="QWM2" s="2"/>
      <c r="QWN2" s="2"/>
      <c r="QWO2" s="2"/>
      <c r="QWP2" s="2"/>
      <c r="QWQ2" s="2"/>
      <c r="QWR2" s="2"/>
      <c r="QWS2" s="2"/>
      <c r="QWT2" s="2"/>
      <c r="QWU2" s="2"/>
      <c r="QWV2" s="2"/>
      <c r="QWW2" s="2"/>
      <c r="QWX2" s="2"/>
      <c r="QWY2" s="2"/>
      <c r="QWZ2" s="2"/>
      <c r="QXA2" s="2"/>
      <c r="QXB2" s="2"/>
      <c r="QXC2" s="2"/>
      <c r="QXD2" s="2"/>
      <c r="QXE2" s="2"/>
      <c r="QXF2" s="2"/>
      <c r="QXG2" s="2"/>
      <c r="QXH2" s="2"/>
      <c r="QXI2" s="2"/>
      <c r="QXJ2" s="2"/>
      <c r="QXK2" s="2"/>
      <c r="QXL2" s="2"/>
      <c r="QXM2" s="2"/>
      <c r="QXN2" s="2"/>
      <c r="QXO2" s="2"/>
      <c r="QXP2" s="2"/>
      <c r="QXQ2" s="2"/>
      <c r="QXR2" s="2"/>
      <c r="QXS2" s="2"/>
      <c r="QXT2" s="2"/>
      <c r="QXU2" s="2"/>
      <c r="QXV2" s="2"/>
      <c r="QXW2" s="2"/>
      <c r="QXX2" s="2"/>
      <c r="QXY2" s="2"/>
      <c r="QXZ2" s="2"/>
      <c r="QYA2" s="2"/>
      <c r="QYB2" s="2"/>
      <c r="QYC2" s="2"/>
      <c r="QYD2" s="2"/>
      <c r="QYE2" s="2"/>
      <c r="QYF2" s="2"/>
      <c r="QYG2" s="2"/>
      <c r="QYH2" s="2"/>
      <c r="QYI2" s="2"/>
      <c r="QYJ2" s="2"/>
      <c r="QYK2" s="2"/>
      <c r="QYL2" s="2"/>
      <c r="QYM2" s="2"/>
      <c r="QYN2" s="2"/>
      <c r="QYO2" s="2"/>
      <c r="QYP2" s="2"/>
      <c r="QYQ2" s="2"/>
      <c r="QYR2" s="2"/>
      <c r="QYS2" s="2"/>
      <c r="QYT2" s="2"/>
      <c r="QYU2" s="2"/>
      <c r="QYV2" s="2"/>
      <c r="QYW2" s="2"/>
      <c r="QYX2" s="2"/>
      <c r="QYY2" s="2"/>
      <c r="QYZ2" s="2"/>
      <c r="QZA2" s="2"/>
      <c r="QZB2" s="2"/>
      <c r="QZC2" s="2"/>
      <c r="QZD2" s="2"/>
      <c r="QZE2" s="2"/>
      <c r="QZF2" s="2"/>
      <c r="QZG2" s="2"/>
      <c r="QZH2" s="2"/>
      <c r="QZI2" s="2"/>
      <c r="QZJ2" s="2"/>
      <c r="QZK2" s="2"/>
      <c r="QZL2" s="2"/>
      <c r="QZM2" s="2"/>
      <c r="QZN2" s="2"/>
      <c r="QZO2" s="2"/>
      <c r="QZP2" s="2"/>
      <c r="QZQ2" s="2"/>
      <c r="QZR2" s="2"/>
      <c r="QZS2" s="2"/>
      <c r="QZT2" s="2"/>
      <c r="QZU2" s="2"/>
      <c r="QZV2" s="2"/>
      <c r="QZW2" s="2"/>
      <c r="QZX2" s="2"/>
      <c r="QZY2" s="2"/>
      <c r="QZZ2" s="2"/>
      <c r="RAA2" s="2"/>
      <c r="RAB2" s="2"/>
      <c r="RAC2" s="2"/>
      <c r="RAD2" s="2"/>
      <c r="RAE2" s="2"/>
      <c r="RAF2" s="2"/>
      <c r="RAG2" s="2"/>
      <c r="RAH2" s="2"/>
      <c r="RAI2" s="2"/>
      <c r="RAJ2" s="2"/>
      <c r="RAK2" s="2"/>
      <c r="RAL2" s="2"/>
      <c r="RAM2" s="2"/>
      <c r="RAN2" s="2"/>
      <c r="RAO2" s="2"/>
      <c r="RAP2" s="2"/>
      <c r="RAQ2" s="2"/>
      <c r="RAR2" s="2"/>
      <c r="RAS2" s="2"/>
      <c r="RAT2" s="2"/>
      <c r="RAU2" s="2"/>
      <c r="RAV2" s="2"/>
      <c r="RAW2" s="2"/>
      <c r="RAX2" s="2"/>
      <c r="RAY2" s="2"/>
      <c r="RAZ2" s="2"/>
      <c r="RBA2" s="2"/>
      <c r="RBB2" s="2"/>
      <c r="RBC2" s="2"/>
      <c r="RBD2" s="2"/>
      <c r="RBE2" s="2"/>
      <c r="RBF2" s="2"/>
      <c r="RBG2" s="2"/>
      <c r="RBH2" s="2"/>
      <c r="RBI2" s="2"/>
      <c r="RBJ2" s="2"/>
      <c r="RBK2" s="2"/>
      <c r="RBL2" s="2"/>
      <c r="RBM2" s="2"/>
      <c r="RBN2" s="2"/>
      <c r="RBO2" s="2"/>
      <c r="RBP2" s="2"/>
      <c r="RBQ2" s="2"/>
      <c r="RBR2" s="2"/>
      <c r="RBS2" s="2"/>
      <c r="RBT2" s="2"/>
      <c r="RBU2" s="2"/>
      <c r="RBV2" s="2"/>
      <c r="RBW2" s="2"/>
      <c r="RBX2" s="2"/>
      <c r="RBY2" s="2"/>
      <c r="RBZ2" s="2"/>
      <c r="RCA2" s="2"/>
      <c r="RCB2" s="2"/>
      <c r="RCC2" s="2"/>
      <c r="RCD2" s="2"/>
      <c r="RCE2" s="2"/>
      <c r="RCF2" s="2"/>
      <c r="RCG2" s="2"/>
      <c r="RCH2" s="2"/>
      <c r="RCI2" s="2"/>
      <c r="RCJ2" s="2"/>
      <c r="RCK2" s="2"/>
      <c r="RCL2" s="2"/>
      <c r="RCM2" s="2"/>
      <c r="RCN2" s="2"/>
      <c r="RCO2" s="2"/>
      <c r="RCP2" s="2"/>
      <c r="RCQ2" s="2"/>
      <c r="RCR2" s="2"/>
      <c r="RCS2" s="2"/>
      <c r="RCT2" s="2"/>
      <c r="RCU2" s="2"/>
      <c r="RCV2" s="2"/>
      <c r="RCW2" s="2"/>
      <c r="RCX2" s="2"/>
      <c r="RCY2" s="2"/>
      <c r="RCZ2" s="2"/>
      <c r="RDA2" s="2"/>
      <c r="RDB2" s="2"/>
      <c r="RDC2" s="2"/>
      <c r="RDD2" s="2"/>
      <c r="RDE2" s="2"/>
      <c r="RDF2" s="2"/>
      <c r="RDG2" s="2"/>
      <c r="RDH2" s="2"/>
      <c r="RDI2" s="2"/>
      <c r="RDJ2" s="2"/>
      <c r="RDK2" s="2"/>
      <c r="RDL2" s="2"/>
      <c r="RDM2" s="2"/>
      <c r="RDN2" s="2"/>
      <c r="RDO2" s="2"/>
      <c r="RDP2" s="2"/>
      <c r="RDQ2" s="2"/>
      <c r="RDR2" s="2"/>
      <c r="RDS2" s="2"/>
      <c r="RDT2" s="2"/>
      <c r="RDU2" s="2"/>
      <c r="RDV2" s="2"/>
      <c r="RDW2" s="2"/>
      <c r="RDX2" s="2"/>
      <c r="RDY2" s="2"/>
      <c r="RDZ2" s="2"/>
      <c r="REA2" s="2"/>
      <c r="REB2" s="2"/>
      <c r="REC2" s="2"/>
      <c r="RED2" s="2"/>
      <c r="REE2" s="2"/>
      <c r="REF2" s="2"/>
      <c r="REG2" s="2"/>
      <c r="REH2" s="2"/>
      <c r="REI2" s="2"/>
      <c r="REJ2" s="2"/>
      <c r="REK2" s="2"/>
      <c r="REL2" s="2"/>
      <c r="REM2" s="2"/>
      <c r="REN2" s="2"/>
      <c r="REO2" s="2"/>
      <c r="REP2" s="2"/>
      <c r="REQ2" s="2"/>
      <c r="RER2" s="2"/>
      <c r="RES2" s="2"/>
      <c r="RET2" s="2"/>
      <c r="REU2" s="2"/>
      <c r="REV2" s="2"/>
      <c r="REW2" s="2"/>
      <c r="REX2" s="2"/>
      <c r="REY2" s="2"/>
      <c r="REZ2" s="2"/>
      <c r="RFA2" s="2"/>
      <c r="RFB2" s="2"/>
      <c r="RFC2" s="2"/>
      <c r="RFD2" s="2"/>
      <c r="RFE2" s="2"/>
      <c r="RFF2" s="2"/>
      <c r="RFG2" s="2"/>
      <c r="RFH2" s="2"/>
      <c r="RFI2" s="2"/>
      <c r="RFJ2" s="2"/>
      <c r="RFK2" s="2"/>
      <c r="RFL2" s="2"/>
      <c r="RFM2" s="2"/>
      <c r="RFN2" s="2"/>
      <c r="RFO2" s="2"/>
      <c r="RFP2" s="2"/>
      <c r="RFQ2" s="2"/>
      <c r="RFR2" s="2"/>
      <c r="RFS2" s="2"/>
      <c r="RFT2" s="2"/>
      <c r="RFU2" s="2"/>
      <c r="RFV2" s="2"/>
      <c r="RFW2" s="2"/>
      <c r="RFX2" s="2"/>
      <c r="RFY2" s="2"/>
      <c r="RFZ2" s="2"/>
      <c r="RGA2" s="2"/>
      <c r="RGB2" s="2"/>
      <c r="RGC2" s="2"/>
      <c r="RGD2" s="2"/>
      <c r="RGE2" s="2"/>
      <c r="RGF2" s="2"/>
      <c r="RGG2" s="2"/>
      <c r="RGH2" s="2"/>
      <c r="RGI2" s="2"/>
      <c r="RGJ2" s="2"/>
      <c r="RGK2" s="2"/>
      <c r="RGL2" s="2"/>
      <c r="RGM2" s="2"/>
      <c r="RGN2" s="2"/>
      <c r="RGO2" s="2"/>
      <c r="RGP2" s="2"/>
      <c r="RGQ2" s="2"/>
      <c r="RGR2" s="2"/>
      <c r="RGS2" s="2"/>
      <c r="RGT2" s="2"/>
      <c r="RGU2" s="2"/>
      <c r="RGV2" s="2"/>
      <c r="RGW2" s="2"/>
      <c r="RGX2" s="2"/>
      <c r="RGY2" s="2"/>
      <c r="RGZ2" s="2"/>
      <c r="RHA2" s="2"/>
      <c r="RHB2" s="2"/>
      <c r="RHC2" s="2"/>
      <c r="RHD2" s="2"/>
      <c r="RHE2" s="2"/>
      <c r="RHF2" s="2"/>
      <c r="RHG2" s="2"/>
      <c r="RHH2" s="2"/>
      <c r="RHI2" s="2"/>
      <c r="RHJ2" s="2"/>
      <c r="RHK2" s="2"/>
      <c r="RHL2" s="2"/>
      <c r="RHM2" s="2"/>
      <c r="RHN2" s="2"/>
      <c r="RHO2" s="2"/>
      <c r="RHP2" s="2"/>
      <c r="RHQ2" s="2"/>
      <c r="RHR2" s="2"/>
      <c r="RHS2" s="2"/>
      <c r="RHT2" s="2"/>
      <c r="RHU2" s="2"/>
      <c r="RHV2" s="2"/>
      <c r="RHW2" s="2"/>
      <c r="RHX2" s="2"/>
      <c r="RHY2" s="2"/>
      <c r="RHZ2" s="2"/>
      <c r="RIA2" s="2"/>
      <c r="RIB2" s="2"/>
      <c r="RIC2" s="2"/>
      <c r="RID2" s="2"/>
      <c r="RIE2" s="2"/>
      <c r="RIF2" s="2"/>
      <c r="RIG2" s="2"/>
      <c r="RIH2" s="2"/>
      <c r="RII2" s="2"/>
      <c r="RIJ2" s="2"/>
      <c r="RIK2" s="2"/>
      <c r="RIL2" s="2"/>
      <c r="RIM2" s="2"/>
      <c r="RIN2" s="2"/>
      <c r="RIO2" s="2"/>
      <c r="RIP2" s="2"/>
      <c r="RIQ2" s="2"/>
      <c r="RIR2" s="2"/>
      <c r="RIS2" s="2"/>
      <c r="RIT2" s="2"/>
      <c r="RIU2" s="2"/>
      <c r="RIV2" s="2"/>
      <c r="RIW2" s="2"/>
      <c r="RIX2" s="2"/>
      <c r="RIY2" s="2"/>
      <c r="RIZ2" s="2"/>
      <c r="RJA2" s="2"/>
      <c r="RJB2" s="2"/>
      <c r="RJC2" s="2"/>
      <c r="RJD2" s="2"/>
      <c r="RJE2" s="2"/>
      <c r="RJF2" s="2"/>
      <c r="RJG2" s="2"/>
      <c r="RJH2" s="2"/>
      <c r="RJI2" s="2"/>
      <c r="RJJ2" s="2"/>
      <c r="RJK2" s="2"/>
      <c r="RJL2" s="2"/>
      <c r="RJM2" s="2"/>
      <c r="RJN2" s="2"/>
      <c r="RJO2" s="2"/>
      <c r="RJP2" s="2"/>
      <c r="RJQ2" s="2"/>
      <c r="RJR2" s="2"/>
      <c r="RJS2" s="2"/>
      <c r="RJT2" s="2"/>
      <c r="RJU2" s="2"/>
      <c r="RJV2" s="2"/>
      <c r="RJW2" s="2"/>
      <c r="RJX2" s="2"/>
      <c r="RJY2" s="2"/>
      <c r="RJZ2" s="2"/>
      <c r="RKA2" s="2"/>
      <c r="RKB2" s="2"/>
      <c r="RKC2" s="2"/>
      <c r="RKD2" s="2"/>
      <c r="RKE2" s="2"/>
      <c r="RKF2" s="2"/>
      <c r="RKG2" s="2"/>
      <c r="RKH2" s="2"/>
      <c r="RKI2" s="2"/>
      <c r="RKJ2" s="2"/>
      <c r="RKK2" s="2"/>
      <c r="RKL2" s="2"/>
      <c r="RKM2" s="2"/>
      <c r="RKN2" s="2"/>
      <c r="RKO2" s="2"/>
      <c r="RKP2" s="2"/>
      <c r="RKQ2" s="2"/>
      <c r="RKR2" s="2"/>
      <c r="RKS2" s="2"/>
      <c r="RKT2" s="2"/>
      <c r="RKU2" s="2"/>
      <c r="RKV2" s="2"/>
      <c r="RKW2" s="2"/>
      <c r="RKX2" s="2"/>
      <c r="RKY2" s="2"/>
      <c r="RKZ2" s="2"/>
      <c r="RLA2" s="2"/>
      <c r="RLB2" s="2"/>
      <c r="RLC2" s="2"/>
      <c r="RLD2" s="2"/>
      <c r="RLE2" s="2"/>
      <c r="RLF2" s="2"/>
      <c r="RLG2" s="2"/>
      <c r="RLH2" s="2"/>
      <c r="RLI2" s="2"/>
      <c r="RLJ2" s="2"/>
      <c r="RLK2" s="2"/>
      <c r="RLL2" s="2"/>
      <c r="RLM2" s="2"/>
      <c r="RLN2" s="2"/>
      <c r="RLO2" s="2"/>
      <c r="RLP2" s="2"/>
      <c r="RLQ2" s="2"/>
      <c r="RLR2" s="2"/>
      <c r="RLS2" s="2"/>
      <c r="RLT2" s="2"/>
      <c r="RLU2" s="2"/>
      <c r="RLV2" s="2"/>
      <c r="RLW2" s="2"/>
      <c r="RLX2" s="2"/>
      <c r="RLY2" s="2"/>
      <c r="RLZ2" s="2"/>
      <c r="RMA2" s="2"/>
      <c r="RMB2" s="2"/>
      <c r="RMC2" s="2"/>
      <c r="RMD2" s="2"/>
      <c r="RME2" s="2"/>
      <c r="RMF2" s="2"/>
      <c r="RMG2" s="2"/>
      <c r="RMH2" s="2"/>
      <c r="RMI2" s="2"/>
      <c r="RMJ2" s="2"/>
      <c r="RMK2" s="2"/>
      <c r="RML2" s="2"/>
      <c r="RMM2" s="2"/>
      <c r="RMN2" s="2"/>
      <c r="RMO2" s="2"/>
      <c r="RMP2" s="2"/>
      <c r="RMQ2" s="2"/>
      <c r="RMR2" s="2"/>
      <c r="RMS2" s="2"/>
      <c r="RMT2" s="2"/>
      <c r="RMU2" s="2"/>
      <c r="RMV2" s="2"/>
      <c r="RMW2" s="2"/>
      <c r="RMX2" s="2"/>
      <c r="RMY2" s="2"/>
      <c r="RMZ2" s="2"/>
      <c r="RNA2" s="2"/>
      <c r="RNB2" s="2"/>
      <c r="RNC2" s="2"/>
      <c r="RND2" s="2"/>
      <c r="RNE2" s="2"/>
      <c r="RNF2" s="2"/>
      <c r="RNG2" s="2"/>
      <c r="RNH2" s="2"/>
      <c r="RNI2" s="2"/>
      <c r="RNJ2" s="2"/>
      <c r="RNK2" s="2"/>
      <c r="RNL2" s="2"/>
      <c r="RNM2" s="2"/>
      <c r="RNN2" s="2"/>
      <c r="RNO2" s="2"/>
      <c r="RNP2" s="2"/>
      <c r="RNQ2" s="2"/>
      <c r="RNR2" s="2"/>
      <c r="RNS2" s="2"/>
      <c r="RNT2" s="2"/>
      <c r="RNU2" s="2"/>
      <c r="RNV2" s="2"/>
      <c r="RNW2" s="2"/>
      <c r="RNX2" s="2"/>
      <c r="RNY2" s="2"/>
      <c r="RNZ2" s="2"/>
      <c r="ROA2" s="2"/>
      <c r="ROB2" s="2"/>
      <c r="ROC2" s="2"/>
      <c r="ROD2" s="2"/>
      <c r="ROE2" s="2"/>
      <c r="ROF2" s="2"/>
      <c r="ROG2" s="2"/>
      <c r="ROH2" s="2"/>
      <c r="ROI2" s="2"/>
      <c r="ROJ2" s="2"/>
      <c r="ROK2" s="2"/>
      <c r="ROL2" s="2"/>
      <c r="ROM2" s="2"/>
      <c r="RON2" s="2"/>
      <c r="ROO2" s="2"/>
      <c r="ROP2" s="2"/>
      <c r="ROQ2" s="2"/>
      <c r="ROR2" s="2"/>
      <c r="ROS2" s="2"/>
      <c r="ROT2" s="2"/>
      <c r="ROU2" s="2"/>
      <c r="ROV2" s="2"/>
      <c r="ROW2" s="2"/>
      <c r="ROX2" s="2"/>
      <c r="ROY2" s="2"/>
      <c r="ROZ2" s="2"/>
      <c r="RPA2" s="2"/>
      <c r="RPB2" s="2"/>
      <c r="RPC2" s="2"/>
      <c r="RPD2" s="2"/>
      <c r="RPE2" s="2"/>
      <c r="RPF2" s="2"/>
      <c r="RPG2" s="2"/>
      <c r="RPH2" s="2"/>
      <c r="RPI2" s="2"/>
      <c r="RPJ2" s="2"/>
      <c r="RPK2" s="2"/>
      <c r="RPL2" s="2"/>
      <c r="RPM2" s="2"/>
      <c r="RPN2" s="2"/>
      <c r="RPO2" s="2"/>
      <c r="RPP2" s="2"/>
      <c r="RPQ2" s="2"/>
      <c r="RPR2" s="2"/>
      <c r="RPS2" s="2"/>
      <c r="RPT2" s="2"/>
      <c r="RPU2" s="2"/>
      <c r="RPV2" s="2"/>
      <c r="RPW2" s="2"/>
      <c r="RPX2" s="2"/>
      <c r="RPY2" s="2"/>
      <c r="RPZ2" s="2"/>
      <c r="RQA2" s="2"/>
      <c r="RQB2" s="2"/>
      <c r="RQC2" s="2"/>
      <c r="RQD2" s="2"/>
      <c r="RQE2" s="2"/>
      <c r="RQF2" s="2"/>
      <c r="RQG2" s="2"/>
      <c r="RQH2" s="2"/>
      <c r="RQI2" s="2"/>
      <c r="RQJ2" s="2"/>
      <c r="RQK2" s="2"/>
      <c r="RQL2" s="2"/>
      <c r="RQM2" s="2"/>
      <c r="RQN2" s="2"/>
      <c r="RQO2" s="2"/>
      <c r="RQP2" s="2"/>
      <c r="RQQ2" s="2"/>
      <c r="RQR2" s="2"/>
      <c r="RQS2" s="2"/>
      <c r="RQT2" s="2"/>
      <c r="RQU2" s="2"/>
      <c r="RQV2" s="2"/>
      <c r="RQW2" s="2"/>
      <c r="RQX2" s="2"/>
      <c r="RQY2" s="2"/>
      <c r="RQZ2" s="2"/>
      <c r="RRA2" s="2"/>
      <c r="RRB2" s="2"/>
      <c r="RRC2" s="2"/>
      <c r="RRD2" s="2"/>
      <c r="RRE2" s="2"/>
      <c r="RRF2" s="2"/>
      <c r="RRG2" s="2"/>
      <c r="RRH2" s="2"/>
      <c r="RRI2" s="2"/>
      <c r="RRJ2" s="2"/>
      <c r="RRK2" s="2"/>
      <c r="RRL2" s="2"/>
      <c r="RRM2" s="2"/>
      <c r="RRN2" s="2"/>
      <c r="RRO2" s="2"/>
      <c r="RRP2" s="2"/>
      <c r="RRQ2" s="2"/>
      <c r="RRR2" s="2"/>
      <c r="RRS2" s="2"/>
      <c r="RRT2" s="2"/>
      <c r="RRU2" s="2"/>
      <c r="RRV2" s="2"/>
      <c r="RRW2" s="2"/>
      <c r="RRX2" s="2"/>
      <c r="RRY2" s="2"/>
      <c r="RRZ2" s="2"/>
      <c r="RSA2" s="2"/>
      <c r="RSB2" s="2"/>
      <c r="RSC2" s="2"/>
      <c r="RSD2" s="2"/>
      <c r="RSE2" s="2"/>
      <c r="RSF2" s="2"/>
      <c r="RSG2" s="2"/>
      <c r="RSH2" s="2"/>
      <c r="RSI2" s="2"/>
      <c r="RSJ2" s="2"/>
      <c r="RSK2" s="2"/>
      <c r="RSL2" s="2"/>
      <c r="RSM2" s="2"/>
      <c r="RSN2" s="2"/>
      <c r="RSO2" s="2"/>
      <c r="RSP2" s="2"/>
      <c r="RSQ2" s="2"/>
      <c r="RSR2" s="2"/>
      <c r="RSS2" s="2"/>
      <c r="RST2" s="2"/>
      <c r="RSU2" s="2"/>
      <c r="RSV2" s="2"/>
      <c r="RSW2" s="2"/>
      <c r="RSX2" s="2"/>
      <c r="RSY2" s="2"/>
      <c r="RSZ2" s="2"/>
      <c r="RTA2" s="2"/>
      <c r="RTB2" s="2"/>
      <c r="RTC2" s="2"/>
      <c r="RTD2" s="2"/>
      <c r="RTE2" s="2"/>
      <c r="RTF2" s="2"/>
      <c r="RTG2" s="2"/>
      <c r="RTH2" s="2"/>
      <c r="RTI2" s="2"/>
      <c r="RTJ2" s="2"/>
      <c r="RTK2" s="2"/>
      <c r="RTL2" s="2"/>
      <c r="RTM2" s="2"/>
      <c r="RTN2" s="2"/>
      <c r="RTO2" s="2"/>
      <c r="RTP2" s="2"/>
      <c r="RTQ2" s="2"/>
      <c r="RTR2" s="2"/>
      <c r="RTS2" s="2"/>
      <c r="RTT2" s="2"/>
      <c r="RTU2" s="2"/>
      <c r="RTV2" s="2"/>
      <c r="RTW2" s="2"/>
      <c r="RTX2" s="2"/>
      <c r="RTY2" s="2"/>
      <c r="RTZ2" s="2"/>
      <c r="RUA2" s="2"/>
      <c r="RUB2" s="2"/>
      <c r="RUC2" s="2"/>
      <c r="RUD2" s="2"/>
      <c r="RUE2" s="2"/>
      <c r="RUF2" s="2"/>
      <c r="RUG2" s="2"/>
      <c r="RUH2" s="2"/>
      <c r="RUI2" s="2"/>
      <c r="RUJ2" s="2"/>
      <c r="RUK2" s="2"/>
      <c r="RUL2" s="2"/>
      <c r="RUM2" s="2"/>
      <c r="RUN2" s="2"/>
      <c r="RUO2" s="2"/>
      <c r="RUP2" s="2"/>
      <c r="RUQ2" s="2"/>
      <c r="RUR2" s="2"/>
      <c r="RUS2" s="2"/>
      <c r="RUT2" s="2"/>
      <c r="RUU2" s="2"/>
      <c r="RUV2" s="2"/>
      <c r="RUW2" s="2"/>
      <c r="RUX2" s="2"/>
      <c r="RUY2" s="2"/>
      <c r="RUZ2" s="2"/>
      <c r="RVA2" s="2"/>
      <c r="RVB2" s="2"/>
      <c r="RVC2" s="2"/>
      <c r="RVD2" s="2"/>
      <c r="RVE2" s="2"/>
      <c r="RVF2" s="2"/>
      <c r="RVG2" s="2"/>
      <c r="RVH2" s="2"/>
      <c r="RVI2" s="2"/>
      <c r="RVJ2" s="2"/>
      <c r="RVK2" s="2"/>
      <c r="RVL2" s="2"/>
      <c r="RVM2" s="2"/>
      <c r="RVN2" s="2"/>
      <c r="RVO2" s="2"/>
      <c r="RVP2" s="2"/>
      <c r="RVQ2" s="2"/>
      <c r="RVR2" s="2"/>
      <c r="RVS2" s="2"/>
      <c r="RVT2" s="2"/>
      <c r="RVU2" s="2"/>
      <c r="RVV2" s="2"/>
      <c r="RVW2" s="2"/>
      <c r="RVX2" s="2"/>
      <c r="RVY2" s="2"/>
      <c r="RVZ2" s="2"/>
      <c r="RWA2" s="2"/>
      <c r="RWB2" s="2"/>
      <c r="RWC2" s="2"/>
      <c r="RWD2" s="2"/>
      <c r="RWE2" s="2"/>
      <c r="RWF2" s="2"/>
      <c r="RWG2" s="2"/>
      <c r="RWH2" s="2"/>
      <c r="RWI2" s="2"/>
      <c r="RWJ2" s="2"/>
      <c r="RWK2" s="2"/>
      <c r="RWL2" s="2"/>
      <c r="RWM2" s="2"/>
      <c r="RWN2" s="2"/>
      <c r="RWO2" s="2"/>
      <c r="RWP2" s="2"/>
      <c r="RWQ2" s="2"/>
      <c r="RWR2" s="2"/>
      <c r="RWS2" s="2"/>
      <c r="RWT2" s="2"/>
      <c r="RWU2" s="2"/>
      <c r="RWV2" s="2"/>
      <c r="RWW2" s="2"/>
      <c r="RWX2" s="2"/>
      <c r="RWY2" s="2"/>
      <c r="RWZ2" s="2"/>
      <c r="RXA2" s="2"/>
      <c r="RXB2" s="2"/>
      <c r="RXC2" s="2"/>
      <c r="RXD2" s="2"/>
      <c r="RXE2" s="2"/>
      <c r="RXF2" s="2"/>
      <c r="RXG2" s="2"/>
      <c r="RXH2" s="2"/>
      <c r="RXI2" s="2"/>
      <c r="RXJ2" s="2"/>
      <c r="RXK2" s="2"/>
      <c r="RXL2" s="2"/>
      <c r="RXM2" s="2"/>
      <c r="RXN2" s="2"/>
      <c r="RXO2" s="2"/>
      <c r="RXP2" s="2"/>
      <c r="RXQ2" s="2"/>
      <c r="RXR2" s="2"/>
      <c r="RXS2" s="2"/>
      <c r="RXT2" s="2"/>
      <c r="RXU2" s="2"/>
      <c r="RXV2" s="2"/>
      <c r="RXW2" s="2"/>
      <c r="RXX2" s="2"/>
      <c r="RXY2" s="2"/>
      <c r="RXZ2" s="2"/>
      <c r="RYA2" s="2"/>
      <c r="RYB2" s="2"/>
      <c r="RYC2" s="2"/>
      <c r="RYD2" s="2"/>
      <c r="RYE2" s="2"/>
      <c r="RYF2" s="2"/>
      <c r="RYG2" s="2"/>
      <c r="RYH2" s="2"/>
      <c r="RYI2" s="2"/>
      <c r="RYJ2" s="2"/>
      <c r="RYK2" s="2"/>
      <c r="RYL2" s="2"/>
      <c r="RYM2" s="2"/>
      <c r="RYN2" s="2"/>
      <c r="RYO2" s="2"/>
      <c r="RYP2" s="2"/>
      <c r="RYQ2" s="2"/>
      <c r="RYR2" s="2"/>
      <c r="RYS2" s="2"/>
      <c r="RYT2" s="2"/>
      <c r="RYU2" s="2"/>
      <c r="RYV2" s="2"/>
      <c r="RYW2" s="2"/>
      <c r="RYX2" s="2"/>
      <c r="RYY2" s="2"/>
      <c r="RYZ2" s="2"/>
      <c r="RZA2" s="2"/>
      <c r="RZB2" s="2"/>
      <c r="RZC2" s="2"/>
      <c r="RZD2" s="2"/>
      <c r="RZE2" s="2"/>
      <c r="RZF2" s="2"/>
      <c r="RZG2" s="2"/>
      <c r="RZH2" s="2"/>
      <c r="RZI2" s="2"/>
      <c r="RZJ2" s="2"/>
      <c r="RZK2" s="2"/>
      <c r="RZL2" s="2"/>
      <c r="RZM2" s="2"/>
      <c r="RZN2" s="2"/>
      <c r="RZO2" s="2"/>
      <c r="RZP2" s="2"/>
      <c r="RZQ2" s="2"/>
      <c r="RZR2" s="2"/>
      <c r="RZS2" s="2"/>
      <c r="RZT2" s="2"/>
      <c r="RZU2" s="2"/>
      <c r="RZV2" s="2"/>
      <c r="RZW2" s="2"/>
      <c r="RZX2" s="2"/>
      <c r="RZY2" s="2"/>
      <c r="RZZ2" s="2"/>
      <c r="SAA2" s="2"/>
      <c r="SAB2" s="2"/>
      <c r="SAC2" s="2"/>
      <c r="SAD2" s="2"/>
      <c r="SAE2" s="2"/>
      <c r="SAF2" s="2"/>
      <c r="SAG2" s="2"/>
      <c r="SAH2" s="2"/>
      <c r="SAI2" s="2"/>
      <c r="SAJ2" s="2"/>
      <c r="SAK2" s="2"/>
      <c r="SAL2" s="2"/>
      <c r="SAM2" s="2"/>
      <c r="SAN2" s="2"/>
      <c r="SAO2" s="2"/>
      <c r="SAP2" s="2"/>
      <c r="SAQ2" s="2"/>
      <c r="SAR2" s="2"/>
      <c r="SAS2" s="2"/>
      <c r="SAT2" s="2"/>
      <c r="SAU2" s="2"/>
      <c r="SAV2" s="2"/>
      <c r="SAW2" s="2"/>
      <c r="SAX2" s="2"/>
      <c r="SAY2" s="2"/>
      <c r="SAZ2" s="2"/>
      <c r="SBA2" s="2"/>
      <c r="SBB2" s="2"/>
      <c r="SBC2" s="2"/>
      <c r="SBD2" s="2"/>
      <c r="SBE2" s="2"/>
      <c r="SBF2" s="2"/>
      <c r="SBG2" s="2"/>
      <c r="SBH2" s="2"/>
      <c r="SBI2" s="2"/>
      <c r="SBJ2" s="2"/>
      <c r="SBK2" s="2"/>
      <c r="SBL2" s="2"/>
      <c r="SBM2" s="2"/>
      <c r="SBN2" s="2"/>
      <c r="SBO2" s="2"/>
      <c r="SBP2" s="2"/>
      <c r="SBQ2" s="2"/>
      <c r="SBR2" s="2"/>
      <c r="SBS2" s="2"/>
      <c r="SBT2" s="2"/>
      <c r="SBU2" s="2"/>
      <c r="SBV2" s="2"/>
      <c r="SBW2" s="2"/>
      <c r="SBX2" s="2"/>
      <c r="SBY2" s="2"/>
      <c r="SBZ2" s="2"/>
      <c r="SCA2" s="2"/>
      <c r="SCB2" s="2"/>
      <c r="SCC2" s="2"/>
      <c r="SCD2" s="2"/>
      <c r="SCE2" s="2"/>
      <c r="SCF2" s="2"/>
      <c r="SCG2" s="2"/>
      <c r="SCH2" s="2"/>
      <c r="SCI2" s="2"/>
      <c r="SCJ2" s="2"/>
      <c r="SCK2" s="2"/>
      <c r="SCL2" s="2"/>
      <c r="SCM2" s="2"/>
      <c r="SCN2" s="2"/>
      <c r="SCO2" s="2"/>
      <c r="SCP2" s="2"/>
      <c r="SCQ2" s="2"/>
      <c r="SCR2" s="2"/>
      <c r="SCS2" s="2"/>
      <c r="SCT2" s="2"/>
      <c r="SCU2" s="2"/>
      <c r="SCV2" s="2"/>
      <c r="SCW2" s="2"/>
      <c r="SCX2" s="2"/>
      <c r="SCY2" s="2"/>
      <c r="SCZ2" s="2"/>
      <c r="SDA2" s="2"/>
      <c r="SDB2" s="2"/>
      <c r="SDC2" s="2"/>
      <c r="SDD2" s="2"/>
      <c r="SDE2" s="2"/>
      <c r="SDF2" s="2"/>
      <c r="SDG2" s="2"/>
      <c r="SDH2" s="2"/>
      <c r="SDI2" s="2"/>
      <c r="SDJ2" s="2"/>
      <c r="SDK2" s="2"/>
      <c r="SDL2" s="2"/>
      <c r="SDM2" s="2"/>
      <c r="SDN2" s="2"/>
      <c r="SDO2" s="2"/>
      <c r="SDP2" s="2"/>
      <c r="SDQ2" s="2"/>
      <c r="SDR2" s="2"/>
      <c r="SDS2" s="2"/>
      <c r="SDT2" s="2"/>
      <c r="SDU2" s="2"/>
      <c r="SDV2" s="2"/>
      <c r="SDW2" s="2"/>
      <c r="SDX2" s="2"/>
      <c r="SDY2" s="2"/>
      <c r="SDZ2" s="2"/>
      <c r="SEA2" s="2"/>
      <c r="SEB2" s="2"/>
      <c r="SEC2" s="2"/>
      <c r="SED2" s="2"/>
      <c r="SEE2" s="2"/>
      <c r="SEF2" s="2"/>
      <c r="SEG2" s="2"/>
      <c r="SEH2" s="2"/>
      <c r="SEI2" s="2"/>
      <c r="SEJ2" s="2"/>
      <c r="SEK2" s="2"/>
      <c r="SEL2" s="2"/>
      <c r="SEM2" s="2"/>
      <c r="SEN2" s="2"/>
      <c r="SEO2" s="2"/>
      <c r="SEP2" s="2"/>
      <c r="SEQ2" s="2"/>
      <c r="SER2" s="2"/>
      <c r="SES2" s="2"/>
      <c r="SET2" s="2"/>
      <c r="SEU2" s="2"/>
      <c r="SEV2" s="2"/>
      <c r="SEW2" s="2"/>
      <c r="SEX2" s="2"/>
      <c r="SEY2" s="2"/>
      <c r="SEZ2" s="2"/>
      <c r="SFA2" s="2"/>
      <c r="SFB2" s="2"/>
      <c r="SFC2" s="2"/>
      <c r="SFD2" s="2"/>
      <c r="SFE2" s="2"/>
      <c r="SFF2" s="2"/>
      <c r="SFG2" s="2"/>
      <c r="SFH2" s="2"/>
      <c r="SFI2" s="2"/>
      <c r="SFJ2" s="2"/>
      <c r="SFK2" s="2"/>
      <c r="SFL2" s="2"/>
      <c r="SFM2" s="2"/>
      <c r="SFN2" s="2"/>
      <c r="SFO2" s="2"/>
      <c r="SFP2" s="2"/>
      <c r="SFQ2" s="2"/>
      <c r="SFR2" s="2"/>
      <c r="SFS2" s="2"/>
      <c r="SFT2" s="2"/>
      <c r="SFU2" s="2"/>
      <c r="SFV2" s="2"/>
      <c r="SFW2" s="2"/>
      <c r="SFX2" s="2"/>
      <c r="SFY2" s="2"/>
      <c r="SFZ2" s="2"/>
      <c r="SGA2" s="2"/>
      <c r="SGB2" s="2"/>
      <c r="SGC2" s="2"/>
      <c r="SGD2" s="2"/>
      <c r="SGE2" s="2"/>
      <c r="SGF2" s="2"/>
      <c r="SGG2" s="2"/>
      <c r="SGH2" s="2"/>
      <c r="SGI2" s="2"/>
      <c r="SGJ2" s="2"/>
      <c r="SGK2" s="2"/>
      <c r="SGL2" s="2"/>
      <c r="SGM2" s="2"/>
      <c r="SGN2" s="2"/>
      <c r="SGO2" s="2"/>
      <c r="SGP2" s="2"/>
      <c r="SGQ2" s="2"/>
      <c r="SGR2" s="2"/>
      <c r="SGS2" s="2"/>
      <c r="SGT2" s="2"/>
      <c r="SGU2" s="2"/>
      <c r="SGV2" s="2"/>
      <c r="SGW2" s="2"/>
      <c r="SGX2" s="2"/>
      <c r="SGY2" s="2"/>
      <c r="SGZ2" s="2"/>
      <c r="SHA2" s="2"/>
      <c r="SHB2" s="2"/>
      <c r="SHC2" s="2"/>
      <c r="SHD2" s="2"/>
      <c r="SHE2" s="2"/>
      <c r="SHF2" s="2"/>
      <c r="SHG2" s="2"/>
      <c r="SHH2" s="2"/>
      <c r="SHI2" s="2"/>
      <c r="SHJ2" s="2"/>
      <c r="SHK2" s="2"/>
      <c r="SHL2" s="2"/>
      <c r="SHM2" s="2"/>
      <c r="SHN2" s="2"/>
      <c r="SHO2" s="2"/>
      <c r="SHP2" s="2"/>
      <c r="SHQ2" s="2"/>
      <c r="SHR2" s="2"/>
      <c r="SHS2" s="2"/>
      <c r="SHT2" s="2"/>
      <c r="SHU2" s="2"/>
      <c r="SHV2" s="2"/>
      <c r="SHW2" s="2"/>
      <c r="SHX2" s="2"/>
      <c r="SHY2" s="2"/>
      <c r="SHZ2" s="2"/>
      <c r="SIA2" s="2"/>
      <c r="SIB2" s="2"/>
      <c r="SIC2" s="2"/>
      <c r="SID2" s="2"/>
      <c r="SIE2" s="2"/>
      <c r="SIF2" s="2"/>
      <c r="SIG2" s="2"/>
      <c r="SIH2" s="2"/>
      <c r="SII2" s="2"/>
      <c r="SIJ2" s="2"/>
      <c r="SIK2" s="2"/>
      <c r="SIL2" s="2"/>
      <c r="SIM2" s="2"/>
      <c r="SIN2" s="2"/>
      <c r="SIO2" s="2"/>
      <c r="SIP2" s="2"/>
      <c r="SIQ2" s="2"/>
      <c r="SIR2" s="2"/>
      <c r="SIS2" s="2"/>
      <c r="SIT2" s="2"/>
      <c r="SIU2" s="2"/>
      <c r="SIV2" s="2"/>
      <c r="SIW2" s="2"/>
      <c r="SIX2" s="2"/>
      <c r="SIY2" s="2"/>
      <c r="SIZ2" s="2"/>
      <c r="SJA2" s="2"/>
      <c r="SJB2" s="2"/>
      <c r="SJC2" s="2"/>
      <c r="SJD2" s="2"/>
      <c r="SJE2" s="2"/>
      <c r="SJF2" s="2"/>
      <c r="SJG2" s="2"/>
      <c r="SJH2" s="2"/>
      <c r="SJI2" s="2"/>
      <c r="SJJ2" s="2"/>
      <c r="SJK2" s="2"/>
      <c r="SJL2" s="2"/>
      <c r="SJM2" s="2"/>
      <c r="SJN2" s="2"/>
      <c r="SJO2" s="2"/>
      <c r="SJP2" s="2"/>
      <c r="SJQ2" s="2"/>
      <c r="SJR2" s="2"/>
      <c r="SJS2" s="2"/>
      <c r="SJT2" s="2"/>
      <c r="SJU2" s="2"/>
      <c r="SJV2" s="2"/>
      <c r="SJW2" s="2"/>
      <c r="SJX2" s="2"/>
      <c r="SJY2" s="2"/>
      <c r="SJZ2" s="2"/>
      <c r="SKA2" s="2"/>
      <c r="SKB2" s="2"/>
      <c r="SKC2" s="2"/>
      <c r="SKD2" s="2"/>
      <c r="SKE2" s="2"/>
      <c r="SKF2" s="2"/>
      <c r="SKG2" s="2"/>
      <c r="SKH2" s="2"/>
      <c r="SKI2" s="2"/>
      <c r="SKJ2" s="2"/>
      <c r="SKK2" s="2"/>
      <c r="SKL2" s="2"/>
      <c r="SKM2" s="2"/>
      <c r="SKN2" s="2"/>
      <c r="SKO2" s="2"/>
      <c r="SKP2" s="2"/>
      <c r="SKQ2" s="2"/>
      <c r="SKR2" s="2"/>
      <c r="SKS2" s="2"/>
      <c r="SKT2" s="2"/>
      <c r="SKU2" s="2"/>
      <c r="SKV2" s="2"/>
      <c r="SKW2" s="2"/>
      <c r="SKX2" s="2"/>
      <c r="SKY2" s="2"/>
      <c r="SKZ2" s="2"/>
      <c r="SLA2" s="2"/>
      <c r="SLB2" s="2"/>
      <c r="SLC2" s="2"/>
      <c r="SLD2" s="2"/>
      <c r="SLE2" s="2"/>
      <c r="SLF2" s="2"/>
      <c r="SLG2" s="2"/>
      <c r="SLH2" s="2"/>
      <c r="SLI2" s="2"/>
      <c r="SLJ2" s="2"/>
      <c r="SLK2" s="2"/>
      <c r="SLL2" s="2"/>
      <c r="SLM2" s="2"/>
      <c r="SLN2" s="2"/>
      <c r="SLO2" s="2"/>
      <c r="SLP2" s="2"/>
      <c r="SLQ2" s="2"/>
      <c r="SLR2" s="2"/>
      <c r="SLS2" s="2"/>
      <c r="SLT2" s="2"/>
      <c r="SLU2" s="2"/>
      <c r="SLV2" s="2"/>
      <c r="SLW2" s="2"/>
      <c r="SLX2" s="2"/>
      <c r="SLY2" s="2"/>
      <c r="SLZ2" s="2"/>
      <c r="SMA2" s="2"/>
      <c r="SMB2" s="2"/>
      <c r="SMC2" s="2"/>
      <c r="SMD2" s="2"/>
      <c r="SME2" s="2"/>
      <c r="SMF2" s="2"/>
      <c r="SMG2" s="2"/>
      <c r="SMH2" s="2"/>
      <c r="SMI2" s="2"/>
      <c r="SMJ2" s="2"/>
      <c r="SMK2" s="2"/>
      <c r="SML2" s="2"/>
      <c r="SMM2" s="2"/>
      <c r="SMN2" s="2"/>
      <c r="SMO2" s="2"/>
      <c r="SMP2" s="2"/>
      <c r="SMQ2" s="2"/>
      <c r="SMR2" s="2"/>
      <c r="SMS2" s="2"/>
      <c r="SMT2" s="2"/>
      <c r="SMU2" s="2"/>
      <c r="SMV2" s="2"/>
      <c r="SMW2" s="2"/>
      <c r="SMX2" s="2"/>
      <c r="SMY2" s="2"/>
      <c r="SMZ2" s="2"/>
      <c r="SNA2" s="2"/>
      <c r="SNB2" s="2"/>
      <c r="SNC2" s="2"/>
      <c r="SND2" s="2"/>
      <c r="SNE2" s="2"/>
      <c r="SNF2" s="2"/>
      <c r="SNG2" s="2"/>
      <c r="SNH2" s="2"/>
      <c r="SNI2" s="2"/>
      <c r="SNJ2" s="2"/>
      <c r="SNK2" s="2"/>
      <c r="SNL2" s="2"/>
      <c r="SNM2" s="2"/>
      <c r="SNN2" s="2"/>
      <c r="SNO2" s="2"/>
      <c r="SNP2" s="2"/>
      <c r="SNQ2" s="2"/>
      <c r="SNR2" s="2"/>
      <c r="SNS2" s="2"/>
      <c r="SNT2" s="2"/>
      <c r="SNU2" s="2"/>
      <c r="SNV2" s="2"/>
      <c r="SNW2" s="2"/>
      <c r="SNX2" s="2"/>
      <c r="SNY2" s="2"/>
      <c r="SNZ2" s="2"/>
      <c r="SOA2" s="2"/>
      <c r="SOB2" s="2"/>
      <c r="SOC2" s="2"/>
      <c r="SOD2" s="2"/>
      <c r="SOE2" s="2"/>
      <c r="SOF2" s="2"/>
      <c r="SOG2" s="2"/>
      <c r="SOH2" s="2"/>
      <c r="SOI2" s="2"/>
      <c r="SOJ2" s="2"/>
      <c r="SOK2" s="2"/>
      <c r="SOL2" s="2"/>
      <c r="SOM2" s="2"/>
      <c r="SON2" s="2"/>
      <c r="SOO2" s="2"/>
      <c r="SOP2" s="2"/>
      <c r="SOQ2" s="2"/>
      <c r="SOR2" s="2"/>
      <c r="SOS2" s="2"/>
      <c r="SOT2" s="2"/>
      <c r="SOU2" s="2"/>
      <c r="SOV2" s="2"/>
      <c r="SOW2" s="2"/>
      <c r="SOX2" s="2"/>
      <c r="SOY2" s="2"/>
      <c r="SOZ2" s="2"/>
      <c r="SPA2" s="2"/>
      <c r="SPB2" s="2"/>
      <c r="SPC2" s="2"/>
      <c r="SPD2" s="2"/>
      <c r="SPE2" s="2"/>
      <c r="SPF2" s="2"/>
      <c r="SPG2" s="2"/>
      <c r="SPH2" s="2"/>
      <c r="SPI2" s="2"/>
      <c r="SPJ2" s="2"/>
      <c r="SPK2" s="2"/>
      <c r="SPL2" s="2"/>
      <c r="SPM2" s="2"/>
      <c r="SPN2" s="2"/>
      <c r="SPO2" s="2"/>
      <c r="SPP2" s="2"/>
      <c r="SPQ2" s="2"/>
      <c r="SPR2" s="2"/>
      <c r="SPS2" s="2"/>
      <c r="SPT2" s="2"/>
      <c r="SPU2" s="2"/>
      <c r="SPV2" s="2"/>
      <c r="SPW2" s="2"/>
      <c r="SPX2" s="2"/>
      <c r="SPY2" s="2"/>
      <c r="SPZ2" s="2"/>
      <c r="SQA2" s="2"/>
      <c r="SQB2" s="2"/>
      <c r="SQC2" s="2"/>
      <c r="SQD2" s="2"/>
      <c r="SQE2" s="2"/>
      <c r="SQF2" s="2"/>
      <c r="SQG2" s="2"/>
      <c r="SQH2" s="2"/>
      <c r="SQI2" s="2"/>
      <c r="SQJ2" s="2"/>
      <c r="SQK2" s="2"/>
      <c r="SQL2" s="2"/>
      <c r="SQM2" s="2"/>
      <c r="SQN2" s="2"/>
      <c r="SQO2" s="2"/>
      <c r="SQP2" s="2"/>
      <c r="SQQ2" s="2"/>
      <c r="SQR2" s="2"/>
      <c r="SQS2" s="2"/>
      <c r="SQT2" s="2"/>
      <c r="SQU2" s="2"/>
      <c r="SQV2" s="2"/>
      <c r="SQW2" s="2"/>
      <c r="SQX2" s="2"/>
      <c r="SQY2" s="2"/>
      <c r="SQZ2" s="2"/>
      <c r="SRA2" s="2"/>
      <c r="SRB2" s="2"/>
      <c r="SRC2" s="2"/>
      <c r="SRD2" s="2"/>
      <c r="SRE2" s="2"/>
      <c r="SRF2" s="2"/>
      <c r="SRG2" s="2"/>
      <c r="SRH2" s="2"/>
      <c r="SRI2" s="2"/>
      <c r="SRJ2" s="2"/>
      <c r="SRK2" s="2"/>
      <c r="SRL2" s="2"/>
      <c r="SRM2" s="2"/>
      <c r="SRN2" s="2"/>
      <c r="SRO2" s="2"/>
      <c r="SRP2" s="2"/>
      <c r="SRQ2" s="2"/>
      <c r="SRR2" s="2"/>
      <c r="SRS2" s="2"/>
      <c r="SRT2" s="2"/>
      <c r="SRU2" s="2"/>
      <c r="SRV2" s="2"/>
      <c r="SRW2" s="2"/>
      <c r="SRX2" s="2"/>
      <c r="SRY2" s="2"/>
      <c r="SRZ2" s="2"/>
      <c r="SSA2" s="2"/>
      <c r="SSB2" s="2"/>
      <c r="SSC2" s="2"/>
      <c r="SSD2" s="2"/>
      <c r="SSE2" s="2"/>
      <c r="SSF2" s="2"/>
      <c r="SSG2" s="2"/>
      <c r="SSH2" s="2"/>
      <c r="SSI2" s="2"/>
      <c r="SSJ2" s="2"/>
      <c r="SSK2" s="2"/>
      <c r="SSL2" s="2"/>
      <c r="SSM2" s="2"/>
      <c r="SSN2" s="2"/>
      <c r="SSO2" s="2"/>
      <c r="SSP2" s="2"/>
      <c r="SSQ2" s="2"/>
      <c r="SSR2" s="2"/>
      <c r="SSS2" s="2"/>
      <c r="SST2" s="2"/>
      <c r="SSU2" s="2"/>
      <c r="SSV2" s="2"/>
      <c r="SSW2" s="2"/>
      <c r="SSX2" s="2"/>
      <c r="SSY2" s="2"/>
      <c r="SSZ2" s="2"/>
      <c r="STA2" s="2"/>
      <c r="STB2" s="2"/>
      <c r="STC2" s="2"/>
      <c r="STD2" s="2"/>
      <c r="STE2" s="2"/>
      <c r="STF2" s="2"/>
      <c r="STG2" s="2"/>
      <c r="STH2" s="2"/>
      <c r="STI2" s="2"/>
      <c r="STJ2" s="2"/>
      <c r="STK2" s="2"/>
      <c r="STL2" s="2"/>
      <c r="STM2" s="2"/>
      <c r="STN2" s="2"/>
      <c r="STO2" s="2"/>
      <c r="STP2" s="2"/>
      <c r="STQ2" s="2"/>
      <c r="STR2" s="2"/>
      <c r="STS2" s="2"/>
      <c r="STT2" s="2"/>
      <c r="STU2" s="2"/>
      <c r="STV2" s="2"/>
      <c r="STW2" s="2"/>
      <c r="STX2" s="2"/>
      <c r="STY2" s="2"/>
      <c r="STZ2" s="2"/>
      <c r="SUA2" s="2"/>
      <c r="SUB2" s="2"/>
      <c r="SUC2" s="2"/>
      <c r="SUD2" s="2"/>
      <c r="SUE2" s="2"/>
      <c r="SUF2" s="2"/>
      <c r="SUG2" s="2"/>
      <c r="SUH2" s="2"/>
      <c r="SUI2" s="2"/>
      <c r="SUJ2" s="2"/>
      <c r="SUK2" s="2"/>
      <c r="SUL2" s="2"/>
      <c r="SUM2" s="2"/>
      <c r="SUN2" s="2"/>
      <c r="SUO2" s="2"/>
      <c r="SUP2" s="2"/>
      <c r="SUQ2" s="2"/>
      <c r="SUR2" s="2"/>
      <c r="SUS2" s="2"/>
      <c r="SUT2" s="2"/>
      <c r="SUU2" s="2"/>
      <c r="SUV2" s="2"/>
      <c r="SUW2" s="2"/>
      <c r="SUX2" s="2"/>
      <c r="SUY2" s="2"/>
      <c r="SUZ2" s="2"/>
      <c r="SVA2" s="2"/>
      <c r="SVB2" s="2"/>
      <c r="SVC2" s="2"/>
      <c r="SVD2" s="2"/>
      <c r="SVE2" s="2"/>
      <c r="SVF2" s="2"/>
      <c r="SVG2" s="2"/>
      <c r="SVH2" s="2"/>
      <c r="SVI2" s="2"/>
      <c r="SVJ2" s="2"/>
      <c r="SVK2" s="2"/>
      <c r="SVL2" s="2"/>
      <c r="SVM2" s="2"/>
      <c r="SVN2" s="2"/>
      <c r="SVO2" s="2"/>
      <c r="SVP2" s="2"/>
      <c r="SVQ2" s="2"/>
      <c r="SVR2" s="2"/>
      <c r="SVS2" s="2"/>
      <c r="SVT2" s="2"/>
      <c r="SVU2" s="2"/>
      <c r="SVV2" s="2"/>
      <c r="SVW2" s="2"/>
      <c r="SVX2" s="2"/>
      <c r="SVY2" s="2"/>
      <c r="SVZ2" s="2"/>
      <c r="SWA2" s="2"/>
      <c r="SWB2" s="2"/>
      <c r="SWC2" s="2"/>
      <c r="SWD2" s="2"/>
      <c r="SWE2" s="2"/>
      <c r="SWF2" s="2"/>
      <c r="SWG2" s="2"/>
      <c r="SWH2" s="2"/>
      <c r="SWI2" s="2"/>
      <c r="SWJ2" s="2"/>
      <c r="SWK2" s="2"/>
      <c r="SWL2" s="2"/>
      <c r="SWM2" s="2"/>
      <c r="SWN2" s="2"/>
      <c r="SWO2" s="2"/>
      <c r="SWP2" s="2"/>
      <c r="SWQ2" s="2"/>
      <c r="SWR2" s="2"/>
      <c r="SWS2" s="2"/>
      <c r="SWT2" s="2"/>
      <c r="SWU2" s="2"/>
      <c r="SWV2" s="2"/>
      <c r="SWW2" s="2"/>
      <c r="SWX2" s="2"/>
      <c r="SWY2" s="2"/>
      <c r="SWZ2" s="2"/>
      <c r="SXA2" s="2"/>
      <c r="SXB2" s="2"/>
      <c r="SXC2" s="2"/>
      <c r="SXD2" s="2"/>
      <c r="SXE2" s="2"/>
      <c r="SXF2" s="2"/>
      <c r="SXG2" s="2"/>
      <c r="SXH2" s="2"/>
      <c r="SXI2" s="2"/>
      <c r="SXJ2" s="2"/>
      <c r="SXK2" s="2"/>
      <c r="SXL2" s="2"/>
      <c r="SXM2" s="2"/>
      <c r="SXN2" s="2"/>
      <c r="SXO2" s="2"/>
      <c r="SXP2" s="2"/>
      <c r="SXQ2" s="2"/>
      <c r="SXR2" s="2"/>
      <c r="SXS2" s="2"/>
      <c r="SXT2" s="2"/>
      <c r="SXU2" s="2"/>
      <c r="SXV2" s="2"/>
      <c r="SXW2" s="2"/>
      <c r="SXX2" s="2"/>
      <c r="SXY2" s="2"/>
      <c r="SXZ2" s="2"/>
      <c r="SYA2" s="2"/>
      <c r="SYB2" s="2"/>
      <c r="SYC2" s="2"/>
      <c r="SYD2" s="2"/>
      <c r="SYE2" s="2"/>
      <c r="SYF2" s="2"/>
      <c r="SYG2" s="2"/>
      <c r="SYH2" s="2"/>
      <c r="SYI2" s="2"/>
      <c r="SYJ2" s="2"/>
      <c r="SYK2" s="2"/>
      <c r="SYL2" s="2"/>
      <c r="SYM2" s="2"/>
      <c r="SYN2" s="2"/>
      <c r="SYO2" s="2"/>
      <c r="SYP2" s="2"/>
      <c r="SYQ2" s="2"/>
      <c r="SYR2" s="2"/>
      <c r="SYS2" s="2"/>
      <c r="SYT2" s="2"/>
      <c r="SYU2" s="2"/>
      <c r="SYV2" s="2"/>
      <c r="SYW2" s="2"/>
      <c r="SYX2" s="2"/>
      <c r="SYY2" s="2"/>
      <c r="SYZ2" s="2"/>
      <c r="SZA2" s="2"/>
      <c r="SZB2" s="2"/>
      <c r="SZC2" s="2"/>
      <c r="SZD2" s="2"/>
      <c r="SZE2" s="2"/>
      <c r="SZF2" s="2"/>
      <c r="SZG2" s="2"/>
      <c r="SZH2" s="2"/>
      <c r="SZI2" s="2"/>
      <c r="SZJ2" s="2"/>
      <c r="SZK2" s="2"/>
      <c r="SZL2" s="2"/>
      <c r="SZM2" s="2"/>
      <c r="SZN2" s="2"/>
      <c r="SZO2" s="2"/>
      <c r="SZP2" s="2"/>
      <c r="SZQ2" s="2"/>
      <c r="SZR2" s="2"/>
      <c r="SZS2" s="2"/>
      <c r="SZT2" s="2"/>
      <c r="SZU2" s="2"/>
      <c r="SZV2" s="2"/>
      <c r="SZW2" s="2"/>
      <c r="SZX2" s="2"/>
      <c r="SZY2" s="2"/>
      <c r="SZZ2" s="2"/>
      <c r="TAA2" s="2"/>
      <c r="TAB2" s="2"/>
      <c r="TAC2" s="2"/>
      <c r="TAD2" s="2"/>
      <c r="TAE2" s="2"/>
      <c r="TAF2" s="2"/>
      <c r="TAG2" s="2"/>
      <c r="TAH2" s="2"/>
      <c r="TAI2" s="2"/>
      <c r="TAJ2" s="2"/>
      <c r="TAK2" s="2"/>
      <c r="TAL2" s="2"/>
      <c r="TAM2" s="2"/>
      <c r="TAN2" s="2"/>
      <c r="TAO2" s="2"/>
      <c r="TAP2" s="2"/>
      <c r="TAQ2" s="2"/>
      <c r="TAR2" s="2"/>
      <c r="TAS2" s="2"/>
      <c r="TAT2" s="2"/>
      <c r="TAU2" s="2"/>
      <c r="TAV2" s="2"/>
      <c r="TAW2" s="2"/>
      <c r="TAX2" s="2"/>
      <c r="TAY2" s="2"/>
      <c r="TAZ2" s="2"/>
      <c r="TBA2" s="2"/>
      <c r="TBB2" s="2"/>
      <c r="TBC2" s="2"/>
      <c r="TBD2" s="2"/>
      <c r="TBE2" s="2"/>
      <c r="TBF2" s="2"/>
      <c r="TBG2" s="2"/>
      <c r="TBH2" s="2"/>
      <c r="TBI2" s="2"/>
      <c r="TBJ2" s="2"/>
      <c r="TBK2" s="2"/>
      <c r="TBL2" s="2"/>
      <c r="TBM2" s="2"/>
      <c r="TBN2" s="2"/>
      <c r="TBO2" s="2"/>
      <c r="TBP2" s="2"/>
      <c r="TBQ2" s="2"/>
      <c r="TBR2" s="2"/>
      <c r="TBS2" s="2"/>
      <c r="TBT2" s="2"/>
      <c r="TBU2" s="2"/>
      <c r="TBV2" s="2"/>
      <c r="TBW2" s="2"/>
      <c r="TBX2" s="2"/>
      <c r="TBY2" s="2"/>
      <c r="TBZ2" s="2"/>
      <c r="TCA2" s="2"/>
      <c r="TCB2" s="2"/>
      <c r="TCC2" s="2"/>
      <c r="TCD2" s="2"/>
      <c r="TCE2" s="2"/>
      <c r="TCF2" s="2"/>
      <c r="TCG2" s="2"/>
      <c r="TCH2" s="2"/>
      <c r="TCI2" s="2"/>
      <c r="TCJ2" s="2"/>
      <c r="TCK2" s="2"/>
      <c r="TCL2" s="2"/>
      <c r="TCM2" s="2"/>
      <c r="TCN2" s="2"/>
      <c r="TCO2" s="2"/>
      <c r="TCP2" s="2"/>
      <c r="TCQ2" s="2"/>
      <c r="TCR2" s="2"/>
      <c r="TCS2" s="2"/>
      <c r="TCT2" s="2"/>
      <c r="TCU2" s="2"/>
      <c r="TCV2" s="2"/>
      <c r="TCW2" s="2"/>
      <c r="TCX2" s="2"/>
      <c r="TCY2" s="2"/>
      <c r="TCZ2" s="2"/>
      <c r="TDA2" s="2"/>
      <c r="TDB2" s="2"/>
      <c r="TDC2" s="2"/>
      <c r="TDD2" s="2"/>
      <c r="TDE2" s="2"/>
      <c r="TDF2" s="2"/>
      <c r="TDG2" s="2"/>
      <c r="TDH2" s="2"/>
      <c r="TDI2" s="2"/>
      <c r="TDJ2" s="2"/>
      <c r="TDK2" s="2"/>
      <c r="TDL2" s="2"/>
      <c r="TDM2" s="2"/>
      <c r="TDN2" s="2"/>
      <c r="TDO2" s="2"/>
      <c r="TDP2" s="2"/>
      <c r="TDQ2" s="2"/>
      <c r="TDR2" s="2"/>
      <c r="TDS2" s="2"/>
      <c r="TDT2" s="2"/>
      <c r="TDU2" s="2"/>
      <c r="TDV2" s="2"/>
      <c r="TDW2" s="2"/>
      <c r="TDX2" s="2"/>
      <c r="TDY2" s="2"/>
      <c r="TDZ2" s="2"/>
      <c r="TEA2" s="2"/>
      <c r="TEB2" s="2"/>
      <c r="TEC2" s="2"/>
      <c r="TED2" s="2"/>
      <c r="TEE2" s="2"/>
      <c r="TEF2" s="2"/>
      <c r="TEG2" s="2"/>
      <c r="TEH2" s="2"/>
      <c r="TEI2" s="2"/>
      <c r="TEJ2" s="2"/>
      <c r="TEK2" s="2"/>
      <c r="TEL2" s="2"/>
      <c r="TEM2" s="2"/>
      <c r="TEN2" s="2"/>
      <c r="TEO2" s="2"/>
      <c r="TEP2" s="2"/>
      <c r="TEQ2" s="2"/>
      <c r="TER2" s="2"/>
      <c r="TES2" s="2"/>
      <c r="TET2" s="2"/>
      <c r="TEU2" s="2"/>
      <c r="TEV2" s="2"/>
      <c r="TEW2" s="2"/>
      <c r="TEX2" s="2"/>
      <c r="TEY2" s="2"/>
      <c r="TEZ2" s="2"/>
      <c r="TFA2" s="2"/>
      <c r="TFB2" s="2"/>
      <c r="TFC2" s="2"/>
      <c r="TFD2" s="2"/>
      <c r="TFE2" s="2"/>
      <c r="TFF2" s="2"/>
      <c r="TFG2" s="2"/>
      <c r="TFH2" s="2"/>
      <c r="TFI2" s="2"/>
      <c r="TFJ2" s="2"/>
      <c r="TFK2" s="2"/>
      <c r="TFL2" s="2"/>
      <c r="TFM2" s="2"/>
      <c r="TFN2" s="2"/>
      <c r="TFO2" s="2"/>
      <c r="TFP2" s="2"/>
      <c r="TFQ2" s="2"/>
      <c r="TFR2" s="2"/>
      <c r="TFS2" s="2"/>
      <c r="TFT2" s="2"/>
      <c r="TFU2" s="2"/>
      <c r="TFV2" s="2"/>
      <c r="TFW2" s="2"/>
      <c r="TFX2" s="2"/>
      <c r="TFY2" s="2"/>
      <c r="TFZ2" s="2"/>
      <c r="TGA2" s="2"/>
      <c r="TGB2" s="2"/>
      <c r="TGC2" s="2"/>
      <c r="TGD2" s="2"/>
      <c r="TGE2" s="2"/>
      <c r="TGF2" s="2"/>
      <c r="TGG2" s="2"/>
      <c r="TGH2" s="2"/>
      <c r="TGI2" s="2"/>
      <c r="TGJ2" s="2"/>
      <c r="TGK2" s="2"/>
      <c r="TGL2" s="2"/>
      <c r="TGM2" s="2"/>
      <c r="TGN2" s="2"/>
      <c r="TGO2" s="2"/>
      <c r="TGP2" s="2"/>
      <c r="TGQ2" s="2"/>
      <c r="TGR2" s="2"/>
      <c r="TGS2" s="2"/>
      <c r="TGT2" s="2"/>
      <c r="TGU2" s="2"/>
      <c r="TGV2" s="2"/>
      <c r="TGW2" s="2"/>
      <c r="TGX2" s="2"/>
      <c r="TGY2" s="2"/>
      <c r="TGZ2" s="2"/>
      <c r="THA2" s="2"/>
      <c r="THB2" s="2"/>
      <c r="THC2" s="2"/>
      <c r="THD2" s="2"/>
      <c r="THE2" s="2"/>
      <c r="THF2" s="2"/>
      <c r="THG2" s="2"/>
      <c r="THH2" s="2"/>
      <c r="THI2" s="2"/>
      <c r="THJ2" s="2"/>
      <c r="THK2" s="2"/>
      <c r="THL2" s="2"/>
      <c r="THM2" s="2"/>
      <c r="THN2" s="2"/>
      <c r="THO2" s="2"/>
      <c r="THP2" s="2"/>
      <c r="THQ2" s="2"/>
      <c r="THR2" s="2"/>
      <c r="THS2" s="2"/>
      <c r="THT2" s="2"/>
      <c r="THU2" s="2"/>
      <c r="THV2" s="2"/>
      <c r="THW2" s="2"/>
      <c r="THX2" s="2"/>
      <c r="THY2" s="2"/>
      <c r="THZ2" s="2"/>
      <c r="TIA2" s="2"/>
      <c r="TIB2" s="2"/>
      <c r="TIC2" s="2"/>
      <c r="TID2" s="2"/>
      <c r="TIE2" s="2"/>
      <c r="TIF2" s="2"/>
      <c r="TIG2" s="2"/>
      <c r="TIH2" s="2"/>
      <c r="TII2" s="2"/>
      <c r="TIJ2" s="2"/>
      <c r="TIK2" s="2"/>
      <c r="TIL2" s="2"/>
      <c r="TIM2" s="2"/>
      <c r="TIN2" s="2"/>
      <c r="TIO2" s="2"/>
      <c r="TIP2" s="2"/>
      <c r="TIQ2" s="2"/>
      <c r="TIR2" s="2"/>
      <c r="TIS2" s="2"/>
      <c r="TIT2" s="2"/>
      <c r="TIU2" s="2"/>
      <c r="TIV2" s="2"/>
      <c r="TIW2" s="2"/>
      <c r="TIX2" s="2"/>
      <c r="TIY2" s="2"/>
      <c r="TIZ2" s="2"/>
      <c r="TJA2" s="2"/>
      <c r="TJB2" s="2"/>
      <c r="TJC2" s="2"/>
      <c r="TJD2" s="2"/>
      <c r="TJE2" s="2"/>
      <c r="TJF2" s="2"/>
      <c r="TJG2" s="2"/>
      <c r="TJH2" s="2"/>
      <c r="TJI2" s="2"/>
      <c r="TJJ2" s="2"/>
      <c r="TJK2" s="2"/>
      <c r="TJL2" s="2"/>
      <c r="TJM2" s="2"/>
      <c r="TJN2" s="2"/>
      <c r="TJO2" s="2"/>
      <c r="TJP2" s="2"/>
      <c r="TJQ2" s="2"/>
      <c r="TJR2" s="2"/>
      <c r="TJS2" s="2"/>
      <c r="TJT2" s="2"/>
      <c r="TJU2" s="2"/>
      <c r="TJV2" s="2"/>
      <c r="TJW2" s="2"/>
      <c r="TJX2" s="2"/>
      <c r="TJY2" s="2"/>
      <c r="TJZ2" s="2"/>
      <c r="TKA2" s="2"/>
      <c r="TKB2" s="2"/>
      <c r="TKC2" s="2"/>
      <c r="TKD2" s="2"/>
      <c r="TKE2" s="2"/>
      <c r="TKF2" s="2"/>
      <c r="TKG2" s="2"/>
      <c r="TKH2" s="2"/>
      <c r="TKI2" s="2"/>
      <c r="TKJ2" s="2"/>
      <c r="TKK2" s="2"/>
      <c r="TKL2" s="2"/>
      <c r="TKM2" s="2"/>
      <c r="TKN2" s="2"/>
      <c r="TKO2" s="2"/>
      <c r="TKP2" s="2"/>
      <c r="TKQ2" s="2"/>
      <c r="TKR2" s="2"/>
      <c r="TKS2" s="2"/>
      <c r="TKT2" s="2"/>
      <c r="TKU2" s="2"/>
      <c r="TKV2" s="2"/>
      <c r="TKW2" s="2"/>
      <c r="TKX2" s="2"/>
      <c r="TKY2" s="2"/>
      <c r="TKZ2" s="2"/>
      <c r="TLA2" s="2"/>
      <c r="TLB2" s="2"/>
      <c r="TLC2" s="2"/>
      <c r="TLD2" s="2"/>
      <c r="TLE2" s="2"/>
      <c r="TLF2" s="2"/>
      <c r="TLG2" s="2"/>
      <c r="TLH2" s="2"/>
      <c r="TLI2" s="2"/>
      <c r="TLJ2" s="2"/>
      <c r="TLK2" s="2"/>
      <c r="TLL2" s="2"/>
      <c r="TLM2" s="2"/>
      <c r="TLN2" s="2"/>
      <c r="TLO2" s="2"/>
      <c r="TLP2" s="2"/>
      <c r="TLQ2" s="2"/>
      <c r="TLR2" s="2"/>
      <c r="TLS2" s="2"/>
      <c r="TLT2" s="2"/>
      <c r="TLU2" s="2"/>
      <c r="TLV2" s="2"/>
      <c r="TLW2" s="2"/>
      <c r="TLX2" s="2"/>
      <c r="TLY2" s="2"/>
      <c r="TLZ2" s="2"/>
      <c r="TMA2" s="2"/>
      <c r="TMB2" s="2"/>
      <c r="TMC2" s="2"/>
      <c r="TMD2" s="2"/>
      <c r="TME2" s="2"/>
      <c r="TMF2" s="2"/>
      <c r="TMG2" s="2"/>
      <c r="TMH2" s="2"/>
      <c r="TMI2" s="2"/>
      <c r="TMJ2" s="2"/>
      <c r="TMK2" s="2"/>
      <c r="TML2" s="2"/>
      <c r="TMM2" s="2"/>
      <c r="TMN2" s="2"/>
      <c r="TMO2" s="2"/>
      <c r="TMP2" s="2"/>
      <c r="TMQ2" s="2"/>
      <c r="TMR2" s="2"/>
      <c r="TMS2" s="2"/>
      <c r="TMT2" s="2"/>
      <c r="TMU2" s="2"/>
      <c r="TMV2" s="2"/>
      <c r="TMW2" s="2"/>
      <c r="TMX2" s="2"/>
      <c r="TMY2" s="2"/>
      <c r="TMZ2" s="2"/>
      <c r="TNA2" s="2"/>
      <c r="TNB2" s="2"/>
      <c r="TNC2" s="2"/>
      <c r="TND2" s="2"/>
      <c r="TNE2" s="2"/>
      <c r="TNF2" s="2"/>
      <c r="TNG2" s="2"/>
      <c r="TNH2" s="2"/>
      <c r="TNI2" s="2"/>
      <c r="TNJ2" s="2"/>
      <c r="TNK2" s="2"/>
      <c r="TNL2" s="2"/>
      <c r="TNM2" s="2"/>
      <c r="TNN2" s="2"/>
      <c r="TNO2" s="2"/>
      <c r="TNP2" s="2"/>
      <c r="TNQ2" s="2"/>
      <c r="TNR2" s="2"/>
      <c r="TNS2" s="2"/>
      <c r="TNT2" s="2"/>
      <c r="TNU2" s="2"/>
      <c r="TNV2" s="2"/>
      <c r="TNW2" s="2"/>
      <c r="TNX2" s="2"/>
      <c r="TNY2" s="2"/>
      <c r="TNZ2" s="2"/>
      <c r="TOA2" s="2"/>
      <c r="TOB2" s="2"/>
      <c r="TOC2" s="2"/>
      <c r="TOD2" s="2"/>
      <c r="TOE2" s="2"/>
      <c r="TOF2" s="2"/>
      <c r="TOG2" s="2"/>
      <c r="TOH2" s="2"/>
      <c r="TOI2" s="2"/>
      <c r="TOJ2" s="2"/>
      <c r="TOK2" s="2"/>
      <c r="TOL2" s="2"/>
      <c r="TOM2" s="2"/>
      <c r="TON2" s="2"/>
      <c r="TOO2" s="2"/>
      <c r="TOP2" s="2"/>
      <c r="TOQ2" s="2"/>
      <c r="TOR2" s="2"/>
      <c r="TOS2" s="2"/>
      <c r="TOT2" s="2"/>
      <c r="TOU2" s="2"/>
      <c r="TOV2" s="2"/>
      <c r="TOW2" s="2"/>
      <c r="TOX2" s="2"/>
      <c r="TOY2" s="2"/>
      <c r="TOZ2" s="2"/>
      <c r="TPA2" s="2"/>
      <c r="TPB2" s="2"/>
      <c r="TPC2" s="2"/>
      <c r="TPD2" s="2"/>
      <c r="TPE2" s="2"/>
      <c r="TPF2" s="2"/>
      <c r="TPG2" s="2"/>
      <c r="TPH2" s="2"/>
      <c r="TPI2" s="2"/>
      <c r="TPJ2" s="2"/>
      <c r="TPK2" s="2"/>
      <c r="TPL2" s="2"/>
      <c r="TPM2" s="2"/>
      <c r="TPN2" s="2"/>
      <c r="TPO2" s="2"/>
      <c r="TPP2" s="2"/>
      <c r="TPQ2" s="2"/>
      <c r="TPR2" s="2"/>
      <c r="TPS2" s="2"/>
      <c r="TPT2" s="2"/>
      <c r="TPU2" s="2"/>
      <c r="TPV2" s="2"/>
      <c r="TPW2" s="2"/>
      <c r="TPX2" s="2"/>
      <c r="TPY2" s="2"/>
      <c r="TPZ2" s="2"/>
      <c r="TQA2" s="2"/>
      <c r="TQB2" s="2"/>
      <c r="TQC2" s="2"/>
      <c r="TQD2" s="2"/>
      <c r="TQE2" s="2"/>
      <c r="TQF2" s="2"/>
      <c r="TQG2" s="2"/>
      <c r="TQH2" s="2"/>
      <c r="TQI2" s="2"/>
      <c r="TQJ2" s="2"/>
      <c r="TQK2" s="2"/>
      <c r="TQL2" s="2"/>
      <c r="TQM2" s="2"/>
      <c r="TQN2" s="2"/>
      <c r="TQO2" s="2"/>
      <c r="TQP2" s="2"/>
      <c r="TQQ2" s="2"/>
      <c r="TQR2" s="2"/>
      <c r="TQS2" s="2"/>
      <c r="TQT2" s="2"/>
      <c r="TQU2" s="2"/>
      <c r="TQV2" s="2"/>
      <c r="TQW2" s="2"/>
      <c r="TQX2" s="2"/>
      <c r="TQY2" s="2"/>
      <c r="TQZ2" s="2"/>
      <c r="TRA2" s="2"/>
      <c r="TRB2" s="2"/>
      <c r="TRC2" s="2"/>
      <c r="TRD2" s="2"/>
      <c r="TRE2" s="2"/>
      <c r="TRF2" s="2"/>
      <c r="TRG2" s="2"/>
      <c r="TRH2" s="2"/>
      <c r="TRI2" s="2"/>
      <c r="TRJ2" s="2"/>
      <c r="TRK2" s="2"/>
      <c r="TRL2" s="2"/>
      <c r="TRM2" s="2"/>
      <c r="TRN2" s="2"/>
      <c r="TRO2" s="2"/>
      <c r="TRP2" s="2"/>
      <c r="TRQ2" s="2"/>
      <c r="TRR2" s="2"/>
      <c r="TRS2" s="2"/>
      <c r="TRT2" s="2"/>
      <c r="TRU2" s="2"/>
      <c r="TRV2" s="2"/>
      <c r="TRW2" s="2"/>
      <c r="TRX2" s="2"/>
      <c r="TRY2" s="2"/>
      <c r="TRZ2" s="2"/>
      <c r="TSA2" s="2"/>
      <c r="TSB2" s="2"/>
      <c r="TSC2" s="2"/>
      <c r="TSD2" s="2"/>
      <c r="TSE2" s="2"/>
      <c r="TSF2" s="2"/>
      <c r="TSG2" s="2"/>
      <c r="TSH2" s="2"/>
      <c r="TSI2" s="2"/>
      <c r="TSJ2" s="2"/>
      <c r="TSK2" s="2"/>
      <c r="TSL2" s="2"/>
      <c r="TSM2" s="2"/>
      <c r="TSN2" s="2"/>
      <c r="TSO2" s="2"/>
      <c r="TSP2" s="2"/>
      <c r="TSQ2" s="2"/>
      <c r="TSR2" s="2"/>
      <c r="TSS2" s="2"/>
      <c r="TST2" s="2"/>
      <c r="TSU2" s="2"/>
      <c r="TSV2" s="2"/>
      <c r="TSW2" s="2"/>
      <c r="TSX2" s="2"/>
      <c r="TSY2" s="2"/>
      <c r="TSZ2" s="2"/>
      <c r="TTA2" s="2"/>
      <c r="TTB2" s="2"/>
      <c r="TTC2" s="2"/>
      <c r="TTD2" s="2"/>
      <c r="TTE2" s="2"/>
      <c r="TTF2" s="2"/>
      <c r="TTG2" s="2"/>
      <c r="TTH2" s="2"/>
      <c r="TTI2" s="2"/>
      <c r="TTJ2" s="2"/>
      <c r="TTK2" s="2"/>
      <c r="TTL2" s="2"/>
      <c r="TTM2" s="2"/>
      <c r="TTN2" s="2"/>
      <c r="TTO2" s="2"/>
      <c r="TTP2" s="2"/>
      <c r="TTQ2" s="2"/>
      <c r="TTR2" s="2"/>
      <c r="TTS2" s="2"/>
      <c r="TTT2" s="2"/>
      <c r="TTU2" s="2"/>
      <c r="TTV2" s="2"/>
      <c r="TTW2" s="2"/>
      <c r="TTX2" s="2"/>
      <c r="TTY2" s="2"/>
      <c r="TTZ2" s="2"/>
      <c r="TUA2" s="2"/>
      <c r="TUB2" s="2"/>
      <c r="TUC2" s="2"/>
      <c r="TUD2" s="2"/>
      <c r="TUE2" s="2"/>
      <c r="TUF2" s="2"/>
      <c r="TUG2" s="2"/>
      <c r="TUH2" s="2"/>
      <c r="TUI2" s="2"/>
      <c r="TUJ2" s="2"/>
      <c r="TUK2" s="2"/>
      <c r="TUL2" s="2"/>
      <c r="TUM2" s="2"/>
      <c r="TUN2" s="2"/>
      <c r="TUO2" s="2"/>
      <c r="TUP2" s="2"/>
      <c r="TUQ2" s="2"/>
      <c r="TUR2" s="2"/>
      <c r="TUS2" s="2"/>
      <c r="TUT2" s="2"/>
      <c r="TUU2" s="2"/>
      <c r="TUV2" s="2"/>
      <c r="TUW2" s="2"/>
      <c r="TUX2" s="2"/>
      <c r="TUY2" s="2"/>
      <c r="TUZ2" s="2"/>
      <c r="TVA2" s="2"/>
      <c r="TVB2" s="2"/>
      <c r="TVC2" s="2"/>
      <c r="TVD2" s="2"/>
      <c r="TVE2" s="2"/>
      <c r="TVF2" s="2"/>
      <c r="TVG2" s="2"/>
      <c r="TVH2" s="2"/>
      <c r="TVI2" s="2"/>
      <c r="TVJ2" s="2"/>
      <c r="TVK2" s="2"/>
      <c r="TVL2" s="2"/>
      <c r="TVM2" s="2"/>
      <c r="TVN2" s="2"/>
      <c r="TVO2" s="2"/>
      <c r="TVP2" s="2"/>
      <c r="TVQ2" s="2"/>
      <c r="TVR2" s="2"/>
      <c r="TVS2" s="2"/>
      <c r="TVT2" s="2"/>
      <c r="TVU2" s="2"/>
      <c r="TVV2" s="2"/>
      <c r="TVW2" s="2"/>
      <c r="TVX2" s="2"/>
      <c r="TVY2" s="2"/>
      <c r="TVZ2" s="2"/>
      <c r="TWA2" s="2"/>
      <c r="TWB2" s="2"/>
      <c r="TWC2" s="2"/>
      <c r="TWD2" s="2"/>
      <c r="TWE2" s="2"/>
      <c r="TWF2" s="2"/>
      <c r="TWG2" s="2"/>
      <c r="TWH2" s="2"/>
      <c r="TWI2" s="2"/>
      <c r="TWJ2" s="2"/>
      <c r="TWK2" s="2"/>
      <c r="TWL2" s="2"/>
      <c r="TWM2" s="2"/>
      <c r="TWN2" s="2"/>
      <c r="TWO2" s="2"/>
      <c r="TWP2" s="2"/>
      <c r="TWQ2" s="2"/>
      <c r="TWR2" s="2"/>
      <c r="TWS2" s="2"/>
      <c r="TWT2" s="2"/>
      <c r="TWU2" s="2"/>
      <c r="TWV2" s="2"/>
      <c r="TWW2" s="2"/>
      <c r="TWX2" s="2"/>
      <c r="TWY2" s="2"/>
      <c r="TWZ2" s="2"/>
      <c r="TXA2" s="2"/>
      <c r="TXB2" s="2"/>
      <c r="TXC2" s="2"/>
      <c r="TXD2" s="2"/>
      <c r="TXE2" s="2"/>
      <c r="TXF2" s="2"/>
      <c r="TXG2" s="2"/>
      <c r="TXH2" s="2"/>
      <c r="TXI2" s="2"/>
      <c r="TXJ2" s="2"/>
      <c r="TXK2" s="2"/>
      <c r="TXL2" s="2"/>
      <c r="TXM2" s="2"/>
      <c r="TXN2" s="2"/>
      <c r="TXO2" s="2"/>
      <c r="TXP2" s="2"/>
      <c r="TXQ2" s="2"/>
      <c r="TXR2" s="2"/>
      <c r="TXS2" s="2"/>
      <c r="TXT2" s="2"/>
      <c r="TXU2" s="2"/>
      <c r="TXV2" s="2"/>
      <c r="TXW2" s="2"/>
      <c r="TXX2" s="2"/>
      <c r="TXY2" s="2"/>
      <c r="TXZ2" s="2"/>
      <c r="TYA2" s="2"/>
      <c r="TYB2" s="2"/>
      <c r="TYC2" s="2"/>
      <c r="TYD2" s="2"/>
      <c r="TYE2" s="2"/>
      <c r="TYF2" s="2"/>
      <c r="TYG2" s="2"/>
      <c r="TYH2" s="2"/>
      <c r="TYI2" s="2"/>
      <c r="TYJ2" s="2"/>
      <c r="TYK2" s="2"/>
      <c r="TYL2" s="2"/>
      <c r="TYM2" s="2"/>
      <c r="TYN2" s="2"/>
      <c r="TYO2" s="2"/>
      <c r="TYP2" s="2"/>
      <c r="TYQ2" s="2"/>
      <c r="TYR2" s="2"/>
      <c r="TYS2" s="2"/>
      <c r="TYT2" s="2"/>
      <c r="TYU2" s="2"/>
      <c r="TYV2" s="2"/>
      <c r="TYW2" s="2"/>
      <c r="TYX2" s="2"/>
      <c r="TYY2" s="2"/>
      <c r="TYZ2" s="2"/>
      <c r="TZA2" s="2"/>
      <c r="TZB2" s="2"/>
      <c r="TZC2" s="2"/>
      <c r="TZD2" s="2"/>
      <c r="TZE2" s="2"/>
      <c r="TZF2" s="2"/>
      <c r="TZG2" s="2"/>
      <c r="TZH2" s="2"/>
      <c r="TZI2" s="2"/>
      <c r="TZJ2" s="2"/>
      <c r="TZK2" s="2"/>
      <c r="TZL2" s="2"/>
      <c r="TZM2" s="2"/>
      <c r="TZN2" s="2"/>
      <c r="TZO2" s="2"/>
      <c r="TZP2" s="2"/>
      <c r="TZQ2" s="2"/>
      <c r="TZR2" s="2"/>
      <c r="TZS2" s="2"/>
      <c r="TZT2" s="2"/>
      <c r="TZU2" s="2"/>
      <c r="TZV2" s="2"/>
      <c r="TZW2" s="2"/>
      <c r="TZX2" s="2"/>
      <c r="TZY2" s="2"/>
      <c r="TZZ2" s="2"/>
      <c r="UAA2" s="2"/>
      <c r="UAB2" s="2"/>
      <c r="UAC2" s="2"/>
      <c r="UAD2" s="2"/>
      <c r="UAE2" s="2"/>
      <c r="UAF2" s="2"/>
      <c r="UAG2" s="2"/>
      <c r="UAH2" s="2"/>
      <c r="UAI2" s="2"/>
      <c r="UAJ2" s="2"/>
      <c r="UAK2" s="2"/>
      <c r="UAL2" s="2"/>
      <c r="UAM2" s="2"/>
      <c r="UAN2" s="2"/>
      <c r="UAO2" s="2"/>
      <c r="UAP2" s="2"/>
      <c r="UAQ2" s="2"/>
      <c r="UAR2" s="2"/>
      <c r="UAS2" s="2"/>
      <c r="UAT2" s="2"/>
      <c r="UAU2" s="2"/>
      <c r="UAV2" s="2"/>
      <c r="UAW2" s="2"/>
      <c r="UAX2" s="2"/>
      <c r="UAY2" s="2"/>
      <c r="UAZ2" s="2"/>
      <c r="UBA2" s="2"/>
      <c r="UBB2" s="2"/>
      <c r="UBC2" s="2"/>
      <c r="UBD2" s="2"/>
      <c r="UBE2" s="2"/>
      <c r="UBF2" s="2"/>
      <c r="UBG2" s="2"/>
      <c r="UBH2" s="2"/>
      <c r="UBI2" s="2"/>
      <c r="UBJ2" s="2"/>
      <c r="UBK2" s="2"/>
      <c r="UBL2" s="2"/>
      <c r="UBM2" s="2"/>
      <c r="UBN2" s="2"/>
      <c r="UBO2" s="2"/>
      <c r="UBP2" s="2"/>
      <c r="UBQ2" s="2"/>
      <c r="UBR2" s="2"/>
      <c r="UBS2" s="2"/>
      <c r="UBT2" s="2"/>
      <c r="UBU2" s="2"/>
      <c r="UBV2" s="2"/>
      <c r="UBW2" s="2"/>
      <c r="UBX2" s="2"/>
      <c r="UBY2" s="2"/>
      <c r="UBZ2" s="2"/>
      <c r="UCA2" s="2"/>
      <c r="UCB2" s="2"/>
      <c r="UCC2" s="2"/>
      <c r="UCD2" s="2"/>
      <c r="UCE2" s="2"/>
      <c r="UCF2" s="2"/>
      <c r="UCG2" s="2"/>
      <c r="UCH2" s="2"/>
      <c r="UCI2" s="2"/>
      <c r="UCJ2" s="2"/>
      <c r="UCK2" s="2"/>
      <c r="UCL2" s="2"/>
      <c r="UCM2" s="2"/>
      <c r="UCN2" s="2"/>
      <c r="UCO2" s="2"/>
      <c r="UCP2" s="2"/>
      <c r="UCQ2" s="2"/>
      <c r="UCR2" s="2"/>
      <c r="UCS2" s="2"/>
      <c r="UCT2" s="2"/>
      <c r="UCU2" s="2"/>
      <c r="UCV2" s="2"/>
      <c r="UCW2" s="2"/>
      <c r="UCX2" s="2"/>
      <c r="UCY2" s="2"/>
      <c r="UCZ2" s="2"/>
      <c r="UDA2" s="2"/>
      <c r="UDB2" s="2"/>
      <c r="UDC2" s="2"/>
      <c r="UDD2" s="2"/>
      <c r="UDE2" s="2"/>
      <c r="UDF2" s="2"/>
      <c r="UDG2" s="2"/>
      <c r="UDH2" s="2"/>
      <c r="UDI2" s="2"/>
      <c r="UDJ2" s="2"/>
      <c r="UDK2" s="2"/>
      <c r="UDL2" s="2"/>
      <c r="UDM2" s="2"/>
      <c r="UDN2" s="2"/>
      <c r="UDO2" s="2"/>
      <c r="UDP2" s="2"/>
      <c r="UDQ2" s="2"/>
      <c r="UDR2" s="2"/>
      <c r="UDS2" s="2"/>
      <c r="UDT2" s="2"/>
      <c r="UDU2" s="2"/>
      <c r="UDV2" s="2"/>
      <c r="UDW2" s="2"/>
      <c r="UDX2" s="2"/>
      <c r="UDY2" s="2"/>
      <c r="UDZ2" s="2"/>
      <c r="UEA2" s="2"/>
      <c r="UEB2" s="2"/>
      <c r="UEC2" s="2"/>
      <c r="UED2" s="2"/>
      <c r="UEE2" s="2"/>
      <c r="UEF2" s="2"/>
      <c r="UEG2" s="2"/>
      <c r="UEH2" s="2"/>
      <c r="UEI2" s="2"/>
      <c r="UEJ2" s="2"/>
      <c r="UEK2" s="2"/>
      <c r="UEL2" s="2"/>
      <c r="UEM2" s="2"/>
      <c r="UEN2" s="2"/>
      <c r="UEO2" s="2"/>
      <c r="UEP2" s="2"/>
      <c r="UEQ2" s="2"/>
      <c r="UER2" s="2"/>
      <c r="UES2" s="2"/>
      <c r="UET2" s="2"/>
      <c r="UEU2" s="2"/>
      <c r="UEV2" s="2"/>
      <c r="UEW2" s="2"/>
      <c r="UEX2" s="2"/>
      <c r="UEY2" s="2"/>
      <c r="UEZ2" s="2"/>
      <c r="UFA2" s="2"/>
      <c r="UFB2" s="2"/>
      <c r="UFC2" s="2"/>
      <c r="UFD2" s="2"/>
      <c r="UFE2" s="2"/>
      <c r="UFF2" s="2"/>
      <c r="UFG2" s="2"/>
      <c r="UFH2" s="2"/>
      <c r="UFI2" s="2"/>
      <c r="UFJ2" s="2"/>
      <c r="UFK2" s="2"/>
      <c r="UFL2" s="2"/>
      <c r="UFM2" s="2"/>
      <c r="UFN2" s="2"/>
      <c r="UFO2" s="2"/>
      <c r="UFP2" s="2"/>
      <c r="UFQ2" s="2"/>
      <c r="UFR2" s="2"/>
      <c r="UFS2" s="2"/>
      <c r="UFT2" s="2"/>
      <c r="UFU2" s="2"/>
      <c r="UFV2" s="2"/>
      <c r="UFW2" s="2"/>
      <c r="UFX2" s="2"/>
      <c r="UFY2" s="2"/>
      <c r="UFZ2" s="2"/>
      <c r="UGA2" s="2"/>
      <c r="UGB2" s="2"/>
      <c r="UGC2" s="2"/>
      <c r="UGD2" s="2"/>
      <c r="UGE2" s="2"/>
      <c r="UGF2" s="2"/>
      <c r="UGG2" s="2"/>
      <c r="UGH2" s="2"/>
      <c r="UGI2" s="2"/>
      <c r="UGJ2" s="2"/>
      <c r="UGK2" s="2"/>
      <c r="UGL2" s="2"/>
      <c r="UGM2" s="2"/>
      <c r="UGN2" s="2"/>
      <c r="UGO2" s="2"/>
      <c r="UGP2" s="2"/>
      <c r="UGQ2" s="2"/>
      <c r="UGR2" s="2"/>
      <c r="UGS2" s="2"/>
      <c r="UGT2" s="2"/>
      <c r="UGU2" s="2"/>
      <c r="UGV2" s="2"/>
      <c r="UGW2" s="2"/>
      <c r="UGX2" s="2"/>
      <c r="UGY2" s="2"/>
      <c r="UGZ2" s="2"/>
      <c r="UHA2" s="2"/>
      <c r="UHB2" s="2"/>
      <c r="UHC2" s="2"/>
      <c r="UHD2" s="2"/>
      <c r="UHE2" s="2"/>
      <c r="UHF2" s="2"/>
      <c r="UHG2" s="2"/>
      <c r="UHH2" s="2"/>
      <c r="UHI2" s="2"/>
      <c r="UHJ2" s="2"/>
      <c r="UHK2" s="2"/>
      <c r="UHL2" s="2"/>
      <c r="UHM2" s="2"/>
      <c r="UHN2" s="2"/>
      <c r="UHO2" s="2"/>
      <c r="UHP2" s="2"/>
      <c r="UHQ2" s="2"/>
      <c r="UHR2" s="2"/>
      <c r="UHS2" s="2"/>
      <c r="UHT2" s="2"/>
      <c r="UHU2" s="2"/>
      <c r="UHV2" s="2"/>
      <c r="UHW2" s="2"/>
      <c r="UHX2" s="2"/>
      <c r="UHY2" s="2"/>
      <c r="UHZ2" s="2"/>
      <c r="UIA2" s="2"/>
      <c r="UIB2" s="2"/>
      <c r="UIC2" s="2"/>
      <c r="UID2" s="2"/>
      <c r="UIE2" s="2"/>
      <c r="UIF2" s="2"/>
      <c r="UIG2" s="2"/>
      <c r="UIH2" s="2"/>
      <c r="UII2" s="2"/>
      <c r="UIJ2" s="2"/>
      <c r="UIK2" s="2"/>
      <c r="UIL2" s="2"/>
      <c r="UIM2" s="2"/>
      <c r="UIN2" s="2"/>
      <c r="UIO2" s="2"/>
      <c r="UIP2" s="2"/>
      <c r="UIQ2" s="2"/>
      <c r="UIR2" s="2"/>
      <c r="UIS2" s="2"/>
      <c r="UIT2" s="2"/>
      <c r="UIU2" s="2"/>
      <c r="UIV2" s="2"/>
      <c r="UIW2" s="2"/>
      <c r="UIX2" s="2"/>
      <c r="UIY2" s="2"/>
      <c r="UIZ2" s="2"/>
      <c r="UJA2" s="2"/>
      <c r="UJB2" s="2"/>
      <c r="UJC2" s="2"/>
      <c r="UJD2" s="2"/>
      <c r="UJE2" s="2"/>
      <c r="UJF2" s="2"/>
      <c r="UJG2" s="2"/>
      <c r="UJH2" s="2"/>
      <c r="UJI2" s="2"/>
      <c r="UJJ2" s="2"/>
      <c r="UJK2" s="2"/>
      <c r="UJL2" s="2"/>
      <c r="UJM2" s="2"/>
      <c r="UJN2" s="2"/>
      <c r="UJO2" s="2"/>
      <c r="UJP2" s="2"/>
      <c r="UJQ2" s="2"/>
      <c r="UJR2" s="2"/>
      <c r="UJS2" s="2"/>
      <c r="UJT2" s="2"/>
      <c r="UJU2" s="2"/>
      <c r="UJV2" s="2"/>
      <c r="UJW2" s="2"/>
      <c r="UJX2" s="2"/>
      <c r="UJY2" s="2"/>
      <c r="UJZ2" s="2"/>
      <c r="UKA2" s="2"/>
      <c r="UKB2" s="2"/>
      <c r="UKC2" s="2"/>
      <c r="UKD2" s="2"/>
      <c r="UKE2" s="2"/>
      <c r="UKF2" s="2"/>
      <c r="UKG2" s="2"/>
      <c r="UKH2" s="2"/>
      <c r="UKI2" s="2"/>
      <c r="UKJ2" s="2"/>
      <c r="UKK2" s="2"/>
      <c r="UKL2" s="2"/>
      <c r="UKM2" s="2"/>
      <c r="UKN2" s="2"/>
      <c r="UKO2" s="2"/>
      <c r="UKP2" s="2"/>
      <c r="UKQ2" s="2"/>
      <c r="UKR2" s="2"/>
      <c r="UKS2" s="2"/>
      <c r="UKT2" s="2"/>
      <c r="UKU2" s="2"/>
      <c r="UKV2" s="2"/>
      <c r="UKW2" s="2"/>
      <c r="UKX2" s="2"/>
      <c r="UKY2" s="2"/>
      <c r="UKZ2" s="2"/>
      <c r="ULA2" s="2"/>
      <c r="ULB2" s="2"/>
      <c r="ULC2" s="2"/>
      <c r="ULD2" s="2"/>
      <c r="ULE2" s="2"/>
      <c r="ULF2" s="2"/>
      <c r="ULG2" s="2"/>
      <c r="ULH2" s="2"/>
      <c r="ULI2" s="2"/>
      <c r="ULJ2" s="2"/>
      <c r="ULK2" s="2"/>
      <c r="ULL2" s="2"/>
      <c r="ULM2" s="2"/>
      <c r="ULN2" s="2"/>
      <c r="ULO2" s="2"/>
      <c r="ULP2" s="2"/>
      <c r="ULQ2" s="2"/>
      <c r="ULR2" s="2"/>
      <c r="ULS2" s="2"/>
      <c r="ULT2" s="2"/>
      <c r="ULU2" s="2"/>
      <c r="ULV2" s="2"/>
      <c r="ULW2" s="2"/>
      <c r="ULX2" s="2"/>
      <c r="ULY2" s="2"/>
      <c r="ULZ2" s="2"/>
      <c r="UMA2" s="2"/>
      <c r="UMB2" s="2"/>
      <c r="UMC2" s="2"/>
      <c r="UMD2" s="2"/>
      <c r="UME2" s="2"/>
      <c r="UMF2" s="2"/>
      <c r="UMG2" s="2"/>
      <c r="UMH2" s="2"/>
      <c r="UMI2" s="2"/>
      <c r="UMJ2" s="2"/>
      <c r="UMK2" s="2"/>
      <c r="UML2" s="2"/>
      <c r="UMM2" s="2"/>
      <c r="UMN2" s="2"/>
      <c r="UMO2" s="2"/>
      <c r="UMP2" s="2"/>
      <c r="UMQ2" s="2"/>
      <c r="UMR2" s="2"/>
      <c r="UMS2" s="2"/>
      <c r="UMT2" s="2"/>
      <c r="UMU2" s="2"/>
      <c r="UMV2" s="2"/>
      <c r="UMW2" s="2"/>
      <c r="UMX2" s="2"/>
      <c r="UMY2" s="2"/>
      <c r="UMZ2" s="2"/>
      <c r="UNA2" s="2"/>
      <c r="UNB2" s="2"/>
      <c r="UNC2" s="2"/>
      <c r="UND2" s="2"/>
      <c r="UNE2" s="2"/>
      <c r="UNF2" s="2"/>
      <c r="UNG2" s="2"/>
      <c r="UNH2" s="2"/>
      <c r="UNI2" s="2"/>
      <c r="UNJ2" s="2"/>
      <c r="UNK2" s="2"/>
      <c r="UNL2" s="2"/>
      <c r="UNM2" s="2"/>
      <c r="UNN2" s="2"/>
      <c r="UNO2" s="2"/>
      <c r="UNP2" s="2"/>
      <c r="UNQ2" s="2"/>
      <c r="UNR2" s="2"/>
      <c r="UNS2" s="2"/>
      <c r="UNT2" s="2"/>
      <c r="UNU2" s="2"/>
      <c r="UNV2" s="2"/>
      <c r="UNW2" s="2"/>
      <c r="UNX2" s="2"/>
      <c r="UNY2" s="2"/>
      <c r="UNZ2" s="2"/>
      <c r="UOA2" s="2"/>
      <c r="UOB2" s="2"/>
      <c r="UOC2" s="2"/>
      <c r="UOD2" s="2"/>
      <c r="UOE2" s="2"/>
      <c r="UOF2" s="2"/>
      <c r="UOG2" s="2"/>
      <c r="UOH2" s="2"/>
      <c r="UOI2" s="2"/>
      <c r="UOJ2" s="2"/>
      <c r="UOK2" s="2"/>
      <c r="UOL2" s="2"/>
      <c r="UOM2" s="2"/>
      <c r="UON2" s="2"/>
      <c r="UOO2" s="2"/>
      <c r="UOP2" s="2"/>
      <c r="UOQ2" s="2"/>
      <c r="UOR2" s="2"/>
      <c r="UOS2" s="2"/>
      <c r="UOT2" s="2"/>
      <c r="UOU2" s="2"/>
      <c r="UOV2" s="2"/>
      <c r="UOW2" s="2"/>
      <c r="UOX2" s="2"/>
      <c r="UOY2" s="2"/>
      <c r="UOZ2" s="2"/>
      <c r="UPA2" s="2"/>
      <c r="UPB2" s="2"/>
      <c r="UPC2" s="2"/>
      <c r="UPD2" s="2"/>
      <c r="UPE2" s="2"/>
      <c r="UPF2" s="2"/>
      <c r="UPG2" s="2"/>
      <c r="UPH2" s="2"/>
      <c r="UPI2" s="2"/>
      <c r="UPJ2" s="2"/>
      <c r="UPK2" s="2"/>
      <c r="UPL2" s="2"/>
      <c r="UPM2" s="2"/>
      <c r="UPN2" s="2"/>
      <c r="UPO2" s="2"/>
      <c r="UPP2" s="2"/>
      <c r="UPQ2" s="2"/>
      <c r="UPR2" s="2"/>
      <c r="UPS2" s="2"/>
      <c r="UPT2" s="2"/>
      <c r="UPU2" s="2"/>
      <c r="UPV2" s="2"/>
      <c r="UPW2" s="2"/>
      <c r="UPX2" s="2"/>
      <c r="UPY2" s="2"/>
      <c r="UPZ2" s="2"/>
      <c r="UQA2" s="2"/>
      <c r="UQB2" s="2"/>
      <c r="UQC2" s="2"/>
      <c r="UQD2" s="2"/>
      <c r="UQE2" s="2"/>
      <c r="UQF2" s="2"/>
      <c r="UQG2" s="2"/>
      <c r="UQH2" s="2"/>
      <c r="UQI2" s="2"/>
      <c r="UQJ2" s="2"/>
      <c r="UQK2" s="2"/>
      <c r="UQL2" s="2"/>
      <c r="UQM2" s="2"/>
      <c r="UQN2" s="2"/>
      <c r="UQO2" s="2"/>
      <c r="UQP2" s="2"/>
      <c r="UQQ2" s="2"/>
      <c r="UQR2" s="2"/>
      <c r="UQS2" s="2"/>
      <c r="UQT2" s="2"/>
      <c r="UQU2" s="2"/>
      <c r="UQV2" s="2"/>
      <c r="UQW2" s="2"/>
      <c r="UQX2" s="2"/>
      <c r="UQY2" s="2"/>
      <c r="UQZ2" s="2"/>
      <c r="URA2" s="2"/>
      <c r="URB2" s="2"/>
      <c r="URC2" s="2"/>
      <c r="URD2" s="2"/>
      <c r="URE2" s="2"/>
      <c r="URF2" s="2"/>
      <c r="URG2" s="2"/>
      <c r="URH2" s="2"/>
      <c r="URI2" s="2"/>
      <c r="URJ2" s="2"/>
      <c r="URK2" s="2"/>
      <c r="URL2" s="2"/>
      <c r="URM2" s="2"/>
      <c r="URN2" s="2"/>
      <c r="URO2" s="2"/>
      <c r="URP2" s="2"/>
      <c r="URQ2" s="2"/>
      <c r="URR2" s="2"/>
      <c r="URS2" s="2"/>
      <c r="URT2" s="2"/>
      <c r="URU2" s="2"/>
      <c r="URV2" s="2"/>
      <c r="URW2" s="2"/>
      <c r="URX2" s="2"/>
      <c r="URY2" s="2"/>
      <c r="URZ2" s="2"/>
      <c r="USA2" s="2"/>
      <c r="USB2" s="2"/>
      <c r="USC2" s="2"/>
      <c r="USD2" s="2"/>
      <c r="USE2" s="2"/>
      <c r="USF2" s="2"/>
      <c r="USG2" s="2"/>
      <c r="USH2" s="2"/>
      <c r="USI2" s="2"/>
      <c r="USJ2" s="2"/>
      <c r="USK2" s="2"/>
      <c r="USL2" s="2"/>
      <c r="USM2" s="2"/>
      <c r="USN2" s="2"/>
      <c r="USO2" s="2"/>
      <c r="USP2" s="2"/>
      <c r="USQ2" s="2"/>
      <c r="USR2" s="2"/>
      <c r="USS2" s="2"/>
      <c r="UST2" s="2"/>
      <c r="USU2" s="2"/>
      <c r="USV2" s="2"/>
      <c r="USW2" s="2"/>
      <c r="USX2" s="2"/>
      <c r="USY2" s="2"/>
      <c r="USZ2" s="2"/>
      <c r="UTA2" s="2"/>
      <c r="UTB2" s="2"/>
      <c r="UTC2" s="2"/>
      <c r="UTD2" s="2"/>
      <c r="UTE2" s="2"/>
      <c r="UTF2" s="2"/>
      <c r="UTG2" s="2"/>
      <c r="UTH2" s="2"/>
      <c r="UTI2" s="2"/>
      <c r="UTJ2" s="2"/>
      <c r="UTK2" s="2"/>
      <c r="UTL2" s="2"/>
      <c r="UTM2" s="2"/>
      <c r="UTN2" s="2"/>
      <c r="UTO2" s="2"/>
      <c r="UTP2" s="2"/>
      <c r="UTQ2" s="2"/>
      <c r="UTR2" s="2"/>
      <c r="UTS2" s="2"/>
      <c r="UTT2" s="2"/>
      <c r="UTU2" s="2"/>
      <c r="UTV2" s="2"/>
      <c r="UTW2" s="2"/>
      <c r="UTX2" s="2"/>
      <c r="UTY2" s="2"/>
      <c r="UTZ2" s="2"/>
      <c r="UUA2" s="2"/>
      <c r="UUB2" s="2"/>
      <c r="UUC2" s="2"/>
      <c r="UUD2" s="2"/>
      <c r="UUE2" s="2"/>
      <c r="UUF2" s="2"/>
      <c r="UUG2" s="2"/>
      <c r="UUH2" s="2"/>
      <c r="UUI2" s="2"/>
      <c r="UUJ2" s="2"/>
      <c r="UUK2" s="2"/>
      <c r="UUL2" s="2"/>
      <c r="UUM2" s="2"/>
      <c r="UUN2" s="2"/>
      <c r="UUO2" s="2"/>
      <c r="UUP2" s="2"/>
      <c r="UUQ2" s="2"/>
      <c r="UUR2" s="2"/>
      <c r="UUS2" s="2"/>
      <c r="UUT2" s="2"/>
      <c r="UUU2" s="2"/>
      <c r="UUV2" s="2"/>
      <c r="UUW2" s="2"/>
      <c r="UUX2" s="2"/>
      <c r="UUY2" s="2"/>
      <c r="UUZ2" s="2"/>
      <c r="UVA2" s="2"/>
      <c r="UVB2" s="2"/>
      <c r="UVC2" s="2"/>
      <c r="UVD2" s="2"/>
      <c r="UVE2" s="2"/>
      <c r="UVF2" s="2"/>
      <c r="UVG2" s="2"/>
      <c r="UVH2" s="2"/>
      <c r="UVI2" s="2"/>
      <c r="UVJ2" s="2"/>
      <c r="UVK2" s="2"/>
      <c r="UVL2" s="2"/>
      <c r="UVM2" s="2"/>
      <c r="UVN2" s="2"/>
      <c r="UVO2" s="2"/>
      <c r="UVP2" s="2"/>
      <c r="UVQ2" s="2"/>
      <c r="UVR2" s="2"/>
      <c r="UVS2" s="2"/>
      <c r="UVT2" s="2"/>
      <c r="UVU2" s="2"/>
      <c r="UVV2" s="2"/>
      <c r="UVW2" s="2"/>
      <c r="UVX2" s="2"/>
      <c r="UVY2" s="2"/>
      <c r="UVZ2" s="2"/>
      <c r="UWA2" s="2"/>
      <c r="UWB2" s="2"/>
      <c r="UWC2" s="2"/>
      <c r="UWD2" s="2"/>
      <c r="UWE2" s="2"/>
      <c r="UWF2" s="2"/>
      <c r="UWG2" s="2"/>
      <c r="UWH2" s="2"/>
      <c r="UWI2" s="2"/>
      <c r="UWJ2" s="2"/>
      <c r="UWK2" s="2"/>
      <c r="UWL2" s="2"/>
      <c r="UWM2" s="2"/>
      <c r="UWN2" s="2"/>
      <c r="UWO2" s="2"/>
      <c r="UWP2" s="2"/>
      <c r="UWQ2" s="2"/>
      <c r="UWR2" s="2"/>
      <c r="UWS2" s="2"/>
      <c r="UWT2" s="2"/>
      <c r="UWU2" s="2"/>
      <c r="UWV2" s="2"/>
      <c r="UWW2" s="2"/>
      <c r="UWX2" s="2"/>
      <c r="UWY2" s="2"/>
      <c r="UWZ2" s="2"/>
      <c r="UXA2" s="2"/>
      <c r="UXB2" s="2"/>
      <c r="UXC2" s="2"/>
      <c r="UXD2" s="2"/>
      <c r="UXE2" s="2"/>
      <c r="UXF2" s="2"/>
      <c r="UXG2" s="2"/>
      <c r="UXH2" s="2"/>
      <c r="UXI2" s="2"/>
      <c r="UXJ2" s="2"/>
      <c r="UXK2" s="2"/>
      <c r="UXL2" s="2"/>
      <c r="UXM2" s="2"/>
      <c r="UXN2" s="2"/>
      <c r="UXO2" s="2"/>
      <c r="UXP2" s="2"/>
      <c r="UXQ2" s="2"/>
      <c r="UXR2" s="2"/>
      <c r="UXS2" s="2"/>
      <c r="UXT2" s="2"/>
      <c r="UXU2" s="2"/>
      <c r="UXV2" s="2"/>
      <c r="UXW2" s="2"/>
      <c r="UXX2" s="2"/>
      <c r="UXY2" s="2"/>
      <c r="UXZ2" s="2"/>
      <c r="UYA2" s="2"/>
      <c r="UYB2" s="2"/>
      <c r="UYC2" s="2"/>
      <c r="UYD2" s="2"/>
      <c r="UYE2" s="2"/>
      <c r="UYF2" s="2"/>
      <c r="UYG2" s="2"/>
      <c r="UYH2" s="2"/>
      <c r="UYI2" s="2"/>
      <c r="UYJ2" s="2"/>
      <c r="UYK2" s="2"/>
      <c r="UYL2" s="2"/>
      <c r="UYM2" s="2"/>
      <c r="UYN2" s="2"/>
      <c r="UYO2" s="2"/>
      <c r="UYP2" s="2"/>
      <c r="UYQ2" s="2"/>
      <c r="UYR2" s="2"/>
      <c r="UYS2" s="2"/>
      <c r="UYT2" s="2"/>
      <c r="UYU2" s="2"/>
      <c r="UYV2" s="2"/>
      <c r="UYW2" s="2"/>
      <c r="UYX2" s="2"/>
      <c r="UYY2" s="2"/>
      <c r="UYZ2" s="2"/>
      <c r="UZA2" s="2"/>
      <c r="UZB2" s="2"/>
      <c r="UZC2" s="2"/>
      <c r="UZD2" s="2"/>
      <c r="UZE2" s="2"/>
      <c r="UZF2" s="2"/>
      <c r="UZG2" s="2"/>
      <c r="UZH2" s="2"/>
      <c r="UZI2" s="2"/>
      <c r="UZJ2" s="2"/>
      <c r="UZK2" s="2"/>
      <c r="UZL2" s="2"/>
      <c r="UZM2" s="2"/>
      <c r="UZN2" s="2"/>
      <c r="UZO2" s="2"/>
      <c r="UZP2" s="2"/>
      <c r="UZQ2" s="2"/>
      <c r="UZR2" s="2"/>
      <c r="UZS2" s="2"/>
      <c r="UZT2" s="2"/>
      <c r="UZU2" s="2"/>
      <c r="UZV2" s="2"/>
      <c r="UZW2" s="2"/>
      <c r="UZX2" s="2"/>
      <c r="UZY2" s="2"/>
      <c r="UZZ2" s="2"/>
      <c r="VAA2" s="2"/>
      <c r="VAB2" s="2"/>
      <c r="VAC2" s="2"/>
      <c r="VAD2" s="2"/>
      <c r="VAE2" s="2"/>
      <c r="VAF2" s="2"/>
      <c r="VAG2" s="2"/>
      <c r="VAH2" s="2"/>
      <c r="VAI2" s="2"/>
      <c r="VAJ2" s="2"/>
      <c r="VAK2" s="2"/>
      <c r="VAL2" s="2"/>
      <c r="VAM2" s="2"/>
      <c r="VAN2" s="2"/>
      <c r="VAO2" s="2"/>
      <c r="VAP2" s="2"/>
      <c r="VAQ2" s="2"/>
      <c r="VAR2" s="2"/>
      <c r="VAS2" s="2"/>
      <c r="VAT2" s="2"/>
      <c r="VAU2" s="2"/>
      <c r="VAV2" s="2"/>
      <c r="VAW2" s="2"/>
      <c r="VAX2" s="2"/>
      <c r="VAY2" s="2"/>
      <c r="VAZ2" s="2"/>
      <c r="VBA2" s="2"/>
      <c r="VBB2" s="2"/>
      <c r="VBC2" s="2"/>
      <c r="VBD2" s="2"/>
      <c r="VBE2" s="2"/>
      <c r="VBF2" s="2"/>
      <c r="VBG2" s="2"/>
      <c r="VBH2" s="2"/>
      <c r="VBI2" s="2"/>
      <c r="VBJ2" s="2"/>
      <c r="VBK2" s="2"/>
      <c r="VBL2" s="2"/>
      <c r="VBM2" s="2"/>
      <c r="VBN2" s="2"/>
      <c r="VBO2" s="2"/>
      <c r="VBP2" s="2"/>
      <c r="VBQ2" s="2"/>
      <c r="VBR2" s="2"/>
      <c r="VBS2" s="2"/>
      <c r="VBT2" s="2"/>
      <c r="VBU2" s="2"/>
      <c r="VBV2" s="2"/>
      <c r="VBW2" s="2"/>
      <c r="VBX2" s="2"/>
      <c r="VBY2" s="2"/>
      <c r="VBZ2" s="2"/>
      <c r="VCA2" s="2"/>
      <c r="VCB2" s="2"/>
      <c r="VCC2" s="2"/>
      <c r="VCD2" s="2"/>
      <c r="VCE2" s="2"/>
      <c r="VCF2" s="2"/>
      <c r="VCG2" s="2"/>
      <c r="VCH2" s="2"/>
      <c r="VCI2" s="2"/>
      <c r="VCJ2" s="2"/>
      <c r="VCK2" s="2"/>
      <c r="VCL2" s="2"/>
      <c r="VCM2" s="2"/>
      <c r="VCN2" s="2"/>
      <c r="VCO2" s="2"/>
      <c r="VCP2" s="2"/>
      <c r="VCQ2" s="2"/>
      <c r="VCR2" s="2"/>
      <c r="VCS2" s="2"/>
      <c r="VCT2" s="2"/>
      <c r="VCU2" s="2"/>
      <c r="VCV2" s="2"/>
      <c r="VCW2" s="2"/>
      <c r="VCX2" s="2"/>
      <c r="VCY2" s="2"/>
      <c r="VCZ2" s="2"/>
      <c r="VDA2" s="2"/>
      <c r="VDB2" s="2"/>
      <c r="VDC2" s="2"/>
      <c r="VDD2" s="2"/>
      <c r="VDE2" s="2"/>
      <c r="VDF2" s="2"/>
      <c r="VDG2" s="2"/>
      <c r="VDH2" s="2"/>
      <c r="VDI2" s="2"/>
      <c r="VDJ2" s="2"/>
      <c r="VDK2" s="2"/>
      <c r="VDL2" s="2"/>
      <c r="VDM2" s="2"/>
      <c r="VDN2" s="2"/>
      <c r="VDO2" s="2"/>
      <c r="VDP2" s="2"/>
      <c r="VDQ2" s="2"/>
      <c r="VDR2" s="2"/>
      <c r="VDS2" s="2"/>
      <c r="VDT2" s="2"/>
      <c r="VDU2" s="2"/>
      <c r="VDV2" s="2"/>
      <c r="VDW2" s="2"/>
      <c r="VDX2" s="2"/>
      <c r="VDY2" s="2"/>
      <c r="VDZ2" s="2"/>
      <c r="VEA2" s="2"/>
      <c r="VEB2" s="2"/>
      <c r="VEC2" s="2"/>
      <c r="VED2" s="2"/>
      <c r="VEE2" s="2"/>
      <c r="VEF2" s="2"/>
      <c r="VEG2" s="2"/>
      <c r="VEH2" s="2"/>
      <c r="VEI2" s="2"/>
      <c r="VEJ2" s="2"/>
      <c r="VEK2" s="2"/>
      <c r="VEL2" s="2"/>
      <c r="VEM2" s="2"/>
      <c r="VEN2" s="2"/>
      <c r="VEO2" s="2"/>
      <c r="VEP2" s="2"/>
      <c r="VEQ2" s="2"/>
      <c r="VER2" s="2"/>
      <c r="VES2" s="2"/>
      <c r="VET2" s="2"/>
      <c r="VEU2" s="2"/>
      <c r="VEV2" s="2"/>
      <c r="VEW2" s="2"/>
      <c r="VEX2" s="2"/>
      <c r="VEY2" s="2"/>
      <c r="VEZ2" s="2"/>
      <c r="VFA2" s="2"/>
      <c r="VFB2" s="2"/>
      <c r="VFC2" s="2"/>
      <c r="VFD2" s="2"/>
      <c r="VFE2" s="2"/>
      <c r="VFF2" s="2"/>
      <c r="VFG2" s="2"/>
      <c r="VFH2" s="2"/>
      <c r="VFI2" s="2"/>
      <c r="VFJ2" s="2"/>
      <c r="VFK2" s="2"/>
      <c r="VFL2" s="2"/>
      <c r="VFM2" s="2"/>
      <c r="VFN2" s="2"/>
      <c r="VFO2" s="2"/>
      <c r="VFP2" s="2"/>
      <c r="VFQ2" s="2"/>
      <c r="VFR2" s="2"/>
      <c r="VFS2" s="2"/>
      <c r="VFT2" s="2"/>
      <c r="VFU2" s="2"/>
      <c r="VFV2" s="2"/>
      <c r="VFW2" s="2"/>
      <c r="VFX2" s="2"/>
      <c r="VFY2" s="2"/>
      <c r="VFZ2" s="2"/>
      <c r="VGA2" s="2"/>
      <c r="VGB2" s="2"/>
      <c r="VGC2" s="2"/>
      <c r="VGD2" s="2"/>
      <c r="VGE2" s="2"/>
      <c r="VGF2" s="2"/>
      <c r="VGG2" s="2"/>
      <c r="VGH2" s="2"/>
      <c r="VGI2" s="2"/>
      <c r="VGJ2" s="2"/>
      <c r="VGK2" s="2"/>
      <c r="VGL2" s="2"/>
      <c r="VGM2" s="2"/>
      <c r="VGN2" s="2"/>
      <c r="VGO2" s="2"/>
      <c r="VGP2" s="2"/>
      <c r="VGQ2" s="2"/>
      <c r="VGR2" s="2"/>
      <c r="VGS2" s="2"/>
      <c r="VGT2" s="2"/>
      <c r="VGU2" s="2"/>
      <c r="VGV2" s="2"/>
      <c r="VGW2" s="2"/>
      <c r="VGX2" s="2"/>
      <c r="VGY2" s="2"/>
      <c r="VGZ2" s="2"/>
      <c r="VHA2" s="2"/>
      <c r="VHB2" s="2"/>
      <c r="VHC2" s="2"/>
      <c r="VHD2" s="2"/>
      <c r="VHE2" s="2"/>
      <c r="VHF2" s="2"/>
      <c r="VHG2" s="2"/>
      <c r="VHH2" s="2"/>
      <c r="VHI2" s="2"/>
      <c r="VHJ2" s="2"/>
      <c r="VHK2" s="2"/>
      <c r="VHL2" s="2"/>
      <c r="VHM2" s="2"/>
      <c r="VHN2" s="2"/>
      <c r="VHO2" s="2"/>
      <c r="VHP2" s="2"/>
      <c r="VHQ2" s="2"/>
      <c r="VHR2" s="2"/>
      <c r="VHS2" s="2"/>
      <c r="VHT2" s="2"/>
      <c r="VHU2" s="2"/>
      <c r="VHV2" s="2"/>
      <c r="VHW2" s="2"/>
      <c r="VHX2" s="2"/>
      <c r="VHY2" s="2"/>
      <c r="VHZ2" s="2"/>
      <c r="VIA2" s="2"/>
      <c r="VIB2" s="2"/>
      <c r="VIC2" s="2"/>
      <c r="VID2" s="2"/>
      <c r="VIE2" s="2"/>
      <c r="VIF2" s="2"/>
      <c r="VIG2" s="2"/>
      <c r="VIH2" s="2"/>
      <c r="VII2" s="2"/>
      <c r="VIJ2" s="2"/>
      <c r="VIK2" s="2"/>
      <c r="VIL2" s="2"/>
      <c r="VIM2" s="2"/>
      <c r="VIN2" s="2"/>
      <c r="VIO2" s="2"/>
      <c r="VIP2" s="2"/>
      <c r="VIQ2" s="2"/>
      <c r="VIR2" s="2"/>
      <c r="VIS2" s="2"/>
      <c r="VIT2" s="2"/>
      <c r="VIU2" s="2"/>
      <c r="VIV2" s="2"/>
      <c r="VIW2" s="2"/>
      <c r="VIX2" s="2"/>
      <c r="VIY2" s="2"/>
      <c r="VIZ2" s="2"/>
      <c r="VJA2" s="2"/>
      <c r="VJB2" s="2"/>
      <c r="VJC2" s="2"/>
      <c r="VJD2" s="2"/>
      <c r="VJE2" s="2"/>
      <c r="VJF2" s="2"/>
      <c r="VJG2" s="2"/>
      <c r="VJH2" s="2"/>
      <c r="VJI2" s="2"/>
      <c r="VJJ2" s="2"/>
      <c r="VJK2" s="2"/>
      <c r="VJL2" s="2"/>
      <c r="VJM2" s="2"/>
      <c r="VJN2" s="2"/>
      <c r="VJO2" s="2"/>
      <c r="VJP2" s="2"/>
      <c r="VJQ2" s="2"/>
      <c r="VJR2" s="2"/>
      <c r="VJS2" s="2"/>
      <c r="VJT2" s="2"/>
      <c r="VJU2" s="2"/>
      <c r="VJV2" s="2"/>
      <c r="VJW2" s="2"/>
      <c r="VJX2" s="2"/>
      <c r="VJY2" s="2"/>
      <c r="VJZ2" s="2"/>
      <c r="VKA2" s="2"/>
      <c r="VKB2" s="2"/>
      <c r="VKC2" s="2"/>
      <c r="VKD2" s="2"/>
      <c r="VKE2" s="2"/>
      <c r="VKF2" s="2"/>
      <c r="VKG2" s="2"/>
      <c r="VKH2" s="2"/>
      <c r="VKI2" s="2"/>
      <c r="VKJ2" s="2"/>
      <c r="VKK2" s="2"/>
      <c r="VKL2" s="2"/>
      <c r="VKM2" s="2"/>
      <c r="VKN2" s="2"/>
      <c r="VKO2" s="2"/>
      <c r="VKP2" s="2"/>
      <c r="VKQ2" s="2"/>
      <c r="VKR2" s="2"/>
      <c r="VKS2" s="2"/>
      <c r="VKT2" s="2"/>
      <c r="VKU2" s="2"/>
      <c r="VKV2" s="2"/>
      <c r="VKW2" s="2"/>
      <c r="VKX2" s="2"/>
      <c r="VKY2" s="2"/>
      <c r="VKZ2" s="2"/>
      <c r="VLA2" s="2"/>
      <c r="VLB2" s="2"/>
      <c r="VLC2" s="2"/>
      <c r="VLD2" s="2"/>
      <c r="VLE2" s="2"/>
      <c r="VLF2" s="2"/>
      <c r="VLG2" s="2"/>
      <c r="VLH2" s="2"/>
      <c r="VLI2" s="2"/>
      <c r="VLJ2" s="2"/>
      <c r="VLK2" s="2"/>
      <c r="VLL2" s="2"/>
      <c r="VLM2" s="2"/>
      <c r="VLN2" s="2"/>
      <c r="VLO2" s="2"/>
      <c r="VLP2" s="2"/>
      <c r="VLQ2" s="2"/>
      <c r="VLR2" s="2"/>
      <c r="VLS2" s="2"/>
      <c r="VLT2" s="2"/>
      <c r="VLU2" s="2"/>
      <c r="VLV2" s="2"/>
      <c r="VLW2" s="2"/>
      <c r="VLX2" s="2"/>
      <c r="VLY2" s="2"/>
      <c r="VLZ2" s="2"/>
      <c r="VMA2" s="2"/>
      <c r="VMB2" s="2"/>
      <c r="VMC2" s="2"/>
      <c r="VMD2" s="2"/>
      <c r="VME2" s="2"/>
      <c r="VMF2" s="2"/>
      <c r="VMG2" s="2"/>
      <c r="VMH2" s="2"/>
      <c r="VMI2" s="2"/>
      <c r="VMJ2" s="2"/>
      <c r="VMK2" s="2"/>
      <c r="VML2" s="2"/>
      <c r="VMM2" s="2"/>
      <c r="VMN2" s="2"/>
      <c r="VMO2" s="2"/>
      <c r="VMP2" s="2"/>
      <c r="VMQ2" s="2"/>
      <c r="VMR2" s="2"/>
      <c r="VMS2" s="2"/>
      <c r="VMT2" s="2"/>
      <c r="VMU2" s="2"/>
      <c r="VMV2" s="2"/>
      <c r="VMW2" s="2"/>
      <c r="VMX2" s="2"/>
      <c r="VMY2" s="2"/>
      <c r="VMZ2" s="2"/>
      <c r="VNA2" s="2"/>
      <c r="VNB2" s="2"/>
      <c r="VNC2" s="2"/>
      <c r="VND2" s="2"/>
      <c r="VNE2" s="2"/>
      <c r="VNF2" s="2"/>
      <c r="VNG2" s="2"/>
      <c r="VNH2" s="2"/>
      <c r="VNI2" s="2"/>
      <c r="VNJ2" s="2"/>
      <c r="VNK2" s="2"/>
      <c r="VNL2" s="2"/>
      <c r="VNM2" s="2"/>
      <c r="VNN2" s="2"/>
      <c r="VNO2" s="2"/>
      <c r="VNP2" s="2"/>
      <c r="VNQ2" s="2"/>
      <c r="VNR2" s="2"/>
      <c r="VNS2" s="2"/>
      <c r="VNT2" s="2"/>
      <c r="VNU2" s="2"/>
      <c r="VNV2" s="2"/>
      <c r="VNW2" s="2"/>
      <c r="VNX2" s="2"/>
      <c r="VNY2" s="2"/>
      <c r="VNZ2" s="2"/>
      <c r="VOA2" s="2"/>
      <c r="VOB2" s="2"/>
      <c r="VOC2" s="2"/>
      <c r="VOD2" s="2"/>
      <c r="VOE2" s="2"/>
      <c r="VOF2" s="2"/>
      <c r="VOG2" s="2"/>
      <c r="VOH2" s="2"/>
      <c r="VOI2" s="2"/>
      <c r="VOJ2" s="2"/>
      <c r="VOK2" s="2"/>
      <c r="VOL2" s="2"/>
      <c r="VOM2" s="2"/>
      <c r="VON2" s="2"/>
      <c r="VOO2" s="2"/>
      <c r="VOP2" s="2"/>
      <c r="VOQ2" s="2"/>
      <c r="VOR2" s="2"/>
      <c r="VOS2" s="2"/>
      <c r="VOT2" s="2"/>
      <c r="VOU2" s="2"/>
      <c r="VOV2" s="2"/>
      <c r="VOW2" s="2"/>
      <c r="VOX2" s="2"/>
      <c r="VOY2" s="2"/>
      <c r="VOZ2" s="2"/>
      <c r="VPA2" s="2"/>
      <c r="VPB2" s="2"/>
      <c r="VPC2" s="2"/>
      <c r="VPD2" s="2"/>
      <c r="VPE2" s="2"/>
      <c r="VPF2" s="2"/>
      <c r="VPG2" s="2"/>
      <c r="VPH2" s="2"/>
      <c r="VPI2" s="2"/>
      <c r="VPJ2" s="2"/>
      <c r="VPK2" s="2"/>
      <c r="VPL2" s="2"/>
      <c r="VPM2" s="2"/>
      <c r="VPN2" s="2"/>
      <c r="VPO2" s="2"/>
      <c r="VPP2" s="2"/>
      <c r="VPQ2" s="2"/>
      <c r="VPR2" s="2"/>
      <c r="VPS2" s="2"/>
      <c r="VPT2" s="2"/>
      <c r="VPU2" s="2"/>
      <c r="VPV2" s="2"/>
      <c r="VPW2" s="2"/>
      <c r="VPX2" s="2"/>
      <c r="VPY2" s="2"/>
      <c r="VPZ2" s="2"/>
      <c r="VQA2" s="2"/>
      <c r="VQB2" s="2"/>
      <c r="VQC2" s="2"/>
      <c r="VQD2" s="2"/>
      <c r="VQE2" s="2"/>
      <c r="VQF2" s="2"/>
      <c r="VQG2" s="2"/>
      <c r="VQH2" s="2"/>
      <c r="VQI2" s="2"/>
      <c r="VQJ2" s="2"/>
      <c r="VQK2" s="2"/>
      <c r="VQL2" s="2"/>
      <c r="VQM2" s="2"/>
      <c r="VQN2" s="2"/>
      <c r="VQO2" s="2"/>
      <c r="VQP2" s="2"/>
      <c r="VQQ2" s="2"/>
      <c r="VQR2" s="2"/>
      <c r="VQS2" s="2"/>
      <c r="VQT2" s="2"/>
      <c r="VQU2" s="2"/>
      <c r="VQV2" s="2"/>
      <c r="VQW2" s="2"/>
      <c r="VQX2" s="2"/>
      <c r="VQY2" s="2"/>
      <c r="VQZ2" s="2"/>
      <c r="VRA2" s="2"/>
      <c r="VRB2" s="2"/>
      <c r="VRC2" s="2"/>
      <c r="VRD2" s="2"/>
      <c r="VRE2" s="2"/>
      <c r="VRF2" s="2"/>
      <c r="VRG2" s="2"/>
      <c r="VRH2" s="2"/>
      <c r="VRI2" s="2"/>
      <c r="VRJ2" s="2"/>
      <c r="VRK2" s="2"/>
      <c r="VRL2" s="2"/>
      <c r="VRM2" s="2"/>
      <c r="VRN2" s="2"/>
      <c r="VRO2" s="2"/>
      <c r="VRP2" s="2"/>
      <c r="VRQ2" s="2"/>
      <c r="VRR2" s="2"/>
      <c r="VRS2" s="2"/>
      <c r="VRT2" s="2"/>
      <c r="VRU2" s="2"/>
      <c r="VRV2" s="2"/>
      <c r="VRW2" s="2"/>
      <c r="VRX2" s="2"/>
      <c r="VRY2" s="2"/>
      <c r="VRZ2" s="2"/>
      <c r="VSA2" s="2"/>
      <c r="VSB2" s="2"/>
      <c r="VSC2" s="2"/>
      <c r="VSD2" s="2"/>
      <c r="VSE2" s="2"/>
      <c r="VSF2" s="2"/>
      <c r="VSG2" s="2"/>
      <c r="VSH2" s="2"/>
      <c r="VSI2" s="2"/>
      <c r="VSJ2" s="2"/>
      <c r="VSK2" s="2"/>
      <c r="VSL2" s="2"/>
      <c r="VSM2" s="2"/>
      <c r="VSN2" s="2"/>
      <c r="VSO2" s="2"/>
      <c r="VSP2" s="2"/>
      <c r="VSQ2" s="2"/>
      <c r="VSR2" s="2"/>
      <c r="VSS2" s="2"/>
      <c r="VST2" s="2"/>
      <c r="VSU2" s="2"/>
      <c r="VSV2" s="2"/>
      <c r="VSW2" s="2"/>
      <c r="VSX2" s="2"/>
      <c r="VSY2" s="2"/>
      <c r="VSZ2" s="2"/>
      <c r="VTA2" s="2"/>
      <c r="VTB2" s="2"/>
      <c r="VTC2" s="2"/>
      <c r="VTD2" s="2"/>
      <c r="VTE2" s="2"/>
      <c r="VTF2" s="2"/>
      <c r="VTG2" s="2"/>
      <c r="VTH2" s="2"/>
      <c r="VTI2" s="2"/>
      <c r="VTJ2" s="2"/>
      <c r="VTK2" s="2"/>
      <c r="VTL2" s="2"/>
      <c r="VTM2" s="2"/>
      <c r="VTN2" s="2"/>
      <c r="VTO2" s="2"/>
      <c r="VTP2" s="2"/>
      <c r="VTQ2" s="2"/>
      <c r="VTR2" s="2"/>
      <c r="VTS2" s="2"/>
      <c r="VTT2" s="2"/>
      <c r="VTU2" s="2"/>
      <c r="VTV2" s="2"/>
      <c r="VTW2" s="2"/>
      <c r="VTX2" s="2"/>
      <c r="VTY2" s="2"/>
      <c r="VTZ2" s="2"/>
      <c r="VUA2" s="2"/>
      <c r="VUB2" s="2"/>
      <c r="VUC2" s="2"/>
      <c r="VUD2" s="2"/>
      <c r="VUE2" s="2"/>
      <c r="VUF2" s="2"/>
      <c r="VUG2" s="2"/>
      <c r="VUH2" s="2"/>
      <c r="VUI2" s="2"/>
      <c r="VUJ2" s="2"/>
      <c r="VUK2" s="2"/>
      <c r="VUL2" s="2"/>
      <c r="VUM2" s="2"/>
      <c r="VUN2" s="2"/>
      <c r="VUO2" s="2"/>
      <c r="VUP2" s="2"/>
      <c r="VUQ2" s="2"/>
      <c r="VUR2" s="2"/>
      <c r="VUS2" s="2"/>
      <c r="VUT2" s="2"/>
      <c r="VUU2" s="2"/>
      <c r="VUV2" s="2"/>
      <c r="VUW2" s="2"/>
      <c r="VUX2" s="2"/>
      <c r="VUY2" s="2"/>
      <c r="VUZ2" s="2"/>
      <c r="VVA2" s="2"/>
      <c r="VVB2" s="2"/>
      <c r="VVC2" s="2"/>
      <c r="VVD2" s="2"/>
      <c r="VVE2" s="2"/>
      <c r="VVF2" s="2"/>
      <c r="VVG2" s="2"/>
      <c r="VVH2" s="2"/>
      <c r="VVI2" s="2"/>
      <c r="VVJ2" s="2"/>
      <c r="VVK2" s="2"/>
      <c r="VVL2" s="2"/>
      <c r="VVM2" s="2"/>
      <c r="VVN2" s="2"/>
      <c r="VVO2" s="2"/>
      <c r="VVP2" s="2"/>
      <c r="VVQ2" s="2"/>
      <c r="VVR2" s="2"/>
      <c r="VVS2" s="2"/>
      <c r="VVT2" s="2"/>
      <c r="VVU2" s="2"/>
      <c r="VVV2" s="2"/>
      <c r="VVW2" s="2"/>
      <c r="VVX2" s="2"/>
      <c r="VVY2" s="2"/>
      <c r="VVZ2" s="2"/>
      <c r="VWA2" s="2"/>
      <c r="VWB2" s="2"/>
      <c r="VWC2" s="2"/>
      <c r="VWD2" s="2"/>
      <c r="VWE2" s="2"/>
      <c r="VWF2" s="2"/>
      <c r="VWG2" s="2"/>
      <c r="VWH2" s="2"/>
      <c r="VWI2" s="2"/>
      <c r="VWJ2" s="2"/>
      <c r="VWK2" s="2"/>
      <c r="VWL2" s="2"/>
      <c r="VWM2" s="2"/>
      <c r="VWN2" s="2"/>
      <c r="VWO2" s="2"/>
      <c r="VWP2" s="2"/>
      <c r="VWQ2" s="2"/>
      <c r="VWR2" s="2"/>
      <c r="VWS2" s="2"/>
      <c r="VWT2" s="2"/>
      <c r="VWU2" s="2"/>
      <c r="VWV2" s="2"/>
      <c r="VWW2" s="2"/>
      <c r="VWX2" s="2"/>
      <c r="VWY2" s="2"/>
      <c r="VWZ2" s="2"/>
      <c r="VXA2" s="2"/>
      <c r="VXB2" s="2"/>
      <c r="VXC2" s="2"/>
      <c r="VXD2" s="2"/>
      <c r="VXE2" s="2"/>
      <c r="VXF2" s="2"/>
      <c r="VXG2" s="2"/>
      <c r="VXH2" s="2"/>
      <c r="VXI2" s="2"/>
      <c r="VXJ2" s="2"/>
      <c r="VXK2" s="2"/>
      <c r="VXL2" s="2"/>
      <c r="VXM2" s="2"/>
      <c r="VXN2" s="2"/>
      <c r="VXO2" s="2"/>
      <c r="VXP2" s="2"/>
      <c r="VXQ2" s="2"/>
      <c r="VXR2" s="2"/>
      <c r="VXS2" s="2"/>
      <c r="VXT2" s="2"/>
      <c r="VXU2" s="2"/>
      <c r="VXV2" s="2"/>
      <c r="VXW2" s="2"/>
      <c r="VXX2" s="2"/>
      <c r="VXY2" s="2"/>
      <c r="VXZ2" s="2"/>
      <c r="VYA2" s="2"/>
      <c r="VYB2" s="2"/>
      <c r="VYC2" s="2"/>
      <c r="VYD2" s="2"/>
      <c r="VYE2" s="2"/>
      <c r="VYF2" s="2"/>
      <c r="VYG2" s="2"/>
      <c r="VYH2" s="2"/>
      <c r="VYI2" s="2"/>
      <c r="VYJ2" s="2"/>
      <c r="VYK2" s="2"/>
      <c r="VYL2" s="2"/>
      <c r="VYM2" s="2"/>
      <c r="VYN2" s="2"/>
      <c r="VYO2" s="2"/>
      <c r="VYP2" s="2"/>
      <c r="VYQ2" s="2"/>
      <c r="VYR2" s="2"/>
      <c r="VYS2" s="2"/>
      <c r="VYT2" s="2"/>
      <c r="VYU2" s="2"/>
      <c r="VYV2" s="2"/>
      <c r="VYW2" s="2"/>
      <c r="VYX2" s="2"/>
      <c r="VYY2" s="2"/>
      <c r="VYZ2" s="2"/>
      <c r="VZA2" s="2"/>
      <c r="VZB2" s="2"/>
      <c r="VZC2" s="2"/>
      <c r="VZD2" s="2"/>
      <c r="VZE2" s="2"/>
      <c r="VZF2" s="2"/>
      <c r="VZG2" s="2"/>
      <c r="VZH2" s="2"/>
      <c r="VZI2" s="2"/>
      <c r="VZJ2" s="2"/>
      <c r="VZK2" s="2"/>
      <c r="VZL2" s="2"/>
      <c r="VZM2" s="2"/>
      <c r="VZN2" s="2"/>
      <c r="VZO2" s="2"/>
      <c r="VZP2" s="2"/>
      <c r="VZQ2" s="2"/>
      <c r="VZR2" s="2"/>
      <c r="VZS2" s="2"/>
      <c r="VZT2" s="2"/>
      <c r="VZU2" s="2"/>
      <c r="VZV2" s="2"/>
      <c r="VZW2" s="2"/>
      <c r="VZX2" s="2"/>
      <c r="VZY2" s="2"/>
      <c r="VZZ2" s="2"/>
      <c r="WAA2" s="2"/>
      <c r="WAB2" s="2"/>
      <c r="WAC2" s="2"/>
      <c r="WAD2" s="2"/>
      <c r="WAE2" s="2"/>
      <c r="WAF2" s="2"/>
      <c r="WAG2" s="2"/>
      <c r="WAH2" s="2"/>
      <c r="WAI2" s="2"/>
      <c r="WAJ2" s="2"/>
      <c r="WAK2" s="2"/>
      <c r="WAL2" s="2"/>
      <c r="WAM2" s="2"/>
      <c r="WAN2" s="2"/>
      <c r="WAO2" s="2"/>
      <c r="WAP2" s="2"/>
      <c r="WAQ2" s="2"/>
      <c r="WAR2" s="2"/>
      <c r="WAS2" s="2"/>
      <c r="WAT2" s="2"/>
      <c r="WAU2" s="2"/>
      <c r="WAV2" s="2"/>
      <c r="WAW2" s="2"/>
      <c r="WAX2" s="2"/>
      <c r="WAY2" s="2"/>
      <c r="WAZ2" s="2"/>
      <c r="WBA2" s="2"/>
      <c r="WBB2" s="2"/>
      <c r="WBC2" s="2"/>
      <c r="WBD2" s="2"/>
      <c r="WBE2" s="2"/>
      <c r="WBF2" s="2"/>
      <c r="WBG2" s="2"/>
      <c r="WBH2" s="2"/>
      <c r="WBI2" s="2"/>
      <c r="WBJ2" s="2"/>
      <c r="WBK2" s="2"/>
      <c r="WBL2" s="2"/>
      <c r="WBM2" s="2"/>
      <c r="WBN2" s="2"/>
      <c r="WBO2" s="2"/>
      <c r="WBP2" s="2"/>
      <c r="WBQ2" s="2"/>
      <c r="WBR2" s="2"/>
      <c r="WBS2" s="2"/>
      <c r="WBT2" s="2"/>
      <c r="WBU2" s="2"/>
      <c r="WBV2" s="2"/>
      <c r="WBW2" s="2"/>
      <c r="WBX2" s="2"/>
      <c r="WBY2" s="2"/>
      <c r="WBZ2" s="2"/>
      <c r="WCA2" s="2"/>
      <c r="WCB2" s="2"/>
      <c r="WCC2" s="2"/>
      <c r="WCD2" s="2"/>
      <c r="WCE2" s="2"/>
      <c r="WCF2" s="2"/>
      <c r="WCG2" s="2"/>
      <c r="WCH2" s="2"/>
      <c r="WCI2" s="2"/>
      <c r="WCJ2" s="2"/>
      <c r="WCK2" s="2"/>
      <c r="WCL2" s="2"/>
      <c r="WCM2" s="2"/>
      <c r="WCN2" s="2"/>
      <c r="WCO2" s="2"/>
      <c r="WCP2" s="2"/>
      <c r="WCQ2" s="2"/>
      <c r="WCR2" s="2"/>
      <c r="WCS2" s="2"/>
      <c r="WCT2" s="2"/>
      <c r="WCU2" s="2"/>
      <c r="WCV2" s="2"/>
      <c r="WCW2" s="2"/>
      <c r="WCX2" s="2"/>
      <c r="WCY2" s="2"/>
      <c r="WCZ2" s="2"/>
      <c r="WDA2" s="2"/>
      <c r="WDB2" s="2"/>
      <c r="WDC2" s="2"/>
      <c r="WDD2" s="2"/>
      <c r="WDE2" s="2"/>
      <c r="WDF2" s="2"/>
      <c r="WDG2" s="2"/>
      <c r="WDH2" s="2"/>
      <c r="WDI2" s="2"/>
      <c r="WDJ2" s="2"/>
      <c r="WDK2" s="2"/>
      <c r="WDL2" s="2"/>
      <c r="WDM2" s="2"/>
      <c r="WDN2" s="2"/>
      <c r="WDO2" s="2"/>
      <c r="WDP2" s="2"/>
      <c r="WDQ2" s="2"/>
      <c r="WDR2" s="2"/>
      <c r="WDS2" s="2"/>
      <c r="WDT2" s="2"/>
      <c r="WDU2" s="2"/>
      <c r="WDV2" s="2"/>
      <c r="WDW2" s="2"/>
      <c r="WDX2" s="2"/>
      <c r="WDY2" s="2"/>
      <c r="WDZ2" s="2"/>
      <c r="WEA2" s="2"/>
      <c r="WEB2" s="2"/>
      <c r="WEC2" s="2"/>
      <c r="WED2" s="2"/>
      <c r="WEE2" s="2"/>
      <c r="WEF2" s="2"/>
      <c r="WEG2" s="2"/>
      <c r="WEH2" s="2"/>
      <c r="WEI2" s="2"/>
      <c r="WEJ2" s="2"/>
      <c r="WEK2" s="2"/>
      <c r="WEL2" s="2"/>
      <c r="WEM2" s="2"/>
      <c r="WEN2" s="2"/>
      <c r="WEO2" s="2"/>
      <c r="WEP2" s="2"/>
      <c r="WEQ2" s="2"/>
      <c r="WER2" s="2"/>
      <c r="WES2" s="2"/>
      <c r="WET2" s="2"/>
      <c r="WEU2" s="2"/>
      <c r="WEV2" s="2"/>
      <c r="WEW2" s="2"/>
      <c r="WEX2" s="2"/>
      <c r="WEY2" s="2"/>
      <c r="WEZ2" s="2"/>
      <c r="WFA2" s="2"/>
      <c r="WFB2" s="2"/>
      <c r="WFC2" s="2"/>
      <c r="WFD2" s="2"/>
      <c r="WFE2" s="2"/>
      <c r="WFF2" s="2"/>
      <c r="WFG2" s="2"/>
      <c r="WFH2" s="2"/>
      <c r="WFI2" s="2"/>
      <c r="WFJ2" s="2"/>
      <c r="WFK2" s="2"/>
      <c r="WFL2" s="2"/>
      <c r="WFM2" s="2"/>
      <c r="WFN2" s="2"/>
      <c r="WFO2" s="2"/>
      <c r="WFP2" s="2"/>
      <c r="WFQ2" s="2"/>
      <c r="WFR2" s="2"/>
      <c r="WFS2" s="2"/>
      <c r="WFT2" s="2"/>
      <c r="WFU2" s="2"/>
      <c r="WFV2" s="2"/>
      <c r="WFW2" s="2"/>
      <c r="WFX2" s="2"/>
      <c r="WFY2" s="2"/>
      <c r="WFZ2" s="2"/>
      <c r="WGA2" s="2"/>
      <c r="WGB2" s="2"/>
      <c r="WGC2" s="2"/>
      <c r="WGD2" s="2"/>
      <c r="WGE2" s="2"/>
      <c r="WGF2" s="2"/>
      <c r="WGG2" s="2"/>
      <c r="WGH2" s="2"/>
      <c r="WGI2" s="2"/>
      <c r="WGJ2" s="2"/>
      <c r="WGK2" s="2"/>
      <c r="WGL2" s="2"/>
      <c r="WGM2" s="2"/>
      <c r="WGN2" s="2"/>
      <c r="WGO2" s="2"/>
      <c r="WGP2" s="2"/>
      <c r="WGQ2" s="2"/>
      <c r="WGR2" s="2"/>
      <c r="WGS2" s="2"/>
      <c r="WGT2" s="2"/>
      <c r="WGU2" s="2"/>
      <c r="WGV2" s="2"/>
      <c r="WGW2" s="2"/>
      <c r="WGX2" s="2"/>
      <c r="WGY2" s="2"/>
      <c r="WGZ2" s="2"/>
      <c r="WHA2" s="2"/>
      <c r="WHB2" s="2"/>
      <c r="WHC2" s="2"/>
      <c r="WHD2" s="2"/>
      <c r="WHE2" s="2"/>
      <c r="WHF2" s="2"/>
      <c r="WHG2" s="2"/>
      <c r="WHH2" s="2"/>
      <c r="WHI2" s="2"/>
      <c r="WHJ2" s="2"/>
      <c r="WHK2" s="2"/>
      <c r="WHL2" s="2"/>
      <c r="WHM2" s="2"/>
      <c r="WHN2" s="2"/>
      <c r="WHO2" s="2"/>
      <c r="WHP2" s="2"/>
      <c r="WHQ2" s="2"/>
      <c r="WHR2" s="2"/>
      <c r="WHS2" s="2"/>
      <c r="WHT2" s="2"/>
      <c r="WHU2" s="2"/>
      <c r="WHV2" s="2"/>
      <c r="WHW2" s="2"/>
      <c r="WHX2" s="2"/>
      <c r="WHY2" s="2"/>
      <c r="WHZ2" s="2"/>
      <c r="WIA2" s="2"/>
      <c r="WIB2" s="2"/>
      <c r="WIC2" s="2"/>
      <c r="WID2" s="2"/>
      <c r="WIE2" s="2"/>
      <c r="WIF2" s="2"/>
      <c r="WIG2" s="2"/>
      <c r="WIH2" s="2"/>
      <c r="WII2" s="2"/>
      <c r="WIJ2" s="2"/>
      <c r="WIK2" s="2"/>
      <c r="WIL2" s="2"/>
      <c r="WIM2" s="2"/>
      <c r="WIN2" s="2"/>
      <c r="WIO2" s="2"/>
      <c r="WIP2" s="2"/>
      <c r="WIQ2" s="2"/>
      <c r="WIR2" s="2"/>
      <c r="WIS2" s="2"/>
      <c r="WIT2" s="2"/>
      <c r="WIU2" s="2"/>
      <c r="WIV2" s="2"/>
      <c r="WIW2" s="2"/>
      <c r="WIX2" s="2"/>
      <c r="WIY2" s="2"/>
      <c r="WIZ2" s="2"/>
      <c r="WJA2" s="2"/>
      <c r="WJB2" s="2"/>
      <c r="WJC2" s="2"/>
      <c r="WJD2" s="2"/>
      <c r="WJE2" s="2"/>
      <c r="WJF2" s="2"/>
      <c r="WJG2" s="2"/>
      <c r="WJH2" s="2"/>
      <c r="WJI2" s="2"/>
      <c r="WJJ2" s="2"/>
      <c r="WJK2" s="2"/>
      <c r="WJL2" s="2"/>
      <c r="WJM2" s="2"/>
      <c r="WJN2" s="2"/>
      <c r="WJO2" s="2"/>
      <c r="WJP2" s="2"/>
      <c r="WJQ2" s="2"/>
      <c r="WJR2" s="2"/>
      <c r="WJS2" s="2"/>
      <c r="WJT2" s="2"/>
      <c r="WJU2" s="2"/>
      <c r="WJV2" s="2"/>
      <c r="WJW2" s="2"/>
      <c r="WJX2" s="2"/>
      <c r="WJY2" s="2"/>
      <c r="WJZ2" s="2"/>
      <c r="WKA2" s="2"/>
      <c r="WKB2" s="2"/>
      <c r="WKC2" s="2"/>
      <c r="WKD2" s="2"/>
      <c r="WKE2" s="2"/>
      <c r="WKF2" s="2"/>
      <c r="WKG2" s="2"/>
      <c r="WKH2" s="2"/>
      <c r="WKI2" s="2"/>
      <c r="WKJ2" s="2"/>
      <c r="WKK2" s="2"/>
      <c r="WKL2" s="2"/>
      <c r="WKM2" s="2"/>
      <c r="WKN2" s="2"/>
      <c r="WKO2" s="2"/>
      <c r="WKP2" s="2"/>
      <c r="WKQ2" s="2"/>
      <c r="WKR2" s="2"/>
      <c r="WKS2" s="2"/>
      <c r="WKT2" s="2"/>
      <c r="WKU2" s="2"/>
      <c r="WKV2" s="2"/>
      <c r="WKW2" s="2"/>
      <c r="WKX2" s="2"/>
      <c r="WKY2" s="2"/>
      <c r="WKZ2" s="2"/>
      <c r="WLA2" s="2"/>
      <c r="WLB2" s="2"/>
      <c r="WLC2" s="2"/>
      <c r="WLD2" s="2"/>
      <c r="WLE2" s="2"/>
      <c r="WLF2" s="2"/>
      <c r="WLG2" s="2"/>
      <c r="WLH2" s="2"/>
      <c r="WLI2" s="2"/>
      <c r="WLJ2" s="2"/>
      <c r="WLK2" s="2"/>
      <c r="WLL2" s="2"/>
      <c r="WLM2" s="2"/>
      <c r="WLN2" s="2"/>
      <c r="WLO2" s="2"/>
      <c r="WLP2" s="2"/>
      <c r="WLQ2" s="2"/>
      <c r="WLR2" s="2"/>
      <c r="WLS2" s="2"/>
      <c r="WLT2" s="2"/>
      <c r="WLU2" s="2"/>
      <c r="WLV2" s="2"/>
      <c r="WLW2" s="2"/>
      <c r="WLX2" s="2"/>
      <c r="WLY2" s="2"/>
      <c r="WLZ2" s="2"/>
      <c r="WMA2" s="2"/>
      <c r="WMB2" s="2"/>
      <c r="WMC2" s="2"/>
      <c r="WMD2" s="2"/>
      <c r="WME2" s="2"/>
      <c r="WMF2" s="2"/>
      <c r="WMG2" s="2"/>
      <c r="WMH2" s="2"/>
      <c r="WMI2" s="2"/>
      <c r="WMJ2" s="2"/>
      <c r="WMK2" s="2"/>
      <c r="WML2" s="2"/>
      <c r="WMM2" s="2"/>
      <c r="WMN2" s="2"/>
      <c r="WMO2" s="2"/>
      <c r="WMP2" s="2"/>
      <c r="WMQ2" s="2"/>
      <c r="WMR2" s="2"/>
      <c r="WMS2" s="2"/>
      <c r="WMT2" s="2"/>
      <c r="WMU2" s="2"/>
      <c r="WMV2" s="2"/>
      <c r="WMW2" s="2"/>
      <c r="WMX2" s="2"/>
      <c r="WMY2" s="2"/>
      <c r="WMZ2" s="2"/>
      <c r="WNA2" s="2"/>
      <c r="WNB2" s="2"/>
      <c r="WNC2" s="2"/>
      <c r="WND2" s="2"/>
      <c r="WNE2" s="2"/>
      <c r="WNF2" s="2"/>
      <c r="WNG2" s="2"/>
      <c r="WNH2" s="2"/>
      <c r="WNI2" s="2"/>
      <c r="WNJ2" s="2"/>
      <c r="WNK2" s="2"/>
      <c r="WNL2" s="2"/>
      <c r="WNM2" s="2"/>
      <c r="WNN2" s="2"/>
      <c r="WNO2" s="2"/>
      <c r="WNP2" s="2"/>
      <c r="WNQ2" s="2"/>
      <c r="WNR2" s="2"/>
      <c r="WNS2" s="2"/>
      <c r="WNT2" s="2"/>
      <c r="WNU2" s="2"/>
      <c r="WNV2" s="2"/>
      <c r="WNW2" s="2"/>
      <c r="WNX2" s="2"/>
      <c r="WNY2" s="2"/>
      <c r="WNZ2" s="2"/>
      <c r="WOA2" s="2"/>
      <c r="WOB2" s="2"/>
      <c r="WOC2" s="2"/>
      <c r="WOD2" s="2"/>
      <c r="WOE2" s="2"/>
      <c r="WOF2" s="2"/>
      <c r="WOG2" s="2"/>
      <c r="WOH2" s="2"/>
      <c r="WOI2" s="2"/>
      <c r="WOJ2" s="2"/>
      <c r="WOK2" s="2"/>
      <c r="WOL2" s="2"/>
      <c r="WOM2" s="2"/>
      <c r="WON2" s="2"/>
      <c r="WOO2" s="2"/>
      <c r="WOP2" s="2"/>
      <c r="WOQ2" s="2"/>
      <c r="WOR2" s="2"/>
      <c r="WOS2" s="2"/>
      <c r="WOT2" s="2"/>
      <c r="WOU2" s="2"/>
      <c r="WOV2" s="2"/>
      <c r="WOW2" s="2"/>
      <c r="WOX2" s="2"/>
      <c r="WOY2" s="2"/>
      <c r="WOZ2" s="2"/>
      <c r="WPA2" s="2"/>
      <c r="WPB2" s="2"/>
      <c r="WPC2" s="2"/>
      <c r="WPD2" s="2"/>
      <c r="WPE2" s="2"/>
      <c r="WPF2" s="2"/>
      <c r="WPG2" s="2"/>
      <c r="WPH2" s="2"/>
      <c r="WPI2" s="2"/>
      <c r="WPJ2" s="2"/>
      <c r="WPK2" s="2"/>
      <c r="WPL2" s="2"/>
      <c r="WPM2" s="2"/>
      <c r="WPN2" s="2"/>
      <c r="WPO2" s="2"/>
      <c r="WPP2" s="2"/>
      <c r="WPQ2" s="2"/>
      <c r="WPR2" s="2"/>
      <c r="WPS2" s="2"/>
      <c r="WPT2" s="2"/>
      <c r="WPU2" s="2"/>
      <c r="WPV2" s="2"/>
      <c r="WPW2" s="2"/>
      <c r="WPX2" s="2"/>
      <c r="WPY2" s="2"/>
      <c r="WPZ2" s="2"/>
      <c r="WQA2" s="2"/>
      <c r="WQB2" s="2"/>
      <c r="WQC2" s="2"/>
      <c r="WQD2" s="2"/>
      <c r="WQE2" s="2"/>
      <c r="WQF2" s="2"/>
      <c r="WQG2" s="2"/>
      <c r="WQH2" s="2"/>
      <c r="WQI2" s="2"/>
      <c r="WQJ2" s="2"/>
      <c r="WQK2" s="2"/>
      <c r="WQL2" s="2"/>
      <c r="WQM2" s="2"/>
      <c r="WQN2" s="2"/>
      <c r="WQO2" s="2"/>
      <c r="WQP2" s="2"/>
      <c r="WQQ2" s="2"/>
      <c r="WQR2" s="2"/>
      <c r="WQS2" s="2"/>
      <c r="WQT2" s="2"/>
      <c r="WQU2" s="2"/>
      <c r="WQV2" s="2"/>
      <c r="WQW2" s="2"/>
      <c r="WQX2" s="2"/>
      <c r="WQY2" s="2"/>
      <c r="WQZ2" s="2"/>
      <c r="WRA2" s="2"/>
      <c r="WRB2" s="2"/>
      <c r="WRC2" s="2"/>
      <c r="WRD2" s="2"/>
      <c r="WRE2" s="2"/>
      <c r="WRF2" s="2"/>
      <c r="WRG2" s="2"/>
      <c r="WRH2" s="2"/>
      <c r="WRI2" s="2"/>
      <c r="WRJ2" s="2"/>
      <c r="WRK2" s="2"/>
      <c r="WRL2" s="2"/>
      <c r="WRM2" s="2"/>
      <c r="WRN2" s="2"/>
      <c r="WRO2" s="2"/>
      <c r="WRP2" s="2"/>
      <c r="WRQ2" s="2"/>
      <c r="WRR2" s="2"/>
      <c r="WRS2" s="2"/>
      <c r="WRT2" s="2"/>
      <c r="WRU2" s="2"/>
      <c r="WRV2" s="2"/>
      <c r="WRW2" s="2"/>
      <c r="WRX2" s="2"/>
      <c r="WRY2" s="2"/>
      <c r="WRZ2" s="2"/>
      <c r="WSA2" s="2"/>
      <c r="WSB2" s="2"/>
      <c r="WSC2" s="2"/>
      <c r="WSD2" s="2"/>
      <c r="WSE2" s="2"/>
      <c r="WSF2" s="2"/>
      <c r="WSG2" s="2"/>
      <c r="WSH2" s="2"/>
      <c r="WSI2" s="2"/>
      <c r="WSJ2" s="2"/>
      <c r="WSK2" s="2"/>
      <c r="WSL2" s="2"/>
      <c r="WSM2" s="2"/>
      <c r="WSN2" s="2"/>
      <c r="WSO2" s="2"/>
      <c r="WSP2" s="2"/>
      <c r="WSQ2" s="2"/>
      <c r="WSR2" s="2"/>
      <c r="WSS2" s="2"/>
      <c r="WST2" s="2"/>
      <c r="WSU2" s="2"/>
      <c r="WSV2" s="2"/>
      <c r="WSW2" s="2"/>
      <c r="WSX2" s="2"/>
      <c r="WSY2" s="2"/>
      <c r="WSZ2" s="2"/>
      <c r="WTA2" s="2"/>
      <c r="WTB2" s="2"/>
      <c r="WTC2" s="2"/>
      <c r="WTD2" s="2"/>
      <c r="WTE2" s="2"/>
      <c r="WTF2" s="2"/>
      <c r="WTG2" s="2"/>
      <c r="WTH2" s="2"/>
      <c r="WTI2" s="2"/>
      <c r="WTJ2" s="2"/>
      <c r="WTK2" s="2"/>
      <c r="WTL2" s="2"/>
      <c r="WTM2" s="2"/>
      <c r="WTN2" s="2"/>
      <c r="WTO2" s="2"/>
      <c r="WTP2" s="2"/>
      <c r="WTQ2" s="2"/>
      <c r="WTR2" s="2"/>
      <c r="WTS2" s="2"/>
      <c r="WTT2" s="2"/>
      <c r="WTU2" s="2"/>
      <c r="WTV2" s="2"/>
      <c r="WTW2" s="2"/>
      <c r="WTX2" s="2"/>
      <c r="WTY2" s="2"/>
      <c r="WTZ2" s="2"/>
      <c r="WUA2" s="2"/>
      <c r="WUB2" s="2"/>
      <c r="WUC2" s="2"/>
      <c r="WUD2" s="2"/>
      <c r="WUE2" s="2"/>
      <c r="WUF2" s="2"/>
      <c r="WUG2" s="2"/>
      <c r="WUH2" s="2"/>
      <c r="WUI2" s="2"/>
      <c r="WUJ2" s="2"/>
      <c r="WUK2" s="2"/>
      <c r="WUL2" s="2"/>
      <c r="WUM2" s="2"/>
      <c r="WUN2" s="2"/>
      <c r="WUO2" s="2"/>
      <c r="WUP2" s="2"/>
      <c r="WUQ2" s="2"/>
      <c r="WUR2" s="2"/>
      <c r="WUS2" s="2"/>
      <c r="WUT2" s="2"/>
      <c r="WUU2" s="2"/>
      <c r="WUV2" s="2"/>
      <c r="WUW2" s="2"/>
      <c r="WUX2" s="2"/>
      <c r="WUY2" s="2"/>
      <c r="WUZ2" s="2"/>
      <c r="WVA2" s="2"/>
      <c r="WVB2" s="2"/>
      <c r="WVC2" s="2"/>
      <c r="WVD2" s="2"/>
      <c r="WVE2" s="2"/>
      <c r="WVF2" s="2"/>
      <c r="WVG2" s="2"/>
      <c r="WVH2" s="2"/>
      <c r="WVI2" s="2"/>
      <c r="WVJ2" s="2"/>
      <c r="WVK2" s="2"/>
      <c r="WVL2" s="2"/>
      <c r="WVM2" s="2"/>
      <c r="WVN2" s="2"/>
      <c r="WVO2" s="2"/>
      <c r="WVP2" s="2"/>
      <c r="WVQ2" s="2"/>
      <c r="WVR2" s="2"/>
      <c r="WVS2" s="2"/>
      <c r="WVT2" s="2"/>
      <c r="WVU2" s="2"/>
      <c r="WVV2" s="2"/>
      <c r="WVW2" s="2"/>
      <c r="WVX2" s="2"/>
      <c r="WVY2" s="2"/>
      <c r="WVZ2" s="2"/>
      <c r="WWA2" s="2"/>
      <c r="WWB2" s="2"/>
      <c r="WWC2" s="2"/>
      <c r="WWD2" s="2"/>
      <c r="WWE2" s="2"/>
      <c r="WWF2" s="2"/>
      <c r="WWG2" s="2"/>
      <c r="WWH2" s="2"/>
      <c r="WWI2" s="2"/>
      <c r="WWJ2" s="2"/>
      <c r="WWK2" s="2"/>
      <c r="WWL2" s="2"/>
      <c r="WWM2" s="2"/>
      <c r="WWN2" s="2"/>
      <c r="WWO2" s="2"/>
      <c r="WWP2" s="2"/>
      <c r="WWQ2" s="2"/>
      <c r="WWR2" s="2"/>
      <c r="WWS2" s="2"/>
      <c r="WWT2" s="2"/>
      <c r="WWU2" s="2"/>
      <c r="WWV2" s="2"/>
      <c r="WWW2" s="2"/>
      <c r="WWX2" s="2"/>
      <c r="WWY2" s="2"/>
      <c r="WWZ2" s="2"/>
      <c r="WXA2" s="2"/>
      <c r="WXB2" s="2"/>
      <c r="WXC2" s="2"/>
      <c r="WXD2" s="2"/>
      <c r="WXE2" s="2"/>
      <c r="WXF2" s="2"/>
      <c r="WXG2" s="2"/>
      <c r="WXH2" s="2"/>
      <c r="WXI2" s="2"/>
      <c r="WXJ2" s="2"/>
      <c r="WXK2" s="2"/>
      <c r="WXL2" s="2"/>
      <c r="WXM2" s="2"/>
      <c r="WXN2" s="2"/>
      <c r="WXO2" s="2"/>
      <c r="WXP2" s="2"/>
      <c r="WXQ2" s="2"/>
      <c r="WXR2" s="2"/>
      <c r="WXS2" s="2"/>
      <c r="WXT2" s="2"/>
      <c r="WXU2" s="2"/>
      <c r="WXV2" s="2"/>
      <c r="WXW2" s="2"/>
      <c r="WXX2" s="2"/>
      <c r="WXY2" s="2"/>
      <c r="WXZ2" s="2"/>
      <c r="WYA2" s="2"/>
      <c r="WYB2" s="2"/>
      <c r="WYC2" s="2"/>
      <c r="WYD2" s="2"/>
      <c r="WYE2" s="2"/>
      <c r="WYF2" s="2"/>
      <c r="WYG2" s="2"/>
      <c r="WYH2" s="2"/>
      <c r="WYI2" s="2"/>
      <c r="WYJ2" s="2"/>
      <c r="WYK2" s="2"/>
      <c r="WYL2" s="2"/>
      <c r="WYM2" s="2"/>
      <c r="WYN2" s="2"/>
      <c r="WYO2" s="2"/>
      <c r="WYP2" s="2"/>
      <c r="WYQ2" s="2"/>
      <c r="WYR2" s="2"/>
      <c r="WYS2" s="2"/>
      <c r="WYT2" s="2"/>
      <c r="WYU2" s="2"/>
      <c r="WYV2" s="2"/>
      <c r="WYW2" s="2"/>
      <c r="WYX2" s="2"/>
      <c r="WYY2" s="2"/>
      <c r="WYZ2" s="2"/>
      <c r="WZA2" s="2"/>
      <c r="WZB2" s="2"/>
      <c r="WZC2" s="2"/>
      <c r="WZD2" s="2"/>
      <c r="WZE2" s="2"/>
      <c r="WZF2" s="2"/>
      <c r="WZG2" s="2"/>
      <c r="WZH2" s="2"/>
      <c r="WZI2" s="2"/>
      <c r="WZJ2" s="2"/>
      <c r="WZK2" s="2"/>
      <c r="WZL2" s="2"/>
      <c r="WZM2" s="2"/>
      <c r="WZN2" s="2"/>
      <c r="WZO2" s="2"/>
      <c r="WZP2" s="2"/>
      <c r="WZQ2" s="2"/>
      <c r="WZR2" s="2"/>
      <c r="WZS2" s="2"/>
      <c r="WZT2" s="2"/>
      <c r="WZU2" s="2"/>
      <c r="WZV2" s="2"/>
      <c r="WZW2" s="2"/>
      <c r="WZX2" s="2"/>
      <c r="WZY2" s="2"/>
      <c r="WZZ2" s="2"/>
      <c r="XAA2" s="2"/>
      <c r="XAB2" s="2"/>
      <c r="XAC2" s="2"/>
      <c r="XAD2" s="2"/>
      <c r="XAE2" s="2"/>
      <c r="XAF2" s="2"/>
      <c r="XAG2" s="2"/>
      <c r="XAH2" s="2"/>
      <c r="XAI2" s="2"/>
      <c r="XAJ2" s="2"/>
      <c r="XAK2" s="2"/>
      <c r="XAL2" s="2"/>
      <c r="XAM2" s="2"/>
      <c r="XAN2" s="2"/>
      <c r="XAO2" s="2"/>
      <c r="XAP2" s="2"/>
      <c r="XAQ2" s="2"/>
      <c r="XAR2" s="2"/>
      <c r="XAS2" s="2"/>
      <c r="XAT2" s="2"/>
      <c r="XAU2" s="2"/>
      <c r="XAV2" s="2"/>
      <c r="XAW2" s="2"/>
      <c r="XAX2" s="2"/>
      <c r="XAY2" s="2"/>
      <c r="XAZ2" s="2"/>
      <c r="XBA2" s="2"/>
      <c r="XBB2" s="2"/>
      <c r="XBC2" s="2"/>
      <c r="XBD2" s="2"/>
      <c r="XBE2" s="2"/>
      <c r="XBF2" s="2"/>
      <c r="XBG2" s="2"/>
      <c r="XBH2" s="2"/>
      <c r="XBI2" s="2"/>
      <c r="XBJ2" s="2"/>
      <c r="XBK2" s="2"/>
      <c r="XBL2" s="2"/>
      <c r="XBM2" s="2"/>
      <c r="XBN2" s="2"/>
      <c r="XBO2" s="2"/>
      <c r="XBP2" s="2"/>
      <c r="XBQ2" s="2"/>
      <c r="XBR2" s="2"/>
      <c r="XBS2" s="2"/>
      <c r="XBT2" s="2"/>
      <c r="XBU2" s="2"/>
      <c r="XBV2" s="2"/>
      <c r="XBW2" s="2"/>
      <c r="XBX2" s="2"/>
      <c r="XBY2" s="2"/>
      <c r="XBZ2" s="2"/>
      <c r="XCA2" s="2"/>
      <c r="XCB2" s="2"/>
      <c r="XCC2" s="2"/>
      <c r="XCD2" s="2"/>
      <c r="XCE2" s="2"/>
      <c r="XCF2" s="2"/>
      <c r="XCG2" s="2"/>
      <c r="XCH2" s="2"/>
      <c r="XCI2" s="2"/>
      <c r="XCJ2" s="2"/>
      <c r="XCK2" s="2"/>
      <c r="XCL2" s="2"/>
      <c r="XCM2" s="2"/>
      <c r="XCN2" s="2"/>
      <c r="XCO2" s="2"/>
      <c r="XCP2" s="2"/>
      <c r="XCQ2" s="2"/>
      <c r="XCR2" s="2"/>
      <c r="XCS2" s="2"/>
      <c r="XCT2" s="2"/>
      <c r="XCU2" s="2"/>
      <c r="XCV2" s="2"/>
      <c r="XCW2" s="2"/>
      <c r="XCX2" s="2"/>
      <c r="XCY2" s="2"/>
      <c r="XCZ2" s="2"/>
      <c r="XDA2" s="2"/>
      <c r="XDB2" s="2"/>
      <c r="XDC2" s="2"/>
      <c r="XDD2" s="2"/>
      <c r="XDE2" s="2"/>
      <c r="XDF2" s="2"/>
      <c r="XDG2" s="2"/>
      <c r="XDH2" s="2"/>
      <c r="XDI2" s="2"/>
      <c r="XDJ2" s="2"/>
      <c r="XDK2" s="2"/>
      <c r="XDL2" s="2"/>
      <c r="XDM2" s="2"/>
      <c r="XDN2" s="2"/>
      <c r="XDO2" s="2"/>
      <c r="XDP2" s="2"/>
      <c r="XDQ2" s="2"/>
      <c r="XDR2" s="2"/>
      <c r="XDS2" s="2"/>
      <c r="XDT2" s="2"/>
      <c r="XDU2" s="2"/>
      <c r="XDV2" s="2"/>
      <c r="XDW2" s="2"/>
      <c r="XDX2" s="2"/>
      <c r="XDY2" s="2"/>
      <c r="XDZ2" s="2"/>
      <c r="XEA2" s="2"/>
      <c r="XEB2" s="2"/>
      <c r="XEC2" s="2"/>
      <c r="XED2" s="2"/>
      <c r="XEE2" s="2"/>
      <c r="XEF2" s="2"/>
      <c r="XEG2" s="2"/>
      <c r="XEH2" s="2"/>
      <c r="XEI2" s="2"/>
      <c r="XEJ2" s="2"/>
      <c r="XEK2" s="2"/>
      <c r="XEL2" s="2"/>
      <c r="XEM2" s="2"/>
      <c r="XEN2" s="2"/>
      <c r="XEO2" s="2"/>
      <c r="XEP2" s="2"/>
      <c r="XEQ2" s="2"/>
      <c r="XER2" s="2"/>
      <c r="XES2" s="2"/>
      <c r="XET2" s="2"/>
      <c r="XEU2" s="2"/>
      <c r="XEV2" s="2"/>
      <c r="XEW2" s="2"/>
      <c r="XEX2" s="2"/>
      <c r="XEY2" s="2"/>
      <c r="XEZ2" s="2"/>
      <c r="XFA2" s="2"/>
      <c r="XFB2" s="2"/>
      <c r="XFC2" s="2"/>
      <c r="XFD2" s="2"/>
    </row>
    <row r="3" spans="1:16384" s="3" customFormat="1" ht="14.4" x14ac:dyDescent="0.3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  <c r="GJZ3" s="2"/>
      <c r="GKA3" s="2"/>
      <c r="GKB3" s="2"/>
      <c r="GKC3" s="2"/>
      <c r="GKD3" s="2"/>
      <c r="GKE3" s="2"/>
      <c r="GKF3" s="2"/>
      <c r="GKG3" s="2"/>
      <c r="GKH3" s="2"/>
      <c r="GKI3" s="2"/>
      <c r="GKJ3" s="2"/>
      <c r="GKK3" s="2"/>
      <c r="GKL3" s="2"/>
      <c r="GKM3" s="2"/>
      <c r="GKN3" s="2"/>
      <c r="GKO3" s="2"/>
      <c r="GKP3" s="2"/>
      <c r="GKQ3" s="2"/>
      <c r="GKR3" s="2"/>
      <c r="GKS3" s="2"/>
      <c r="GKT3" s="2"/>
      <c r="GKU3" s="2"/>
      <c r="GKV3" s="2"/>
      <c r="GKW3" s="2"/>
      <c r="GKX3" s="2"/>
      <c r="GKY3" s="2"/>
      <c r="GKZ3" s="2"/>
      <c r="GLA3" s="2"/>
      <c r="GLB3" s="2"/>
      <c r="GLC3" s="2"/>
      <c r="GLD3" s="2"/>
      <c r="GLE3" s="2"/>
      <c r="GLF3" s="2"/>
      <c r="GLG3" s="2"/>
      <c r="GLH3" s="2"/>
      <c r="GLI3" s="2"/>
      <c r="GLJ3" s="2"/>
      <c r="GLK3" s="2"/>
      <c r="GLL3" s="2"/>
      <c r="GLM3" s="2"/>
      <c r="GLN3" s="2"/>
      <c r="GLO3" s="2"/>
      <c r="GLP3" s="2"/>
      <c r="GLQ3" s="2"/>
      <c r="GLR3" s="2"/>
      <c r="GLS3" s="2"/>
      <c r="GLT3" s="2"/>
      <c r="GLU3" s="2"/>
      <c r="GLV3" s="2"/>
      <c r="GLW3" s="2"/>
      <c r="GLX3" s="2"/>
      <c r="GLY3" s="2"/>
      <c r="GLZ3" s="2"/>
      <c r="GMA3" s="2"/>
      <c r="GMB3" s="2"/>
      <c r="GMC3" s="2"/>
      <c r="GMD3" s="2"/>
      <c r="GME3" s="2"/>
      <c r="GMF3" s="2"/>
      <c r="GMG3" s="2"/>
      <c r="GMH3" s="2"/>
      <c r="GMI3" s="2"/>
      <c r="GMJ3" s="2"/>
      <c r="GMK3" s="2"/>
      <c r="GML3" s="2"/>
      <c r="GMM3" s="2"/>
      <c r="GMN3" s="2"/>
      <c r="GMO3" s="2"/>
      <c r="GMP3" s="2"/>
      <c r="GMQ3" s="2"/>
      <c r="GMR3" s="2"/>
      <c r="GMS3" s="2"/>
      <c r="GMT3" s="2"/>
      <c r="GMU3" s="2"/>
      <c r="GMV3" s="2"/>
      <c r="GMW3" s="2"/>
      <c r="GMX3" s="2"/>
      <c r="GMY3" s="2"/>
      <c r="GMZ3" s="2"/>
      <c r="GNA3" s="2"/>
      <c r="GNB3" s="2"/>
      <c r="GNC3" s="2"/>
      <c r="GND3" s="2"/>
      <c r="GNE3" s="2"/>
      <c r="GNF3" s="2"/>
      <c r="GNG3" s="2"/>
      <c r="GNH3" s="2"/>
      <c r="GNI3" s="2"/>
      <c r="GNJ3" s="2"/>
      <c r="GNK3" s="2"/>
      <c r="GNL3" s="2"/>
      <c r="GNM3" s="2"/>
      <c r="GNN3" s="2"/>
      <c r="GNO3" s="2"/>
      <c r="GNP3" s="2"/>
      <c r="GNQ3" s="2"/>
      <c r="GNR3" s="2"/>
      <c r="GNS3" s="2"/>
      <c r="GNT3" s="2"/>
      <c r="GNU3" s="2"/>
      <c r="GNV3" s="2"/>
      <c r="GNW3" s="2"/>
      <c r="GNX3" s="2"/>
      <c r="GNY3" s="2"/>
      <c r="GNZ3" s="2"/>
      <c r="GOA3" s="2"/>
      <c r="GOB3" s="2"/>
      <c r="GOC3" s="2"/>
      <c r="GOD3" s="2"/>
      <c r="GOE3" s="2"/>
      <c r="GOF3" s="2"/>
      <c r="GOG3" s="2"/>
      <c r="GOH3" s="2"/>
      <c r="GOI3" s="2"/>
      <c r="GOJ3" s="2"/>
      <c r="GOK3" s="2"/>
      <c r="GOL3" s="2"/>
      <c r="GOM3" s="2"/>
      <c r="GON3" s="2"/>
      <c r="GOO3" s="2"/>
      <c r="GOP3" s="2"/>
      <c r="GOQ3" s="2"/>
      <c r="GOR3" s="2"/>
      <c r="GOS3" s="2"/>
      <c r="GOT3" s="2"/>
      <c r="GOU3" s="2"/>
      <c r="GOV3" s="2"/>
      <c r="GOW3" s="2"/>
      <c r="GOX3" s="2"/>
      <c r="GOY3" s="2"/>
      <c r="GOZ3" s="2"/>
      <c r="GPA3" s="2"/>
      <c r="GPB3" s="2"/>
      <c r="GPC3" s="2"/>
      <c r="GPD3" s="2"/>
      <c r="GPE3" s="2"/>
      <c r="GPF3" s="2"/>
      <c r="GPG3" s="2"/>
      <c r="GPH3" s="2"/>
      <c r="GPI3" s="2"/>
      <c r="GPJ3" s="2"/>
      <c r="GPK3" s="2"/>
      <c r="GPL3" s="2"/>
      <c r="GPM3" s="2"/>
      <c r="GPN3" s="2"/>
      <c r="GPO3" s="2"/>
      <c r="GPP3" s="2"/>
      <c r="GPQ3" s="2"/>
      <c r="GPR3" s="2"/>
      <c r="GPS3" s="2"/>
      <c r="GPT3" s="2"/>
      <c r="GPU3" s="2"/>
      <c r="GPV3" s="2"/>
      <c r="GPW3" s="2"/>
      <c r="GPX3" s="2"/>
      <c r="GPY3" s="2"/>
      <c r="GPZ3" s="2"/>
      <c r="GQA3" s="2"/>
      <c r="GQB3" s="2"/>
      <c r="GQC3" s="2"/>
      <c r="GQD3" s="2"/>
      <c r="GQE3" s="2"/>
      <c r="GQF3" s="2"/>
      <c r="GQG3" s="2"/>
      <c r="GQH3" s="2"/>
      <c r="GQI3" s="2"/>
      <c r="GQJ3" s="2"/>
      <c r="GQK3" s="2"/>
      <c r="GQL3" s="2"/>
      <c r="GQM3" s="2"/>
      <c r="GQN3" s="2"/>
      <c r="GQO3" s="2"/>
      <c r="GQP3" s="2"/>
      <c r="GQQ3" s="2"/>
      <c r="GQR3" s="2"/>
      <c r="GQS3" s="2"/>
      <c r="GQT3" s="2"/>
      <c r="GQU3" s="2"/>
      <c r="GQV3" s="2"/>
      <c r="GQW3" s="2"/>
      <c r="GQX3" s="2"/>
      <c r="GQY3" s="2"/>
      <c r="GQZ3" s="2"/>
      <c r="GRA3" s="2"/>
      <c r="GRB3" s="2"/>
      <c r="GRC3" s="2"/>
      <c r="GRD3" s="2"/>
      <c r="GRE3" s="2"/>
      <c r="GRF3" s="2"/>
      <c r="GRG3" s="2"/>
      <c r="GRH3" s="2"/>
      <c r="GRI3" s="2"/>
      <c r="GRJ3" s="2"/>
      <c r="GRK3" s="2"/>
      <c r="GRL3" s="2"/>
      <c r="GRM3" s="2"/>
      <c r="GRN3" s="2"/>
      <c r="GRO3" s="2"/>
      <c r="GRP3" s="2"/>
      <c r="GRQ3" s="2"/>
      <c r="GRR3" s="2"/>
      <c r="GRS3" s="2"/>
      <c r="GRT3" s="2"/>
      <c r="GRU3" s="2"/>
      <c r="GRV3" s="2"/>
      <c r="GRW3" s="2"/>
      <c r="GRX3" s="2"/>
      <c r="GRY3" s="2"/>
      <c r="GRZ3" s="2"/>
      <c r="GSA3" s="2"/>
      <c r="GSB3" s="2"/>
      <c r="GSC3" s="2"/>
      <c r="GSD3" s="2"/>
      <c r="GSE3" s="2"/>
      <c r="GSF3" s="2"/>
      <c r="GSG3" s="2"/>
      <c r="GSH3" s="2"/>
      <c r="GSI3" s="2"/>
      <c r="GSJ3" s="2"/>
      <c r="GSK3" s="2"/>
      <c r="GSL3" s="2"/>
      <c r="GSM3" s="2"/>
      <c r="GSN3" s="2"/>
      <c r="GSO3" s="2"/>
      <c r="GSP3" s="2"/>
      <c r="GSQ3" s="2"/>
      <c r="GSR3" s="2"/>
      <c r="GSS3" s="2"/>
      <c r="GST3" s="2"/>
      <c r="GSU3" s="2"/>
      <c r="GSV3" s="2"/>
      <c r="GSW3" s="2"/>
      <c r="GSX3" s="2"/>
      <c r="GSY3" s="2"/>
      <c r="GSZ3" s="2"/>
      <c r="GTA3" s="2"/>
      <c r="GTB3" s="2"/>
      <c r="GTC3" s="2"/>
      <c r="GTD3" s="2"/>
      <c r="GTE3" s="2"/>
      <c r="GTF3" s="2"/>
      <c r="GTG3" s="2"/>
      <c r="GTH3" s="2"/>
      <c r="GTI3" s="2"/>
      <c r="GTJ3" s="2"/>
      <c r="GTK3" s="2"/>
      <c r="GTL3" s="2"/>
      <c r="GTM3" s="2"/>
      <c r="GTN3" s="2"/>
      <c r="GTO3" s="2"/>
      <c r="GTP3" s="2"/>
      <c r="GTQ3" s="2"/>
      <c r="GTR3" s="2"/>
      <c r="GTS3" s="2"/>
      <c r="GTT3" s="2"/>
      <c r="GTU3" s="2"/>
      <c r="GTV3" s="2"/>
      <c r="GTW3" s="2"/>
      <c r="GTX3" s="2"/>
      <c r="GTY3" s="2"/>
      <c r="GTZ3" s="2"/>
      <c r="GUA3" s="2"/>
      <c r="GUB3" s="2"/>
      <c r="GUC3" s="2"/>
      <c r="GUD3" s="2"/>
      <c r="GUE3" s="2"/>
      <c r="GUF3" s="2"/>
      <c r="GUG3" s="2"/>
      <c r="GUH3" s="2"/>
      <c r="GUI3" s="2"/>
      <c r="GUJ3" s="2"/>
      <c r="GUK3" s="2"/>
      <c r="GUL3" s="2"/>
      <c r="GUM3" s="2"/>
      <c r="GUN3" s="2"/>
      <c r="GUO3" s="2"/>
      <c r="GUP3" s="2"/>
      <c r="GUQ3" s="2"/>
      <c r="GUR3" s="2"/>
      <c r="GUS3" s="2"/>
      <c r="GUT3" s="2"/>
      <c r="GUU3" s="2"/>
      <c r="GUV3" s="2"/>
      <c r="GUW3" s="2"/>
      <c r="GUX3" s="2"/>
      <c r="GUY3" s="2"/>
      <c r="GUZ3" s="2"/>
      <c r="GVA3" s="2"/>
      <c r="GVB3" s="2"/>
      <c r="GVC3" s="2"/>
      <c r="GVD3" s="2"/>
      <c r="GVE3" s="2"/>
      <c r="GVF3" s="2"/>
      <c r="GVG3" s="2"/>
      <c r="GVH3" s="2"/>
      <c r="GVI3" s="2"/>
      <c r="GVJ3" s="2"/>
      <c r="GVK3" s="2"/>
      <c r="GVL3" s="2"/>
      <c r="GVM3" s="2"/>
      <c r="GVN3" s="2"/>
      <c r="GVO3" s="2"/>
      <c r="GVP3" s="2"/>
      <c r="GVQ3" s="2"/>
      <c r="GVR3" s="2"/>
      <c r="GVS3" s="2"/>
      <c r="GVT3" s="2"/>
      <c r="GVU3" s="2"/>
      <c r="GVV3" s="2"/>
      <c r="GVW3" s="2"/>
      <c r="GVX3" s="2"/>
      <c r="GVY3" s="2"/>
      <c r="GVZ3" s="2"/>
      <c r="GWA3" s="2"/>
      <c r="GWB3" s="2"/>
      <c r="GWC3" s="2"/>
      <c r="GWD3" s="2"/>
      <c r="GWE3" s="2"/>
      <c r="GWF3" s="2"/>
      <c r="GWG3" s="2"/>
      <c r="GWH3" s="2"/>
      <c r="GWI3" s="2"/>
      <c r="GWJ3" s="2"/>
      <c r="GWK3" s="2"/>
      <c r="GWL3" s="2"/>
      <c r="GWM3" s="2"/>
      <c r="GWN3" s="2"/>
      <c r="GWO3" s="2"/>
      <c r="GWP3" s="2"/>
      <c r="GWQ3" s="2"/>
      <c r="GWR3" s="2"/>
      <c r="GWS3" s="2"/>
      <c r="GWT3" s="2"/>
      <c r="GWU3" s="2"/>
      <c r="GWV3" s="2"/>
      <c r="GWW3" s="2"/>
      <c r="GWX3" s="2"/>
      <c r="GWY3" s="2"/>
      <c r="GWZ3" s="2"/>
      <c r="GXA3" s="2"/>
      <c r="GXB3" s="2"/>
      <c r="GXC3" s="2"/>
      <c r="GXD3" s="2"/>
      <c r="GXE3" s="2"/>
      <c r="GXF3" s="2"/>
      <c r="GXG3" s="2"/>
      <c r="GXH3" s="2"/>
      <c r="GXI3" s="2"/>
      <c r="GXJ3" s="2"/>
      <c r="GXK3" s="2"/>
      <c r="GXL3" s="2"/>
      <c r="GXM3" s="2"/>
      <c r="GXN3" s="2"/>
      <c r="GXO3" s="2"/>
      <c r="GXP3" s="2"/>
      <c r="GXQ3" s="2"/>
      <c r="GXR3" s="2"/>
      <c r="GXS3" s="2"/>
      <c r="GXT3" s="2"/>
      <c r="GXU3" s="2"/>
      <c r="GXV3" s="2"/>
      <c r="GXW3" s="2"/>
      <c r="GXX3" s="2"/>
      <c r="GXY3" s="2"/>
      <c r="GXZ3" s="2"/>
      <c r="GYA3" s="2"/>
      <c r="GYB3" s="2"/>
      <c r="GYC3" s="2"/>
      <c r="GYD3" s="2"/>
      <c r="GYE3" s="2"/>
      <c r="GYF3" s="2"/>
      <c r="GYG3" s="2"/>
      <c r="GYH3" s="2"/>
      <c r="GYI3" s="2"/>
      <c r="GYJ3" s="2"/>
      <c r="GYK3" s="2"/>
      <c r="GYL3" s="2"/>
      <c r="GYM3" s="2"/>
      <c r="GYN3" s="2"/>
      <c r="GYO3" s="2"/>
      <c r="GYP3" s="2"/>
      <c r="GYQ3" s="2"/>
      <c r="GYR3" s="2"/>
      <c r="GYS3" s="2"/>
      <c r="GYT3" s="2"/>
      <c r="GYU3" s="2"/>
      <c r="GYV3" s="2"/>
      <c r="GYW3" s="2"/>
      <c r="GYX3" s="2"/>
      <c r="GYY3" s="2"/>
      <c r="GYZ3" s="2"/>
      <c r="GZA3" s="2"/>
      <c r="GZB3" s="2"/>
      <c r="GZC3" s="2"/>
      <c r="GZD3" s="2"/>
      <c r="GZE3" s="2"/>
      <c r="GZF3" s="2"/>
      <c r="GZG3" s="2"/>
      <c r="GZH3" s="2"/>
      <c r="GZI3" s="2"/>
      <c r="GZJ3" s="2"/>
      <c r="GZK3" s="2"/>
      <c r="GZL3" s="2"/>
      <c r="GZM3" s="2"/>
      <c r="GZN3" s="2"/>
      <c r="GZO3" s="2"/>
      <c r="GZP3" s="2"/>
      <c r="GZQ3" s="2"/>
      <c r="GZR3" s="2"/>
      <c r="GZS3" s="2"/>
      <c r="GZT3" s="2"/>
      <c r="GZU3" s="2"/>
      <c r="GZV3" s="2"/>
      <c r="GZW3" s="2"/>
      <c r="GZX3" s="2"/>
      <c r="GZY3" s="2"/>
      <c r="GZZ3" s="2"/>
      <c r="HAA3" s="2"/>
      <c r="HAB3" s="2"/>
      <c r="HAC3" s="2"/>
      <c r="HAD3" s="2"/>
      <c r="HAE3" s="2"/>
      <c r="HAF3" s="2"/>
      <c r="HAG3" s="2"/>
      <c r="HAH3" s="2"/>
      <c r="HAI3" s="2"/>
      <c r="HAJ3" s="2"/>
      <c r="HAK3" s="2"/>
      <c r="HAL3" s="2"/>
      <c r="HAM3" s="2"/>
      <c r="HAN3" s="2"/>
      <c r="HAO3" s="2"/>
      <c r="HAP3" s="2"/>
      <c r="HAQ3" s="2"/>
      <c r="HAR3" s="2"/>
      <c r="HAS3" s="2"/>
      <c r="HAT3" s="2"/>
      <c r="HAU3" s="2"/>
      <c r="HAV3" s="2"/>
      <c r="HAW3" s="2"/>
      <c r="HAX3" s="2"/>
      <c r="HAY3" s="2"/>
      <c r="HAZ3" s="2"/>
      <c r="HBA3" s="2"/>
      <c r="HBB3" s="2"/>
      <c r="HBC3" s="2"/>
      <c r="HBD3" s="2"/>
      <c r="HBE3" s="2"/>
      <c r="HBF3" s="2"/>
      <c r="HBG3" s="2"/>
      <c r="HBH3" s="2"/>
      <c r="HBI3" s="2"/>
      <c r="HBJ3" s="2"/>
      <c r="HBK3" s="2"/>
      <c r="HBL3" s="2"/>
      <c r="HBM3" s="2"/>
      <c r="HBN3" s="2"/>
      <c r="HBO3" s="2"/>
      <c r="HBP3" s="2"/>
      <c r="HBQ3" s="2"/>
      <c r="HBR3" s="2"/>
      <c r="HBS3" s="2"/>
      <c r="HBT3" s="2"/>
      <c r="HBU3" s="2"/>
      <c r="HBV3" s="2"/>
      <c r="HBW3" s="2"/>
      <c r="HBX3" s="2"/>
      <c r="HBY3" s="2"/>
      <c r="HBZ3" s="2"/>
      <c r="HCA3" s="2"/>
      <c r="HCB3" s="2"/>
      <c r="HCC3" s="2"/>
      <c r="HCD3" s="2"/>
      <c r="HCE3" s="2"/>
      <c r="HCF3" s="2"/>
      <c r="HCG3" s="2"/>
      <c r="HCH3" s="2"/>
      <c r="HCI3" s="2"/>
      <c r="HCJ3" s="2"/>
      <c r="HCK3" s="2"/>
      <c r="HCL3" s="2"/>
      <c r="HCM3" s="2"/>
      <c r="HCN3" s="2"/>
      <c r="HCO3" s="2"/>
      <c r="HCP3" s="2"/>
      <c r="HCQ3" s="2"/>
      <c r="HCR3" s="2"/>
      <c r="HCS3" s="2"/>
      <c r="HCT3" s="2"/>
      <c r="HCU3" s="2"/>
      <c r="HCV3" s="2"/>
      <c r="HCW3" s="2"/>
      <c r="HCX3" s="2"/>
      <c r="HCY3" s="2"/>
      <c r="HCZ3" s="2"/>
      <c r="HDA3" s="2"/>
      <c r="HDB3" s="2"/>
      <c r="HDC3" s="2"/>
      <c r="HDD3" s="2"/>
      <c r="HDE3" s="2"/>
      <c r="HDF3" s="2"/>
      <c r="HDG3" s="2"/>
      <c r="HDH3" s="2"/>
      <c r="HDI3" s="2"/>
      <c r="HDJ3" s="2"/>
      <c r="HDK3" s="2"/>
      <c r="HDL3" s="2"/>
      <c r="HDM3" s="2"/>
      <c r="HDN3" s="2"/>
      <c r="HDO3" s="2"/>
      <c r="HDP3" s="2"/>
      <c r="HDQ3" s="2"/>
      <c r="HDR3" s="2"/>
      <c r="HDS3" s="2"/>
      <c r="HDT3" s="2"/>
      <c r="HDU3" s="2"/>
      <c r="HDV3" s="2"/>
      <c r="HDW3" s="2"/>
      <c r="HDX3" s="2"/>
      <c r="HDY3" s="2"/>
      <c r="HDZ3" s="2"/>
      <c r="HEA3" s="2"/>
      <c r="HEB3" s="2"/>
      <c r="HEC3" s="2"/>
      <c r="HED3" s="2"/>
      <c r="HEE3" s="2"/>
      <c r="HEF3" s="2"/>
      <c r="HEG3" s="2"/>
      <c r="HEH3" s="2"/>
      <c r="HEI3" s="2"/>
      <c r="HEJ3" s="2"/>
      <c r="HEK3" s="2"/>
      <c r="HEL3" s="2"/>
      <c r="HEM3" s="2"/>
      <c r="HEN3" s="2"/>
      <c r="HEO3" s="2"/>
      <c r="HEP3" s="2"/>
      <c r="HEQ3" s="2"/>
      <c r="HER3" s="2"/>
      <c r="HES3" s="2"/>
      <c r="HET3" s="2"/>
      <c r="HEU3" s="2"/>
      <c r="HEV3" s="2"/>
      <c r="HEW3" s="2"/>
      <c r="HEX3" s="2"/>
      <c r="HEY3" s="2"/>
      <c r="HEZ3" s="2"/>
      <c r="HFA3" s="2"/>
      <c r="HFB3" s="2"/>
      <c r="HFC3" s="2"/>
      <c r="HFD3" s="2"/>
      <c r="HFE3" s="2"/>
      <c r="HFF3" s="2"/>
      <c r="HFG3" s="2"/>
      <c r="HFH3" s="2"/>
      <c r="HFI3" s="2"/>
      <c r="HFJ3" s="2"/>
      <c r="HFK3" s="2"/>
      <c r="HFL3" s="2"/>
      <c r="HFM3" s="2"/>
      <c r="HFN3" s="2"/>
      <c r="HFO3" s="2"/>
      <c r="HFP3" s="2"/>
      <c r="HFQ3" s="2"/>
      <c r="HFR3" s="2"/>
      <c r="HFS3" s="2"/>
      <c r="HFT3" s="2"/>
      <c r="HFU3" s="2"/>
      <c r="HFV3" s="2"/>
      <c r="HFW3" s="2"/>
      <c r="HFX3" s="2"/>
      <c r="HFY3" s="2"/>
      <c r="HFZ3" s="2"/>
      <c r="HGA3" s="2"/>
      <c r="HGB3" s="2"/>
      <c r="HGC3" s="2"/>
      <c r="HGD3" s="2"/>
      <c r="HGE3" s="2"/>
      <c r="HGF3" s="2"/>
      <c r="HGG3" s="2"/>
      <c r="HGH3" s="2"/>
      <c r="HGI3" s="2"/>
      <c r="HGJ3" s="2"/>
      <c r="HGK3" s="2"/>
      <c r="HGL3" s="2"/>
      <c r="HGM3" s="2"/>
      <c r="HGN3" s="2"/>
      <c r="HGO3" s="2"/>
      <c r="HGP3" s="2"/>
      <c r="HGQ3" s="2"/>
      <c r="HGR3" s="2"/>
      <c r="HGS3" s="2"/>
      <c r="HGT3" s="2"/>
      <c r="HGU3" s="2"/>
      <c r="HGV3" s="2"/>
      <c r="HGW3" s="2"/>
      <c r="HGX3" s="2"/>
      <c r="HGY3" s="2"/>
      <c r="HGZ3" s="2"/>
      <c r="HHA3" s="2"/>
      <c r="HHB3" s="2"/>
      <c r="HHC3" s="2"/>
      <c r="HHD3" s="2"/>
      <c r="HHE3" s="2"/>
      <c r="HHF3" s="2"/>
      <c r="HHG3" s="2"/>
      <c r="HHH3" s="2"/>
      <c r="HHI3" s="2"/>
      <c r="HHJ3" s="2"/>
      <c r="HHK3" s="2"/>
      <c r="HHL3" s="2"/>
      <c r="HHM3" s="2"/>
      <c r="HHN3" s="2"/>
      <c r="HHO3" s="2"/>
      <c r="HHP3" s="2"/>
      <c r="HHQ3" s="2"/>
      <c r="HHR3" s="2"/>
      <c r="HHS3" s="2"/>
      <c r="HHT3" s="2"/>
      <c r="HHU3" s="2"/>
      <c r="HHV3" s="2"/>
      <c r="HHW3" s="2"/>
      <c r="HHX3" s="2"/>
      <c r="HHY3" s="2"/>
      <c r="HHZ3" s="2"/>
      <c r="HIA3" s="2"/>
      <c r="HIB3" s="2"/>
      <c r="HIC3" s="2"/>
      <c r="HID3" s="2"/>
      <c r="HIE3" s="2"/>
      <c r="HIF3" s="2"/>
      <c r="HIG3" s="2"/>
      <c r="HIH3" s="2"/>
      <c r="HII3" s="2"/>
      <c r="HIJ3" s="2"/>
      <c r="HIK3" s="2"/>
      <c r="HIL3" s="2"/>
      <c r="HIM3" s="2"/>
      <c r="HIN3" s="2"/>
      <c r="HIO3" s="2"/>
      <c r="HIP3" s="2"/>
      <c r="HIQ3" s="2"/>
      <c r="HIR3" s="2"/>
      <c r="HIS3" s="2"/>
      <c r="HIT3" s="2"/>
      <c r="HIU3" s="2"/>
      <c r="HIV3" s="2"/>
      <c r="HIW3" s="2"/>
      <c r="HIX3" s="2"/>
      <c r="HIY3" s="2"/>
      <c r="HIZ3" s="2"/>
      <c r="HJA3" s="2"/>
      <c r="HJB3" s="2"/>
      <c r="HJC3" s="2"/>
      <c r="HJD3" s="2"/>
      <c r="HJE3" s="2"/>
      <c r="HJF3" s="2"/>
      <c r="HJG3" s="2"/>
      <c r="HJH3" s="2"/>
      <c r="HJI3" s="2"/>
      <c r="HJJ3" s="2"/>
      <c r="HJK3" s="2"/>
      <c r="HJL3" s="2"/>
      <c r="HJM3" s="2"/>
      <c r="HJN3" s="2"/>
      <c r="HJO3" s="2"/>
      <c r="HJP3" s="2"/>
      <c r="HJQ3" s="2"/>
      <c r="HJR3" s="2"/>
      <c r="HJS3" s="2"/>
      <c r="HJT3" s="2"/>
      <c r="HJU3" s="2"/>
      <c r="HJV3" s="2"/>
      <c r="HJW3" s="2"/>
      <c r="HJX3" s="2"/>
      <c r="HJY3" s="2"/>
      <c r="HJZ3" s="2"/>
      <c r="HKA3" s="2"/>
      <c r="HKB3" s="2"/>
      <c r="HKC3" s="2"/>
      <c r="HKD3" s="2"/>
      <c r="HKE3" s="2"/>
      <c r="HKF3" s="2"/>
      <c r="HKG3" s="2"/>
      <c r="HKH3" s="2"/>
      <c r="HKI3" s="2"/>
      <c r="HKJ3" s="2"/>
      <c r="HKK3" s="2"/>
      <c r="HKL3" s="2"/>
      <c r="HKM3" s="2"/>
      <c r="HKN3" s="2"/>
      <c r="HKO3" s="2"/>
      <c r="HKP3" s="2"/>
      <c r="HKQ3" s="2"/>
      <c r="HKR3" s="2"/>
      <c r="HKS3" s="2"/>
      <c r="HKT3" s="2"/>
      <c r="HKU3" s="2"/>
      <c r="HKV3" s="2"/>
      <c r="HKW3" s="2"/>
      <c r="HKX3" s="2"/>
      <c r="HKY3" s="2"/>
      <c r="HKZ3" s="2"/>
      <c r="HLA3" s="2"/>
      <c r="HLB3" s="2"/>
      <c r="HLC3" s="2"/>
      <c r="HLD3" s="2"/>
      <c r="HLE3" s="2"/>
      <c r="HLF3" s="2"/>
      <c r="HLG3" s="2"/>
      <c r="HLH3" s="2"/>
      <c r="HLI3" s="2"/>
      <c r="HLJ3" s="2"/>
      <c r="HLK3" s="2"/>
      <c r="HLL3" s="2"/>
      <c r="HLM3" s="2"/>
      <c r="HLN3" s="2"/>
      <c r="HLO3" s="2"/>
      <c r="HLP3" s="2"/>
      <c r="HLQ3" s="2"/>
      <c r="HLR3" s="2"/>
      <c r="HLS3" s="2"/>
      <c r="HLT3" s="2"/>
      <c r="HLU3" s="2"/>
      <c r="HLV3" s="2"/>
      <c r="HLW3" s="2"/>
      <c r="HLX3" s="2"/>
      <c r="HLY3" s="2"/>
      <c r="HLZ3" s="2"/>
      <c r="HMA3" s="2"/>
      <c r="HMB3" s="2"/>
      <c r="HMC3" s="2"/>
      <c r="HMD3" s="2"/>
      <c r="HME3" s="2"/>
      <c r="HMF3" s="2"/>
      <c r="HMG3" s="2"/>
      <c r="HMH3" s="2"/>
      <c r="HMI3" s="2"/>
      <c r="HMJ3" s="2"/>
      <c r="HMK3" s="2"/>
      <c r="HML3" s="2"/>
      <c r="HMM3" s="2"/>
      <c r="HMN3" s="2"/>
      <c r="HMO3" s="2"/>
      <c r="HMP3" s="2"/>
      <c r="HMQ3" s="2"/>
      <c r="HMR3" s="2"/>
      <c r="HMS3" s="2"/>
      <c r="HMT3" s="2"/>
      <c r="HMU3" s="2"/>
      <c r="HMV3" s="2"/>
      <c r="HMW3" s="2"/>
      <c r="HMX3" s="2"/>
      <c r="HMY3" s="2"/>
      <c r="HMZ3" s="2"/>
      <c r="HNA3" s="2"/>
      <c r="HNB3" s="2"/>
      <c r="HNC3" s="2"/>
      <c r="HND3" s="2"/>
      <c r="HNE3" s="2"/>
      <c r="HNF3" s="2"/>
      <c r="HNG3" s="2"/>
      <c r="HNH3" s="2"/>
      <c r="HNI3" s="2"/>
      <c r="HNJ3" s="2"/>
      <c r="HNK3" s="2"/>
      <c r="HNL3" s="2"/>
      <c r="HNM3" s="2"/>
      <c r="HNN3" s="2"/>
      <c r="HNO3" s="2"/>
      <c r="HNP3" s="2"/>
      <c r="HNQ3" s="2"/>
      <c r="HNR3" s="2"/>
      <c r="HNS3" s="2"/>
      <c r="HNT3" s="2"/>
      <c r="HNU3" s="2"/>
      <c r="HNV3" s="2"/>
      <c r="HNW3" s="2"/>
      <c r="HNX3" s="2"/>
      <c r="HNY3" s="2"/>
      <c r="HNZ3" s="2"/>
      <c r="HOA3" s="2"/>
      <c r="HOB3" s="2"/>
      <c r="HOC3" s="2"/>
      <c r="HOD3" s="2"/>
      <c r="HOE3" s="2"/>
      <c r="HOF3" s="2"/>
      <c r="HOG3" s="2"/>
      <c r="HOH3" s="2"/>
      <c r="HOI3" s="2"/>
      <c r="HOJ3" s="2"/>
      <c r="HOK3" s="2"/>
      <c r="HOL3" s="2"/>
      <c r="HOM3" s="2"/>
      <c r="HON3" s="2"/>
      <c r="HOO3" s="2"/>
      <c r="HOP3" s="2"/>
      <c r="HOQ3" s="2"/>
      <c r="HOR3" s="2"/>
      <c r="HOS3" s="2"/>
      <c r="HOT3" s="2"/>
      <c r="HOU3" s="2"/>
      <c r="HOV3" s="2"/>
      <c r="HOW3" s="2"/>
      <c r="HOX3" s="2"/>
      <c r="HOY3" s="2"/>
      <c r="HOZ3" s="2"/>
      <c r="HPA3" s="2"/>
      <c r="HPB3" s="2"/>
      <c r="HPC3" s="2"/>
      <c r="HPD3" s="2"/>
      <c r="HPE3" s="2"/>
      <c r="HPF3" s="2"/>
      <c r="HPG3" s="2"/>
      <c r="HPH3" s="2"/>
      <c r="HPI3" s="2"/>
      <c r="HPJ3" s="2"/>
      <c r="HPK3" s="2"/>
      <c r="HPL3" s="2"/>
      <c r="HPM3" s="2"/>
      <c r="HPN3" s="2"/>
      <c r="HPO3" s="2"/>
      <c r="HPP3" s="2"/>
      <c r="HPQ3" s="2"/>
      <c r="HPR3" s="2"/>
      <c r="HPS3" s="2"/>
      <c r="HPT3" s="2"/>
      <c r="HPU3" s="2"/>
      <c r="HPV3" s="2"/>
      <c r="HPW3" s="2"/>
      <c r="HPX3" s="2"/>
      <c r="HPY3" s="2"/>
      <c r="HPZ3" s="2"/>
      <c r="HQA3" s="2"/>
      <c r="HQB3" s="2"/>
      <c r="HQC3" s="2"/>
      <c r="HQD3" s="2"/>
      <c r="HQE3" s="2"/>
      <c r="HQF3" s="2"/>
      <c r="HQG3" s="2"/>
      <c r="HQH3" s="2"/>
      <c r="HQI3" s="2"/>
      <c r="HQJ3" s="2"/>
      <c r="HQK3" s="2"/>
      <c r="HQL3" s="2"/>
      <c r="HQM3" s="2"/>
      <c r="HQN3" s="2"/>
      <c r="HQO3" s="2"/>
      <c r="HQP3" s="2"/>
      <c r="HQQ3" s="2"/>
      <c r="HQR3" s="2"/>
      <c r="HQS3" s="2"/>
      <c r="HQT3" s="2"/>
      <c r="HQU3" s="2"/>
      <c r="HQV3" s="2"/>
      <c r="HQW3" s="2"/>
      <c r="HQX3" s="2"/>
      <c r="HQY3" s="2"/>
      <c r="HQZ3" s="2"/>
      <c r="HRA3" s="2"/>
      <c r="HRB3" s="2"/>
      <c r="HRC3" s="2"/>
      <c r="HRD3" s="2"/>
      <c r="HRE3" s="2"/>
      <c r="HRF3" s="2"/>
      <c r="HRG3" s="2"/>
      <c r="HRH3" s="2"/>
      <c r="HRI3" s="2"/>
      <c r="HRJ3" s="2"/>
      <c r="HRK3" s="2"/>
      <c r="HRL3" s="2"/>
      <c r="HRM3" s="2"/>
      <c r="HRN3" s="2"/>
      <c r="HRO3" s="2"/>
      <c r="HRP3" s="2"/>
      <c r="HRQ3" s="2"/>
      <c r="HRR3" s="2"/>
      <c r="HRS3" s="2"/>
      <c r="HRT3" s="2"/>
      <c r="HRU3" s="2"/>
      <c r="HRV3" s="2"/>
      <c r="HRW3" s="2"/>
      <c r="HRX3" s="2"/>
      <c r="HRY3" s="2"/>
      <c r="HRZ3" s="2"/>
      <c r="HSA3" s="2"/>
      <c r="HSB3" s="2"/>
      <c r="HSC3" s="2"/>
      <c r="HSD3" s="2"/>
      <c r="HSE3" s="2"/>
      <c r="HSF3" s="2"/>
      <c r="HSG3" s="2"/>
      <c r="HSH3" s="2"/>
      <c r="HSI3" s="2"/>
      <c r="HSJ3" s="2"/>
      <c r="HSK3" s="2"/>
      <c r="HSL3" s="2"/>
      <c r="HSM3" s="2"/>
      <c r="HSN3" s="2"/>
      <c r="HSO3" s="2"/>
      <c r="HSP3" s="2"/>
      <c r="HSQ3" s="2"/>
      <c r="HSR3" s="2"/>
      <c r="HSS3" s="2"/>
      <c r="HST3" s="2"/>
      <c r="HSU3" s="2"/>
      <c r="HSV3" s="2"/>
      <c r="HSW3" s="2"/>
      <c r="HSX3" s="2"/>
      <c r="HSY3" s="2"/>
      <c r="HSZ3" s="2"/>
      <c r="HTA3" s="2"/>
      <c r="HTB3" s="2"/>
      <c r="HTC3" s="2"/>
      <c r="HTD3" s="2"/>
      <c r="HTE3" s="2"/>
      <c r="HTF3" s="2"/>
      <c r="HTG3" s="2"/>
      <c r="HTH3" s="2"/>
      <c r="HTI3" s="2"/>
      <c r="HTJ3" s="2"/>
      <c r="HTK3" s="2"/>
      <c r="HTL3" s="2"/>
      <c r="HTM3" s="2"/>
      <c r="HTN3" s="2"/>
      <c r="HTO3" s="2"/>
      <c r="HTP3" s="2"/>
      <c r="HTQ3" s="2"/>
      <c r="HTR3" s="2"/>
      <c r="HTS3" s="2"/>
      <c r="HTT3" s="2"/>
      <c r="HTU3" s="2"/>
      <c r="HTV3" s="2"/>
      <c r="HTW3" s="2"/>
      <c r="HTX3" s="2"/>
      <c r="HTY3" s="2"/>
      <c r="HTZ3" s="2"/>
      <c r="HUA3" s="2"/>
      <c r="HUB3" s="2"/>
      <c r="HUC3" s="2"/>
      <c r="HUD3" s="2"/>
      <c r="HUE3" s="2"/>
      <c r="HUF3" s="2"/>
      <c r="HUG3" s="2"/>
      <c r="HUH3" s="2"/>
      <c r="HUI3" s="2"/>
      <c r="HUJ3" s="2"/>
      <c r="HUK3" s="2"/>
      <c r="HUL3" s="2"/>
      <c r="HUM3" s="2"/>
      <c r="HUN3" s="2"/>
      <c r="HUO3" s="2"/>
      <c r="HUP3" s="2"/>
      <c r="HUQ3" s="2"/>
      <c r="HUR3" s="2"/>
      <c r="HUS3" s="2"/>
      <c r="HUT3" s="2"/>
      <c r="HUU3" s="2"/>
      <c r="HUV3" s="2"/>
      <c r="HUW3" s="2"/>
      <c r="HUX3" s="2"/>
      <c r="HUY3" s="2"/>
      <c r="HUZ3" s="2"/>
      <c r="HVA3" s="2"/>
      <c r="HVB3" s="2"/>
      <c r="HVC3" s="2"/>
      <c r="HVD3" s="2"/>
      <c r="HVE3" s="2"/>
      <c r="HVF3" s="2"/>
      <c r="HVG3" s="2"/>
      <c r="HVH3" s="2"/>
      <c r="HVI3" s="2"/>
      <c r="HVJ3" s="2"/>
      <c r="HVK3" s="2"/>
      <c r="HVL3" s="2"/>
      <c r="HVM3" s="2"/>
      <c r="HVN3" s="2"/>
      <c r="HVO3" s="2"/>
      <c r="HVP3" s="2"/>
      <c r="HVQ3" s="2"/>
      <c r="HVR3" s="2"/>
      <c r="HVS3" s="2"/>
      <c r="HVT3" s="2"/>
      <c r="HVU3" s="2"/>
      <c r="HVV3" s="2"/>
      <c r="HVW3" s="2"/>
      <c r="HVX3" s="2"/>
      <c r="HVY3" s="2"/>
      <c r="HVZ3" s="2"/>
      <c r="HWA3" s="2"/>
      <c r="HWB3" s="2"/>
      <c r="HWC3" s="2"/>
      <c r="HWD3" s="2"/>
      <c r="HWE3" s="2"/>
      <c r="HWF3" s="2"/>
      <c r="HWG3" s="2"/>
      <c r="HWH3" s="2"/>
      <c r="HWI3" s="2"/>
      <c r="HWJ3" s="2"/>
      <c r="HWK3" s="2"/>
      <c r="HWL3" s="2"/>
      <c r="HWM3" s="2"/>
      <c r="HWN3" s="2"/>
      <c r="HWO3" s="2"/>
      <c r="HWP3" s="2"/>
      <c r="HWQ3" s="2"/>
      <c r="HWR3" s="2"/>
      <c r="HWS3" s="2"/>
      <c r="HWT3" s="2"/>
      <c r="HWU3" s="2"/>
      <c r="HWV3" s="2"/>
      <c r="HWW3" s="2"/>
      <c r="HWX3" s="2"/>
      <c r="HWY3" s="2"/>
      <c r="HWZ3" s="2"/>
      <c r="HXA3" s="2"/>
      <c r="HXB3" s="2"/>
      <c r="HXC3" s="2"/>
      <c r="HXD3" s="2"/>
      <c r="HXE3" s="2"/>
      <c r="HXF3" s="2"/>
      <c r="HXG3" s="2"/>
      <c r="HXH3" s="2"/>
      <c r="HXI3" s="2"/>
      <c r="HXJ3" s="2"/>
      <c r="HXK3" s="2"/>
      <c r="HXL3" s="2"/>
      <c r="HXM3" s="2"/>
      <c r="HXN3" s="2"/>
      <c r="HXO3" s="2"/>
      <c r="HXP3" s="2"/>
      <c r="HXQ3" s="2"/>
      <c r="HXR3" s="2"/>
      <c r="HXS3" s="2"/>
      <c r="HXT3" s="2"/>
      <c r="HXU3" s="2"/>
      <c r="HXV3" s="2"/>
      <c r="HXW3" s="2"/>
      <c r="HXX3" s="2"/>
      <c r="HXY3" s="2"/>
      <c r="HXZ3" s="2"/>
      <c r="HYA3" s="2"/>
      <c r="HYB3" s="2"/>
      <c r="HYC3" s="2"/>
      <c r="HYD3" s="2"/>
      <c r="HYE3" s="2"/>
      <c r="HYF3" s="2"/>
      <c r="HYG3" s="2"/>
      <c r="HYH3" s="2"/>
      <c r="HYI3" s="2"/>
      <c r="HYJ3" s="2"/>
      <c r="HYK3" s="2"/>
      <c r="HYL3" s="2"/>
      <c r="HYM3" s="2"/>
      <c r="HYN3" s="2"/>
      <c r="HYO3" s="2"/>
      <c r="HYP3" s="2"/>
      <c r="HYQ3" s="2"/>
      <c r="HYR3" s="2"/>
      <c r="HYS3" s="2"/>
      <c r="HYT3" s="2"/>
      <c r="HYU3" s="2"/>
      <c r="HYV3" s="2"/>
      <c r="HYW3" s="2"/>
      <c r="HYX3" s="2"/>
      <c r="HYY3" s="2"/>
      <c r="HYZ3" s="2"/>
      <c r="HZA3" s="2"/>
      <c r="HZB3" s="2"/>
      <c r="HZC3" s="2"/>
      <c r="HZD3" s="2"/>
      <c r="HZE3" s="2"/>
      <c r="HZF3" s="2"/>
      <c r="HZG3" s="2"/>
      <c r="HZH3" s="2"/>
      <c r="HZI3" s="2"/>
      <c r="HZJ3" s="2"/>
      <c r="HZK3" s="2"/>
      <c r="HZL3" s="2"/>
      <c r="HZM3" s="2"/>
      <c r="HZN3" s="2"/>
      <c r="HZO3" s="2"/>
      <c r="HZP3" s="2"/>
      <c r="HZQ3" s="2"/>
      <c r="HZR3" s="2"/>
      <c r="HZS3" s="2"/>
      <c r="HZT3" s="2"/>
      <c r="HZU3" s="2"/>
      <c r="HZV3" s="2"/>
      <c r="HZW3" s="2"/>
      <c r="HZX3" s="2"/>
      <c r="HZY3" s="2"/>
      <c r="HZZ3" s="2"/>
      <c r="IAA3" s="2"/>
      <c r="IAB3" s="2"/>
      <c r="IAC3" s="2"/>
      <c r="IAD3" s="2"/>
      <c r="IAE3" s="2"/>
      <c r="IAF3" s="2"/>
      <c r="IAG3" s="2"/>
      <c r="IAH3" s="2"/>
      <c r="IAI3" s="2"/>
      <c r="IAJ3" s="2"/>
      <c r="IAK3" s="2"/>
      <c r="IAL3" s="2"/>
      <c r="IAM3" s="2"/>
      <c r="IAN3" s="2"/>
      <c r="IAO3" s="2"/>
      <c r="IAP3" s="2"/>
      <c r="IAQ3" s="2"/>
      <c r="IAR3" s="2"/>
      <c r="IAS3" s="2"/>
      <c r="IAT3" s="2"/>
      <c r="IAU3" s="2"/>
      <c r="IAV3" s="2"/>
      <c r="IAW3" s="2"/>
      <c r="IAX3" s="2"/>
      <c r="IAY3" s="2"/>
      <c r="IAZ3" s="2"/>
      <c r="IBA3" s="2"/>
      <c r="IBB3" s="2"/>
      <c r="IBC3" s="2"/>
      <c r="IBD3" s="2"/>
      <c r="IBE3" s="2"/>
      <c r="IBF3" s="2"/>
      <c r="IBG3" s="2"/>
      <c r="IBH3" s="2"/>
      <c r="IBI3" s="2"/>
      <c r="IBJ3" s="2"/>
      <c r="IBK3" s="2"/>
      <c r="IBL3" s="2"/>
      <c r="IBM3" s="2"/>
      <c r="IBN3" s="2"/>
      <c r="IBO3" s="2"/>
      <c r="IBP3" s="2"/>
      <c r="IBQ3" s="2"/>
      <c r="IBR3" s="2"/>
      <c r="IBS3" s="2"/>
      <c r="IBT3" s="2"/>
      <c r="IBU3" s="2"/>
      <c r="IBV3" s="2"/>
      <c r="IBW3" s="2"/>
      <c r="IBX3" s="2"/>
      <c r="IBY3" s="2"/>
      <c r="IBZ3" s="2"/>
      <c r="ICA3" s="2"/>
      <c r="ICB3" s="2"/>
      <c r="ICC3" s="2"/>
      <c r="ICD3" s="2"/>
      <c r="ICE3" s="2"/>
      <c r="ICF3" s="2"/>
      <c r="ICG3" s="2"/>
      <c r="ICH3" s="2"/>
      <c r="ICI3" s="2"/>
      <c r="ICJ3" s="2"/>
      <c r="ICK3" s="2"/>
      <c r="ICL3" s="2"/>
      <c r="ICM3" s="2"/>
      <c r="ICN3" s="2"/>
      <c r="ICO3" s="2"/>
      <c r="ICP3" s="2"/>
      <c r="ICQ3" s="2"/>
      <c r="ICR3" s="2"/>
      <c r="ICS3" s="2"/>
      <c r="ICT3" s="2"/>
      <c r="ICU3" s="2"/>
      <c r="ICV3" s="2"/>
      <c r="ICW3" s="2"/>
      <c r="ICX3" s="2"/>
      <c r="ICY3" s="2"/>
      <c r="ICZ3" s="2"/>
      <c r="IDA3" s="2"/>
      <c r="IDB3" s="2"/>
      <c r="IDC3" s="2"/>
      <c r="IDD3" s="2"/>
      <c r="IDE3" s="2"/>
      <c r="IDF3" s="2"/>
      <c r="IDG3" s="2"/>
      <c r="IDH3" s="2"/>
      <c r="IDI3" s="2"/>
      <c r="IDJ3" s="2"/>
      <c r="IDK3" s="2"/>
      <c r="IDL3" s="2"/>
      <c r="IDM3" s="2"/>
      <c r="IDN3" s="2"/>
      <c r="IDO3" s="2"/>
      <c r="IDP3" s="2"/>
      <c r="IDQ3" s="2"/>
      <c r="IDR3" s="2"/>
      <c r="IDS3" s="2"/>
      <c r="IDT3" s="2"/>
      <c r="IDU3" s="2"/>
      <c r="IDV3" s="2"/>
      <c r="IDW3" s="2"/>
      <c r="IDX3" s="2"/>
      <c r="IDY3" s="2"/>
      <c r="IDZ3" s="2"/>
      <c r="IEA3" s="2"/>
      <c r="IEB3" s="2"/>
      <c r="IEC3" s="2"/>
      <c r="IED3" s="2"/>
      <c r="IEE3" s="2"/>
      <c r="IEF3" s="2"/>
      <c r="IEG3" s="2"/>
      <c r="IEH3" s="2"/>
      <c r="IEI3" s="2"/>
      <c r="IEJ3" s="2"/>
      <c r="IEK3" s="2"/>
      <c r="IEL3" s="2"/>
      <c r="IEM3" s="2"/>
      <c r="IEN3" s="2"/>
      <c r="IEO3" s="2"/>
      <c r="IEP3" s="2"/>
      <c r="IEQ3" s="2"/>
      <c r="IER3" s="2"/>
      <c r="IES3" s="2"/>
      <c r="IET3" s="2"/>
      <c r="IEU3" s="2"/>
      <c r="IEV3" s="2"/>
      <c r="IEW3" s="2"/>
      <c r="IEX3" s="2"/>
      <c r="IEY3" s="2"/>
      <c r="IEZ3" s="2"/>
      <c r="IFA3" s="2"/>
      <c r="IFB3" s="2"/>
      <c r="IFC3" s="2"/>
      <c r="IFD3" s="2"/>
      <c r="IFE3" s="2"/>
      <c r="IFF3" s="2"/>
      <c r="IFG3" s="2"/>
      <c r="IFH3" s="2"/>
      <c r="IFI3" s="2"/>
      <c r="IFJ3" s="2"/>
      <c r="IFK3" s="2"/>
      <c r="IFL3" s="2"/>
      <c r="IFM3" s="2"/>
      <c r="IFN3" s="2"/>
      <c r="IFO3" s="2"/>
      <c r="IFP3" s="2"/>
      <c r="IFQ3" s="2"/>
      <c r="IFR3" s="2"/>
      <c r="IFS3" s="2"/>
      <c r="IFT3" s="2"/>
      <c r="IFU3" s="2"/>
      <c r="IFV3" s="2"/>
      <c r="IFW3" s="2"/>
      <c r="IFX3" s="2"/>
      <c r="IFY3" s="2"/>
      <c r="IFZ3" s="2"/>
      <c r="IGA3" s="2"/>
      <c r="IGB3" s="2"/>
      <c r="IGC3" s="2"/>
      <c r="IGD3" s="2"/>
      <c r="IGE3" s="2"/>
      <c r="IGF3" s="2"/>
      <c r="IGG3" s="2"/>
      <c r="IGH3" s="2"/>
      <c r="IGI3" s="2"/>
      <c r="IGJ3" s="2"/>
      <c r="IGK3" s="2"/>
      <c r="IGL3" s="2"/>
      <c r="IGM3" s="2"/>
      <c r="IGN3" s="2"/>
      <c r="IGO3" s="2"/>
      <c r="IGP3" s="2"/>
      <c r="IGQ3" s="2"/>
      <c r="IGR3" s="2"/>
      <c r="IGS3" s="2"/>
      <c r="IGT3" s="2"/>
      <c r="IGU3" s="2"/>
      <c r="IGV3" s="2"/>
      <c r="IGW3" s="2"/>
      <c r="IGX3" s="2"/>
      <c r="IGY3" s="2"/>
      <c r="IGZ3" s="2"/>
      <c r="IHA3" s="2"/>
      <c r="IHB3" s="2"/>
      <c r="IHC3" s="2"/>
      <c r="IHD3" s="2"/>
      <c r="IHE3" s="2"/>
      <c r="IHF3" s="2"/>
      <c r="IHG3" s="2"/>
      <c r="IHH3" s="2"/>
      <c r="IHI3" s="2"/>
      <c r="IHJ3" s="2"/>
      <c r="IHK3" s="2"/>
      <c r="IHL3" s="2"/>
      <c r="IHM3" s="2"/>
      <c r="IHN3" s="2"/>
      <c r="IHO3" s="2"/>
      <c r="IHP3" s="2"/>
      <c r="IHQ3" s="2"/>
      <c r="IHR3" s="2"/>
      <c r="IHS3" s="2"/>
      <c r="IHT3" s="2"/>
      <c r="IHU3" s="2"/>
      <c r="IHV3" s="2"/>
      <c r="IHW3" s="2"/>
      <c r="IHX3" s="2"/>
      <c r="IHY3" s="2"/>
      <c r="IHZ3" s="2"/>
      <c r="IIA3" s="2"/>
      <c r="IIB3" s="2"/>
      <c r="IIC3" s="2"/>
      <c r="IID3" s="2"/>
      <c r="IIE3" s="2"/>
      <c r="IIF3" s="2"/>
      <c r="IIG3" s="2"/>
      <c r="IIH3" s="2"/>
      <c r="III3" s="2"/>
      <c r="IIJ3" s="2"/>
      <c r="IIK3" s="2"/>
      <c r="IIL3" s="2"/>
      <c r="IIM3" s="2"/>
      <c r="IIN3" s="2"/>
      <c r="IIO3" s="2"/>
      <c r="IIP3" s="2"/>
      <c r="IIQ3" s="2"/>
      <c r="IIR3" s="2"/>
      <c r="IIS3" s="2"/>
      <c r="IIT3" s="2"/>
      <c r="IIU3" s="2"/>
      <c r="IIV3" s="2"/>
      <c r="IIW3" s="2"/>
      <c r="IIX3" s="2"/>
      <c r="IIY3" s="2"/>
      <c r="IIZ3" s="2"/>
      <c r="IJA3" s="2"/>
      <c r="IJB3" s="2"/>
      <c r="IJC3" s="2"/>
      <c r="IJD3" s="2"/>
      <c r="IJE3" s="2"/>
      <c r="IJF3" s="2"/>
      <c r="IJG3" s="2"/>
      <c r="IJH3" s="2"/>
      <c r="IJI3" s="2"/>
      <c r="IJJ3" s="2"/>
      <c r="IJK3" s="2"/>
      <c r="IJL3" s="2"/>
      <c r="IJM3" s="2"/>
      <c r="IJN3" s="2"/>
      <c r="IJO3" s="2"/>
      <c r="IJP3" s="2"/>
      <c r="IJQ3" s="2"/>
      <c r="IJR3" s="2"/>
      <c r="IJS3" s="2"/>
      <c r="IJT3" s="2"/>
      <c r="IJU3" s="2"/>
      <c r="IJV3" s="2"/>
      <c r="IJW3" s="2"/>
      <c r="IJX3" s="2"/>
      <c r="IJY3" s="2"/>
      <c r="IJZ3" s="2"/>
      <c r="IKA3" s="2"/>
      <c r="IKB3" s="2"/>
      <c r="IKC3" s="2"/>
      <c r="IKD3" s="2"/>
      <c r="IKE3" s="2"/>
      <c r="IKF3" s="2"/>
      <c r="IKG3" s="2"/>
      <c r="IKH3" s="2"/>
      <c r="IKI3" s="2"/>
      <c r="IKJ3" s="2"/>
      <c r="IKK3" s="2"/>
      <c r="IKL3" s="2"/>
      <c r="IKM3" s="2"/>
      <c r="IKN3" s="2"/>
      <c r="IKO3" s="2"/>
      <c r="IKP3" s="2"/>
      <c r="IKQ3" s="2"/>
      <c r="IKR3" s="2"/>
      <c r="IKS3" s="2"/>
      <c r="IKT3" s="2"/>
      <c r="IKU3" s="2"/>
      <c r="IKV3" s="2"/>
      <c r="IKW3" s="2"/>
      <c r="IKX3" s="2"/>
      <c r="IKY3" s="2"/>
      <c r="IKZ3" s="2"/>
      <c r="ILA3" s="2"/>
      <c r="ILB3" s="2"/>
      <c r="ILC3" s="2"/>
      <c r="ILD3" s="2"/>
      <c r="ILE3" s="2"/>
      <c r="ILF3" s="2"/>
      <c r="ILG3" s="2"/>
      <c r="ILH3" s="2"/>
      <c r="ILI3" s="2"/>
      <c r="ILJ3" s="2"/>
      <c r="ILK3" s="2"/>
      <c r="ILL3" s="2"/>
      <c r="ILM3" s="2"/>
      <c r="ILN3" s="2"/>
      <c r="ILO3" s="2"/>
      <c r="ILP3" s="2"/>
      <c r="ILQ3" s="2"/>
      <c r="ILR3" s="2"/>
      <c r="ILS3" s="2"/>
      <c r="ILT3" s="2"/>
      <c r="ILU3" s="2"/>
      <c r="ILV3" s="2"/>
      <c r="ILW3" s="2"/>
      <c r="ILX3" s="2"/>
      <c r="ILY3" s="2"/>
      <c r="ILZ3" s="2"/>
      <c r="IMA3" s="2"/>
      <c r="IMB3" s="2"/>
      <c r="IMC3" s="2"/>
      <c r="IMD3" s="2"/>
      <c r="IME3" s="2"/>
      <c r="IMF3" s="2"/>
      <c r="IMG3" s="2"/>
      <c r="IMH3" s="2"/>
      <c r="IMI3" s="2"/>
      <c r="IMJ3" s="2"/>
      <c r="IMK3" s="2"/>
      <c r="IML3" s="2"/>
      <c r="IMM3" s="2"/>
      <c r="IMN3" s="2"/>
      <c r="IMO3" s="2"/>
      <c r="IMP3" s="2"/>
      <c r="IMQ3" s="2"/>
      <c r="IMR3" s="2"/>
      <c r="IMS3" s="2"/>
      <c r="IMT3" s="2"/>
      <c r="IMU3" s="2"/>
      <c r="IMV3" s="2"/>
      <c r="IMW3" s="2"/>
      <c r="IMX3" s="2"/>
      <c r="IMY3" s="2"/>
      <c r="IMZ3" s="2"/>
      <c r="INA3" s="2"/>
      <c r="INB3" s="2"/>
      <c r="INC3" s="2"/>
      <c r="IND3" s="2"/>
      <c r="INE3" s="2"/>
      <c r="INF3" s="2"/>
      <c r="ING3" s="2"/>
      <c r="INH3" s="2"/>
      <c r="INI3" s="2"/>
      <c r="INJ3" s="2"/>
      <c r="INK3" s="2"/>
      <c r="INL3" s="2"/>
      <c r="INM3" s="2"/>
      <c r="INN3" s="2"/>
      <c r="INO3" s="2"/>
      <c r="INP3" s="2"/>
      <c r="INQ3" s="2"/>
      <c r="INR3" s="2"/>
      <c r="INS3" s="2"/>
      <c r="INT3" s="2"/>
      <c r="INU3" s="2"/>
      <c r="INV3" s="2"/>
      <c r="INW3" s="2"/>
      <c r="INX3" s="2"/>
      <c r="INY3" s="2"/>
      <c r="INZ3" s="2"/>
      <c r="IOA3" s="2"/>
      <c r="IOB3" s="2"/>
      <c r="IOC3" s="2"/>
      <c r="IOD3" s="2"/>
      <c r="IOE3" s="2"/>
      <c r="IOF3" s="2"/>
      <c r="IOG3" s="2"/>
      <c r="IOH3" s="2"/>
      <c r="IOI3" s="2"/>
      <c r="IOJ3" s="2"/>
      <c r="IOK3" s="2"/>
      <c r="IOL3" s="2"/>
      <c r="IOM3" s="2"/>
      <c r="ION3" s="2"/>
      <c r="IOO3" s="2"/>
      <c r="IOP3" s="2"/>
      <c r="IOQ3" s="2"/>
      <c r="IOR3" s="2"/>
      <c r="IOS3" s="2"/>
      <c r="IOT3" s="2"/>
      <c r="IOU3" s="2"/>
      <c r="IOV3" s="2"/>
      <c r="IOW3" s="2"/>
      <c r="IOX3" s="2"/>
      <c r="IOY3" s="2"/>
      <c r="IOZ3" s="2"/>
      <c r="IPA3" s="2"/>
      <c r="IPB3" s="2"/>
      <c r="IPC3" s="2"/>
      <c r="IPD3" s="2"/>
      <c r="IPE3" s="2"/>
      <c r="IPF3" s="2"/>
      <c r="IPG3" s="2"/>
      <c r="IPH3" s="2"/>
      <c r="IPI3" s="2"/>
      <c r="IPJ3" s="2"/>
      <c r="IPK3" s="2"/>
      <c r="IPL3" s="2"/>
      <c r="IPM3" s="2"/>
      <c r="IPN3" s="2"/>
      <c r="IPO3" s="2"/>
      <c r="IPP3" s="2"/>
      <c r="IPQ3" s="2"/>
      <c r="IPR3" s="2"/>
      <c r="IPS3" s="2"/>
      <c r="IPT3" s="2"/>
      <c r="IPU3" s="2"/>
      <c r="IPV3" s="2"/>
      <c r="IPW3" s="2"/>
      <c r="IPX3" s="2"/>
      <c r="IPY3" s="2"/>
      <c r="IPZ3" s="2"/>
      <c r="IQA3" s="2"/>
      <c r="IQB3" s="2"/>
      <c r="IQC3" s="2"/>
      <c r="IQD3" s="2"/>
      <c r="IQE3" s="2"/>
      <c r="IQF3" s="2"/>
      <c r="IQG3" s="2"/>
      <c r="IQH3" s="2"/>
      <c r="IQI3" s="2"/>
      <c r="IQJ3" s="2"/>
      <c r="IQK3" s="2"/>
      <c r="IQL3" s="2"/>
      <c r="IQM3" s="2"/>
      <c r="IQN3" s="2"/>
      <c r="IQO3" s="2"/>
      <c r="IQP3" s="2"/>
      <c r="IQQ3" s="2"/>
      <c r="IQR3" s="2"/>
      <c r="IQS3" s="2"/>
      <c r="IQT3" s="2"/>
      <c r="IQU3" s="2"/>
      <c r="IQV3" s="2"/>
      <c r="IQW3" s="2"/>
      <c r="IQX3" s="2"/>
      <c r="IQY3" s="2"/>
      <c r="IQZ3" s="2"/>
      <c r="IRA3" s="2"/>
      <c r="IRB3" s="2"/>
      <c r="IRC3" s="2"/>
      <c r="IRD3" s="2"/>
      <c r="IRE3" s="2"/>
      <c r="IRF3" s="2"/>
      <c r="IRG3" s="2"/>
      <c r="IRH3" s="2"/>
      <c r="IRI3" s="2"/>
      <c r="IRJ3" s="2"/>
      <c r="IRK3" s="2"/>
      <c r="IRL3" s="2"/>
      <c r="IRM3" s="2"/>
      <c r="IRN3" s="2"/>
      <c r="IRO3" s="2"/>
      <c r="IRP3" s="2"/>
      <c r="IRQ3" s="2"/>
      <c r="IRR3" s="2"/>
      <c r="IRS3" s="2"/>
      <c r="IRT3" s="2"/>
      <c r="IRU3" s="2"/>
      <c r="IRV3" s="2"/>
      <c r="IRW3" s="2"/>
      <c r="IRX3" s="2"/>
      <c r="IRY3" s="2"/>
      <c r="IRZ3" s="2"/>
      <c r="ISA3" s="2"/>
      <c r="ISB3" s="2"/>
      <c r="ISC3" s="2"/>
      <c r="ISD3" s="2"/>
      <c r="ISE3" s="2"/>
      <c r="ISF3" s="2"/>
      <c r="ISG3" s="2"/>
      <c r="ISH3" s="2"/>
      <c r="ISI3" s="2"/>
      <c r="ISJ3" s="2"/>
      <c r="ISK3" s="2"/>
      <c r="ISL3" s="2"/>
      <c r="ISM3" s="2"/>
      <c r="ISN3" s="2"/>
      <c r="ISO3" s="2"/>
      <c r="ISP3" s="2"/>
      <c r="ISQ3" s="2"/>
      <c r="ISR3" s="2"/>
      <c r="ISS3" s="2"/>
      <c r="IST3" s="2"/>
      <c r="ISU3" s="2"/>
      <c r="ISV3" s="2"/>
      <c r="ISW3" s="2"/>
      <c r="ISX3" s="2"/>
      <c r="ISY3" s="2"/>
      <c r="ISZ3" s="2"/>
      <c r="ITA3" s="2"/>
      <c r="ITB3" s="2"/>
      <c r="ITC3" s="2"/>
      <c r="ITD3" s="2"/>
      <c r="ITE3" s="2"/>
      <c r="ITF3" s="2"/>
      <c r="ITG3" s="2"/>
      <c r="ITH3" s="2"/>
      <c r="ITI3" s="2"/>
      <c r="ITJ3" s="2"/>
      <c r="ITK3" s="2"/>
      <c r="ITL3" s="2"/>
      <c r="ITM3" s="2"/>
      <c r="ITN3" s="2"/>
      <c r="ITO3" s="2"/>
      <c r="ITP3" s="2"/>
      <c r="ITQ3" s="2"/>
      <c r="ITR3" s="2"/>
      <c r="ITS3" s="2"/>
      <c r="ITT3" s="2"/>
      <c r="ITU3" s="2"/>
      <c r="ITV3" s="2"/>
      <c r="ITW3" s="2"/>
      <c r="ITX3" s="2"/>
      <c r="ITY3" s="2"/>
      <c r="ITZ3" s="2"/>
      <c r="IUA3" s="2"/>
      <c r="IUB3" s="2"/>
      <c r="IUC3" s="2"/>
      <c r="IUD3" s="2"/>
      <c r="IUE3" s="2"/>
      <c r="IUF3" s="2"/>
      <c r="IUG3" s="2"/>
      <c r="IUH3" s="2"/>
      <c r="IUI3" s="2"/>
      <c r="IUJ3" s="2"/>
      <c r="IUK3" s="2"/>
      <c r="IUL3" s="2"/>
      <c r="IUM3" s="2"/>
      <c r="IUN3" s="2"/>
      <c r="IUO3" s="2"/>
      <c r="IUP3" s="2"/>
      <c r="IUQ3" s="2"/>
      <c r="IUR3" s="2"/>
      <c r="IUS3" s="2"/>
      <c r="IUT3" s="2"/>
      <c r="IUU3" s="2"/>
      <c r="IUV3" s="2"/>
      <c r="IUW3" s="2"/>
      <c r="IUX3" s="2"/>
      <c r="IUY3" s="2"/>
      <c r="IUZ3" s="2"/>
      <c r="IVA3" s="2"/>
      <c r="IVB3" s="2"/>
      <c r="IVC3" s="2"/>
      <c r="IVD3" s="2"/>
      <c r="IVE3" s="2"/>
      <c r="IVF3" s="2"/>
      <c r="IVG3" s="2"/>
      <c r="IVH3" s="2"/>
      <c r="IVI3" s="2"/>
      <c r="IVJ3" s="2"/>
      <c r="IVK3" s="2"/>
      <c r="IVL3" s="2"/>
      <c r="IVM3" s="2"/>
      <c r="IVN3" s="2"/>
      <c r="IVO3" s="2"/>
      <c r="IVP3" s="2"/>
      <c r="IVQ3" s="2"/>
      <c r="IVR3" s="2"/>
      <c r="IVS3" s="2"/>
      <c r="IVT3" s="2"/>
      <c r="IVU3" s="2"/>
      <c r="IVV3" s="2"/>
      <c r="IVW3" s="2"/>
      <c r="IVX3" s="2"/>
      <c r="IVY3" s="2"/>
      <c r="IVZ3" s="2"/>
      <c r="IWA3" s="2"/>
      <c r="IWB3" s="2"/>
      <c r="IWC3" s="2"/>
      <c r="IWD3" s="2"/>
      <c r="IWE3" s="2"/>
      <c r="IWF3" s="2"/>
      <c r="IWG3" s="2"/>
      <c r="IWH3" s="2"/>
      <c r="IWI3" s="2"/>
      <c r="IWJ3" s="2"/>
      <c r="IWK3" s="2"/>
      <c r="IWL3" s="2"/>
      <c r="IWM3" s="2"/>
      <c r="IWN3" s="2"/>
      <c r="IWO3" s="2"/>
      <c r="IWP3" s="2"/>
      <c r="IWQ3" s="2"/>
      <c r="IWR3" s="2"/>
      <c r="IWS3" s="2"/>
      <c r="IWT3" s="2"/>
      <c r="IWU3" s="2"/>
      <c r="IWV3" s="2"/>
      <c r="IWW3" s="2"/>
      <c r="IWX3" s="2"/>
      <c r="IWY3" s="2"/>
      <c r="IWZ3" s="2"/>
      <c r="IXA3" s="2"/>
      <c r="IXB3" s="2"/>
      <c r="IXC3" s="2"/>
      <c r="IXD3" s="2"/>
      <c r="IXE3" s="2"/>
      <c r="IXF3" s="2"/>
      <c r="IXG3" s="2"/>
      <c r="IXH3" s="2"/>
      <c r="IXI3" s="2"/>
      <c r="IXJ3" s="2"/>
      <c r="IXK3" s="2"/>
      <c r="IXL3" s="2"/>
      <c r="IXM3" s="2"/>
      <c r="IXN3" s="2"/>
      <c r="IXO3" s="2"/>
      <c r="IXP3" s="2"/>
      <c r="IXQ3" s="2"/>
      <c r="IXR3" s="2"/>
      <c r="IXS3" s="2"/>
      <c r="IXT3" s="2"/>
      <c r="IXU3" s="2"/>
      <c r="IXV3" s="2"/>
      <c r="IXW3" s="2"/>
      <c r="IXX3" s="2"/>
      <c r="IXY3" s="2"/>
      <c r="IXZ3" s="2"/>
      <c r="IYA3" s="2"/>
      <c r="IYB3" s="2"/>
      <c r="IYC3" s="2"/>
      <c r="IYD3" s="2"/>
      <c r="IYE3" s="2"/>
      <c r="IYF3" s="2"/>
      <c r="IYG3" s="2"/>
      <c r="IYH3" s="2"/>
      <c r="IYI3" s="2"/>
      <c r="IYJ3" s="2"/>
      <c r="IYK3" s="2"/>
      <c r="IYL3" s="2"/>
      <c r="IYM3" s="2"/>
      <c r="IYN3" s="2"/>
      <c r="IYO3" s="2"/>
      <c r="IYP3" s="2"/>
      <c r="IYQ3" s="2"/>
      <c r="IYR3" s="2"/>
      <c r="IYS3" s="2"/>
      <c r="IYT3" s="2"/>
      <c r="IYU3" s="2"/>
      <c r="IYV3" s="2"/>
      <c r="IYW3" s="2"/>
      <c r="IYX3" s="2"/>
      <c r="IYY3" s="2"/>
      <c r="IYZ3" s="2"/>
      <c r="IZA3" s="2"/>
      <c r="IZB3" s="2"/>
      <c r="IZC3" s="2"/>
      <c r="IZD3" s="2"/>
      <c r="IZE3" s="2"/>
      <c r="IZF3" s="2"/>
      <c r="IZG3" s="2"/>
      <c r="IZH3" s="2"/>
      <c r="IZI3" s="2"/>
      <c r="IZJ3" s="2"/>
      <c r="IZK3" s="2"/>
      <c r="IZL3" s="2"/>
      <c r="IZM3" s="2"/>
      <c r="IZN3" s="2"/>
      <c r="IZO3" s="2"/>
      <c r="IZP3" s="2"/>
      <c r="IZQ3" s="2"/>
      <c r="IZR3" s="2"/>
      <c r="IZS3" s="2"/>
      <c r="IZT3" s="2"/>
      <c r="IZU3" s="2"/>
      <c r="IZV3" s="2"/>
      <c r="IZW3" s="2"/>
      <c r="IZX3" s="2"/>
      <c r="IZY3" s="2"/>
      <c r="IZZ3" s="2"/>
      <c r="JAA3" s="2"/>
      <c r="JAB3" s="2"/>
      <c r="JAC3" s="2"/>
      <c r="JAD3" s="2"/>
      <c r="JAE3" s="2"/>
      <c r="JAF3" s="2"/>
      <c r="JAG3" s="2"/>
      <c r="JAH3" s="2"/>
      <c r="JAI3" s="2"/>
      <c r="JAJ3" s="2"/>
      <c r="JAK3" s="2"/>
      <c r="JAL3" s="2"/>
      <c r="JAM3" s="2"/>
      <c r="JAN3" s="2"/>
      <c r="JAO3" s="2"/>
      <c r="JAP3" s="2"/>
      <c r="JAQ3" s="2"/>
      <c r="JAR3" s="2"/>
      <c r="JAS3" s="2"/>
      <c r="JAT3" s="2"/>
      <c r="JAU3" s="2"/>
      <c r="JAV3" s="2"/>
      <c r="JAW3" s="2"/>
      <c r="JAX3" s="2"/>
      <c r="JAY3" s="2"/>
      <c r="JAZ3" s="2"/>
      <c r="JBA3" s="2"/>
      <c r="JBB3" s="2"/>
      <c r="JBC3" s="2"/>
      <c r="JBD3" s="2"/>
      <c r="JBE3" s="2"/>
      <c r="JBF3" s="2"/>
      <c r="JBG3" s="2"/>
      <c r="JBH3" s="2"/>
      <c r="JBI3" s="2"/>
      <c r="JBJ3" s="2"/>
      <c r="JBK3" s="2"/>
      <c r="JBL3" s="2"/>
      <c r="JBM3" s="2"/>
      <c r="JBN3" s="2"/>
      <c r="JBO3" s="2"/>
      <c r="JBP3" s="2"/>
      <c r="JBQ3" s="2"/>
      <c r="JBR3" s="2"/>
      <c r="JBS3" s="2"/>
      <c r="JBT3" s="2"/>
      <c r="JBU3" s="2"/>
      <c r="JBV3" s="2"/>
      <c r="JBW3" s="2"/>
      <c r="JBX3" s="2"/>
      <c r="JBY3" s="2"/>
      <c r="JBZ3" s="2"/>
      <c r="JCA3" s="2"/>
      <c r="JCB3" s="2"/>
      <c r="JCC3" s="2"/>
      <c r="JCD3" s="2"/>
      <c r="JCE3" s="2"/>
      <c r="JCF3" s="2"/>
      <c r="JCG3" s="2"/>
      <c r="JCH3" s="2"/>
      <c r="JCI3" s="2"/>
      <c r="JCJ3" s="2"/>
      <c r="JCK3" s="2"/>
      <c r="JCL3" s="2"/>
      <c r="JCM3" s="2"/>
      <c r="JCN3" s="2"/>
      <c r="JCO3" s="2"/>
      <c r="JCP3" s="2"/>
      <c r="JCQ3" s="2"/>
      <c r="JCR3" s="2"/>
      <c r="JCS3" s="2"/>
      <c r="JCT3" s="2"/>
      <c r="JCU3" s="2"/>
      <c r="JCV3" s="2"/>
      <c r="JCW3" s="2"/>
      <c r="JCX3" s="2"/>
      <c r="JCY3" s="2"/>
      <c r="JCZ3" s="2"/>
      <c r="JDA3" s="2"/>
      <c r="JDB3" s="2"/>
      <c r="JDC3" s="2"/>
      <c r="JDD3" s="2"/>
      <c r="JDE3" s="2"/>
      <c r="JDF3" s="2"/>
      <c r="JDG3" s="2"/>
      <c r="JDH3" s="2"/>
      <c r="JDI3" s="2"/>
      <c r="JDJ3" s="2"/>
      <c r="JDK3" s="2"/>
      <c r="JDL3" s="2"/>
      <c r="JDM3" s="2"/>
      <c r="JDN3" s="2"/>
      <c r="JDO3" s="2"/>
      <c r="JDP3" s="2"/>
      <c r="JDQ3" s="2"/>
      <c r="JDR3" s="2"/>
      <c r="JDS3" s="2"/>
      <c r="JDT3" s="2"/>
      <c r="JDU3" s="2"/>
      <c r="JDV3" s="2"/>
      <c r="JDW3" s="2"/>
      <c r="JDX3" s="2"/>
      <c r="JDY3" s="2"/>
      <c r="JDZ3" s="2"/>
      <c r="JEA3" s="2"/>
      <c r="JEB3" s="2"/>
      <c r="JEC3" s="2"/>
      <c r="JED3" s="2"/>
      <c r="JEE3" s="2"/>
      <c r="JEF3" s="2"/>
      <c r="JEG3" s="2"/>
      <c r="JEH3" s="2"/>
      <c r="JEI3" s="2"/>
      <c r="JEJ3" s="2"/>
      <c r="JEK3" s="2"/>
      <c r="JEL3" s="2"/>
      <c r="JEM3" s="2"/>
      <c r="JEN3" s="2"/>
      <c r="JEO3" s="2"/>
      <c r="JEP3" s="2"/>
      <c r="JEQ3" s="2"/>
      <c r="JER3" s="2"/>
      <c r="JES3" s="2"/>
      <c r="JET3" s="2"/>
      <c r="JEU3" s="2"/>
      <c r="JEV3" s="2"/>
      <c r="JEW3" s="2"/>
      <c r="JEX3" s="2"/>
      <c r="JEY3" s="2"/>
      <c r="JEZ3" s="2"/>
      <c r="JFA3" s="2"/>
      <c r="JFB3" s="2"/>
      <c r="JFC3" s="2"/>
      <c r="JFD3" s="2"/>
      <c r="JFE3" s="2"/>
      <c r="JFF3" s="2"/>
      <c r="JFG3" s="2"/>
      <c r="JFH3" s="2"/>
      <c r="JFI3" s="2"/>
      <c r="JFJ3" s="2"/>
      <c r="JFK3" s="2"/>
      <c r="JFL3" s="2"/>
      <c r="JFM3" s="2"/>
      <c r="JFN3" s="2"/>
      <c r="JFO3" s="2"/>
      <c r="JFP3" s="2"/>
      <c r="JFQ3" s="2"/>
      <c r="JFR3" s="2"/>
      <c r="JFS3" s="2"/>
      <c r="JFT3" s="2"/>
      <c r="JFU3" s="2"/>
      <c r="JFV3" s="2"/>
      <c r="JFW3" s="2"/>
      <c r="JFX3" s="2"/>
      <c r="JFY3" s="2"/>
      <c r="JFZ3" s="2"/>
      <c r="JGA3" s="2"/>
      <c r="JGB3" s="2"/>
      <c r="JGC3" s="2"/>
      <c r="JGD3" s="2"/>
      <c r="JGE3" s="2"/>
      <c r="JGF3" s="2"/>
      <c r="JGG3" s="2"/>
      <c r="JGH3" s="2"/>
      <c r="JGI3" s="2"/>
      <c r="JGJ3" s="2"/>
      <c r="JGK3" s="2"/>
      <c r="JGL3" s="2"/>
      <c r="JGM3" s="2"/>
      <c r="JGN3" s="2"/>
      <c r="JGO3" s="2"/>
      <c r="JGP3" s="2"/>
      <c r="JGQ3" s="2"/>
      <c r="JGR3" s="2"/>
      <c r="JGS3" s="2"/>
      <c r="JGT3" s="2"/>
      <c r="JGU3" s="2"/>
      <c r="JGV3" s="2"/>
      <c r="JGW3" s="2"/>
      <c r="JGX3" s="2"/>
      <c r="JGY3" s="2"/>
      <c r="JGZ3" s="2"/>
      <c r="JHA3" s="2"/>
      <c r="JHB3" s="2"/>
      <c r="JHC3" s="2"/>
      <c r="JHD3" s="2"/>
      <c r="JHE3" s="2"/>
      <c r="JHF3" s="2"/>
      <c r="JHG3" s="2"/>
      <c r="JHH3" s="2"/>
      <c r="JHI3" s="2"/>
      <c r="JHJ3" s="2"/>
      <c r="JHK3" s="2"/>
      <c r="JHL3" s="2"/>
      <c r="JHM3" s="2"/>
      <c r="JHN3" s="2"/>
      <c r="JHO3" s="2"/>
      <c r="JHP3" s="2"/>
      <c r="JHQ3" s="2"/>
      <c r="JHR3" s="2"/>
      <c r="JHS3" s="2"/>
      <c r="JHT3" s="2"/>
      <c r="JHU3" s="2"/>
      <c r="JHV3" s="2"/>
      <c r="JHW3" s="2"/>
      <c r="JHX3" s="2"/>
      <c r="JHY3" s="2"/>
      <c r="JHZ3" s="2"/>
      <c r="JIA3" s="2"/>
      <c r="JIB3" s="2"/>
      <c r="JIC3" s="2"/>
      <c r="JID3" s="2"/>
      <c r="JIE3" s="2"/>
      <c r="JIF3" s="2"/>
      <c r="JIG3" s="2"/>
      <c r="JIH3" s="2"/>
      <c r="JII3" s="2"/>
      <c r="JIJ3" s="2"/>
      <c r="JIK3" s="2"/>
      <c r="JIL3" s="2"/>
      <c r="JIM3" s="2"/>
      <c r="JIN3" s="2"/>
      <c r="JIO3" s="2"/>
      <c r="JIP3" s="2"/>
      <c r="JIQ3" s="2"/>
      <c r="JIR3" s="2"/>
      <c r="JIS3" s="2"/>
      <c r="JIT3" s="2"/>
      <c r="JIU3" s="2"/>
      <c r="JIV3" s="2"/>
      <c r="JIW3" s="2"/>
      <c r="JIX3" s="2"/>
      <c r="JIY3" s="2"/>
      <c r="JIZ3" s="2"/>
      <c r="JJA3" s="2"/>
      <c r="JJB3" s="2"/>
      <c r="JJC3" s="2"/>
      <c r="JJD3" s="2"/>
      <c r="JJE3" s="2"/>
      <c r="JJF3" s="2"/>
      <c r="JJG3" s="2"/>
      <c r="JJH3" s="2"/>
      <c r="JJI3" s="2"/>
      <c r="JJJ3" s="2"/>
      <c r="JJK3" s="2"/>
      <c r="JJL3" s="2"/>
      <c r="JJM3" s="2"/>
      <c r="JJN3" s="2"/>
      <c r="JJO3" s="2"/>
      <c r="JJP3" s="2"/>
      <c r="JJQ3" s="2"/>
      <c r="JJR3" s="2"/>
      <c r="JJS3" s="2"/>
      <c r="JJT3" s="2"/>
      <c r="JJU3" s="2"/>
      <c r="JJV3" s="2"/>
      <c r="JJW3" s="2"/>
      <c r="JJX3" s="2"/>
      <c r="JJY3" s="2"/>
      <c r="JJZ3" s="2"/>
      <c r="JKA3" s="2"/>
      <c r="JKB3" s="2"/>
      <c r="JKC3" s="2"/>
      <c r="JKD3" s="2"/>
      <c r="JKE3" s="2"/>
      <c r="JKF3" s="2"/>
      <c r="JKG3" s="2"/>
      <c r="JKH3" s="2"/>
      <c r="JKI3" s="2"/>
      <c r="JKJ3" s="2"/>
      <c r="JKK3" s="2"/>
      <c r="JKL3" s="2"/>
      <c r="JKM3" s="2"/>
      <c r="JKN3" s="2"/>
      <c r="JKO3" s="2"/>
      <c r="JKP3" s="2"/>
      <c r="JKQ3" s="2"/>
      <c r="JKR3" s="2"/>
      <c r="JKS3" s="2"/>
      <c r="JKT3" s="2"/>
      <c r="JKU3" s="2"/>
      <c r="JKV3" s="2"/>
      <c r="JKW3" s="2"/>
      <c r="JKX3" s="2"/>
      <c r="JKY3" s="2"/>
      <c r="JKZ3" s="2"/>
      <c r="JLA3" s="2"/>
      <c r="JLB3" s="2"/>
      <c r="JLC3" s="2"/>
      <c r="JLD3" s="2"/>
      <c r="JLE3" s="2"/>
      <c r="JLF3" s="2"/>
      <c r="JLG3" s="2"/>
      <c r="JLH3" s="2"/>
      <c r="JLI3" s="2"/>
      <c r="JLJ3" s="2"/>
      <c r="JLK3" s="2"/>
      <c r="JLL3" s="2"/>
      <c r="JLM3" s="2"/>
      <c r="JLN3" s="2"/>
      <c r="JLO3" s="2"/>
      <c r="JLP3" s="2"/>
      <c r="JLQ3" s="2"/>
      <c r="JLR3" s="2"/>
      <c r="JLS3" s="2"/>
      <c r="JLT3" s="2"/>
      <c r="JLU3" s="2"/>
      <c r="JLV3" s="2"/>
      <c r="JLW3" s="2"/>
      <c r="JLX3" s="2"/>
      <c r="JLY3" s="2"/>
      <c r="JLZ3" s="2"/>
      <c r="JMA3" s="2"/>
      <c r="JMB3" s="2"/>
      <c r="JMC3" s="2"/>
      <c r="JMD3" s="2"/>
      <c r="JME3" s="2"/>
      <c r="JMF3" s="2"/>
      <c r="JMG3" s="2"/>
      <c r="JMH3" s="2"/>
      <c r="JMI3" s="2"/>
      <c r="JMJ3" s="2"/>
      <c r="JMK3" s="2"/>
      <c r="JML3" s="2"/>
      <c r="JMM3" s="2"/>
      <c r="JMN3" s="2"/>
      <c r="JMO3" s="2"/>
      <c r="JMP3" s="2"/>
      <c r="JMQ3" s="2"/>
      <c r="JMR3" s="2"/>
      <c r="JMS3" s="2"/>
      <c r="JMT3" s="2"/>
      <c r="JMU3" s="2"/>
      <c r="JMV3" s="2"/>
      <c r="JMW3" s="2"/>
      <c r="JMX3" s="2"/>
      <c r="JMY3" s="2"/>
      <c r="JMZ3" s="2"/>
      <c r="JNA3" s="2"/>
      <c r="JNB3" s="2"/>
      <c r="JNC3" s="2"/>
      <c r="JND3" s="2"/>
      <c r="JNE3" s="2"/>
      <c r="JNF3" s="2"/>
      <c r="JNG3" s="2"/>
      <c r="JNH3" s="2"/>
      <c r="JNI3" s="2"/>
      <c r="JNJ3" s="2"/>
      <c r="JNK3" s="2"/>
      <c r="JNL3" s="2"/>
      <c r="JNM3" s="2"/>
      <c r="JNN3" s="2"/>
      <c r="JNO3" s="2"/>
      <c r="JNP3" s="2"/>
      <c r="JNQ3" s="2"/>
      <c r="JNR3" s="2"/>
      <c r="JNS3" s="2"/>
      <c r="JNT3" s="2"/>
      <c r="JNU3" s="2"/>
      <c r="JNV3" s="2"/>
      <c r="JNW3" s="2"/>
      <c r="JNX3" s="2"/>
      <c r="JNY3" s="2"/>
      <c r="JNZ3" s="2"/>
      <c r="JOA3" s="2"/>
      <c r="JOB3" s="2"/>
      <c r="JOC3" s="2"/>
      <c r="JOD3" s="2"/>
      <c r="JOE3" s="2"/>
      <c r="JOF3" s="2"/>
      <c r="JOG3" s="2"/>
      <c r="JOH3" s="2"/>
      <c r="JOI3" s="2"/>
      <c r="JOJ3" s="2"/>
      <c r="JOK3" s="2"/>
      <c r="JOL3" s="2"/>
      <c r="JOM3" s="2"/>
      <c r="JON3" s="2"/>
      <c r="JOO3" s="2"/>
      <c r="JOP3" s="2"/>
      <c r="JOQ3" s="2"/>
      <c r="JOR3" s="2"/>
      <c r="JOS3" s="2"/>
      <c r="JOT3" s="2"/>
      <c r="JOU3" s="2"/>
      <c r="JOV3" s="2"/>
      <c r="JOW3" s="2"/>
      <c r="JOX3" s="2"/>
      <c r="JOY3" s="2"/>
      <c r="JOZ3" s="2"/>
      <c r="JPA3" s="2"/>
      <c r="JPB3" s="2"/>
      <c r="JPC3" s="2"/>
      <c r="JPD3" s="2"/>
      <c r="JPE3" s="2"/>
      <c r="JPF3" s="2"/>
      <c r="JPG3" s="2"/>
      <c r="JPH3" s="2"/>
      <c r="JPI3" s="2"/>
      <c r="JPJ3" s="2"/>
      <c r="JPK3" s="2"/>
      <c r="JPL3" s="2"/>
      <c r="JPM3" s="2"/>
      <c r="JPN3" s="2"/>
      <c r="JPO3" s="2"/>
      <c r="JPP3" s="2"/>
      <c r="JPQ3" s="2"/>
      <c r="JPR3" s="2"/>
      <c r="JPS3" s="2"/>
      <c r="JPT3" s="2"/>
      <c r="JPU3" s="2"/>
      <c r="JPV3" s="2"/>
      <c r="JPW3" s="2"/>
      <c r="JPX3" s="2"/>
      <c r="JPY3" s="2"/>
      <c r="JPZ3" s="2"/>
      <c r="JQA3" s="2"/>
      <c r="JQB3" s="2"/>
      <c r="JQC3" s="2"/>
      <c r="JQD3" s="2"/>
      <c r="JQE3" s="2"/>
      <c r="JQF3" s="2"/>
      <c r="JQG3" s="2"/>
      <c r="JQH3" s="2"/>
      <c r="JQI3" s="2"/>
      <c r="JQJ3" s="2"/>
      <c r="JQK3" s="2"/>
      <c r="JQL3" s="2"/>
      <c r="JQM3" s="2"/>
      <c r="JQN3" s="2"/>
      <c r="JQO3" s="2"/>
      <c r="JQP3" s="2"/>
      <c r="JQQ3" s="2"/>
      <c r="JQR3" s="2"/>
      <c r="JQS3" s="2"/>
      <c r="JQT3" s="2"/>
      <c r="JQU3" s="2"/>
      <c r="JQV3" s="2"/>
      <c r="JQW3" s="2"/>
      <c r="JQX3" s="2"/>
      <c r="JQY3" s="2"/>
      <c r="JQZ3" s="2"/>
      <c r="JRA3" s="2"/>
      <c r="JRB3" s="2"/>
      <c r="JRC3" s="2"/>
      <c r="JRD3" s="2"/>
      <c r="JRE3" s="2"/>
      <c r="JRF3" s="2"/>
      <c r="JRG3" s="2"/>
      <c r="JRH3" s="2"/>
      <c r="JRI3" s="2"/>
      <c r="JRJ3" s="2"/>
      <c r="JRK3" s="2"/>
      <c r="JRL3" s="2"/>
      <c r="JRM3" s="2"/>
      <c r="JRN3" s="2"/>
      <c r="JRO3" s="2"/>
      <c r="JRP3" s="2"/>
      <c r="JRQ3" s="2"/>
      <c r="JRR3" s="2"/>
      <c r="JRS3" s="2"/>
      <c r="JRT3" s="2"/>
      <c r="JRU3" s="2"/>
      <c r="JRV3" s="2"/>
      <c r="JRW3" s="2"/>
      <c r="JRX3" s="2"/>
      <c r="JRY3" s="2"/>
      <c r="JRZ3" s="2"/>
      <c r="JSA3" s="2"/>
      <c r="JSB3" s="2"/>
      <c r="JSC3" s="2"/>
      <c r="JSD3" s="2"/>
      <c r="JSE3" s="2"/>
      <c r="JSF3" s="2"/>
      <c r="JSG3" s="2"/>
      <c r="JSH3" s="2"/>
      <c r="JSI3" s="2"/>
      <c r="JSJ3" s="2"/>
      <c r="JSK3" s="2"/>
      <c r="JSL3" s="2"/>
      <c r="JSM3" s="2"/>
      <c r="JSN3" s="2"/>
      <c r="JSO3" s="2"/>
      <c r="JSP3" s="2"/>
      <c r="JSQ3" s="2"/>
      <c r="JSR3" s="2"/>
      <c r="JSS3" s="2"/>
      <c r="JST3" s="2"/>
      <c r="JSU3" s="2"/>
      <c r="JSV3" s="2"/>
      <c r="JSW3" s="2"/>
      <c r="JSX3" s="2"/>
      <c r="JSY3" s="2"/>
      <c r="JSZ3" s="2"/>
      <c r="JTA3" s="2"/>
      <c r="JTB3" s="2"/>
      <c r="JTC3" s="2"/>
      <c r="JTD3" s="2"/>
      <c r="JTE3" s="2"/>
      <c r="JTF3" s="2"/>
      <c r="JTG3" s="2"/>
      <c r="JTH3" s="2"/>
      <c r="JTI3" s="2"/>
      <c r="JTJ3" s="2"/>
      <c r="JTK3" s="2"/>
      <c r="JTL3" s="2"/>
      <c r="JTM3" s="2"/>
      <c r="JTN3" s="2"/>
      <c r="JTO3" s="2"/>
      <c r="JTP3" s="2"/>
      <c r="JTQ3" s="2"/>
      <c r="JTR3" s="2"/>
      <c r="JTS3" s="2"/>
      <c r="JTT3" s="2"/>
      <c r="JTU3" s="2"/>
      <c r="JTV3" s="2"/>
      <c r="JTW3" s="2"/>
      <c r="JTX3" s="2"/>
      <c r="JTY3" s="2"/>
      <c r="JTZ3" s="2"/>
      <c r="JUA3" s="2"/>
      <c r="JUB3" s="2"/>
      <c r="JUC3" s="2"/>
      <c r="JUD3" s="2"/>
      <c r="JUE3" s="2"/>
      <c r="JUF3" s="2"/>
      <c r="JUG3" s="2"/>
      <c r="JUH3" s="2"/>
      <c r="JUI3" s="2"/>
      <c r="JUJ3" s="2"/>
      <c r="JUK3" s="2"/>
      <c r="JUL3" s="2"/>
      <c r="JUM3" s="2"/>
      <c r="JUN3" s="2"/>
      <c r="JUO3" s="2"/>
      <c r="JUP3" s="2"/>
      <c r="JUQ3" s="2"/>
      <c r="JUR3" s="2"/>
      <c r="JUS3" s="2"/>
      <c r="JUT3" s="2"/>
      <c r="JUU3" s="2"/>
      <c r="JUV3" s="2"/>
      <c r="JUW3" s="2"/>
      <c r="JUX3" s="2"/>
      <c r="JUY3" s="2"/>
      <c r="JUZ3" s="2"/>
      <c r="JVA3" s="2"/>
      <c r="JVB3" s="2"/>
      <c r="JVC3" s="2"/>
      <c r="JVD3" s="2"/>
      <c r="JVE3" s="2"/>
      <c r="JVF3" s="2"/>
      <c r="JVG3" s="2"/>
      <c r="JVH3" s="2"/>
      <c r="JVI3" s="2"/>
      <c r="JVJ3" s="2"/>
      <c r="JVK3" s="2"/>
      <c r="JVL3" s="2"/>
      <c r="JVM3" s="2"/>
      <c r="JVN3" s="2"/>
      <c r="JVO3" s="2"/>
      <c r="JVP3" s="2"/>
      <c r="JVQ3" s="2"/>
      <c r="JVR3" s="2"/>
      <c r="JVS3" s="2"/>
      <c r="JVT3" s="2"/>
      <c r="JVU3" s="2"/>
      <c r="JVV3" s="2"/>
      <c r="JVW3" s="2"/>
      <c r="JVX3" s="2"/>
      <c r="JVY3" s="2"/>
      <c r="JVZ3" s="2"/>
      <c r="JWA3" s="2"/>
      <c r="JWB3" s="2"/>
      <c r="JWC3" s="2"/>
      <c r="JWD3" s="2"/>
      <c r="JWE3" s="2"/>
      <c r="JWF3" s="2"/>
      <c r="JWG3" s="2"/>
      <c r="JWH3" s="2"/>
      <c r="JWI3" s="2"/>
      <c r="JWJ3" s="2"/>
      <c r="JWK3" s="2"/>
      <c r="JWL3" s="2"/>
      <c r="JWM3" s="2"/>
      <c r="JWN3" s="2"/>
      <c r="JWO3" s="2"/>
      <c r="JWP3" s="2"/>
      <c r="JWQ3" s="2"/>
      <c r="JWR3" s="2"/>
      <c r="JWS3" s="2"/>
      <c r="JWT3" s="2"/>
      <c r="JWU3" s="2"/>
      <c r="JWV3" s="2"/>
      <c r="JWW3" s="2"/>
      <c r="JWX3" s="2"/>
      <c r="JWY3" s="2"/>
      <c r="JWZ3" s="2"/>
      <c r="JXA3" s="2"/>
      <c r="JXB3" s="2"/>
      <c r="JXC3" s="2"/>
      <c r="JXD3" s="2"/>
      <c r="JXE3" s="2"/>
      <c r="JXF3" s="2"/>
      <c r="JXG3" s="2"/>
      <c r="JXH3" s="2"/>
      <c r="JXI3" s="2"/>
      <c r="JXJ3" s="2"/>
      <c r="JXK3" s="2"/>
      <c r="JXL3" s="2"/>
      <c r="JXM3" s="2"/>
      <c r="JXN3" s="2"/>
      <c r="JXO3" s="2"/>
      <c r="JXP3" s="2"/>
      <c r="JXQ3" s="2"/>
      <c r="JXR3" s="2"/>
      <c r="JXS3" s="2"/>
      <c r="JXT3" s="2"/>
      <c r="JXU3" s="2"/>
      <c r="JXV3" s="2"/>
      <c r="JXW3" s="2"/>
      <c r="JXX3" s="2"/>
      <c r="JXY3" s="2"/>
      <c r="JXZ3" s="2"/>
      <c r="JYA3" s="2"/>
      <c r="JYB3" s="2"/>
      <c r="JYC3" s="2"/>
      <c r="JYD3" s="2"/>
      <c r="JYE3" s="2"/>
      <c r="JYF3" s="2"/>
      <c r="JYG3" s="2"/>
      <c r="JYH3" s="2"/>
      <c r="JYI3" s="2"/>
      <c r="JYJ3" s="2"/>
      <c r="JYK3" s="2"/>
      <c r="JYL3" s="2"/>
      <c r="JYM3" s="2"/>
      <c r="JYN3" s="2"/>
      <c r="JYO3" s="2"/>
      <c r="JYP3" s="2"/>
      <c r="JYQ3" s="2"/>
      <c r="JYR3" s="2"/>
      <c r="JYS3" s="2"/>
      <c r="JYT3" s="2"/>
      <c r="JYU3" s="2"/>
      <c r="JYV3" s="2"/>
      <c r="JYW3" s="2"/>
      <c r="JYX3" s="2"/>
      <c r="JYY3" s="2"/>
      <c r="JYZ3" s="2"/>
      <c r="JZA3" s="2"/>
      <c r="JZB3" s="2"/>
      <c r="JZC3" s="2"/>
      <c r="JZD3" s="2"/>
      <c r="JZE3" s="2"/>
      <c r="JZF3" s="2"/>
      <c r="JZG3" s="2"/>
      <c r="JZH3" s="2"/>
      <c r="JZI3" s="2"/>
      <c r="JZJ3" s="2"/>
      <c r="JZK3" s="2"/>
      <c r="JZL3" s="2"/>
      <c r="JZM3" s="2"/>
      <c r="JZN3" s="2"/>
      <c r="JZO3" s="2"/>
      <c r="JZP3" s="2"/>
      <c r="JZQ3" s="2"/>
      <c r="JZR3" s="2"/>
      <c r="JZS3" s="2"/>
      <c r="JZT3" s="2"/>
      <c r="JZU3" s="2"/>
      <c r="JZV3" s="2"/>
      <c r="JZW3" s="2"/>
      <c r="JZX3" s="2"/>
      <c r="JZY3" s="2"/>
      <c r="JZZ3" s="2"/>
      <c r="KAA3" s="2"/>
      <c r="KAB3" s="2"/>
      <c r="KAC3" s="2"/>
      <c r="KAD3" s="2"/>
      <c r="KAE3" s="2"/>
      <c r="KAF3" s="2"/>
      <c r="KAG3" s="2"/>
      <c r="KAH3" s="2"/>
      <c r="KAI3" s="2"/>
      <c r="KAJ3" s="2"/>
      <c r="KAK3" s="2"/>
      <c r="KAL3" s="2"/>
      <c r="KAM3" s="2"/>
      <c r="KAN3" s="2"/>
      <c r="KAO3" s="2"/>
      <c r="KAP3" s="2"/>
      <c r="KAQ3" s="2"/>
      <c r="KAR3" s="2"/>
      <c r="KAS3" s="2"/>
      <c r="KAT3" s="2"/>
      <c r="KAU3" s="2"/>
      <c r="KAV3" s="2"/>
      <c r="KAW3" s="2"/>
      <c r="KAX3" s="2"/>
      <c r="KAY3" s="2"/>
      <c r="KAZ3" s="2"/>
      <c r="KBA3" s="2"/>
      <c r="KBB3" s="2"/>
      <c r="KBC3" s="2"/>
      <c r="KBD3" s="2"/>
      <c r="KBE3" s="2"/>
      <c r="KBF3" s="2"/>
      <c r="KBG3" s="2"/>
      <c r="KBH3" s="2"/>
      <c r="KBI3" s="2"/>
      <c r="KBJ3" s="2"/>
      <c r="KBK3" s="2"/>
      <c r="KBL3" s="2"/>
      <c r="KBM3" s="2"/>
      <c r="KBN3" s="2"/>
      <c r="KBO3" s="2"/>
      <c r="KBP3" s="2"/>
      <c r="KBQ3" s="2"/>
      <c r="KBR3" s="2"/>
      <c r="KBS3" s="2"/>
      <c r="KBT3" s="2"/>
      <c r="KBU3" s="2"/>
      <c r="KBV3" s="2"/>
      <c r="KBW3" s="2"/>
      <c r="KBX3" s="2"/>
      <c r="KBY3" s="2"/>
      <c r="KBZ3" s="2"/>
      <c r="KCA3" s="2"/>
      <c r="KCB3" s="2"/>
      <c r="KCC3" s="2"/>
      <c r="KCD3" s="2"/>
      <c r="KCE3" s="2"/>
      <c r="KCF3" s="2"/>
      <c r="KCG3" s="2"/>
      <c r="KCH3" s="2"/>
      <c r="KCI3" s="2"/>
      <c r="KCJ3" s="2"/>
      <c r="KCK3" s="2"/>
      <c r="KCL3" s="2"/>
      <c r="KCM3" s="2"/>
      <c r="KCN3" s="2"/>
      <c r="KCO3" s="2"/>
      <c r="KCP3" s="2"/>
      <c r="KCQ3" s="2"/>
      <c r="KCR3" s="2"/>
      <c r="KCS3" s="2"/>
      <c r="KCT3" s="2"/>
      <c r="KCU3" s="2"/>
      <c r="KCV3" s="2"/>
      <c r="KCW3" s="2"/>
      <c r="KCX3" s="2"/>
      <c r="KCY3" s="2"/>
      <c r="KCZ3" s="2"/>
      <c r="KDA3" s="2"/>
      <c r="KDB3" s="2"/>
      <c r="KDC3" s="2"/>
      <c r="KDD3" s="2"/>
      <c r="KDE3" s="2"/>
      <c r="KDF3" s="2"/>
      <c r="KDG3" s="2"/>
      <c r="KDH3" s="2"/>
      <c r="KDI3" s="2"/>
      <c r="KDJ3" s="2"/>
      <c r="KDK3" s="2"/>
      <c r="KDL3" s="2"/>
      <c r="KDM3" s="2"/>
      <c r="KDN3" s="2"/>
      <c r="KDO3" s="2"/>
      <c r="KDP3" s="2"/>
      <c r="KDQ3" s="2"/>
      <c r="KDR3" s="2"/>
      <c r="KDS3" s="2"/>
      <c r="KDT3" s="2"/>
      <c r="KDU3" s="2"/>
      <c r="KDV3" s="2"/>
      <c r="KDW3" s="2"/>
      <c r="KDX3" s="2"/>
      <c r="KDY3" s="2"/>
      <c r="KDZ3" s="2"/>
      <c r="KEA3" s="2"/>
      <c r="KEB3" s="2"/>
      <c r="KEC3" s="2"/>
      <c r="KED3" s="2"/>
      <c r="KEE3" s="2"/>
      <c r="KEF3" s="2"/>
      <c r="KEG3" s="2"/>
      <c r="KEH3" s="2"/>
      <c r="KEI3" s="2"/>
      <c r="KEJ3" s="2"/>
      <c r="KEK3" s="2"/>
      <c r="KEL3" s="2"/>
      <c r="KEM3" s="2"/>
      <c r="KEN3" s="2"/>
      <c r="KEO3" s="2"/>
      <c r="KEP3" s="2"/>
      <c r="KEQ3" s="2"/>
      <c r="KER3" s="2"/>
      <c r="KES3" s="2"/>
      <c r="KET3" s="2"/>
      <c r="KEU3" s="2"/>
      <c r="KEV3" s="2"/>
      <c r="KEW3" s="2"/>
      <c r="KEX3" s="2"/>
      <c r="KEY3" s="2"/>
      <c r="KEZ3" s="2"/>
      <c r="KFA3" s="2"/>
      <c r="KFB3" s="2"/>
      <c r="KFC3" s="2"/>
      <c r="KFD3" s="2"/>
      <c r="KFE3" s="2"/>
      <c r="KFF3" s="2"/>
      <c r="KFG3" s="2"/>
      <c r="KFH3" s="2"/>
      <c r="KFI3" s="2"/>
      <c r="KFJ3" s="2"/>
      <c r="KFK3" s="2"/>
      <c r="KFL3" s="2"/>
      <c r="KFM3" s="2"/>
      <c r="KFN3" s="2"/>
      <c r="KFO3" s="2"/>
      <c r="KFP3" s="2"/>
      <c r="KFQ3" s="2"/>
      <c r="KFR3" s="2"/>
      <c r="KFS3" s="2"/>
      <c r="KFT3" s="2"/>
      <c r="KFU3" s="2"/>
      <c r="KFV3" s="2"/>
      <c r="KFW3" s="2"/>
      <c r="KFX3" s="2"/>
      <c r="KFY3" s="2"/>
      <c r="KFZ3" s="2"/>
      <c r="KGA3" s="2"/>
      <c r="KGB3" s="2"/>
      <c r="KGC3" s="2"/>
      <c r="KGD3" s="2"/>
      <c r="KGE3" s="2"/>
      <c r="KGF3" s="2"/>
      <c r="KGG3" s="2"/>
      <c r="KGH3" s="2"/>
      <c r="KGI3" s="2"/>
      <c r="KGJ3" s="2"/>
      <c r="KGK3" s="2"/>
      <c r="KGL3" s="2"/>
      <c r="KGM3" s="2"/>
      <c r="KGN3" s="2"/>
      <c r="KGO3" s="2"/>
      <c r="KGP3" s="2"/>
      <c r="KGQ3" s="2"/>
      <c r="KGR3" s="2"/>
      <c r="KGS3" s="2"/>
      <c r="KGT3" s="2"/>
      <c r="KGU3" s="2"/>
      <c r="KGV3" s="2"/>
      <c r="KGW3" s="2"/>
      <c r="KGX3" s="2"/>
      <c r="KGY3" s="2"/>
      <c r="KGZ3" s="2"/>
      <c r="KHA3" s="2"/>
      <c r="KHB3" s="2"/>
      <c r="KHC3" s="2"/>
      <c r="KHD3" s="2"/>
      <c r="KHE3" s="2"/>
      <c r="KHF3" s="2"/>
      <c r="KHG3" s="2"/>
      <c r="KHH3" s="2"/>
      <c r="KHI3" s="2"/>
      <c r="KHJ3" s="2"/>
      <c r="KHK3" s="2"/>
      <c r="KHL3" s="2"/>
      <c r="KHM3" s="2"/>
      <c r="KHN3" s="2"/>
      <c r="KHO3" s="2"/>
      <c r="KHP3" s="2"/>
      <c r="KHQ3" s="2"/>
      <c r="KHR3" s="2"/>
      <c r="KHS3" s="2"/>
      <c r="KHT3" s="2"/>
      <c r="KHU3" s="2"/>
      <c r="KHV3" s="2"/>
      <c r="KHW3" s="2"/>
      <c r="KHX3" s="2"/>
      <c r="KHY3" s="2"/>
      <c r="KHZ3" s="2"/>
      <c r="KIA3" s="2"/>
      <c r="KIB3" s="2"/>
      <c r="KIC3" s="2"/>
      <c r="KID3" s="2"/>
      <c r="KIE3" s="2"/>
      <c r="KIF3" s="2"/>
      <c r="KIG3" s="2"/>
      <c r="KIH3" s="2"/>
      <c r="KII3" s="2"/>
      <c r="KIJ3" s="2"/>
      <c r="KIK3" s="2"/>
      <c r="KIL3" s="2"/>
      <c r="KIM3" s="2"/>
      <c r="KIN3" s="2"/>
      <c r="KIO3" s="2"/>
      <c r="KIP3" s="2"/>
      <c r="KIQ3" s="2"/>
      <c r="KIR3" s="2"/>
      <c r="KIS3" s="2"/>
      <c r="KIT3" s="2"/>
      <c r="KIU3" s="2"/>
      <c r="KIV3" s="2"/>
      <c r="KIW3" s="2"/>
      <c r="KIX3" s="2"/>
      <c r="KIY3" s="2"/>
      <c r="KIZ3" s="2"/>
      <c r="KJA3" s="2"/>
      <c r="KJB3" s="2"/>
      <c r="KJC3" s="2"/>
      <c r="KJD3" s="2"/>
      <c r="KJE3" s="2"/>
      <c r="KJF3" s="2"/>
      <c r="KJG3" s="2"/>
      <c r="KJH3" s="2"/>
      <c r="KJI3" s="2"/>
      <c r="KJJ3" s="2"/>
      <c r="KJK3" s="2"/>
      <c r="KJL3" s="2"/>
      <c r="KJM3" s="2"/>
      <c r="KJN3" s="2"/>
      <c r="KJO3" s="2"/>
      <c r="KJP3" s="2"/>
      <c r="KJQ3" s="2"/>
      <c r="KJR3" s="2"/>
      <c r="KJS3" s="2"/>
      <c r="KJT3" s="2"/>
      <c r="KJU3" s="2"/>
      <c r="KJV3" s="2"/>
      <c r="KJW3" s="2"/>
      <c r="KJX3" s="2"/>
      <c r="KJY3" s="2"/>
      <c r="KJZ3" s="2"/>
      <c r="KKA3" s="2"/>
      <c r="KKB3" s="2"/>
      <c r="KKC3" s="2"/>
      <c r="KKD3" s="2"/>
      <c r="KKE3" s="2"/>
      <c r="KKF3" s="2"/>
      <c r="KKG3" s="2"/>
      <c r="KKH3" s="2"/>
      <c r="KKI3" s="2"/>
      <c r="KKJ3" s="2"/>
      <c r="KKK3" s="2"/>
      <c r="KKL3" s="2"/>
      <c r="KKM3" s="2"/>
      <c r="KKN3" s="2"/>
      <c r="KKO3" s="2"/>
      <c r="KKP3" s="2"/>
      <c r="KKQ3" s="2"/>
      <c r="KKR3" s="2"/>
      <c r="KKS3" s="2"/>
      <c r="KKT3" s="2"/>
      <c r="KKU3" s="2"/>
      <c r="KKV3" s="2"/>
      <c r="KKW3" s="2"/>
      <c r="KKX3" s="2"/>
      <c r="KKY3" s="2"/>
      <c r="KKZ3" s="2"/>
      <c r="KLA3" s="2"/>
      <c r="KLB3" s="2"/>
      <c r="KLC3" s="2"/>
      <c r="KLD3" s="2"/>
      <c r="KLE3" s="2"/>
      <c r="KLF3" s="2"/>
      <c r="KLG3" s="2"/>
      <c r="KLH3" s="2"/>
      <c r="KLI3" s="2"/>
      <c r="KLJ3" s="2"/>
      <c r="KLK3" s="2"/>
      <c r="KLL3" s="2"/>
      <c r="KLM3" s="2"/>
      <c r="KLN3" s="2"/>
      <c r="KLO3" s="2"/>
      <c r="KLP3" s="2"/>
      <c r="KLQ3" s="2"/>
      <c r="KLR3" s="2"/>
      <c r="KLS3" s="2"/>
      <c r="KLT3" s="2"/>
      <c r="KLU3" s="2"/>
      <c r="KLV3" s="2"/>
      <c r="KLW3" s="2"/>
      <c r="KLX3" s="2"/>
      <c r="KLY3" s="2"/>
      <c r="KLZ3" s="2"/>
      <c r="KMA3" s="2"/>
      <c r="KMB3" s="2"/>
      <c r="KMC3" s="2"/>
      <c r="KMD3" s="2"/>
      <c r="KME3" s="2"/>
      <c r="KMF3" s="2"/>
      <c r="KMG3" s="2"/>
      <c r="KMH3" s="2"/>
      <c r="KMI3" s="2"/>
      <c r="KMJ3" s="2"/>
      <c r="KMK3" s="2"/>
      <c r="KML3" s="2"/>
      <c r="KMM3" s="2"/>
      <c r="KMN3" s="2"/>
      <c r="KMO3" s="2"/>
      <c r="KMP3" s="2"/>
      <c r="KMQ3" s="2"/>
      <c r="KMR3" s="2"/>
      <c r="KMS3" s="2"/>
      <c r="KMT3" s="2"/>
      <c r="KMU3" s="2"/>
      <c r="KMV3" s="2"/>
      <c r="KMW3" s="2"/>
      <c r="KMX3" s="2"/>
      <c r="KMY3" s="2"/>
      <c r="KMZ3" s="2"/>
      <c r="KNA3" s="2"/>
      <c r="KNB3" s="2"/>
      <c r="KNC3" s="2"/>
      <c r="KND3" s="2"/>
      <c r="KNE3" s="2"/>
      <c r="KNF3" s="2"/>
      <c r="KNG3" s="2"/>
      <c r="KNH3" s="2"/>
      <c r="KNI3" s="2"/>
      <c r="KNJ3" s="2"/>
      <c r="KNK3" s="2"/>
      <c r="KNL3" s="2"/>
      <c r="KNM3" s="2"/>
      <c r="KNN3" s="2"/>
      <c r="KNO3" s="2"/>
      <c r="KNP3" s="2"/>
      <c r="KNQ3" s="2"/>
      <c r="KNR3" s="2"/>
      <c r="KNS3" s="2"/>
      <c r="KNT3" s="2"/>
      <c r="KNU3" s="2"/>
      <c r="KNV3" s="2"/>
      <c r="KNW3" s="2"/>
      <c r="KNX3" s="2"/>
      <c r="KNY3" s="2"/>
      <c r="KNZ3" s="2"/>
      <c r="KOA3" s="2"/>
      <c r="KOB3" s="2"/>
      <c r="KOC3" s="2"/>
      <c r="KOD3" s="2"/>
      <c r="KOE3" s="2"/>
      <c r="KOF3" s="2"/>
      <c r="KOG3" s="2"/>
      <c r="KOH3" s="2"/>
      <c r="KOI3" s="2"/>
      <c r="KOJ3" s="2"/>
      <c r="KOK3" s="2"/>
      <c r="KOL3" s="2"/>
      <c r="KOM3" s="2"/>
      <c r="KON3" s="2"/>
      <c r="KOO3" s="2"/>
      <c r="KOP3" s="2"/>
      <c r="KOQ3" s="2"/>
      <c r="KOR3" s="2"/>
      <c r="KOS3" s="2"/>
      <c r="KOT3" s="2"/>
      <c r="KOU3" s="2"/>
      <c r="KOV3" s="2"/>
      <c r="KOW3" s="2"/>
      <c r="KOX3" s="2"/>
      <c r="KOY3" s="2"/>
      <c r="KOZ3" s="2"/>
      <c r="KPA3" s="2"/>
      <c r="KPB3" s="2"/>
      <c r="KPC3" s="2"/>
      <c r="KPD3" s="2"/>
      <c r="KPE3" s="2"/>
      <c r="KPF3" s="2"/>
      <c r="KPG3" s="2"/>
      <c r="KPH3" s="2"/>
      <c r="KPI3" s="2"/>
      <c r="KPJ3" s="2"/>
      <c r="KPK3" s="2"/>
      <c r="KPL3" s="2"/>
      <c r="KPM3" s="2"/>
      <c r="KPN3" s="2"/>
      <c r="KPO3" s="2"/>
      <c r="KPP3" s="2"/>
      <c r="KPQ3" s="2"/>
      <c r="KPR3" s="2"/>
      <c r="KPS3" s="2"/>
      <c r="KPT3" s="2"/>
      <c r="KPU3" s="2"/>
      <c r="KPV3" s="2"/>
      <c r="KPW3" s="2"/>
      <c r="KPX3" s="2"/>
      <c r="KPY3" s="2"/>
      <c r="KPZ3" s="2"/>
      <c r="KQA3" s="2"/>
      <c r="KQB3" s="2"/>
      <c r="KQC3" s="2"/>
      <c r="KQD3" s="2"/>
      <c r="KQE3" s="2"/>
      <c r="KQF3" s="2"/>
      <c r="KQG3" s="2"/>
      <c r="KQH3" s="2"/>
      <c r="KQI3" s="2"/>
      <c r="KQJ3" s="2"/>
      <c r="KQK3" s="2"/>
      <c r="KQL3" s="2"/>
      <c r="KQM3" s="2"/>
      <c r="KQN3" s="2"/>
      <c r="KQO3" s="2"/>
      <c r="KQP3" s="2"/>
      <c r="KQQ3" s="2"/>
      <c r="KQR3" s="2"/>
      <c r="KQS3" s="2"/>
      <c r="KQT3" s="2"/>
      <c r="KQU3" s="2"/>
      <c r="KQV3" s="2"/>
      <c r="KQW3" s="2"/>
      <c r="KQX3" s="2"/>
      <c r="KQY3" s="2"/>
      <c r="KQZ3" s="2"/>
      <c r="KRA3" s="2"/>
      <c r="KRB3" s="2"/>
      <c r="KRC3" s="2"/>
      <c r="KRD3" s="2"/>
      <c r="KRE3" s="2"/>
      <c r="KRF3" s="2"/>
      <c r="KRG3" s="2"/>
      <c r="KRH3" s="2"/>
      <c r="KRI3" s="2"/>
      <c r="KRJ3" s="2"/>
      <c r="KRK3" s="2"/>
      <c r="KRL3" s="2"/>
      <c r="KRM3" s="2"/>
      <c r="KRN3" s="2"/>
      <c r="KRO3" s="2"/>
      <c r="KRP3" s="2"/>
      <c r="KRQ3" s="2"/>
      <c r="KRR3" s="2"/>
      <c r="KRS3" s="2"/>
      <c r="KRT3" s="2"/>
      <c r="KRU3" s="2"/>
      <c r="KRV3" s="2"/>
      <c r="KRW3" s="2"/>
      <c r="KRX3" s="2"/>
      <c r="KRY3" s="2"/>
      <c r="KRZ3" s="2"/>
      <c r="KSA3" s="2"/>
      <c r="KSB3" s="2"/>
      <c r="KSC3" s="2"/>
      <c r="KSD3" s="2"/>
      <c r="KSE3" s="2"/>
      <c r="KSF3" s="2"/>
      <c r="KSG3" s="2"/>
      <c r="KSH3" s="2"/>
      <c r="KSI3" s="2"/>
      <c r="KSJ3" s="2"/>
      <c r="KSK3" s="2"/>
      <c r="KSL3" s="2"/>
      <c r="KSM3" s="2"/>
      <c r="KSN3" s="2"/>
      <c r="KSO3" s="2"/>
      <c r="KSP3" s="2"/>
      <c r="KSQ3" s="2"/>
      <c r="KSR3" s="2"/>
      <c r="KSS3" s="2"/>
      <c r="KST3" s="2"/>
      <c r="KSU3" s="2"/>
      <c r="KSV3" s="2"/>
      <c r="KSW3" s="2"/>
      <c r="KSX3" s="2"/>
      <c r="KSY3" s="2"/>
      <c r="KSZ3" s="2"/>
      <c r="KTA3" s="2"/>
      <c r="KTB3" s="2"/>
      <c r="KTC3" s="2"/>
      <c r="KTD3" s="2"/>
      <c r="KTE3" s="2"/>
      <c r="KTF3" s="2"/>
      <c r="KTG3" s="2"/>
      <c r="KTH3" s="2"/>
      <c r="KTI3" s="2"/>
      <c r="KTJ3" s="2"/>
      <c r="KTK3" s="2"/>
      <c r="KTL3" s="2"/>
      <c r="KTM3" s="2"/>
      <c r="KTN3" s="2"/>
      <c r="KTO3" s="2"/>
      <c r="KTP3" s="2"/>
      <c r="KTQ3" s="2"/>
      <c r="KTR3" s="2"/>
      <c r="KTS3" s="2"/>
      <c r="KTT3" s="2"/>
      <c r="KTU3" s="2"/>
      <c r="KTV3" s="2"/>
      <c r="KTW3" s="2"/>
      <c r="KTX3" s="2"/>
      <c r="KTY3" s="2"/>
      <c r="KTZ3" s="2"/>
      <c r="KUA3" s="2"/>
      <c r="KUB3" s="2"/>
      <c r="KUC3" s="2"/>
      <c r="KUD3" s="2"/>
      <c r="KUE3" s="2"/>
      <c r="KUF3" s="2"/>
      <c r="KUG3" s="2"/>
      <c r="KUH3" s="2"/>
      <c r="KUI3" s="2"/>
      <c r="KUJ3" s="2"/>
      <c r="KUK3" s="2"/>
      <c r="KUL3" s="2"/>
      <c r="KUM3" s="2"/>
      <c r="KUN3" s="2"/>
      <c r="KUO3" s="2"/>
      <c r="KUP3" s="2"/>
      <c r="KUQ3" s="2"/>
      <c r="KUR3" s="2"/>
      <c r="KUS3" s="2"/>
      <c r="KUT3" s="2"/>
      <c r="KUU3" s="2"/>
      <c r="KUV3" s="2"/>
      <c r="KUW3" s="2"/>
      <c r="KUX3" s="2"/>
      <c r="KUY3" s="2"/>
      <c r="KUZ3" s="2"/>
      <c r="KVA3" s="2"/>
      <c r="KVB3" s="2"/>
      <c r="KVC3" s="2"/>
      <c r="KVD3" s="2"/>
      <c r="KVE3" s="2"/>
      <c r="KVF3" s="2"/>
      <c r="KVG3" s="2"/>
      <c r="KVH3" s="2"/>
      <c r="KVI3" s="2"/>
      <c r="KVJ3" s="2"/>
      <c r="KVK3" s="2"/>
      <c r="KVL3" s="2"/>
      <c r="KVM3" s="2"/>
      <c r="KVN3" s="2"/>
      <c r="KVO3" s="2"/>
      <c r="KVP3" s="2"/>
      <c r="KVQ3" s="2"/>
      <c r="KVR3" s="2"/>
      <c r="KVS3" s="2"/>
      <c r="KVT3" s="2"/>
      <c r="KVU3" s="2"/>
      <c r="KVV3" s="2"/>
      <c r="KVW3" s="2"/>
      <c r="KVX3" s="2"/>
      <c r="KVY3" s="2"/>
      <c r="KVZ3" s="2"/>
      <c r="KWA3" s="2"/>
      <c r="KWB3" s="2"/>
      <c r="KWC3" s="2"/>
      <c r="KWD3" s="2"/>
      <c r="KWE3" s="2"/>
      <c r="KWF3" s="2"/>
      <c r="KWG3" s="2"/>
      <c r="KWH3" s="2"/>
      <c r="KWI3" s="2"/>
      <c r="KWJ3" s="2"/>
      <c r="KWK3" s="2"/>
      <c r="KWL3" s="2"/>
      <c r="KWM3" s="2"/>
      <c r="KWN3" s="2"/>
      <c r="KWO3" s="2"/>
      <c r="KWP3" s="2"/>
      <c r="KWQ3" s="2"/>
      <c r="KWR3" s="2"/>
      <c r="KWS3" s="2"/>
      <c r="KWT3" s="2"/>
      <c r="KWU3" s="2"/>
      <c r="KWV3" s="2"/>
      <c r="KWW3" s="2"/>
      <c r="KWX3" s="2"/>
      <c r="KWY3" s="2"/>
      <c r="KWZ3" s="2"/>
      <c r="KXA3" s="2"/>
      <c r="KXB3" s="2"/>
      <c r="KXC3" s="2"/>
      <c r="KXD3" s="2"/>
      <c r="KXE3" s="2"/>
      <c r="KXF3" s="2"/>
      <c r="KXG3" s="2"/>
      <c r="KXH3" s="2"/>
      <c r="KXI3" s="2"/>
      <c r="KXJ3" s="2"/>
      <c r="KXK3" s="2"/>
      <c r="KXL3" s="2"/>
      <c r="KXM3" s="2"/>
      <c r="KXN3" s="2"/>
      <c r="KXO3" s="2"/>
      <c r="KXP3" s="2"/>
      <c r="KXQ3" s="2"/>
      <c r="KXR3" s="2"/>
      <c r="KXS3" s="2"/>
      <c r="KXT3" s="2"/>
      <c r="KXU3" s="2"/>
      <c r="KXV3" s="2"/>
      <c r="KXW3" s="2"/>
      <c r="KXX3" s="2"/>
      <c r="KXY3" s="2"/>
      <c r="KXZ3" s="2"/>
      <c r="KYA3" s="2"/>
      <c r="KYB3" s="2"/>
      <c r="KYC3" s="2"/>
      <c r="KYD3" s="2"/>
      <c r="KYE3" s="2"/>
      <c r="KYF3" s="2"/>
      <c r="KYG3" s="2"/>
      <c r="KYH3" s="2"/>
      <c r="KYI3" s="2"/>
      <c r="KYJ3" s="2"/>
      <c r="KYK3" s="2"/>
      <c r="KYL3" s="2"/>
      <c r="KYM3" s="2"/>
      <c r="KYN3" s="2"/>
      <c r="KYO3" s="2"/>
      <c r="KYP3" s="2"/>
      <c r="KYQ3" s="2"/>
      <c r="KYR3" s="2"/>
      <c r="KYS3" s="2"/>
      <c r="KYT3" s="2"/>
      <c r="KYU3" s="2"/>
      <c r="KYV3" s="2"/>
      <c r="KYW3" s="2"/>
      <c r="KYX3" s="2"/>
      <c r="KYY3" s="2"/>
      <c r="KYZ3" s="2"/>
      <c r="KZA3" s="2"/>
      <c r="KZB3" s="2"/>
      <c r="KZC3" s="2"/>
      <c r="KZD3" s="2"/>
      <c r="KZE3" s="2"/>
      <c r="KZF3" s="2"/>
      <c r="KZG3" s="2"/>
      <c r="KZH3" s="2"/>
      <c r="KZI3" s="2"/>
      <c r="KZJ3" s="2"/>
      <c r="KZK3" s="2"/>
      <c r="KZL3" s="2"/>
      <c r="KZM3" s="2"/>
      <c r="KZN3" s="2"/>
      <c r="KZO3" s="2"/>
      <c r="KZP3" s="2"/>
      <c r="KZQ3" s="2"/>
      <c r="KZR3" s="2"/>
      <c r="KZS3" s="2"/>
      <c r="KZT3" s="2"/>
      <c r="KZU3" s="2"/>
      <c r="KZV3" s="2"/>
      <c r="KZW3" s="2"/>
      <c r="KZX3" s="2"/>
      <c r="KZY3" s="2"/>
      <c r="KZZ3" s="2"/>
      <c r="LAA3" s="2"/>
      <c r="LAB3" s="2"/>
      <c r="LAC3" s="2"/>
      <c r="LAD3" s="2"/>
      <c r="LAE3" s="2"/>
      <c r="LAF3" s="2"/>
      <c r="LAG3" s="2"/>
      <c r="LAH3" s="2"/>
      <c r="LAI3" s="2"/>
      <c r="LAJ3" s="2"/>
      <c r="LAK3" s="2"/>
      <c r="LAL3" s="2"/>
      <c r="LAM3" s="2"/>
      <c r="LAN3" s="2"/>
      <c r="LAO3" s="2"/>
      <c r="LAP3" s="2"/>
      <c r="LAQ3" s="2"/>
      <c r="LAR3" s="2"/>
      <c r="LAS3" s="2"/>
      <c r="LAT3" s="2"/>
      <c r="LAU3" s="2"/>
      <c r="LAV3" s="2"/>
      <c r="LAW3" s="2"/>
      <c r="LAX3" s="2"/>
      <c r="LAY3" s="2"/>
      <c r="LAZ3" s="2"/>
      <c r="LBA3" s="2"/>
      <c r="LBB3" s="2"/>
      <c r="LBC3" s="2"/>
      <c r="LBD3" s="2"/>
      <c r="LBE3" s="2"/>
      <c r="LBF3" s="2"/>
      <c r="LBG3" s="2"/>
      <c r="LBH3" s="2"/>
      <c r="LBI3" s="2"/>
      <c r="LBJ3" s="2"/>
      <c r="LBK3" s="2"/>
      <c r="LBL3" s="2"/>
      <c r="LBM3" s="2"/>
      <c r="LBN3" s="2"/>
      <c r="LBO3" s="2"/>
      <c r="LBP3" s="2"/>
      <c r="LBQ3" s="2"/>
      <c r="LBR3" s="2"/>
      <c r="LBS3" s="2"/>
      <c r="LBT3" s="2"/>
      <c r="LBU3" s="2"/>
      <c r="LBV3" s="2"/>
      <c r="LBW3" s="2"/>
      <c r="LBX3" s="2"/>
      <c r="LBY3" s="2"/>
      <c r="LBZ3" s="2"/>
      <c r="LCA3" s="2"/>
      <c r="LCB3" s="2"/>
      <c r="LCC3" s="2"/>
      <c r="LCD3" s="2"/>
      <c r="LCE3" s="2"/>
      <c r="LCF3" s="2"/>
      <c r="LCG3" s="2"/>
      <c r="LCH3" s="2"/>
      <c r="LCI3" s="2"/>
      <c r="LCJ3" s="2"/>
      <c r="LCK3" s="2"/>
      <c r="LCL3" s="2"/>
      <c r="LCM3" s="2"/>
      <c r="LCN3" s="2"/>
      <c r="LCO3" s="2"/>
      <c r="LCP3" s="2"/>
      <c r="LCQ3" s="2"/>
      <c r="LCR3" s="2"/>
      <c r="LCS3" s="2"/>
      <c r="LCT3" s="2"/>
      <c r="LCU3" s="2"/>
      <c r="LCV3" s="2"/>
      <c r="LCW3" s="2"/>
      <c r="LCX3" s="2"/>
      <c r="LCY3" s="2"/>
      <c r="LCZ3" s="2"/>
      <c r="LDA3" s="2"/>
      <c r="LDB3" s="2"/>
      <c r="LDC3" s="2"/>
      <c r="LDD3" s="2"/>
      <c r="LDE3" s="2"/>
      <c r="LDF3" s="2"/>
      <c r="LDG3" s="2"/>
      <c r="LDH3" s="2"/>
      <c r="LDI3" s="2"/>
      <c r="LDJ3" s="2"/>
      <c r="LDK3" s="2"/>
      <c r="LDL3" s="2"/>
      <c r="LDM3" s="2"/>
      <c r="LDN3" s="2"/>
      <c r="LDO3" s="2"/>
      <c r="LDP3" s="2"/>
      <c r="LDQ3" s="2"/>
      <c r="LDR3" s="2"/>
      <c r="LDS3" s="2"/>
      <c r="LDT3" s="2"/>
      <c r="LDU3" s="2"/>
      <c r="LDV3" s="2"/>
      <c r="LDW3" s="2"/>
      <c r="LDX3" s="2"/>
      <c r="LDY3" s="2"/>
      <c r="LDZ3" s="2"/>
      <c r="LEA3" s="2"/>
      <c r="LEB3" s="2"/>
      <c r="LEC3" s="2"/>
      <c r="LED3" s="2"/>
      <c r="LEE3" s="2"/>
      <c r="LEF3" s="2"/>
      <c r="LEG3" s="2"/>
      <c r="LEH3" s="2"/>
      <c r="LEI3" s="2"/>
      <c r="LEJ3" s="2"/>
      <c r="LEK3" s="2"/>
      <c r="LEL3" s="2"/>
      <c r="LEM3" s="2"/>
      <c r="LEN3" s="2"/>
      <c r="LEO3" s="2"/>
      <c r="LEP3" s="2"/>
      <c r="LEQ3" s="2"/>
      <c r="LER3" s="2"/>
      <c r="LES3" s="2"/>
      <c r="LET3" s="2"/>
      <c r="LEU3" s="2"/>
      <c r="LEV3" s="2"/>
      <c r="LEW3" s="2"/>
      <c r="LEX3" s="2"/>
      <c r="LEY3" s="2"/>
      <c r="LEZ3" s="2"/>
      <c r="LFA3" s="2"/>
      <c r="LFB3" s="2"/>
      <c r="LFC3" s="2"/>
      <c r="LFD3" s="2"/>
      <c r="LFE3" s="2"/>
      <c r="LFF3" s="2"/>
      <c r="LFG3" s="2"/>
      <c r="LFH3" s="2"/>
      <c r="LFI3" s="2"/>
      <c r="LFJ3" s="2"/>
      <c r="LFK3" s="2"/>
      <c r="LFL3" s="2"/>
      <c r="LFM3" s="2"/>
      <c r="LFN3" s="2"/>
      <c r="LFO3" s="2"/>
      <c r="LFP3" s="2"/>
      <c r="LFQ3" s="2"/>
      <c r="LFR3" s="2"/>
      <c r="LFS3" s="2"/>
      <c r="LFT3" s="2"/>
      <c r="LFU3" s="2"/>
      <c r="LFV3" s="2"/>
      <c r="LFW3" s="2"/>
      <c r="LFX3" s="2"/>
      <c r="LFY3" s="2"/>
      <c r="LFZ3" s="2"/>
      <c r="LGA3" s="2"/>
      <c r="LGB3" s="2"/>
      <c r="LGC3" s="2"/>
      <c r="LGD3" s="2"/>
      <c r="LGE3" s="2"/>
      <c r="LGF3" s="2"/>
      <c r="LGG3" s="2"/>
      <c r="LGH3" s="2"/>
      <c r="LGI3" s="2"/>
      <c r="LGJ3" s="2"/>
      <c r="LGK3" s="2"/>
      <c r="LGL3" s="2"/>
      <c r="LGM3" s="2"/>
      <c r="LGN3" s="2"/>
      <c r="LGO3" s="2"/>
      <c r="LGP3" s="2"/>
      <c r="LGQ3" s="2"/>
      <c r="LGR3" s="2"/>
      <c r="LGS3" s="2"/>
      <c r="LGT3" s="2"/>
      <c r="LGU3" s="2"/>
      <c r="LGV3" s="2"/>
      <c r="LGW3" s="2"/>
      <c r="LGX3" s="2"/>
      <c r="LGY3" s="2"/>
      <c r="LGZ3" s="2"/>
      <c r="LHA3" s="2"/>
      <c r="LHB3" s="2"/>
      <c r="LHC3" s="2"/>
      <c r="LHD3" s="2"/>
      <c r="LHE3" s="2"/>
      <c r="LHF3" s="2"/>
      <c r="LHG3" s="2"/>
      <c r="LHH3" s="2"/>
      <c r="LHI3" s="2"/>
      <c r="LHJ3" s="2"/>
      <c r="LHK3" s="2"/>
      <c r="LHL3" s="2"/>
      <c r="LHM3" s="2"/>
      <c r="LHN3" s="2"/>
      <c r="LHO3" s="2"/>
      <c r="LHP3" s="2"/>
      <c r="LHQ3" s="2"/>
      <c r="LHR3" s="2"/>
      <c r="LHS3" s="2"/>
      <c r="LHT3" s="2"/>
      <c r="LHU3" s="2"/>
      <c r="LHV3" s="2"/>
      <c r="LHW3" s="2"/>
      <c r="LHX3" s="2"/>
      <c r="LHY3" s="2"/>
      <c r="LHZ3" s="2"/>
      <c r="LIA3" s="2"/>
      <c r="LIB3" s="2"/>
      <c r="LIC3" s="2"/>
      <c r="LID3" s="2"/>
      <c r="LIE3" s="2"/>
      <c r="LIF3" s="2"/>
      <c r="LIG3" s="2"/>
      <c r="LIH3" s="2"/>
      <c r="LII3" s="2"/>
      <c r="LIJ3" s="2"/>
      <c r="LIK3" s="2"/>
      <c r="LIL3" s="2"/>
      <c r="LIM3" s="2"/>
      <c r="LIN3" s="2"/>
      <c r="LIO3" s="2"/>
      <c r="LIP3" s="2"/>
      <c r="LIQ3" s="2"/>
      <c r="LIR3" s="2"/>
      <c r="LIS3" s="2"/>
      <c r="LIT3" s="2"/>
      <c r="LIU3" s="2"/>
      <c r="LIV3" s="2"/>
      <c r="LIW3" s="2"/>
      <c r="LIX3" s="2"/>
      <c r="LIY3" s="2"/>
      <c r="LIZ3" s="2"/>
      <c r="LJA3" s="2"/>
      <c r="LJB3" s="2"/>
      <c r="LJC3" s="2"/>
      <c r="LJD3" s="2"/>
      <c r="LJE3" s="2"/>
      <c r="LJF3" s="2"/>
      <c r="LJG3" s="2"/>
      <c r="LJH3" s="2"/>
      <c r="LJI3" s="2"/>
      <c r="LJJ3" s="2"/>
      <c r="LJK3" s="2"/>
      <c r="LJL3" s="2"/>
      <c r="LJM3" s="2"/>
      <c r="LJN3" s="2"/>
      <c r="LJO3" s="2"/>
      <c r="LJP3" s="2"/>
      <c r="LJQ3" s="2"/>
      <c r="LJR3" s="2"/>
      <c r="LJS3" s="2"/>
      <c r="LJT3" s="2"/>
      <c r="LJU3" s="2"/>
      <c r="LJV3" s="2"/>
      <c r="LJW3" s="2"/>
      <c r="LJX3" s="2"/>
      <c r="LJY3" s="2"/>
      <c r="LJZ3" s="2"/>
      <c r="LKA3" s="2"/>
      <c r="LKB3" s="2"/>
      <c r="LKC3" s="2"/>
      <c r="LKD3" s="2"/>
      <c r="LKE3" s="2"/>
      <c r="LKF3" s="2"/>
      <c r="LKG3" s="2"/>
      <c r="LKH3" s="2"/>
      <c r="LKI3" s="2"/>
      <c r="LKJ3" s="2"/>
      <c r="LKK3" s="2"/>
      <c r="LKL3" s="2"/>
      <c r="LKM3" s="2"/>
      <c r="LKN3" s="2"/>
      <c r="LKO3" s="2"/>
      <c r="LKP3" s="2"/>
      <c r="LKQ3" s="2"/>
      <c r="LKR3" s="2"/>
      <c r="LKS3" s="2"/>
      <c r="LKT3" s="2"/>
      <c r="LKU3" s="2"/>
      <c r="LKV3" s="2"/>
      <c r="LKW3" s="2"/>
      <c r="LKX3" s="2"/>
      <c r="LKY3" s="2"/>
      <c r="LKZ3" s="2"/>
      <c r="LLA3" s="2"/>
      <c r="LLB3" s="2"/>
      <c r="LLC3" s="2"/>
      <c r="LLD3" s="2"/>
      <c r="LLE3" s="2"/>
      <c r="LLF3" s="2"/>
      <c r="LLG3" s="2"/>
      <c r="LLH3" s="2"/>
      <c r="LLI3" s="2"/>
      <c r="LLJ3" s="2"/>
      <c r="LLK3" s="2"/>
      <c r="LLL3" s="2"/>
      <c r="LLM3" s="2"/>
      <c r="LLN3" s="2"/>
      <c r="LLO3" s="2"/>
      <c r="LLP3" s="2"/>
      <c r="LLQ3" s="2"/>
      <c r="LLR3" s="2"/>
      <c r="LLS3" s="2"/>
      <c r="LLT3" s="2"/>
      <c r="LLU3" s="2"/>
      <c r="LLV3" s="2"/>
      <c r="LLW3" s="2"/>
      <c r="LLX3" s="2"/>
      <c r="LLY3" s="2"/>
      <c r="LLZ3" s="2"/>
      <c r="LMA3" s="2"/>
      <c r="LMB3" s="2"/>
      <c r="LMC3" s="2"/>
      <c r="LMD3" s="2"/>
      <c r="LME3" s="2"/>
      <c r="LMF3" s="2"/>
      <c r="LMG3" s="2"/>
      <c r="LMH3" s="2"/>
      <c r="LMI3" s="2"/>
      <c r="LMJ3" s="2"/>
      <c r="LMK3" s="2"/>
      <c r="LML3" s="2"/>
      <c r="LMM3" s="2"/>
      <c r="LMN3" s="2"/>
      <c r="LMO3" s="2"/>
      <c r="LMP3" s="2"/>
      <c r="LMQ3" s="2"/>
      <c r="LMR3" s="2"/>
      <c r="LMS3" s="2"/>
      <c r="LMT3" s="2"/>
      <c r="LMU3" s="2"/>
      <c r="LMV3" s="2"/>
      <c r="LMW3" s="2"/>
      <c r="LMX3" s="2"/>
      <c r="LMY3" s="2"/>
      <c r="LMZ3" s="2"/>
      <c r="LNA3" s="2"/>
      <c r="LNB3" s="2"/>
      <c r="LNC3" s="2"/>
      <c r="LND3" s="2"/>
      <c r="LNE3" s="2"/>
      <c r="LNF3" s="2"/>
      <c r="LNG3" s="2"/>
      <c r="LNH3" s="2"/>
      <c r="LNI3" s="2"/>
      <c r="LNJ3" s="2"/>
      <c r="LNK3" s="2"/>
      <c r="LNL3" s="2"/>
      <c r="LNM3" s="2"/>
      <c r="LNN3" s="2"/>
      <c r="LNO3" s="2"/>
      <c r="LNP3" s="2"/>
      <c r="LNQ3" s="2"/>
      <c r="LNR3" s="2"/>
      <c r="LNS3" s="2"/>
      <c r="LNT3" s="2"/>
      <c r="LNU3" s="2"/>
      <c r="LNV3" s="2"/>
      <c r="LNW3" s="2"/>
      <c r="LNX3" s="2"/>
      <c r="LNY3" s="2"/>
      <c r="LNZ3" s="2"/>
      <c r="LOA3" s="2"/>
      <c r="LOB3" s="2"/>
      <c r="LOC3" s="2"/>
      <c r="LOD3" s="2"/>
      <c r="LOE3" s="2"/>
      <c r="LOF3" s="2"/>
      <c r="LOG3" s="2"/>
      <c r="LOH3" s="2"/>
      <c r="LOI3" s="2"/>
      <c r="LOJ3" s="2"/>
      <c r="LOK3" s="2"/>
      <c r="LOL3" s="2"/>
      <c r="LOM3" s="2"/>
      <c r="LON3" s="2"/>
      <c r="LOO3" s="2"/>
      <c r="LOP3" s="2"/>
      <c r="LOQ3" s="2"/>
      <c r="LOR3" s="2"/>
      <c r="LOS3" s="2"/>
      <c r="LOT3" s="2"/>
      <c r="LOU3" s="2"/>
      <c r="LOV3" s="2"/>
      <c r="LOW3" s="2"/>
      <c r="LOX3" s="2"/>
      <c r="LOY3" s="2"/>
      <c r="LOZ3" s="2"/>
      <c r="LPA3" s="2"/>
      <c r="LPB3" s="2"/>
      <c r="LPC3" s="2"/>
      <c r="LPD3" s="2"/>
      <c r="LPE3" s="2"/>
      <c r="LPF3" s="2"/>
      <c r="LPG3" s="2"/>
      <c r="LPH3" s="2"/>
      <c r="LPI3" s="2"/>
      <c r="LPJ3" s="2"/>
      <c r="LPK3" s="2"/>
      <c r="LPL3" s="2"/>
      <c r="LPM3" s="2"/>
      <c r="LPN3" s="2"/>
      <c r="LPO3" s="2"/>
      <c r="LPP3" s="2"/>
      <c r="LPQ3" s="2"/>
      <c r="LPR3" s="2"/>
      <c r="LPS3" s="2"/>
      <c r="LPT3" s="2"/>
      <c r="LPU3" s="2"/>
      <c r="LPV3" s="2"/>
      <c r="LPW3" s="2"/>
      <c r="LPX3" s="2"/>
      <c r="LPY3" s="2"/>
      <c r="LPZ3" s="2"/>
      <c r="LQA3" s="2"/>
      <c r="LQB3" s="2"/>
      <c r="LQC3" s="2"/>
      <c r="LQD3" s="2"/>
      <c r="LQE3" s="2"/>
      <c r="LQF3" s="2"/>
      <c r="LQG3" s="2"/>
      <c r="LQH3" s="2"/>
      <c r="LQI3" s="2"/>
      <c r="LQJ3" s="2"/>
      <c r="LQK3" s="2"/>
      <c r="LQL3" s="2"/>
      <c r="LQM3" s="2"/>
      <c r="LQN3" s="2"/>
      <c r="LQO3" s="2"/>
      <c r="LQP3" s="2"/>
      <c r="LQQ3" s="2"/>
      <c r="LQR3" s="2"/>
      <c r="LQS3" s="2"/>
      <c r="LQT3" s="2"/>
      <c r="LQU3" s="2"/>
      <c r="LQV3" s="2"/>
      <c r="LQW3" s="2"/>
      <c r="LQX3" s="2"/>
      <c r="LQY3" s="2"/>
      <c r="LQZ3" s="2"/>
      <c r="LRA3" s="2"/>
      <c r="LRB3" s="2"/>
      <c r="LRC3" s="2"/>
      <c r="LRD3" s="2"/>
      <c r="LRE3" s="2"/>
      <c r="LRF3" s="2"/>
      <c r="LRG3" s="2"/>
      <c r="LRH3" s="2"/>
      <c r="LRI3" s="2"/>
      <c r="LRJ3" s="2"/>
      <c r="LRK3" s="2"/>
      <c r="LRL3" s="2"/>
      <c r="LRM3" s="2"/>
      <c r="LRN3" s="2"/>
      <c r="LRO3" s="2"/>
      <c r="LRP3" s="2"/>
      <c r="LRQ3" s="2"/>
      <c r="LRR3" s="2"/>
      <c r="LRS3" s="2"/>
      <c r="LRT3" s="2"/>
      <c r="LRU3" s="2"/>
      <c r="LRV3" s="2"/>
      <c r="LRW3" s="2"/>
      <c r="LRX3" s="2"/>
      <c r="LRY3" s="2"/>
      <c r="LRZ3" s="2"/>
      <c r="LSA3" s="2"/>
      <c r="LSB3" s="2"/>
      <c r="LSC3" s="2"/>
      <c r="LSD3" s="2"/>
      <c r="LSE3" s="2"/>
      <c r="LSF3" s="2"/>
      <c r="LSG3" s="2"/>
      <c r="LSH3" s="2"/>
      <c r="LSI3" s="2"/>
      <c r="LSJ3" s="2"/>
      <c r="LSK3" s="2"/>
      <c r="LSL3" s="2"/>
      <c r="LSM3" s="2"/>
      <c r="LSN3" s="2"/>
      <c r="LSO3" s="2"/>
      <c r="LSP3" s="2"/>
      <c r="LSQ3" s="2"/>
      <c r="LSR3" s="2"/>
      <c r="LSS3" s="2"/>
      <c r="LST3" s="2"/>
      <c r="LSU3" s="2"/>
      <c r="LSV3" s="2"/>
      <c r="LSW3" s="2"/>
      <c r="LSX3" s="2"/>
      <c r="LSY3" s="2"/>
      <c r="LSZ3" s="2"/>
      <c r="LTA3" s="2"/>
      <c r="LTB3" s="2"/>
      <c r="LTC3" s="2"/>
      <c r="LTD3" s="2"/>
      <c r="LTE3" s="2"/>
      <c r="LTF3" s="2"/>
      <c r="LTG3" s="2"/>
      <c r="LTH3" s="2"/>
      <c r="LTI3" s="2"/>
      <c r="LTJ3" s="2"/>
      <c r="LTK3" s="2"/>
      <c r="LTL3" s="2"/>
      <c r="LTM3" s="2"/>
      <c r="LTN3" s="2"/>
      <c r="LTO3" s="2"/>
      <c r="LTP3" s="2"/>
      <c r="LTQ3" s="2"/>
      <c r="LTR3" s="2"/>
      <c r="LTS3" s="2"/>
      <c r="LTT3" s="2"/>
      <c r="LTU3" s="2"/>
      <c r="LTV3" s="2"/>
      <c r="LTW3" s="2"/>
      <c r="LTX3" s="2"/>
      <c r="LTY3" s="2"/>
      <c r="LTZ3" s="2"/>
      <c r="LUA3" s="2"/>
      <c r="LUB3" s="2"/>
      <c r="LUC3" s="2"/>
      <c r="LUD3" s="2"/>
      <c r="LUE3" s="2"/>
      <c r="LUF3" s="2"/>
      <c r="LUG3" s="2"/>
      <c r="LUH3" s="2"/>
      <c r="LUI3" s="2"/>
      <c r="LUJ3" s="2"/>
      <c r="LUK3" s="2"/>
      <c r="LUL3" s="2"/>
      <c r="LUM3" s="2"/>
      <c r="LUN3" s="2"/>
      <c r="LUO3" s="2"/>
      <c r="LUP3" s="2"/>
      <c r="LUQ3" s="2"/>
      <c r="LUR3" s="2"/>
      <c r="LUS3" s="2"/>
      <c r="LUT3" s="2"/>
      <c r="LUU3" s="2"/>
      <c r="LUV3" s="2"/>
      <c r="LUW3" s="2"/>
      <c r="LUX3" s="2"/>
      <c r="LUY3" s="2"/>
      <c r="LUZ3" s="2"/>
      <c r="LVA3" s="2"/>
      <c r="LVB3" s="2"/>
      <c r="LVC3" s="2"/>
      <c r="LVD3" s="2"/>
      <c r="LVE3" s="2"/>
      <c r="LVF3" s="2"/>
      <c r="LVG3" s="2"/>
      <c r="LVH3" s="2"/>
      <c r="LVI3" s="2"/>
      <c r="LVJ3" s="2"/>
      <c r="LVK3" s="2"/>
      <c r="LVL3" s="2"/>
      <c r="LVM3" s="2"/>
      <c r="LVN3" s="2"/>
      <c r="LVO3" s="2"/>
      <c r="LVP3" s="2"/>
      <c r="LVQ3" s="2"/>
      <c r="LVR3" s="2"/>
      <c r="LVS3" s="2"/>
      <c r="LVT3" s="2"/>
      <c r="LVU3" s="2"/>
      <c r="LVV3" s="2"/>
      <c r="LVW3" s="2"/>
      <c r="LVX3" s="2"/>
      <c r="LVY3" s="2"/>
      <c r="LVZ3" s="2"/>
      <c r="LWA3" s="2"/>
      <c r="LWB3" s="2"/>
      <c r="LWC3" s="2"/>
      <c r="LWD3" s="2"/>
      <c r="LWE3" s="2"/>
      <c r="LWF3" s="2"/>
      <c r="LWG3" s="2"/>
      <c r="LWH3" s="2"/>
      <c r="LWI3" s="2"/>
      <c r="LWJ3" s="2"/>
      <c r="LWK3" s="2"/>
      <c r="LWL3" s="2"/>
      <c r="LWM3" s="2"/>
      <c r="LWN3" s="2"/>
      <c r="LWO3" s="2"/>
      <c r="LWP3" s="2"/>
      <c r="LWQ3" s="2"/>
      <c r="LWR3" s="2"/>
      <c r="LWS3" s="2"/>
      <c r="LWT3" s="2"/>
      <c r="LWU3" s="2"/>
      <c r="LWV3" s="2"/>
      <c r="LWW3" s="2"/>
      <c r="LWX3" s="2"/>
      <c r="LWY3" s="2"/>
      <c r="LWZ3" s="2"/>
      <c r="LXA3" s="2"/>
      <c r="LXB3" s="2"/>
      <c r="LXC3" s="2"/>
      <c r="LXD3" s="2"/>
      <c r="LXE3" s="2"/>
      <c r="LXF3" s="2"/>
      <c r="LXG3" s="2"/>
      <c r="LXH3" s="2"/>
      <c r="LXI3" s="2"/>
      <c r="LXJ3" s="2"/>
      <c r="LXK3" s="2"/>
      <c r="LXL3" s="2"/>
      <c r="LXM3" s="2"/>
      <c r="LXN3" s="2"/>
      <c r="LXO3" s="2"/>
      <c r="LXP3" s="2"/>
      <c r="LXQ3" s="2"/>
      <c r="LXR3" s="2"/>
      <c r="LXS3" s="2"/>
      <c r="LXT3" s="2"/>
      <c r="LXU3" s="2"/>
      <c r="LXV3" s="2"/>
      <c r="LXW3" s="2"/>
      <c r="LXX3" s="2"/>
      <c r="LXY3" s="2"/>
      <c r="LXZ3" s="2"/>
      <c r="LYA3" s="2"/>
      <c r="LYB3" s="2"/>
      <c r="LYC3" s="2"/>
      <c r="LYD3" s="2"/>
      <c r="LYE3" s="2"/>
      <c r="LYF3" s="2"/>
      <c r="LYG3" s="2"/>
      <c r="LYH3" s="2"/>
      <c r="LYI3" s="2"/>
      <c r="LYJ3" s="2"/>
      <c r="LYK3" s="2"/>
      <c r="LYL3" s="2"/>
      <c r="LYM3" s="2"/>
      <c r="LYN3" s="2"/>
      <c r="LYO3" s="2"/>
      <c r="LYP3" s="2"/>
      <c r="LYQ3" s="2"/>
      <c r="LYR3" s="2"/>
      <c r="LYS3" s="2"/>
      <c r="LYT3" s="2"/>
      <c r="LYU3" s="2"/>
      <c r="LYV3" s="2"/>
      <c r="LYW3" s="2"/>
      <c r="LYX3" s="2"/>
      <c r="LYY3" s="2"/>
      <c r="LYZ3" s="2"/>
      <c r="LZA3" s="2"/>
      <c r="LZB3" s="2"/>
      <c r="LZC3" s="2"/>
      <c r="LZD3" s="2"/>
      <c r="LZE3" s="2"/>
      <c r="LZF3" s="2"/>
      <c r="LZG3" s="2"/>
      <c r="LZH3" s="2"/>
      <c r="LZI3" s="2"/>
      <c r="LZJ3" s="2"/>
      <c r="LZK3" s="2"/>
      <c r="LZL3" s="2"/>
      <c r="LZM3" s="2"/>
      <c r="LZN3" s="2"/>
      <c r="LZO3" s="2"/>
      <c r="LZP3" s="2"/>
      <c r="LZQ3" s="2"/>
      <c r="LZR3" s="2"/>
      <c r="LZS3" s="2"/>
      <c r="LZT3" s="2"/>
      <c r="LZU3" s="2"/>
      <c r="LZV3" s="2"/>
      <c r="LZW3" s="2"/>
      <c r="LZX3" s="2"/>
      <c r="LZY3" s="2"/>
      <c r="LZZ3" s="2"/>
      <c r="MAA3" s="2"/>
      <c r="MAB3" s="2"/>
      <c r="MAC3" s="2"/>
      <c r="MAD3" s="2"/>
      <c r="MAE3" s="2"/>
      <c r="MAF3" s="2"/>
      <c r="MAG3" s="2"/>
      <c r="MAH3" s="2"/>
      <c r="MAI3" s="2"/>
      <c r="MAJ3" s="2"/>
      <c r="MAK3" s="2"/>
      <c r="MAL3" s="2"/>
      <c r="MAM3" s="2"/>
      <c r="MAN3" s="2"/>
      <c r="MAO3" s="2"/>
      <c r="MAP3" s="2"/>
      <c r="MAQ3" s="2"/>
      <c r="MAR3" s="2"/>
      <c r="MAS3" s="2"/>
      <c r="MAT3" s="2"/>
      <c r="MAU3" s="2"/>
      <c r="MAV3" s="2"/>
      <c r="MAW3" s="2"/>
      <c r="MAX3" s="2"/>
      <c r="MAY3" s="2"/>
      <c r="MAZ3" s="2"/>
      <c r="MBA3" s="2"/>
      <c r="MBB3" s="2"/>
      <c r="MBC3" s="2"/>
      <c r="MBD3" s="2"/>
      <c r="MBE3" s="2"/>
      <c r="MBF3" s="2"/>
      <c r="MBG3" s="2"/>
      <c r="MBH3" s="2"/>
      <c r="MBI3" s="2"/>
      <c r="MBJ3" s="2"/>
      <c r="MBK3" s="2"/>
      <c r="MBL3" s="2"/>
      <c r="MBM3" s="2"/>
      <c r="MBN3" s="2"/>
      <c r="MBO3" s="2"/>
      <c r="MBP3" s="2"/>
      <c r="MBQ3" s="2"/>
      <c r="MBR3" s="2"/>
      <c r="MBS3" s="2"/>
      <c r="MBT3" s="2"/>
      <c r="MBU3" s="2"/>
      <c r="MBV3" s="2"/>
      <c r="MBW3" s="2"/>
      <c r="MBX3" s="2"/>
      <c r="MBY3" s="2"/>
      <c r="MBZ3" s="2"/>
      <c r="MCA3" s="2"/>
      <c r="MCB3" s="2"/>
      <c r="MCC3" s="2"/>
      <c r="MCD3" s="2"/>
      <c r="MCE3" s="2"/>
      <c r="MCF3" s="2"/>
      <c r="MCG3" s="2"/>
      <c r="MCH3" s="2"/>
      <c r="MCI3" s="2"/>
      <c r="MCJ3" s="2"/>
      <c r="MCK3" s="2"/>
      <c r="MCL3" s="2"/>
      <c r="MCM3" s="2"/>
      <c r="MCN3" s="2"/>
      <c r="MCO3" s="2"/>
      <c r="MCP3" s="2"/>
      <c r="MCQ3" s="2"/>
      <c r="MCR3" s="2"/>
      <c r="MCS3" s="2"/>
      <c r="MCT3" s="2"/>
      <c r="MCU3" s="2"/>
      <c r="MCV3" s="2"/>
      <c r="MCW3" s="2"/>
      <c r="MCX3" s="2"/>
      <c r="MCY3" s="2"/>
      <c r="MCZ3" s="2"/>
      <c r="MDA3" s="2"/>
      <c r="MDB3" s="2"/>
      <c r="MDC3" s="2"/>
      <c r="MDD3" s="2"/>
      <c r="MDE3" s="2"/>
      <c r="MDF3" s="2"/>
      <c r="MDG3" s="2"/>
      <c r="MDH3" s="2"/>
      <c r="MDI3" s="2"/>
      <c r="MDJ3" s="2"/>
      <c r="MDK3" s="2"/>
      <c r="MDL3" s="2"/>
      <c r="MDM3" s="2"/>
      <c r="MDN3" s="2"/>
      <c r="MDO3" s="2"/>
      <c r="MDP3" s="2"/>
      <c r="MDQ3" s="2"/>
      <c r="MDR3" s="2"/>
      <c r="MDS3" s="2"/>
      <c r="MDT3" s="2"/>
      <c r="MDU3" s="2"/>
      <c r="MDV3" s="2"/>
      <c r="MDW3" s="2"/>
      <c r="MDX3" s="2"/>
      <c r="MDY3" s="2"/>
      <c r="MDZ3" s="2"/>
      <c r="MEA3" s="2"/>
      <c r="MEB3" s="2"/>
      <c r="MEC3" s="2"/>
      <c r="MED3" s="2"/>
      <c r="MEE3" s="2"/>
      <c r="MEF3" s="2"/>
      <c r="MEG3" s="2"/>
      <c r="MEH3" s="2"/>
      <c r="MEI3" s="2"/>
      <c r="MEJ3" s="2"/>
      <c r="MEK3" s="2"/>
      <c r="MEL3" s="2"/>
      <c r="MEM3" s="2"/>
      <c r="MEN3" s="2"/>
      <c r="MEO3" s="2"/>
      <c r="MEP3" s="2"/>
      <c r="MEQ3" s="2"/>
      <c r="MER3" s="2"/>
      <c r="MES3" s="2"/>
      <c r="MET3" s="2"/>
      <c r="MEU3" s="2"/>
      <c r="MEV3" s="2"/>
      <c r="MEW3" s="2"/>
      <c r="MEX3" s="2"/>
      <c r="MEY3" s="2"/>
      <c r="MEZ3" s="2"/>
      <c r="MFA3" s="2"/>
      <c r="MFB3" s="2"/>
      <c r="MFC3" s="2"/>
      <c r="MFD3" s="2"/>
      <c r="MFE3" s="2"/>
      <c r="MFF3" s="2"/>
      <c r="MFG3" s="2"/>
      <c r="MFH3" s="2"/>
      <c r="MFI3" s="2"/>
      <c r="MFJ3" s="2"/>
      <c r="MFK3" s="2"/>
      <c r="MFL3" s="2"/>
      <c r="MFM3" s="2"/>
      <c r="MFN3" s="2"/>
      <c r="MFO3" s="2"/>
      <c r="MFP3" s="2"/>
      <c r="MFQ3" s="2"/>
      <c r="MFR3" s="2"/>
      <c r="MFS3" s="2"/>
      <c r="MFT3" s="2"/>
      <c r="MFU3" s="2"/>
      <c r="MFV3" s="2"/>
      <c r="MFW3" s="2"/>
      <c r="MFX3" s="2"/>
      <c r="MFY3" s="2"/>
      <c r="MFZ3" s="2"/>
      <c r="MGA3" s="2"/>
      <c r="MGB3" s="2"/>
      <c r="MGC3" s="2"/>
      <c r="MGD3" s="2"/>
      <c r="MGE3" s="2"/>
      <c r="MGF3" s="2"/>
      <c r="MGG3" s="2"/>
      <c r="MGH3" s="2"/>
      <c r="MGI3" s="2"/>
      <c r="MGJ3" s="2"/>
      <c r="MGK3" s="2"/>
      <c r="MGL3" s="2"/>
      <c r="MGM3" s="2"/>
      <c r="MGN3" s="2"/>
      <c r="MGO3" s="2"/>
      <c r="MGP3" s="2"/>
      <c r="MGQ3" s="2"/>
      <c r="MGR3" s="2"/>
      <c r="MGS3" s="2"/>
      <c r="MGT3" s="2"/>
      <c r="MGU3" s="2"/>
      <c r="MGV3" s="2"/>
      <c r="MGW3" s="2"/>
      <c r="MGX3" s="2"/>
      <c r="MGY3" s="2"/>
      <c r="MGZ3" s="2"/>
      <c r="MHA3" s="2"/>
      <c r="MHB3" s="2"/>
      <c r="MHC3" s="2"/>
      <c r="MHD3" s="2"/>
      <c r="MHE3" s="2"/>
      <c r="MHF3" s="2"/>
      <c r="MHG3" s="2"/>
      <c r="MHH3" s="2"/>
      <c r="MHI3" s="2"/>
      <c r="MHJ3" s="2"/>
      <c r="MHK3" s="2"/>
      <c r="MHL3" s="2"/>
      <c r="MHM3" s="2"/>
      <c r="MHN3" s="2"/>
      <c r="MHO3" s="2"/>
      <c r="MHP3" s="2"/>
      <c r="MHQ3" s="2"/>
      <c r="MHR3" s="2"/>
      <c r="MHS3" s="2"/>
      <c r="MHT3" s="2"/>
      <c r="MHU3" s="2"/>
      <c r="MHV3" s="2"/>
      <c r="MHW3" s="2"/>
      <c r="MHX3" s="2"/>
      <c r="MHY3" s="2"/>
      <c r="MHZ3" s="2"/>
      <c r="MIA3" s="2"/>
      <c r="MIB3" s="2"/>
      <c r="MIC3" s="2"/>
      <c r="MID3" s="2"/>
      <c r="MIE3" s="2"/>
      <c r="MIF3" s="2"/>
      <c r="MIG3" s="2"/>
      <c r="MIH3" s="2"/>
      <c r="MII3" s="2"/>
      <c r="MIJ3" s="2"/>
      <c r="MIK3" s="2"/>
      <c r="MIL3" s="2"/>
      <c r="MIM3" s="2"/>
      <c r="MIN3" s="2"/>
      <c r="MIO3" s="2"/>
      <c r="MIP3" s="2"/>
      <c r="MIQ3" s="2"/>
      <c r="MIR3" s="2"/>
      <c r="MIS3" s="2"/>
      <c r="MIT3" s="2"/>
      <c r="MIU3" s="2"/>
      <c r="MIV3" s="2"/>
      <c r="MIW3" s="2"/>
      <c r="MIX3" s="2"/>
      <c r="MIY3" s="2"/>
      <c r="MIZ3" s="2"/>
      <c r="MJA3" s="2"/>
      <c r="MJB3" s="2"/>
      <c r="MJC3" s="2"/>
      <c r="MJD3" s="2"/>
      <c r="MJE3" s="2"/>
      <c r="MJF3" s="2"/>
      <c r="MJG3" s="2"/>
      <c r="MJH3" s="2"/>
      <c r="MJI3" s="2"/>
      <c r="MJJ3" s="2"/>
      <c r="MJK3" s="2"/>
      <c r="MJL3" s="2"/>
      <c r="MJM3" s="2"/>
      <c r="MJN3" s="2"/>
      <c r="MJO3" s="2"/>
      <c r="MJP3" s="2"/>
      <c r="MJQ3" s="2"/>
      <c r="MJR3" s="2"/>
      <c r="MJS3" s="2"/>
      <c r="MJT3" s="2"/>
      <c r="MJU3" s="2"/>
      <c r="MJV3" s="2"/>
      <c r="MJW3" s="2"/>
      <c r="MJX3" s="2"/>
      <c r="MJY3" s="2"/>
      <c r="MJZ3" s="2"/>
      <c r="MKA3" s="2"/>
      <c r="MKB3" s="2"/>
      <c r="MKC3" s="2"/>
      <c r="MKD3" s="2"/>
      <c r="MKE3" s="2"/>
      <c r="MKF3" s="2"/>
      <c r="MKG3" s="2"/>
      <c r="MKH3" s="2"/>
      <c r="MKI3" s="2"/>
      <c r="MKJ3" s="2"/>
      <c r="MKK3" s="2"/>
      <c r="MKL3" s="2"/>
      <c r="MKM3" s="2"/>
      <c r="MKN3" s="2"/>
      <c r="MKO3" s="2"/>
      <c r="MKP3" s="2"/>
      <c r="MKQ3" s="2"/>
      <c r="MKR3" s="2"/>
      <c r="MKS3" s="2"/>
      <c r="MKT3" s="2"/>
      <c r="MKU3" s="2"/>
      <c r="MKV3" s="2"/>
      <c r="MKW3" s="2"/>
      <c r="MKX3" s="2"/>
      <c r="MKY3" s="2"/>
      <c r="MKZ3" s="2"/>
      <c r="MLA3" s="2"/>
      <c r="MLB3" s="2"/>
      <c r="MLC3" s="2"/>
      <c r="MLD3" s="2"/>
      <c r="MLE3" s="2"/>
      <c r="MLF3" s="2"/>
      <c r="MLG3" s="2"/>
      <c r="MLH3" s="2"/>
      <c r="MLI3" s="2"/>
      <c r="MLJ3" s="2"/>
      <c r="MLK3" s="2"/>
      <c r="MLL3" s="2"/>
      <c r="MLM3" s="2"/>
      <c r="MLN3" s="2"/>
      <c r="MLO3" s="2"/>
      <c r="MLP3" s="2"/>
      <c r="MLQ3" s="2"/>
      <c r="MLR3" s="2"/>
      <c r="MLS3" s="2"/>
      <c r="MLT3" s="2"/>
      <c r="MLU3" s="2"/>
      <c r="MLV3" s="2"/>
      <c r="MLW3" s="2"/>
      <c r="MLX3" s="2"/>
      <c r="MLY3" s="2"/>
      <c r="MLZ3" s="2"/>
      <c r="MMA3" s="2"/>
      <c r="MMB3" s="2"/>
      <c r="MMC3" s="2"/>
      <c r="MMD3" s="2"/>
      <c r="MME3" s="2"/>
      <c r="MMF3" s="2"/>
      <c r="MMG3" s="2"/>
      <c r="MMH3" s="2"/>
      <c r="MMI3" s="2"/>
      <c r="MMJ3" s="2"/>
      <c r="MMK3" s="2"/>
      <c r="MML3" s="2"/>
      <c r="MMM3" s="2"/>
      <c r="MMN3" s="2"/>
      <c r="MMO3" s="2"/>
      <c r="MMP3" s="2"/>
      <c r="MMQ3" s="2"/>
      <c r="MMR3" s="2"/>
      <c r="MMS3" s="2"/>
      <c r="MMT3" s="2"/>
      <c r="MMU3" s="2"/>
      <c r="MMV3" s="2"/>
      <c r="MMW3" s="2"/>
      <c r="MMX3" s="2"/>
      <c r="MMY3" s="2"/>
      <c r="MMZ3" s="2"/>
      <c r="MNA3" s="2"/>
      <c r="MNB3" s="2"/>
      <c r="MNC3" s="2"/>
      <c r="MND3" s="2"/>
      <c r="MNE3" s="2"/>
      <c r="MNF3" s="2"/>
      <c r="MNG3" s="2"/>
      <c r="MNH3" s="2"/>
      <c r="MNI3" s="2"/>
      <c r="MNJ3" s="2"/>
      <c r="MNK3" s="2"/>
      <c r="MNL3" s="2"/>
      <c r="MNM3" s="2"/>
      <c r="MNN3" s="2"/>
      <c r="MNO3" s="2"/>
      <c r="MNP3" s="2"/>
      <c r="MNQ3" s="2"/>
      <c r="MNR3" s="2"/>
      <c r="MNS3" s="2"/>
      <c r="MNT3" s="2"/>
      <c r="MNU3" s="2"/>
      <c r="MNV3" s="2"/>
      <c r="MNW3" s="2"/>
      <c r="MNX3" s="2"/>
      <c r="MNY3" s="2"/>
      <c r="MNZ3" s="2"/>
      <c r="MOA3" s="2"/>
      <c r="MOB3" s="2"/>
      <c r="MOC3" s="2"/>
      <c r="MOD3" s="2"/>
      <c r="MOE3" s="2"/>
      <c r="MOF3" s="2"/>
      <c r="MOG3" s="2"/>
      <c r="MOH3" s="2"/>
      <c r="MOI3" s="2"/>
      <c r="MOJ3" s="2"/>
      <c r="MOK3" s="2"/>
      <c r="MOL3" s="2"/>
      <c r="MOM3" s="2"/>
      <c r="MON3" s="2"/>
      <c r="MOO3" s="2"/>
      <c r="MOP3" s="2"/>
      <c r="MOQ3" s="2"/>
      <c r="MOR3" s="2"/>
      <c r="MOS3" s="2"/>
      <c r="MOT3" s="2"/>
      <c r="MOU3" s="2"/>
      <c r="MOV3" s="2"/>
      <c r="MOW3" s="2"/>
      <c r="MOX3" s="2"/>
      <c r="MOY3" s="2"/>
      <c r="MOZ3" s="2"/>
      <c r="MPA3" s="2"/>
      <c r="MPB3" s="2"/>
      <c r="MPC3" s="2"/>
      <c r="MPD3" s="2"/>
      <c r="MPE3" s="2"/>
      <c r="MPF3" s="2"/>
      <c r="MPG3" s="2"/>
      <c r="MPH3" s="2"/>
      <c r="MPI3" s="2"/>
      <c r="MPJ3" s="2"/>
      <c r="MPK3" s="2"/>
      <c r="MPL3" s="2"/>
      <c r="MPM3" s="2"/>
      <c r="MPN3" s="2"/>
      <c r="MPO3" s="2"/>
      <c r="MPP3" s="2"/>
      <c r="MPQ3" s="2"/>
      <c r="MPR3" s="2"/>
      <c r="MPS3" s="2"/>
      <c r="MPT3" s="2"/>
      <c r="MPU3" s="2"/>
      <c r="MPV3" s="2"/>
      <c r="MPW3" s="2"/>
      <c r="MPX3" s="2"/>
      <c r="MPY3" s="2"/>
      <c r="MPZ3" s="2"/>
      <c r="MQA3" s="2"/>
      <c r="MQB3" s="2"/>
      <c r="MQC3" s="2"/>
      <c r="MQD3" s="2"/>
      <c r="MQE3" s="2"/>
      <c r="MQF3" s="2"/>
      <c r="MQG3" s="2"/>
      <c r="MQH3" s="2"/>
      <c r="MQI3" s="2"/>
      <c r="MQJ3" s="2"/>
      <c r="MQK3" s="2"/>
      <c r="MQL3" s="2"/>
      <c r="MQM3" s="2"/>
      <c r="MQN3" s="2"/>
      <c r="MQO3" s="2"/>
      <c r="MQP3" s="2"/>
      <c r="MQQ3" s="2"/>
      <c r="MQR3" s="2"/>
      <c r="MQS3" s="2"/>
      <c r="MQT3" s="2"/>
      <c r="MQU3" s="2"/>
      <c r="MQV3" s="2"/>
      <c r="MQW3" s="2"/>
      <c r="MQX3" s="2"/>
      <c r="MQY3" s="2"/>
      <c r="MQZ3" s="2"/>
      <c r="MRA3" s="2"/>
      <c r="MRB3" s="2"/>
      <c r="MRC3" s="2"/>
      <c r="MRD3" s="2"/>
      <c r="MRE3" s="2"/>
      <c r="MRF3" s="2"/>
      <c r="MRG3" s="2"/>
      <c r="MRH3" s="2"/>
      <c r="MRI3" s="2"/>
      <c r="MRJ3" s="2"/>
      <c r="MRK3" s="2"/>
      <c r="MRL3" s="2"/>
      <c r="MRM3" s="2"/>
      <c r="MRN3" s="2"/>
      <c r="MRO3" s="2"/>
      <c r="MRP3" s="2"/>
      <c r="MRQ3" s="2"/>
      <c r="MRR3" s="2"/>
      <c r="MRS3" s="2"/>
      <c r="MRT3" s="2"/>
      <c r="MRU3" s="2"/>
      <c r="MRV3" s="2"/>
      <c r="MRW3" s="2"/>
      <c r="MRX3" s="2"/>
      <c r="MRY3" s="2"/>
      <c r="MRZ3" s="2"/>
      <c r="MSA3" s="2"/>
      <c r="MSB3" s="2"/>
      <c r="MSC3" s="2"/>
      <c r="MSD3" s="2"/>
      <c r="MSE3" s="2"/>
      <c r="MSF3" s="2"/>
      <c r="MSG3" s="2"/>
      <c r="MSH3" s="2"/>
      <c r="MSI3" s="2"/>
      <c r="MSJ3" s="2"/>
      <c r="MSK3" s="2"/>
      <c r="MSL3" s="2"/>
      <c r="MSM3" s="2"/>
      <c r="MSN3" s="2"/>
      <c r="MSO3" s="2"/>
      <c r="MSP3" s="2"/>
      <c r="MSQ3" s="2"/>
      <c r="MSR3" s="2"/>
      <c r="MSS3" s="2"/>
      <c r="MST3" s="2"/>
      <c r="MSU3" s="2"/>
      <c r="MSV3" s="2"/>
      <c r="MSW3" s="2"/>
      <c r="MSX3" s="2"/>
      <c r="MSY3" s="2"/>
      <c r="MSZ3" s="2"/>
      <c r="MTA3" s="2"/>
      <c r="MTB3" s="2"/>
      <c r="MTC3" s="2"/>
      <c r="MTD3" s="2"/>
      <c r="MTE3" s="2"/>
      <c r="MTF3" s="2"/>
      <c r="MTG3" s="2"/>
      <c r="MTH3" s="2"/>
      <c r="MTI3" s="2"/>
      <c r="MTJ3" s="2"/>
      <c r="MTK3" s="2"/>
      <c r="MTL3" s="2"/>
      <c r="MTM3" s="2"/>
      <c r="MTN3" s="2"/>
      <c r="MTO3" s="2"/>
      <c r="MTP3" s="2"/>
      <c r="MTQ3" s="2"/>
      <c r="MTR3" s="2"/>
      <c r="MTS3" s="2"/>
      <c r="MTT3" s="2"/>
      <c r="MTU3" s="2"/>
      <c r="MTV3" s="2"/>
      <c r="MTW3" s="2"/>
      <c r="MTX3" s="2"/>
      <c r="MTY3" s="2"/>
      <c r="MTZ3" s="2"/>
      <c r="MUA3" s="2"/>
      <c r="MUB3" s="2"/>
      <c r="MUC3" s="2"/>
      <c r="MUD3" s="2"/>
      <c r="MUE3" s="2"/>
      <c r="MUF3" s="2"/>
      <c r="MUG3" s="2"/>
      <c r="MUH3" s="2"/>
      <c r="MUI3" s="2"/>
      <c r="MUJ3" s="2"/>
      <c r="MUK3" s="2"/>
      <c r="MUL3" s="2"/>
      <c r="MUM3" s="2"/>
      <c r="MUN3" s="2"/>
      <c r="MUO3" s="2"/>
      <c r="MUP3" s="2"/>
      <c r="MUQ3" s="2"/>
      <c r="MUR3" s="2"/>
      <c r="MUS3" s="2"/>
      <c r="MUT3" s="2"/>
      <c r="MUU3" s="2"/>
      <c r="MUV3" s="2"/>
      <c r="MUW3" s="2"/>
      <c r="MUX3" s="2"/>
      <c r="MUY3" s="2"/>
      <c r="MUZ3" s="2"/>
      <c r="MVA3" s="2"/>
      <c r="MVB3" s="2"/>
      <c r="MVC3" s="2"/>
      <c r="MVD3" s="2"/>
      <c r="MVE3" s="2"/>
      <c r="MVF3" s="2"/>
      <c r="MVG3" s="2"/>
      <c r="MVH3" s="2"/>
      <c r="MVI3" s="2"/>
      <c r="MVJ3" s="2"/>
      <c r="MVK3" s="2"/>
      <c r="MVL3" s="2"/>
      <c r="MVM3" s="2"/>
      <c r="MVN3" s="2"/>
      <c r="MVO3" s="2"/>
      <c r="MVP3" s="2"/>
      <c r="MVQ3" s="2"/>
      <c r="MVR3" s="2"/>
      <c r="MVS3" s="2"/>
      <c r="MVT3" s="2"/>
      <c r="MVU3" s="2"/>
      <c r="MVV3" s="2"/>
      <c r="MVW3" s="2"/>
      <c r="MVX3" s="2"/>
      <c r="MVY3" s="2"/>
      <c r="MVZ3" s="2"/>
      <c r="MWA3" s="2"/>
      <c r="MWB3" s="2"/>
      <c r="MWC3" s="2"/>
      <c r="MWD3" s="2"/>
      <c r="MWE3" s="2"/>
      <c r="MWF3" s="2"/>
      <c r="MWG3" s="2"/>
      <c r="MWH3" s="2"/>
      <c r="MWI3" s="2"/>
      <c r="MWJ3" s="2"/>
      <c r="MWK3" s="2"/>
      <c r="MWL3" s="2"/>
      <c r="MWM3" s="2"/>
      <c r="MWN3" s="2"/>
      <c r="MWO3" s="2"/>
      <c r="MWP3" s="2"/>
      <c r="MWQ3" s="2"/>
      <c r="MWR3" s="2"/>
      <c r="MWS3" s="2"/>
      <c r="MWT3" s="2"/>
      <c r="MWU3" s="2"/>
      <c r="MWV3" s="2"/>
      <c r="MWW3" s="2"/>
      <c r="MWX3" s="2"/>
      <c r="MWY3" s="2"/>
      <c r="MWZ3" s="2"/>
      <c r="MXA3" s="2"/>
      <c r="MXB3" s="2"/>
      <c r="MXC3" s="2"/>
      <c r="MXD3" s="2"/>
      <c r="MXE3" s="2"/>
      <c r="MXF3" s="2"/>
      <c r="MXG3" s="2"/>
      <c r="MXH3" s="2"/>
      <c r="MXI3" s="2"/>
      <c r="MXJ3" s="2"/>
      <c r="MXK3" s="2"/>
      <c r="MXL3" s="2"/>
      <c r="MXM3" s="2"/>
      <c r="MXN3" s="2"/>
      <c r="MXO3" s="2"/>
      <c r="MXP3" s="2"/>
      <c r="MXQ3" s="2"/>
      <c r="MXR3" s="2"/>
      <c r="MXS3" s="2"/>
      <c r="MXT3" s="2"/>
      <c r="MXU3" s="2"/>
      <c r="MXV3" s="2"/>
      <c r="MXW3" s="2"/>
      <c r="MXX3" s="2"/>
      <c r="MXY3" s="2"/>
      <c r="MXZ3" s="2"/>
      <c r="MYA3" s="2"/>
      <c r="MYB3" s="2"/>
      <c r="MYC3" s="2"/>
      <c r="MYD3" s="2"/>
      <c r="MYE3" s="2"/>
      <c r="MYF3" s="2"/>
      <c r="MYG3" s="2"/>
      <c r="MYH3" s="2"/>
      <c r="MYI3" s="2"/>
      <c r="MYJ3" s="2"/>
      <c r="MYK3" s="2"/>
      <c r="MYL3" s="2"/>
      <c r="MYM3" s="2"/>
      <c r="MYN3" s="2"/>
      <c r="MYO3" s="2"/>
      <c r="MYP3" s="2"/>
      <c r="MYQ3" s="2"/>
      <c r="MYR3" s="2"/>
      <c r="MYS3" s="2"/>
      <c r="MYT3" s="2"/>
      <c r="MYU3" s="2"/>
      <c r="MYV3" s="2"/>
      <c r="MYW3" s="2"/>
      <c r="MYX3" s="2"/>
      <c r="MYY3" s="2"/>
      <c r="MYZ3" s="2"/>
      <c r="MZA3" s="2"/>
      <c r="MZB3" s="2"/>
      <c r="MZC3" s="2"/>
      <c r="MZD3" s="2"/>
      <c r="MZE3" s="2"/>
      <c r="MZF3" s="2"/>
      <c r="MZG3" s="2"/>
      <c r="MZH3" s="2"/>
      <c r="MZI3" s="2"/>
      <c r="MZJ3" s="2"/>
      <c r="MZK3" s="2"/>
      <c r="MZL3" s="2"/>
      <c r="MZM3" s="2"/>
      <c r="MZN3" s="2"/>
      <c r="MZO3" s="2"/>
      <c r="MZP3" s="2"/>
      <c r="MZQ3" s="2"/>
      <c r="MZR3" s="2"/>
      <c r="MZS3" s="2"/>
      <c r="MZT3" s="2"/>
      <c r="MZU3" s="2"/>
      <c r="MZV3" s="2"/>
      <c r="MZW3" s="2"/>
      <c r="MZX3" s="2"/>
      <c r="MZY3" s="2"/>
      <c r="MZZ3" s="2"/>
      <c r="NAA3" s="2"/>
      <c r="NAB3" s="2"/>
      <c r="NAC3" s="2"/>
      <c r="NAD3" s="2"/>
      <c r="NAE3" s="2"/>
      <c r="NAF3" s="2"/>
      <c r="NAG3" s="2"/>
      <c r="NAH3" s="2"/>
      <c r="NAI3" s="2"/>
      <c r="NAJ3" s="2"/>
      <c r="NAK3" s="2"/>
      <c r="NAL3" s="2"/>
      <c r="NAM3" s="2"/>
      <c r="NAN3" s="2"/>
      <c r="NAO3" s="2"/>
      <c r="NAP3" s="2"/>
      <c r="NAQ3" s="2"/>
      <c r="NAR3" s="2"/>
      <c r="NAS3" s="2"/>
      <c r="NAT3" s="2"/>
      <c r="NAU3" s="2"/>
      <c r="NAV3" s="2"/>
      <c r="NAW3" s="2"/>
      <c r="NAX3" s="2"/>
      <c r="NAY3" s="2"/>
      <c r="NAZ3" s="2"/>
      <c r="NBA3" s="2"/>
      <c r="NBB3" s="2"/>
      <c r="NBC3" s="2"/>
      <c r="NBD3" s="2"/>
      <c r="NBE3" s="2"/>
      <c r="NBF3" s="2"/>
      <c r="NBG3" s="2"/>
      <c r="NBH3" s="2"/>
      <c r="NBI3" s="2"/>
      <c r="NBJ3" s="2"/>
      <c r="NBK3" s="2"/>
      <c r="NBL3" s="2"/>
      <c r="NBM3" s="2"/>
      <c r="NBN3" s="2"/>
      <c r="NBO3" s="2"/>
      <c r="NBP3" s="2"/>
      <c r="NBQ3" s="2"/>
      <c r="NBR3" s="2"/>
      <c r="NBS3" s="2"/>
      <c r="NBT3" s="2"/>
      <c r="NBU3" s="2"/>
      <c r="NBV3" s="2"/>
      <c r="NBW3" s="2"/>
      <c r="NBX3" s="2"/>
      <c r="NBY3" s="2"/>
      <c r="NBZ3" s="2"/>
      <c r="NCA3" s="2"/>
      <c r="NCB3" s="2"/>
      <c r="NCC3" s="2"/>
      <c r="NCD3" s="2"/>
      <c r="NCE3" s="2"/>
      <c r="NCF3" s="2"/>
      <c r="NCG3" s="2"/>
      <c r="NCH3" s="2"/>
      <c r="NCI3" s="2"/>
      <c r="NCJ3" s="2"/>
      <c r="NCK3" s="2"/>
      <c r="NCL3" s="2"/>
      <c r="NCM3" s="2"/>
      <c r="NCN3" s="2"/>
      <c r="NCO3" s="2"/>
      <c r="NCP3" s="2"/>
      <c r="NCQ3" s="2"/>
      <c r="NCR3" s="2"/>
      <c r="NCS3" s="2"/>
      <c r="NCT3" s="2"/>
      <c r="NCU3" s="2"/>
      <c r="NCV3" s="2"/>
      <c r="NCW3" s="2"/>
      <c r="NCX3" s="2"/>
      <c r="NCY3" s="2"/>
      <c r="NCZ3" s="2"/>
      <c r="NDA3" s="2"/>
      <c r="NDB3" s="2"/>
      <c r="NDC3" s="2"/>
      <c r="NDD3" s="2"/>
      <c r="NDE3" s="2"/>
      <c r="NDF3" s="2"/>
      <c r="NDG3" s="2"/>
      <c r="NDH3" s="2"/>
      <c r="NDI3" s="2"/>
      <c r="NDJ3" s="2"/>
      <c r="NDK3" s="2"/>
      <c r="NDL3" s="2"/>
      <c r="NDM3" s="2"/>
      <c r="NDN3" s="2"/>
      <c r="NDO3" s="2"/>
      <c r="NDP3" s="2"/>
      <c r="NDQ3" s="2"/>
      <c r="NDR3" s="2"/>
      <c r="NDS3" s="2"/>
      <c r="NDT3" s="2"/>
      <c r="NDU3" s="2"/>
      <c r="NDV3" s="2"/>
      <c r="NDW3" s="2"/>
      <c r="NDX3" s="2"/>
      <c r="NDY3" s="2"/>
      <c r="NDZ3" s="2"/>
      <c r="NEA3" s="2"/>
      <c r="NEB3" s="2"/>
      <c r="NEC3" s="2"/>
      <c r="NED3" s="2"/>
      <c r="NEE3" s="2"/>
      <c r="NEF3" s="2"/>
      <c r="NEG3" s="2"/>
      <c r="NEH3" s="2"/>
      <c r="NEI3" s="2"/>
      <c r="NEJ3" s="2"/>
      <c r="NEK3" s="2"/>
      <c r="NEL3" s="2"/>
      <c r="NEM3" s="2"/>
      <c r="NEN3" s="2"/>
      <c r="NEO3" s="2"/>
      <c r="NEP3" s="2"/>
      <c r="NEQ3" s="2"/>
      <c r="NER3" s="2"/>
      <c r="NES3" s="2"/>
      <c r="NET3" s="2"/>
      <c r="NEU3" s="2"/>
      <c r="NEV3" s="2"/>
      <c r="NEW3" s="2"/>
      <c r="NEX3" s="2"/>
      <c r="NEY3" s="2"/>
      <c r="NEZ3" s="2"/>
      <c r="NFA3" s="2"/>
      <c r="NFB3" s="2"/>
      <c r="NFC3" s="2"/>
      <c r="NFD3" s="2"/>
      <c r="NFE3" s="2"/>
      <c r="NFF3" s="2"/>
      <c r="NFG3" s="2"/>
      <c r="NFH3" s="2"/>
      <c r="NFI3" s="2"/>
      <c r="NFJ3" s="2"/>
      <c r="NFK3" s="2"/>
      <c r="NFL3" s="2"/>
      <c r="NFM3" s="2"/>
      <c r="NFN3" s="2"/>
      <c r="NFO3" s="2"/>
      <c r="NFP3" s="2"/>
      <c r="NFQ3" s="2"/>
      <c r="NFR3" s="2"/>
      <c r="NFS3" s="2"/>
      <c r="NFT3" s="2"/>
      <c r="NFU3" s="2"/>
      <c r="NFV3" s="2"/>
      <c r="NFW3" s="2"/>
      <c r="NFX3" s="2"/>
      <c r="NFY3" s="2"/>
      <c r="NFZ3" s="2"/>
      <c r="NGA3" s="2"/>
      <c r="NGB3" s="2"/>
      <c r="NGC3" s="2"/>
      <c r="NGD3" s="2"/>
      <c r="NGE3" s="2"/>
      <c r="NGF3" s="2"/>
      <c r="NGG3" s="2"/>
      <c r="NGH3" s="2"/>
      <c r="NGI3" s="2"/>
      <c r="NGJ3" s="2"/>
      <c r="NGK3" s="2"/>
      <c r="NGL3" s="2"/>
      <c r="NGM3" s="2"/>
      <c r="NGN3" s="2"/>
      <c r="NGO3" s="2"/>
      <c r="NGP3" s="2"/>
      <c r="NGQ3" s="2"/>
      <c r="NGR3" s="2"/>
      <c r="NGS3" s="2"/>
      <c r="NGT3" s="2"/>
      <c r="NGU3" s="2"/>
      <c r="NGV3" s="2"/>
      <c r="NGW3" s="2"/>
      <c r="NGX3" s="2"/>
      <c r="NGY3" s="2"/>
      <c r="NGZ3" s="2"/>
      <c r="NHA3" s="2"/>
      <c r="NHB3" s="2"/>
      <c r="NHC3" s="2"/>
      <c r="NHD3" s="2"/>
      <c r="NHE3" s="2"/>
      <c r="NHF3" s="2"/>
      <c r="NHG3" s="2"/>
      <c r="NHH3" s="2"/>
      <c r="NHI3" s="2"/>
      <c r="NHJ3" s="2"/>
      <c r="NHK3" s="2"/>
      <c r="NHL3" s="2"/>
      <c r="NHM3" s="2"/>
      <c r="NHN3" s="2"/>
      <c r="NHO3" s="2"/>
      <c r="NHP3" s="2"/>
      <c r="NHQ3" s="2"/>
      <c r="NHR3" s="2"/>
      <c r="NHS3" s="2"/>
      <c r="NHT3" s="2"/>
      <c r="NHU3" s="2"/>
      <c r="NHV3" s="2"/>
      <c r="NHW3" s="2"/>
      <c r="NHX3" s="2"/>
      <c r="NHY3" s="2"/>
      <c r="NHZ3" s="2"/>
      <c r="NIA3" s="2"/>
      <c r="NIB3" s="2"/>
      <c r="NIC3" s="2"/>
      <c r="NID3" s="2"/>
      <c r="NIE3" s="2"/>
      <c r="NIF3" s="2"/>
      <c r="NIG3" s="2"/>
      <c r="NIH3" s="2"/>
      <c r="NII3" s="2"/>
      <c r="NIJ3" s="2"/>
      <c r="NIK3" s="2"/>
      <c r="NIL3" s="2"/>
      <c r="NIM3" s="2"/>
      <c r="NIN3" s="2"/>
      <c r="NIO3" s="2"/>
      <c r="NIP3" s="2"/>
      <c r="NIQ3" s="2"/>
      <c r="NIR3" s="2"/>
      <c r="NIS3" s="2"/>
      <c r="NIT3" s="2"/>
      <c r="NIU3" s="2"/>
      <c r="NIV3" s="2"/>
      <c r="NIW3" s="2"/>
      <c r="NIX3" s="2"/>
      <c r="NIY3" s="2"/>
      <c r="NIZ3" s="2"/>
      <c r="NJA3" s="2"/>
      <c r="NJB3" s="2"/>
      <c r="NJC3" s="2"/>
      <c r="NJD3" s="2"/>
      <c r="NJE3" s="2"/>
      <c r="NJF3" s="2"/>
      <c r="NJG3" s="2"/>
      <c r="NJH3" s="2"/>
      <c r="NJI3" s="2"/>
      <c r="NJJ3" s="2"/>
      <c r="NJK3" s="2"/>
      <c r="NJL3" s="2"/>
      <c r="NJM3" s="2"/>
      <c r="NJN3" s="2"/>
      <c r="NJO3" s="2"/>
      <c r="NJP3" s="2"/>
      <c r="NJQ3" s="2"/>
      <c r="NJR3" s="2"/>
      <c r="NJS3" s="2"/>
      <c r="NJT3" s="2"/>
      <c r="NJU3" s="2"/>
      <c r="NJV3" s="2"/>
      <c r="NJW3" s="2"/>
      <c r="NJX3" s="2"/>
      <c r="NJY3" s="2"/>
      <c r="NJZ3" s="2"/>
      <c r="NKA3" s="2"/>
      <c r="NKB3" s="2"/>
      <c r="NKC3" s="2"/>
      <c r="NKD3" s="2"/>
      <c r="NKE3" s="2"/>
      <c r="NKF3" s="2"/>
      <c r="NKG3" s="2"/>
      <c r="NKH3" s="2"/>
      <c r="NKI3" s="2"/>
      <c r="NKJ3" s="2"/>
      <c r="NKK3" s="2"/>
      <c r="NKL3" s="2"/>
      <c r="NKM3" s="2"/>
      <c r="NKN3" s="2"/>
      <c r="NKO3" s="2"/>
      <c r="NKP3" s="2"/>
      <c r="NKQ3" s="2"/>
      <c r="NKR3" s="2"/>
      <c r="NKS3" s="2"/>
      <c r="NKT3" s="2"/>
      <c r="NKU3" s="2"/>
      <c r="NKV3" s="2"/>
      <c r="NKW3" s="2"/>
      <c r="NKX3" s="2"/>
      <c r="NKY3" s="2"/>
      <c r="NKZ3" s="2"/>
      <c r="NLA3" s="2"/>
      <c r="NLB3" s="2"/>
      <c r="NLC3" s="2"/>
      <c r="NLD3" s="2"/>
      <c r="NLE3" s="2"/>
      <c r="NLF3" s="2"/>
      <c r="NLG3" s="2"/>
      <c r="NLH3" s="2"/>
      <c r="NLI3" s="2"/>
      <c r="NLJ3" s="2"/>
      <c r="NLK3" s="2"/>
      <c r="NLL3" s="2"/>
      <c r="NLM3" s="2"/>
      <c r="NLN3" s="2"/>
      <c r="NLO3" s="2"/>
      <c r="NLP3" s="2"/>
      <c r="NLQ3" s="2"/>
      <c r="NLR3" s="2"/>
      <c r="NLS3" s="2"/>
      <c r="NLT3" s="2"/>
      <c r="NLU3" s="2"/>
      <c r="NLV3" s="2"/>
      <c r="NLW3" s="2"/>
      <c r="NLX3" s="2"/>
      <c r="NLY3" s="2"/>
      <c r="NLZ3" s="2"/>
      <c r="NMA3" s="2"/>
      <c r="NMB3" s="2"/>
      <c r="NMC3" s="2"/>
      <c r="NMD3" s="2"/>
      <c r="NME3" s="2"/>
      <c r="NMF3" s="2"/>
      <c r="NMG3" s="2"/>
      <c r="NMH3" s="2"/>
      <c r="NMI3" s="2"/>
      <c r="NMJ3" s="2"/>
      <c r="NMK3" s="2"/>
      <c r="NML3" s="2"/>
      <c r="NMM3" s="2"/>
      <c r="NMN3" s="2"/>
      <c r="NMO3" s="2"/>
      <c r="NMP3" s="2"/>
      <c r="NMQ3" s="2"/>
      <c r="NMR3" s="2"/>
      <c r="NMS3" s="2"/>
      <c r="NMT3" s="2"/>
      <c r="NMU3" s="2"/>
      <c r="NMV3" s="2"/>
      <c r="NMW3" s="2"/>
      <c r="NMX3" s="2"/>
      <c r="NMY3" s="2"/>
      <c r="NMZ3" s="2"/>
      <c r="NNA3" s="2"/>
      <c r="NNB3" s="2"/>
      <c r="NNC3" s="2"/>
      <c r="NND3" s="2"/>
      <c r="NNE3" s="2"/>
      <c r="NNF3" s="2"/>
      <c r="NNG3" s="2"/>
      <c r="NNH3" s="2"/>
      <c r="NNI3" s="2"/>
      <c r="NNJ3" s="2"/>
      <c r="NNK3" s="2"/>
      <c r="NNL3" s="2"/>
      <c r="NNM3" s="2"/>
      <c r="NNN3" s="2"/>
      <c r="NNO3" s="2"/>
      <c r="NNP3" s="2"/>
      <c r="NNQ3" s="2"/>
      <c r="NNR3" s="2"/>
      <c r="NNS3" s="2"/>
      <c r="NNT3" s="2"/>
      <c r="NNU3" s="2"/>
      <c r="NNV3" s="2"/>
      <c r="NNW3" s="2"/>
      <c r="NNX3" s="2"/>
      <c r="NNY3" s="2"/>
      <c r="NNZ3" s="2"/>
      <c r="NOA3" s="2"/>
      <c r="NOB3" s="2"/>
      <c r="NOC3" s="2"/>
      <c r="NOD3" s="2"/>
      <c r="NOE3" s="2"/>
      <c r="NOF3" s="2"/>
      <c r="NOG3" s="2"/>
      <c r="NOH3" s="2"/>
      <c r="NOI3" s="2"/>
      <c r="NOJ3" s="2"/>
      <c r="NOK3" s="2"/>
      <c r="NOL3" s="2"/>
      <c r="NOM3" s="2"/>
      <c r="NON3" s="2"/>
      <c r="NOO3" s="2"/>
      <c r="NOP3" s="2"/>
      <c r="NOQ3" s="2"/>
      <c r="NOR3" s="2"/>
      <c r="NOS3" s="2"/>
      <c r="NOT3" s="2"/>
      <c r="NOU3" s="2"/>
      <c r="NOV3" s="2"/>
      <c r="NOW3" s="2"/>
      <c r="NOX3" s="2"/>
      <c r="NOY3" s="2"/>
      <c r="NOZ3" s="2"/>
      <c r="NPA3" s="2"/>
      <c r="NPB3" s="2"/>
      <c r="NPC3" s="2"/>
      <c r="NPD3" s="2"/>
      <c r="NPE3" s="2"/>
      <c r="NPF3" s="2"/>
      <c r="NPG3" s="2"/>
      <c r="NPH3" s="2"/>
      <c r="NPI3" s="2"/>
      <c r="NPJ3" s="2"/>
      <c r="NPK3" s="2"/>
      <c r="NPL3" s="2"/>
      <c r="NPM3" s="2"/>
      <c r="NPN3" s="2"/>
      <c r="NPO3" s="2"/>
      <c r="NPP3" s="2"/>
      <c r="NPQ3" s="2"/>
      <c r="NPR3" s="2"/>
      <c r="NPS3" s="2"/>
      <c r="NPT3" s="2"/>
      <c r="NPU3" s="2"/>
      <c r="NPV3" s="2"/>
      <c r="NPW3" s="2"/>
      <c r="NPX3" s="2"/>
      <c r="NPY3" s="2"/>
      <c r="NPZ3" s="2"/>
      <c r="NQA3" s="2"/>
      <c r="NQB3" s="2"/>
      <c r="NQC3" s="2"/>
      <c r="NQD3" s="2"/>
      <c r="NQE3" s="2"/>
      <c r="NQF3" s="2"/>
      <c r="NQG3" s="2"/>
      <c r="NQH3" s="2"/>
      <c r="NQI3" s="2"/>
      <c r="NQJ3" s="2"/>
      <c r="NQK3" s="2"/>
      <c r="NQL3" s="2"/>
      <c r="NQM3" s="2"/>
      <c r="NQN3" s="2"/>
      <c r="NQO3" s="2"/>
      <c r="NQP3" s="2"/>
      <c r="NQQ3" s="2"/>
      <c r="NQR3" s="2"/>
      <c r="NQS3" s="2"/>
      <c r="NQT3" s="2"/>
      <c r="NQU3" s="2"/>
      <c r="NQV3" s="2"/>
      <c r="NQW3" s="2"/>
      <c r="NQX3" s="2"/>
      <c r="NQY3" s="2"/>
      <c r="NQZ3" s="2"/>
      <c r="NRA3" s="2"/>
      <c r="NRB3" s="2"/>
      <c r="NRC3" s="2"/>
      <c r="NRD3" s="2"/>
      <c r="NRE3" s="2"/>
      <c r="NRF3" s="2"/>
      <c r="NRG3" s="2"/>
      <c r="NRH3" s="2"/>
      <c r="NRI3" s="2"/>
      <c r="NRJ3" s="2"/>
      <c r="NRK3" s="2"/>
      <c r="NRL3" s="2"/>
      <c r="NRM3" s="2"/>
      <c r="NRN3" s="2"/>
      <c r="NRO3" s="2"/>
      <c r="NRP3" s="2"/>
      <c r="NRQ3" s="2"/>
      <c r="NRR3" s="2"/>
      <c r="NRS3" s="2"/>
      <c r="NRT3" s="2"/>
      <c r="NRU3" s="2"/>
      <c r="NRV3" s="2"/>
      <c r="NRW3" s="2"/>
      <c r="NRX3" s="2"/>
      <c r="NRY3" s="2"/>
      <c r="NRZ3" s="2"/>
      <c r="NSA3" s="2"/>
      <c r="NSB3" s="2"/>
      <c r="NSC3" s="2"/>
      <c r="NSD3" s="2"/>
      <c r="NSE3" s="2"/>
      <c r="NSF3" s="2"/>
      <c r="NSG3" s="2"/>
      <c r="NSH3" s="2"/>
      <c r="NSI3" s="2"/>
      <c r="NSJ3" s="2"/>
      <c r="NSK3" s="2"/>
      <c r="NSL3" s="2"/>
      <c r="NSM3" s="2"/>
      <c r="NSN3" s="2"/>
      <c r="NSO3" s="2"/>
      <c r="NSP3" s="2"/>
      <c r="NSQ3" s="2"/>
      <c r="NSR3" s="2"/>
      <c r="NSS3" s="2"/>
      <c r="NST3" s="2"/>
      <c r="NSU3" s="2"/>
      <c r="NSV3" s="2"/>
      <c r="NSW3" s="2"/>
      <c r="NSX3" s="2"/>
      <c r="NSY3" s="2"/>
      <c r="NSZ3" s="2"/>
      <c r="NTA3" s="2"/>
      <c r="NTB3" s="2"/>
      <c r="NTC3" s="2"/>
      <c r="NTD3" s="2"/>
      <c r="NTE3" s="2"/>
      <c r="NTF3" s="2"/>
      <c r="NTG3" s="2"/>
      <c r="NTH3" s="2"/>
      <c r="NTI3" s="2"/>
      <c r="NTJ3" s="2"/>
      <c r="NTK3" s="2"/>
      <c r="NTL3" s="2"/>
      <c r="NTM3" s="2"/>
      <c r="NTN3" s="2"/>
      <c r="NTO3" s="2"/>
      <c r="NTP3" s="2"/>
      <c r="NTQ3" s="2"/>
      <c r="NTR3" s="2"/>
      <c r="NTS3" s="2"/>
      <c r="NTT3" s="2"/>
      <c r="NTU3" s="2"/>
      <c r="NTV3" s="2"/>
      <c r="NTW3" s="2"/>
      <c r="NTX3" s="2"/>
      <c r="NTY3" s="2"/>
      <c r="NTZ3" s="2"/>
      <c r="NUA3" s="2"/>
      <c r="NUB3" s="2"/>
      <c r="NUC3" s="2"/>
      <c r="NUD3" s="2"/>
      <c r="NUE3" s="2"/>
      <c r="NUF3" s="2"/>
      <c r="NUG3" s="2"/>
      <c r="NUH3" s="2"/>
      <c r="NUI3" s="2"/>
      <c r="NUJ3" s="2"/>
      <c r="NUK3" s="2"/>
      <c r="NUL3" s="2"/>
      <c r="NUM3" s="2"/>
      <c r="NUN3" s="2"/>
      <c r="NUO3" s="2"/>
      <c r="NUP3" s="2"/>
      <c r="NUQ3" s="2"/>
      <c r="NUR3" s="2"/>
      <c r="NUS3" s="2"/>
      <c r="NUT3" s="2"/>
      <c r="NUU3" s="2"/>
      <c r="NUV3" s="2"/>
      <c r="NUW3" s="2"/>
      <c r="NUX3" s="2"/>
      <c r="NUY3" s="2"/>
      <c r="NUZ3" s="2"/>
      <c r="NVA3" s="2"/>
      <c r="NVB3" s="2"/>
      <c r="NVC3" s="2"/>
      <c r="NVD3" s="2"/>
      <c r="NVE3" s="2"/>
      <c r="NVF3" s="2"/>
      <c r="NVG3" s="2"/>
      <c r="NVH3" s="2"/>
      <c r="NVI3" s="2"/>
      <c r="NVJ3" s="2"/>
      <c r="NVK3" s="2"/>
      <c r="NVL3" s="2"/>
      <c r="NVM3" s="2"/>
      <c r="NVN3" s="2"/>
      <c r="NVO3" s="2"/>
      <c r="NVP3" s="2"/>
      <c r="NVQ3" s="2"/>
      <c r="NVR3" s="2"/>
      <c r="NVS3" s="2"/>
      <c r="NVT3" s="2"/>
      <c r="NVU3" s="2"/>
      <c r="NVV3" s="2"/>
      <c r="NVW3" s="2"/>
      <c r="NVX3" s="2"/>
      <c r="NVY3" s="2"/>
      <c r="NVZ3" s="2"/>
      <c r="NWA3" s="2"/>
      <c r="NWB3" s="2"/>
      <c r="NWC3" s="2"/>
      <c r="NWD3" s="2"/>
      <c r="NWE3" s="2"/>
      <c r="NWF3" s="2"/>
      <c r="NWG3" s="2"/>
      <c r="NWH3" s="2"/>
      <c r="NWI3" s="2"/>
      <c r="NWJ3" s="2"/>
      <c r="NWK3" s="2"/>
      <c r="NWL3" s="2"/>
      <c r="NWM3" s="2"/>
      <c r="NWN3" s="2"/>
      <c r="NWO3" s="2"/>
      <c r="NWP3" s="2"/>
      <c r="NWQ3" s="2"/>
      <c r="NWR3" s="2"/>
      <c r="NWS3" s="2"/>
      <c r="NWT3" s="2"/>
      <c r="NWU3" s="2"/>
      <c r="NWV3" s="2"/>
      <c r="NWW3" s="2"/>
      <c r="NWX3" s="2"/>
      <c r="NWY3" s="2"/>
      <c r="NWZ3" s="2"/>
      <c r="NXA3" s="2"/>
      <c r="NXB3" s="2"/>
      <c r="NXC3" s="2"/>
      <c r="NXD3" s="2"/>
      <c r="NXE3" s="2"/>
      <c r="NXF3" s="2"/>
      <c r="NXG3" s="2"/>
      <c r="NXH3" s="2"/>
      <c r="NXI3" s="2"/>
      <c r="NXJ3" s="2"/>
      <c r="NXK3" s="2"/>
      <c r="NXL3" s="2"/>
      <c r="NXM3" s="2"/>
      <c r="NXN3" s="2"/>
      <c r="NXO3" s="2"/>
      <c r="NXP3" s="2"/>
      <c r="NXQ3" s="2"/>
      <c r="NXR3" s="2"/>
      <c r="NXS3" s="2"/>
      <c r="NXT3" s="2"/>
      <c r="NXU3" s="2"/>
      <c r="NXV3" s="2"/>
      <c r="NXW3" s="2"/>
      <c r="NXX3" s="2"/>
      <c r="NXY3" s="2"/>
      <c r="NXZ3" s="2"/>
      <c r="NYA3" s="2"/>
      <c r="NYB3" s="2"/>
      <c r="NYC3" s="2"/>
      <c r="NYD3" s="2"/>
      <c r="NYE3" s="2"/>
      <c r="NYF3" s="2"/>
      <c r="NYG3" s="2"/>
      <c r="NYH3" s="2"/>
      <c r="NYI3" s="2"/>
      <c r="NYJ3" s="2"/>
      <c r="NYK3" s="2"/>
      <c r="NYL3" s="2"/>
      <c r="NYM3" s="2"/>
      <c r="NYN3" s="2"/>
      <c r="NYO3" s="2"/>
      <c r="NYP3" s="2"/>
      <c r="NYQ3" s="2"/>
      <c r="NYR3" s="2"/>
      <c r="NYS3" s="2"/>
      <c r="NYT3" s="2"/>
      <c r="NYU3" s="2"/>
      <c r="NYV3" s="2"/>
      <c r="NYW3" s="2"/>
      <c r="NYX3" s="2"/>
      <c r="NYY3" s="2"/>
      <c r="NYZ3" s="2"/>
      <c r="NZA3" s="2"/>
      <c r="NZB3" s="2"/>
      <c r="NZC3" s="2"/>
      <c r="NZD3" s="2"/>
      <c r="NZE3" s="2"/>
      <c r="NZF3" s="2"/>
      <c r="NZG3" s="2"/>
      <c r="NZH3" s="2"/>
      <c r="NZI3" s="2"/>
      <c r="NZJ3" s="2"/>
      <c r="NZK3" s="2"/>
      <c r="NZL3" s="2"/>
      <c r="NZM3" s="2"/>
      <c r="NZN3" s="2"/>
      <c r="NZO3" s="2"/>
      <c r="NZP3" s="2"/>
      <c r="NZQ3" s="2"/>
      <c r="NZR3" s="2"/>
      <c r="NZS3" s="2"/>
      <c r="NZT3" s="2"/>
      <c r="NZU3" s="2"/>
      <c r="NZV3" s="2"/>
      <c r="NZW3" s="2"/>
      <c r="NZX3" s="2"/>
      <c r="NZY3" s="2"/>
      <c r="NZZ3" s="2"/>
      <c r="OAA3" s="2"/>
      <c r="OAB3" s="2"/>
      <c r="OAC3" s="2"/>
      <c r="OAD3" s="2"/>
      <c r="OAE3" s="2"/>
      <c r="OAF3" s="2"/>
      <c r="OAG3" s="2"/>
      <c r="OAH3" s="2"/>
      <c r="OAI3" s="2"/>
      <c r="OAJ3" s="2"/>
      <c r="OAK3" s="2"/>
      <c r="OAL3" s="2"/>
      <c r="OAM3" s="2"/>
      <c r="OAN3" s="2"/>
      <c r="OAO3" s="2"/>
      <c r="OAP3" s="2"/>
      <c r="OAQ3" s="2"/>
      <c r="OAR3" s="2"/>
      <c r="OAS3" s="2"/>
      <c r="OAT3" s="2"/>
      <c r="OAU3" s="2"/>
      <c r="OAV3" s="2"/>
      <c r="OAW3" s="2"/>
      <c r="OAX3" s="2"/>
      <c r="OAY3" s="2"/>
      <c r="OAZ3" s="2"/>
      <c r="OBA3" s="2"/>
      <c r="OBB3" s="2"/>
      <c r="OBC3" s="2"/>
      <c r="OBD3" s="2"/>
      <c r="OBE3" s="2"/>
      <c r="OBF3" s="2"/>
      <c r="OBG3" s="2"/>
      <c r="OBH3" s="2"/>
      <c r="OBI3" s="2"/>
      <c r="OBJ3" s="2"/>
      <c r="OBK3" s="2"/>
      <c r="OBL3" s="2"/>
      <c r="OBM3" s="2"/>
      <c r="OBN3" s="2"/>
      <c r="OBO3" s="2"/>
      <c r="OBP3" s="2"/>
      <c r="OBQ3" s="2"/>
      <c r="OBR3" s="2"/>
      <c r="OBS3" s="2"/>
      <c r="OBT3" s="2"/>
      <c r="OBU3" s="2"/>
      <c r="OBV3" s="2"/>
      <c r="OBW3" s="2"/>
      <c r="OBX3" s="2"/>
      <c r="OBY3" s="2"/>
      <c r="OBZ3" s="2"/>
      <c r="OCA3" s="2"/>
      <c r="OCB3" s="2"/>
      <c r="OCC3" s="2"/>
      <c r="OCD3" s="2"/>
      <c r="OCE3" s="2"/>
      <c r="OCF3" s="2"/>
      <c r="OCG3" s="2"/>
      <c r="OCH3" s="2"/>
      <c r="OCI3" s="2"/>
      <c r="OCJ3" s="2"/>
      <c r="OCK3" s="2"/>
      <c r="OCL3" s="2"/>
      <c r="OCM3" s="2"/>
      <c r="OCN3" s="2"/>
      <c r="OCO3" s="2"/>
      <c r="OCP3" s="2"/>
      <c r="OCQ3" s="2"/>
      <c r="OCR3" s="2"/>
      <c r="OCS3" s="2"/>
      <c r="OCT3" s="2"/>
      <c r="OCU3" s="2"/>
      <c r="OCV3" s="2"/>
      <c r="OCW3" s="2"/>
      <c r="OCX3" s="2"/>
      <c r="OCY3" s="2"/>
      <c r="OCZ3" s="2"/>
      <c r="ODA3" s="2"/>
      <c r="ODB3" s="2"/>
      <c r="ODC3" s="2"/>
      <c r="ODD3" s="2"/>
      <c r="ODE3" s="2"/>
      <c r="ODF3" s="2"/>
      <c r="ODG3" s="2"/>
      <c r="ODH3" s="2"/>
      <c r="ODI3" s="2"/>
      <c r="ODJ3" s="2"/>
      <c r="ODK3" s="2"/>
      <c r="ODL3" s="2"/>
      <c r="ODM3" s="2"/>
      <c r="ODN3" s="2"/>
      <c r="ODO3" s="2"/>
      <c r="ODP3" s="2"/>
      <c r="ODQ3" s="2"/>
      <c r="ODR3" s="2"/>
      <c r="ODS3" s="2"/>
      <c r="ODT3" s="2"/>
      <c r="ODU3" s="2"/>
      <c r="ODV3" s="2"/>
      <c r="ODW3" s="2"/>
      <c r="ODX3" s="2"/>
      <c r="ODY3" s="2"/>
      <c r="ODZ3" s="2"/>
      <c r="OEA3" s="2"/>
      <c r="OEB3" s="2"/>
      <c r="OEC3" s="2"/>
      <c r="OED3" s="2"/>
      <c r="OEE3" s="2"/>
      <c r="OEF3" s="2"/>
      <c r="OEG3" s="2"/>
      <c r="OEH3" s="2"/>
      <c r="OEI3" s="2"/>
      <c r="OEJ3" s="2"/>
      <c r="OEK3" s="2"/>
      <c r="OEL3" s="2"/>
      <c r="OEM3" s="2"/>
      <c r="OEN3" s="2"/>
      <c r="OEO3" s="2"/>
      <c r="OEP3" s="2"/>
      <c r="OEQ3" s="2"/>
      <c r="OER3" s="2"/>
      <c r="OES3" s="2"/>
      <c r="OET3" s="2"/>
      <c r="OEU3" s="2"/>
      <c r="OEV3" s="2"/>
      <c r="OEW3" s="2"/>
      <c r="OEX3" s="2"/>
      <c r="OEY3" s="2"/>
      <c r="OEZ3" s="2"/>
      <c r="OFA3" s="2"/>
      <c r="OFB3" s="2"/>
      <c r="OFC3" s="2"/>
      <c r="OFD3" s="2"/>
      <c r="OFE3" s="2"/>
      <c r="OFF3" s="2"/>
      <c r="OFG3" s="2"/>
      <c r="OFH3" s="2"/>
      <c r="OFI3" s="2"/>
      <c r="OFJ3" s="2"/>
      <c r="OFK3" s="2"/>
      <c r="OFL3" s="2"/>
      <c r="OFM3" s="2"/>
      <c r="OFN3" s="2"/>
      <c r="OFO3" s="2"/>
      <c r="OFP3" s="2"/>
      <c r="OFQ3" s="2"/>
      <c r="OFR3" s="2"/>
      <c r="OFS3" s="2"/>
      <c r="OFT3" s="2"/>
      <c r="OFU3" s="2"/>
      <c r="OFV3" s="2"/>
      <c r="OFW3" s="2"/>
      <c r="OFX3" s="2"/>
      <c r="OFY3" s="2"/>
      <c r="OFZ3" s="2"/>
      <c r="OGA3" s="2"/>
      <c r="OGB3" s="2"/>
      <c r="OGC3" s="2"/>
      <c r="OGD3" s="2"/>
      <c r="OGE3" s="2"/>
      <c r="OGF3" s="2"/>
      <c r="OGG3" s="2"/>
      <c r="OGH3" s="2"/>
      <c r="OGI3" s="2"/>
      <c r="OGJ3" s="2"/>
      <c r="OGK3" s="2"/>
      <c r="OGL3" s="2"/>
      <c r="OGM3" s="2"/>
      <c r="OGN3" s="2"/>
      <c r="OGO3" s="2"/>
      <c r="OGP3" s="2"/>
      <c r="OGQ3" s="2"/>
      <c r="OGR3" s="2"/>
      <c r="OGS3" s="2"/>
      <c r="OGT3" s="2"/>
      <c r="OGU3" s="2"/>
      <c r="OGV3" s="2"/>
      <c r="OGW3" s="2"/>
      <c r="OGX3" s="2"/>
      <c r="OGY3" s="2"/>
      <c r="OGZ3" s="2"/>
      <c r="OHA3" s="2"/>
      <c r="OHB3" s="2"/>
      <c r="OHC3" s="2"/>
      <c r="OHD3" s="2"/>
      <c r="OHE3" s="2"/>
      <c r="OHF3" s="2"/>
      <c r="OHG3" s="2"/>
      <c r="OHH3" s="2"/>
      <c r="OHI3" s="2"/>
      <c r="OHJ3" s="2"/>
      <c r="OHK3" s="2"/>
      <c r="OHL3" s="2"/>
      <c r="OHM3" s="2"/>
      <c r="OHN3" s="2"/>
      <c r="OHO3" s="2"/>
      <c r="OHP3" s="2"/>
      <c r="OHQ3" s="2"/>
      <c r="OHR3" s="2"/>
      <c r="OHS3" s="2"/>
      <c r="OHT3" s="2"/>
      <c r="OHU3" s="2"/>
      <c r="OHV3" s="2"/>
      <c r="OHW3" s="2"/>
      <c r="OHX3" s="2"/>
      <c r="OHY3" s="2"/>
      <c r="OHZ3" s="2"/>
      <c r="OIA3" s="2"/>
      <c r="OIB3" s="2"/>
      <c r="OIC3" s="2"/>
      <c r="OID3" s="2"/>
      <c r="OIE3" s="2"/>
      <c r="OIF3" s="2"/>
      <c r="OIG3" s="2"/>
      <c r="OIH3" s="2"/>
      <c r="OII3" s="2"/>
      <c r="OIJ3" s="2"/>
      <c r="OIK3" s="2"/>
      <c r="OIL3" s="2"/>
      <c r="OIM3" s="2"/>
      <c r="OIN3" s="2"/>
      <c r="OIO3" s="2"/>
      <c r="OIP3" s="2"/>
      <c r="OIQ3" s="2"/>
      <c r="OIR3" s="2"/>
      <c r="OIS3" s="2"/>
      <c r="OIT3" s="2"/>
      <c r="OIU3" s="2"/>
      <c r="OIV3" s="2"/>
      <c r="OIW3" s="2"/>
      <c r="OIX3" s="2"/>
      <c r="OIY3" s="2"/>
      <c r="OIZ3" s="2"/>
      <c r="OJA3" s="2"/>
      <c r="OJB3" s="2"/>
      <c r="OJC3" s="2"/>
      <c r="OJD3" s="2"/>
      <c r="OJE3" s="2"/>
      <c r="OJF3" s="2"/>
      <c r="OJG3" s="2"/>
      <c r="OJH3" s="2"/>
      <c r="OJI3" s="2"/>
      <c r="OJJ3" s="2"/>
      <c r="OJK3" s="2"/>
      <c r="OJL3" s="2"/>
      <c r="OJM3" s="2"/>
      <c r="OJN3" s="2"/>
      <c r="OJO3" s="2"/>
      <c r="OJP3" s="2"/>
      <c r="OJQ3" s="2"/>
      <c r="OJR3" s="2"/>
      <c r="OJS3" s="2"/>
      <c r="OJT3" s="2"/>
      <c r="OJU3" s="2"/>
      <c r="OJV3" s="2"/>
      <c r="OJW3" s="2"/>
      <c r="OJX3" s="2"/>
      <c r="OJY3" s="2"/>
      <c r="OJZ3" s="2"/>
      <c r="OKA3" s="2"/>
      <c r="OKB3" s="2"/>
      <c r="OKC3" s="2"/>
      <c r="OKD3" s="2"/>
      <c r="OKE3" s="2"/>
      <c r="OKF3" s="2"/>
      <c r="OKG3" s="2"/>
      <c r="OKH3" s="2"/>
      <c r="OKI3" s="2"/>
      <c r="OKJ3" s="2"/>
      <c r="OKK3" s="2"/>
      <c r="OKL3" s="2"/>
      <c r="OKM3" s="2"/>
      <c r="OKN3" s="2"/>
      <c r="OKO3" s="2"/>
      <c r="OKP3" s="2"/>
      <c r="OKQ3" s="2"/>
      <c r="OKR3" s="2"/>
      <c r="OKS3" s="2"/>
      <c r="OKT3" s="2"/>
      <c r="OKU3" s="2"/>
      <c r="OKV3" s="2"/>
      <c r="OKW3" s="2"/>
      <c r="OKX3" s="2"/>
      <c r="OKY3" s="2"/>
      <c r="OKZ3" s="2"/>
      <c r="OLA3" s="2"/>
      <c r="OLB3" s="2"/>
      <c r="OLC3" s="2"/>
      <c r="OLD3" s="2"/>
      <c r="OLE3" s="2"/>
      <c r="OLF3" s="2"/>
      <c r="OLG3" s="2"/>
      <c r="OLH3" s="2"/>
      <c r="OLI3" s="2"/>
      <c r="OLJ3" s="2"/>
      <c r="OLK3" s="2"/>
      <c r="OLL3" s="2"/>
      <c r="OLM3" s="2"/>
      <c r="OLN3" s="2"/>
      <c r="OLO3" s="2"/>
      <c r="OLP3" s="2"/>
      <c r="OLQ3" s="2"/>
      <c r="OLR3" s="2"/>
      <c r="OLS3" s="2"/>
      <c r="OLT3" s="2"/>
      <c r="OLU3" s="2"/>
      <c r="OLV3" s="2"/>
      <c r="OLW3" s="2"/>
      <c r="OLX3" s="2"/>
      <c r="OLY3" s="2"/>
      <c r="OLZ3" s="2"/>
      <c r="OMA3" s="2"/>
      <c r="OMB3" s="2"/>
      <c r="OMC3" s="2"/>
      <c r="OMD3" s="2"/>
      <c r="OME3" s="2"/>
      <c r="OMF3" s="2"/>
      <c r="OMG3" s="2"/>
      <c r="OMH3" s="2"/>
      <c r="OMI3" s="2"/>
      <c r="OMJ3" s="2"/>
      <c r="OMK3" s="2"/>
      <c r="OML3" s="2"/>
      <c r="OMM3" s="2"/>
      <c r="OMN3" s="2"/>
      <c r="OMO3" s="2"/>
      <c r="OMP3" s="2"/>
      <c r="OMQ3" s="2"/>
      <c r="OMR3" s="2"/>
      <c r="OMS3" s="2"/>
      <c r="OMT3" s="2"/>
      <c r="OMU3" s="2"/>
      <c r="OMV3" s="2"/>
      <c r="OMW3" s="2"/>
      <c r="OMX3" s="2"/>
      <c r="OMY3" s="2"/>
      <c r="OMZ3" s="2"/>
      <c r="ONA3" s="2"/>
      <c r="ONB3" s="2"/>
      <c r="ONC3" s="2"/>
      <c r="OND3" s="2"/>
      <c r="ONE3" s="2"/>
      <c r="ONF3" s="2"/>
      <c r="ONG3" s="2"/>
      <c r="ONH3" s="2"/>
      <c r="ONI3" s="2"/>
      <c r="ONJ3" s="2"/>
      <c r="ONK3" s="2"/>
      <c r="ONL3" s="2"/>
      <c r="ONM3" s="2"/>
      <c r="ONN3" s="2"/>
      <c r="ONO3" s="2"/>
      <c r="ONP3" s="2"/>
      <c r="ONQ3" s="2"/>
      <c r="ONR3" s="2"/>
      <c r="ONS3" s="2"/>
      <c r="ONT3" s="2"/>
      <c r="ONU3" s="2"/>
      <c r="ONV3" s="2"/>
      <c r="ONW3" s="2"/>
      <c r="ONX3" s="2"/>
      <c r="ONY3" s="2"/>
      <c r="ONZ3" s="2"/>
      <c r="OOA3" s="2"/>
      <c r="OOB3" s="2"/>
      <c r="OOC3" s="2"/>
      <c r="OOD3" s="2"/>
      <c r="OOE3" s="2"/>
      <c r="OOF3" s="2"/>
      <c r="OOG3" s="2"/>
      <c r="OOH3" s="2"/>
      <c r="OOI3" s="2"/>
      <c r="OOJ3" s="2"/>
      <c r="OOK3" s="2"/>
      <c r="OOL3" s="2"/>
      <c r="OOM3" s="2"/>
      <c r="OON3" s="2"/>
      <c r="OOO3" s="2"/>
      <c r="OOP3" s="2"/>
      <c r="OOQ3" s="2"/>
      <c r="OOR3" s="2"/>
      <c r="OOS3" s="2"/>
      <c r="OOT3" s="2"/>
      <c r="OOU3" s="2"/>
      <c r="OOV3" s="2"/>
      <c r="OOW3" s="2"/>
      <c r="OOX3" s="2"/>
      <c r="OOY3" s="2"/>
      <c r="OOZ3" s="2"/>
      <c r="OPA3" s="2"/>
      <c r="OPB3" s="2"/>
      <c r="OPC3" s="2"/>
      <c r="OPD3" s="2"/>
      <c r="OPE3" s="2"/>
      <c r="OPF3" s="2"/>
      <c r="OPG3" s="2"/>
      <c r="OPH3" s="2"/>
      <c r="OPI3" s="2"/>
      <c r="OPJ3" s="2"/>
      <c r="OPK3" s="2"/>
      <c r="OPL3" s="2"/>
      <c r="OPM3" s="2"/>
      <c r="OPN3" s="2"/>
      <c r="OPO3" s="2"/>
      <c r="OPP3" s="2"/>
      <c r="OPQ3" s="2"/>
      <c r="OPR3" s="2"/>
      <c r="OPS3" s="2"/>
      <c r="OPT3" s="2"/>
      <c r="OPU3" s="2"/>
      <c r="OPV3" s="2"/>
      <c r="OPW3" s="2"/>
      <c r="OPX3" s="2"/>
      <c r="OPY3" s="2"/>
      <c r="OPZ3" s="2"/>
      <c r="OQA3" s="2"/>
      <c r="OQB3" s="2"/>
      <c r="OQC3" s="2"/>
      <c r="OQD3" s="2"/>
      <c r="OQE3" s="2"/>
      <c r="OQF3" s="2"/>
      <c r="OQG3" s="2"/>
      <c r="OQH3" s="2"/>
      <c r="OQI3" s="2"/>
      <c r="OQJ3" s="2"/>
      <c r="OQK3" s="2"/>
      <c r="OQL3" s="2"/>
      <c r="OQM3" s="2"/>
      <c r="OQN3" s="2"/>
      <c r="OQO3" s="2"/>
      <c r="OQP3" s="2"/>
      <c r="OQQ3" s="2"/>
      <c r="OQR3" s="2"/>
      <c r="OQS3" s="2"/>
      <c r="OQT3" s="2"/>
      <c r="OQU3" s="2"/>
      <c r="OQV3" s="2"/>
      <c r="OQW3" s="2"/>
      <c r="OQX3" s="2"/>
      <c r="OQY3" s="2"/>
      <c r="OQZ3" s="2"/>
      <c r="ORA3" s="2"/>
      <c r="ORB3" s="2"/>
      <c r="ORC3" s="2"/>
      <c r="ORD3" s="2"/>
      <c r="ORE3" s="2"/>
      <c r="ORF3" s="2"/>
      <c r="ORG3" s="2"/>
      <c r="ORH3" s="2"/>
      <c r="ORI3" s="2"/>
      <c r="ORJ3" s="2"/>
      <c r="ORK3" s="2"/>
      <c r="ORL3" s="2"/>
      <c r="ORM3" s="2"/>
      <c r="ORN3" s="2"/>
      <c r="ORO3" s="2"/>
      <c r="ORP3" s="2"/>
      <c r="ORQ3" s="2"/>
      <c r="ORR3" s="2"/>
      <c r="ORS3" s="2"/>
      <c r="ORT3" s="2"/>
      <c r="ORU3" s="2"/>
      <c r="ORV3" s="2"/>
      <c r="ORW3" s="2"/>
      <c r="ORX3" s="2"/>
      <c r="ORY3" s="2"/>
      <c r="ORZ3" s="2"/>
      <c r="OSA3" s="2"/>
      <c r="OSB3" s="2"/>
      <c r="OSC3" s="2"/>
      <c r="OSD3" s="2"/>
      <c r="OSE3" s="2"/>
      <c r="OSF3" s="2"/>
      <c r="OSG3" s="2"/>
      <c r="OSH3" s="2"/>
      <c r="OSI3" s="2"/>
      <c r="OSJ3" s="2"/>
      <c r="OSK3" s="2"/>
      <c r="OSL3" s="2"/>
      <c r="OSM3" s="2"/>
      <c r="OSN3" s="2"/>
      <c r="OSO3" s="2"/>
      <c r="OSP3" s="2"/>
      <c r="OSQ3" s="2"/>
      <c r="OSR3" s="2"/>
      <c r="OSS3" s="2"/>
      <c r="OST3" s="2"/>
      <c r="OSU3" s="2"/>
      <c r="OSV3" s="2"/>
      <c r="OSW3" s="2"/>
      <c r="OSX3" s="2"/>
      <c r="OSY3" s="2"/>
      <c r="OSZ3" s="2"/>
      <c r="OTA3" s="2"/>
      <c r="OTB3" s="2"/>
      <c r="OTC3" s="2"/>
      <c r="OTD3" s="2"/>
      <c r="OTE3" s="2"/>
      <c r="OTF3" s="2"/>
      <c r="OTG3" s="2"/>
      <c r="OTH3" s="2"/>
      <c r="OTI3" s="2"/>
      <c r="OTJ3" s="2"/>
      <c r="OTK3" s="2"/>
      <c r="OTL3" s="2"/>
      <c r="OTM3" s="2"/>
      <c r="OTN3" s="2"/>
      <c r="OTO3" s="2"/>
      <c r="OTP3" s="2"/>
      <c r="OTQ3" s="2"/>
      <c r="OTR3" s="2"/>
      <c r="OTS3" s="2"/>
      <c r="OTT3" s="2"/>
      <c r="OTU3" s="2"/>
      <c r="OTV3" s="2"/>
      <c r="OTW3" s="2"/>
      <c r="OTX3" s="2"/>
      <c r="OTY3" s="2"/>
      <c r="OTZ3" s="2"/>
      <c r="OUA3" s="2"/>
      <c r="OUB3" s="2"/>
      <c r="OUC3" s="2"/>
      <c r="OUD3" s="2"/>
      <c r="OUE3" s="2"/>
      <c r="OUF3" s="2"/>
      <c r="OUG3" s="2"/>
      <c r="OUH3" s="2"/>
      <c r="OUI3" s="2"/>
      <c r="OUJ3" s="2"/>
      <c r="OUK3" s="2"/>
      <c r="OUL3" s="2"/>
      <c r="OUM3" s="2"/>
      <c r="OUN3" s="2"/>
      <c r="OUO3" s="2"/>
      <c r="OUP3" s="2"/>
      <c r="OUQ3" s="2"/>
      <c r="OUR3" s="2"/>
      <c r="OUS3" s="2"/>
      <c r="OUT3" s="2"/>
      <c r="OUU3" s="2"/>
      <c r="OUV3" s="2"/>
      <c r="OUW3" s="2"/>
      <c r="OUX3" s="2"/>
      <c r="OUY3" s="2"/>
      <c r="OUZ3" s="2"/>
      <c r="OVA3" s="2"/>
      <c r="OVB3" s="2"/>
      <c r="OVC3" s="2"/>
      <c r="OVD3" s="2"/>
      <c r="OVE3" s="2"/>
      <c r="OVF3" s="2"/>
      <c r="OVG3" s="2"/>
      <c r="OVH3" s="2"/>
      <c r="OVI3" s="2"/>
      <c r="OVJ3" s="2"/>
      <c r="OVK3" s="2"/>
      <c r="OVL3" s="2"/>
      <c r="OVM3" s="2"/>
      <c r="OVN3" s="2"/>
      <c r="OVO3" s="2"/>
      <c r="OVP3" s="2"/>
      <c r="OVQ3" s="2"/>
      <c r="OVR3" s="2"/>
      <c r="OVS3" s="2"/>
      <c r="OVT3" s="2"/>
      <c r="OVU3" s="2"/>
      <c r="OVV3" s="2"/>
      <c r="OVW3" s="2"/>
      <c r="OVX3" s="2"/>
      <c r="OVY3" s="2"/>
      <c r="OVZ3" s="2"/>
      <c r="OWA3" s="2"/>
      <c r="OWB3" s="2"/>
      <c r="OWC3" s="2"/>
      <c r="OWD3" s="2"/>
      <c r="OWE3" s="2"/>
      <c r="OWF3" s="2"/>
      <c r="OWG3" s="2"/>
      <c r="OWH3" s="2"/>
      <c r="OWI3" s="2"/>
      <c r="OWJ3" s="2"/>
      <c r="OWK3" s="2"/>
      <c r="OWL3" s="2"/>
      <c r="OWM3" s="2"/>
      <c r="OWN3" s="2"/>
      <c r="OWO3" s="2"/>
      <c r="OWP3" s="2"/>
      <c r="OWQ3" s="2"/>
      <c r="OWR3" s="2"/>
      <c r="OWS3" s="2"/>
      <c r="OWT3" s="2"/>
      <c r="OWU3" s="2"/>
      <c r="OWV3" s="2"/>
      <c r="OWW3" s="2"/>
      <c r="OWX3" s="2"/>
      <c r="OWY3" s="2"/>
      <c r="OWZ3" s="2"/>
      <c r="OXA3" s="2"/>
      <c r="OXB3" s="2"/>
      <c r="OXC3" s="2"/>
      <c r="OXD3" s="2"/>
      <c r="OXE3" s="2"/>
      <c r="OXF3" s="2"/>
      <c r="OXG3" s="2"/>
      <c r="OXH3" s="2"/>
      <c r="OXI3" s="2"/>
      <c r="OXJ3" s="2"/>
      <c r="OXK3" s="2"/>
      <c r="OXL3" s="2"/>
      <c r="OXM3" s="2"/>
      <c r="OXN3" s="2"/>
      <c r="OXO3" s="2"/>
      <c r="OXP3" s="2"/>
      <c r="OXQ3" s="2"/>
      <c r="OXR3" s="2"/>
      <c r="OXS3" s="2"/>
      <c r="OXT3" s="2"/>
      <c r="OXU3" s="2"/>
      <c r="OXV3" s="2"/>
      <c r="OXW3" s="2"/>
      <c r="OXX3" s="2"/>
      <c r="OXY3" s="2"/>
      <c r="OXZ3" s="2"/>
      <c r="OYA3" s="2"/>
      <c r="OYB3" s="2"/>
      <c r="OYC3" s="2"/>
      <c r="OYD3" s="2"/>
      <c r="OYE3" s="2"/>
      <c r="OYF3" s="2"/>
      <c r="OYG3" s="2"/>
      <c r="OYH3" s="2"/>
      <c r="OYI3" s="2"/>
      <c r="OYJ3" s="2"/>
      <c r="OYK3" s="2"/>
      <c r="OYL3" s="2"/>
      <c r="OYM3" s="2"/>
      <c r="OYN3" s="2"/>
      <c r="OYO3" s="2"/>
      <c r="OYP3" s="2"/>
      <c r="OYQ3" s="2"/>
      <c r="OYR3" s="2"/>
      <c r="OYS3" s="2"/>
      <c r="OYT3" s="2"/>
      <c r="OYU3" s="2"/>
      <c r="OYV3" s="2"/>
      <c r="OYW3" s="2"/>
      <c r="OYX3" s="2"/>
      <c r="OYY3" s="2"/>
      <c r="OYZ3" s="2"/>
      <c r="OZA3" s="2"/>
      <c r="OZB3" s="2"/>
      <c r="OZC3" s="2"/>
      <c r="OZD3" s="2"/>
      <c r="OZE3" s="2"/>
      <c r="OZF3" s="2"/>
      <c r="OZG3" s="2"/>
      <c r="OZH3" s="2"/>
      <c r="OZI3" s="2"/>
      <c r="OZJ3" s="2"/>
      <c r="OZK3" s="2"/>
      <c r="OZL3" s="2"/>
      <c r="OZM3" s="2"/>
      <c r="OZN3" s="2"/>
      <c r="OZO3" s="2"/>
      <c r="OZP3" s="2"/>
      <c r="OZQ3" s="2"/>
      <c r="OZR3" s="2"/>
      <c r="OZS3" s="2"/>
      <c r="OZT3" s="2"/>
      <c r="OZU3" s="2"/>
      <c r="OZV3" s="2"/>
      <c r="OZW3" s="2"/>
      <c r="OZX3" s="2"/>
      <c r="OZY3" s="2"/>
      <c r="OZZ3" s="2"/>
      <c r="PAA3" s="2"/>
      <c r="PAB3" s="2"/>
      <c r="PAC3" s="2"/>
      <c r="PAD3" s="2"/>
      <c r="PAE3" s="2"/>
      <c r="PAF3" s="2"/>
      <c r="PAG3" s="2"/>
      <c r="PAH3" s="2"/>
      <c r="PAI3" s="2"/>
      <c r="PAJ3" s="2"/>
      <c r="PAK3" s="2"/>
      <c r="PAL3" s="2"/>
      <c r="PAM3" s="2"/>
      <c r="PAN3" s="2"/>
      <c r="PAO3" s="2"/>
      <c r="PAP3" s="2"/>
      <c r="PAQ3" s="2"/>
      <c r="PAR3" s="2"/>
      <c r="PAS3" s="2"/>
      <c r="PAT3" s="2"/>
      <c r="PAU3" s="2"/>
      <c r="PAV3" s="2"/>
      <c r="PAW3" s="2"/>
      <c r="PAX3" s="2"/>
      <c r="PAY3" s="2"/>
      <c r="PAZ3" s="2"/>
      <c r="PBA3" s="2"/>
      <c r="PBB3" s="2"/>
      <c r="PBC3" s="2"/>
      <c r="PBD3" s="2"/>
      <c r="PBE3" s="2"/>
      <c r="PBF3" s="2"/>
      <c r="PBG3" s="2"/>
      <c r="PBH3" s="2"/>
      <c r="PBI3" s="2"/>
      <c r="PBJ3" s="2"/>
      <c r="PBK3" s="2"/>
      <c r="PBL3" s="2"/>
      <c r="PBM3" s="2"/>
      <c r="PBN3" s="2"/>
      <c r="PBO3" s="2"/>
      <c r="PBP3" s="2"/>
      <c r="PBQ3" s="2"/>
      <c r="PBR3" s="2"/>
      <c r="PBS3" s="2"/>
      <c r="PBT3" s="2"/>
      <c r="PBU3" s="2"/>
      <c r="PBV3" s="2"/>
      <c r="PBW3" s="2"/>
      <c r="PBX3" s="2"/>
      <c r="PBY3" s="2"/>
      <c r="PBZ3" s="2"/>
      <c r="PCA3" s="2"/>
      <c r="PCB3" s="2"/>
      <c r="PCC3" s="2"/>
      <c r="PCD3" s="2"/>
      <c r="PCE3" s="2"/>
      <c r="PCF3" s="2"/>
      <c r="PCG3" s="2"/>
      <c r="PCH3" s="2"/>
      <c r="PCI3" s="2"/>
      <c r="PCJ3" s="2"/>
      <c r="PCK3" s="2"/>
      <c r="PCL3" s="2"/>
      <c r="PCM3" s="2"/>
      <c r="PCN3" s="2"/>
      <c r="PCO3" s="2"/>
      <c r="PCP3" s="2"/>
      <c r="PCQ3" s="2"/>
      <c r="PCR3" s="2"/>
      <c r="PCS3" s="2"/>
      <c r="PCT3" s="2"/>
      <c r="PCU3" s="2"/>
      <c r="PCV3" s="2"/>
      <c r="PCW3" s="2"/>
      <c r="PCX3" s="2"/>
      <c r="PCY3" s="2"/>
      <c r="PCZ3" s="2"/>
      <c r="PDA3" s="2"/>
      <c r="PDB3" s="2"/>
      <c r="PDC3" s="2"/>
      <c r="PDD3" s="2"/>
      <c r="PDE3" s="2"/>
      <c r="PDF3" s="2"/>
      <c r="PDG3" s="2"/>
      <c r="PDH3" s="2"/>
      <c r="PDI3" s="2"/>
      <c r="PDJ3" s="2"/>
      <c r="PDK3" s="2"/>
      <c r="PDL3" s="2"/>
      <c r="PDM3" s="2"/>
      <c r="PDN3" s="2"/>
      <c r="PDO3" s="2"/>
      <c r="PDP3" s="2"/>
      <c r="PDQ3" s="2"/>
      <c r="PDR3" s="2"/>
      <c r="PDS3" s="2"/>
      <c r="PDT3" s="2"/>
      <c r="PDU3" s="2"/>
      <c r="PDV3" s="2"/>
      <c r="PDW3" s="2"/>
      <c r="PDX3" s="2"/>
      <c r="PDY3" s="2"/>
      <c r="PDZ3" s="2"/>
      <c r="PEA3" s="2"/>
      <c r="PEB3" s="2"/>
      <c r="PEC3" s="2"/>
      <c r="PED3" s="2"/>
      <c r="PEE3" s="2"/>
      <c r="PEF3" s="2"/>
      <c r="PEG3" s="2"/>
      <c r="PEH3" s="2"/>
      <c r="PEI3" s="2"/>
      <c r="PEJ3" s="2"/>
      <c r="PEK3" s="2"/>
      <c r="PEL3" s="2"/>
      <c r="PEM3" s="2"/>
      <c r="PEN3" s="2"/>
      <c r="PEO3" s="2"/>
      <c r="PEP3" s="2"/>
      <c r="PEQ3" s="2"/>
      <c r="PER3" s="2"/>
      <c r="PES3" s="2"/>
      <c r="PET3" s="2"/>
      <c r="PEU3" s="2"/>
      <c r="PEV3" s="2"/>
      <c r="PEW3" s="2"/>
      <c r="PEX3" s="2"/>
      <c r="PEY3" s="2"/>
      <c r="PEZ3" s="2"/>
      <c r="PFA3" s="2"/>
      <c r="PFB3" s="2"/>
      <c r="PFC3" s="2"/>
      <c r="PFD3" s="2"/>
      <c r="PFE3" s="2"/>
      <c r="PFF3" s="2"/>
      <c r="PFG3" s="2"/>
      <c r="PFH3" s="2"/>
      <c r="PFI3" s="2"/>
      <c r="PFJ3" s="2"/>
      <c r="PFK3" s="2"/>
      <c r="PFL3" s="2"/>
      <c r="PFM3" s="2"/>
      <c r="PFN3" s="2"/>
      <c r="PFO3" s="2"/>
      <c r="PFP3" s="2"/>
      <c r="PFQ3" s="2"/>
      <c r="PFR3" s="2"/>
      <c r="PFS3" s="2"/>
      <c r="PFT3" s="2"/>
      <c r="PFU3" s="2"/>
      <c r="PFV3" s="2"/>
      <c r="PFW3" s="2"/>
      <c r="PFX3" s="2"/>
      <c r="PFY3" s="2"/>
      <c r="PFZ3" s="2"/>
      <c r="PGA3" s="2"/>
      <c r="PGB3" s="2"/>
      <c r="PGC3" s="2"/>
      <c r="PGD3" s="2"/>
      <c r="PGE3" s="2"/>
      <c r="PGF3" s="2"/>
      <c r="PGG3" s="2"/>
      <c r="PGH3" s="2"/>
      <c r="PGI3" s="2"/>
      <c r="PGJ3" s="2"/>
      <c r="PGK3" s="2"/>
      <c r="PGL3" s="2"/>
      <c r="PGM3" s="2"/>
      <c r="PGN3" s="2"/>
      <c r="PGO3" s="2"/>
      <c r="PGP3" s="2"/>
      <c r="PGQ3" s="2"/>
      <c r="PGR3" s="2"/>
      <c r="PGS3" s="2"/>
      <c r="PGT3" s="2"/>
      <c r="PGU3" s="2"/>
      <c r="PGV3" s="2"/>
      <c r="PGW3" s="2"/>
      <c r="PGX3" s="2"/>
      <c r="PGY3" s="2"/>
      <c r="PGZ3" s="2"/>
      <c r="PHA3" s="2"/>
      <c r="PHB3" s="2"/>
      <c r="PHC3" s="2"/>
      <c r="PHD3" s="2"/>
      <c r="PHE3" s="2"/>
      <c r="PHF3" s="2"/>
      <c r="PHG3" s="2"/>
      <c r="PHH3" s="2"/>
      <c r="PHI3" s="2"/>
      <c r="PHJ3" s="2"/>
      <c r="PHK3" s="2"/>
      <c r="PHL3" s="2"/>
      <c r="PHM3" s="2"/>
      <c r="PHN3" s="2"/>
      <c r="PHO3" s="2"/>
      <c r="PHP3" s="2"/>
      <c r="PHQ3" s="2"/>
      <c r="PHR3" s="2"/>
      <c r="PHS3" s="2"/>
      <c r="PHT3" s="2"/>
      <c r="PHU3" s="2"/>
      <c r="PHV3" s="2"/>
      <c r="PHW3" s="2"/>
      <c r="PHX3" s="2"/>
      <c r="PHY3" s="2"/>
      <c r="PHZ3" s="2"/>
      <c r="PIA3" s="2"/>
      <c r="PIB3" s="2"/>
      <c r="PIC3" s="2"/>
      <c r="PID3" s="2"/>
      <c r="PIE3" s="2"/>
      <c r="PIF3" s="2"/>
      <c r="PIG3" s="2"/>
      <c r="PIH3" s="2"/>
      <c r="PII3" s="2"/>
      <c r="PIJ3" s="2"/>
      <c r="PIK3" s="2"/>
      <c r="PIL3" s="2"/>
      <c r="PIM3" s="2"/>
      <c r="PIN3" s="2"/>
      <c r="PIO3" s="2"/>
      <c r="PIP3" s="2"/>
      <c r="PIQ3" s="2"/>
      <c r="PIR3" s="2"/>
      <c r="PIS3" s="2"/>
      <c r="PIT3" s="2"/>
      <c r="PIU3" s="2"/>
      <c r="PIV3" s="2"/>
      <c r="PIW3" s="2"/>
      <c r="PIX3" s="2"/>
      <c r="PIY3" s="2"/>
      <c r="PIZ3" s="2"/>
      <c r="PJA3" s="2"/>
      <c r="PJB3" s="2"/>
      <c r="PJC3" s="2"/>
      <c r="PJD3" s="2"/>
      <c r="PJE3" s="2"/>
      <c r="PJF3" s="2"/>
      <c r="PJG3" s="2"/>
      <c r="PJH3" s="2"/>
      <c r="PJI3" s="2"/>
      <c r="PJJ3" s="2"/>
      <c r="PJK3" s="2"/>
      <c r="PJL3" s="2"/>
      <c r="PJM3" s="2"/>
      <c r="PJN3" s="2"/>
      <c r="PJO3" s="2"/>
      <c r="PJP3" s="2"/>
      <c r="PJQ3" s="2"/>
      <c r="PJR3" s="2"/>
      <c r="PJS3" s="2"/>
      <c r="PJT3" s="2"/>
      <c r="PJU3" s="2"/>
      <c r="PJV3" s="2"/>
      <c r="PJW3" s="2"/>
      <c r="PJX3" s="2"/>
      <c r="PJY3" s="2"/>
      <c r="PJZ3" s="2"/>
      <c r="PKA3" s="2"/>
      <c r="PKB3" s="2"/>
      <c r="PKC3" s="2"/>
      <c r="PKD3" s="2"/>
      <c r="PKE3" s="2"/>
      <c r="PKF3" s="2"/>
      <c r="PKG3" s="2"/>
      <c r="PKH3" s="2"/>
      <c r="PKI3" s="2"/>
      <c r="PKJ3" s="2"/>
      <c r="PKK3" s="2"/>
      <c r="PKL3" s="2"/>
      <c r="PKM3" s="2"/>
      <c r="PKN3" s="2"/>
      <c r="PKO3" s="2"/>
      <c r="PKP3" s="2"/>
      <c r="PKQ3" s="2"/>
      <c r="PKR3" s="2"/>
      <c r="PKS3" s="2"/>
      <c r="PKT3" s="2"/>
      <c r="PKU3" s="2"/>
      <c r="PKV3" s="2"/>
      <c r="PKW3" s="2"/>
      <c r="PKX3" s="2"/>
      <c r="PKY3" s="2"/>
      <c r="PKZ3" s="2"/>
      <c r="PLA3" s="2"/>
      <c r="PLB3" s="2"/>
      <c r="PLC3" s="2"/>
      <c r="PLD3" s="2"/>
      <c r="PLE3" s="2"/>
      <c r="PLF3" s="2"/>
      <c r="PLG3" s="2"/>
      <c r="PLH3" s="2"/>
      <c r="PLI3" s="2"/>
      <c r="PLJ3" s="2"/>
      <c r="PLK3" s="2"/>
      <c r="PLL3" s="2"/>
      <c r="PLM3" s="2"/>
      <c r="PLN3" s="2"/>
      <c r="PLO3" s="2"/>
      <c r="PLP3" s="2"/>
      <c r="PLQ3" s="2"/>
      <c r="PLR3" s="2"/>
      <c r="PLS3" s="2"/>
      <c r="PLT3" s="2"/>
      <c r="PLU3" s="2"/>
      <c r="PLV3" s="2"/>
      <c r="PLW3" s="2"/>
      <c r="PLX3" s="2"/>
      <c r="PLY3" s="2"/>
      <c r="PLZ3" s="2"/>
      <c r="PMA3" s="2"/>
      <c r="PMB3" s="2"/>
      <c r="PMC3" s="2"/>
      <c r="PMD3" s="2"/>
      <c r="PME3" s="2"/>
      <c r="PMF3" s="2"/>
      <c r="PMG3" s="2"/>
      <c r="PMH3" s="2"/>
      <c r="PMI3" s="2"/>
      <c r="PMJ3" s="2"/>
      <c r="PMK3" s="2"/>
      <c r="PML3" s="2"/>
      <c r="PMM3" s="2"/>
      <c r="PMN3" s="2"/>
      <c r="PMO3" s="2"/>
      <c r="PMP3" s="2"/>
      <c r="PMQ3" s="2"/>
      <c r="PMR3" s="2"/>
      <c r="PMS3" s="2"/>
      <c r="PMT3" s="2"/>
      <c r="PMU3" s="2"/>
      <c r="PMV3" s="2"/>
      <c r="PMW3" s="2"/>
      <c r="PMX3" s="2"/>
      <c r="PMY3" s="2"/>
      <c r="PMZ3" s="2"/>
      <c r="PNA3" s="2"/>
      <c r="PNB3" s="2"/>
      <c r="PNC3" s="2"/>
      <c r="PND3" s="2"/>
      <c r="PNE3" s="2"/>
      <c r="PNF3" s="2"/>
      <c r="PNG3" s="2"/>
      <c r="PNH3" s="2"/>
      <c r="PNI3" s="2"/>
      <c r="PNJ3" s="2"/>
      <c r="PNK3" s="2"/>
      <c r="PNL3" s="2"/>
      <c r="PNM3" s="2"/>
      <c r="PNN3" s="2"/>
      <c r="PNO3" s="2"/>
      <c r="PNP3" s="2"/>
      <c r="PNQ3" s="2"/>
      <c r="PNR3" s="2"/>
      <c r="PNS3" s="2"/>
      <c r="PNT3" s="2"/>
      <c r="PNU3" s="2"/>
      <c r="PNV3" s="2"/>
      <c r="PNW3" s="2"/>
      <c r="PNX3" s="2"/>
      <c r="PNY3" s="2"/>
      <c r="PNZ3" s="2"/>
      <c r="POA3" s="2"/>
      <c r="POB3" s="2"/>
      <c r="POC3" s="2"/>
      <c r="POD3" s="2"/>
      <c r="POE3" s="2"/>
      <c r="POF3" s="2"/>
      <c r="POG3" s="2"/>
      <c r="POH3" s="2"/>
      <c r="POI3" s="2"/>
      <c r="POJ3" s="2"/>
      <c r="POK3" s="2"/>
      <c r="POL3" s="2"/>
      <c r="POM3" s="2"/>
      <c r="PON3" s="2"/>
      <c r="POO3" s="2"/>
      <c r="POP3" s="2"/>
      <c r="POQ3" s="2"/>
      <c r="POR3" s="2"/>
      <c r="POS3" s="2"/>
      <c r="POT3" s="2"/>
      <c r="POU3" s="2"/>
      <c r="POV3" s="2"/>
      <c r="POW3" s="2"/>
      <c r="POX3" s="2"/>
      <c r="POY3" s="2"/>
      <c r="POZ3" s="2"/>
      <c r="PPA3" s="2"/>
      <c r="PPB3" s="2"/>
      <c r="PPC3" s="2"/>
      <c r="PPD3" s="2"/>
      <c r="PPE3" s="2"/>
      <c r="PPF3" s="2"/>
      <c r="PPG3" s="2"/>
      <c r="PPH3" s="2"/>
      <c r="PPI3" s="2"/>
      <c r="PPJ3" s="2"/>
      <c r="PPK3" s="2"/>
      <c r="PPL3" s="2"/>
      <c r="PPM3" s="2"/>
      <c r="PPN3" s="2"/>
      <c r="PPO3" s="2"/>
      <c r="PPP3" s="2"/>
      <c r="PPQ3" s="2"/>
      <c r="PPR3" s="2"/>
      <c r="PPS3" s="2"/>
      <c r="PPT3" s="2"/>
      <c r="PPU3" s="2"/>
      <c r="PPV3" s="2"/>
      <c r="PPW3" s="2"/>
      <c r="PPX3" s="2"/>
      <c r="PPY3" s="2"/>
      <c r="PPZ3" s="2"/>
      <c r="PQA3" s="2"/>
      <c r="PQB3" s="2"/>
      <c r="PQC3" s="2"/>
      <c r="PQD3" s="2"/>
      <c r="PQE3" s="2"/>
      <c r="PQF3" s="2"/>
      <c r="PQG3" s="2"/>
      <c r="PQH3" s="2"/>
      <c r="PQI3" s="2"/>
      <c r="PQJ3" s="2"/>
      <c r="PQK3" s="2"/>
      <c r="PQL3" s="2"/>
      <c r="PQM3" s="2"/>
      <c r="PQN3" s="2"/>
      <c r="PQO3" s="2"/>
      <c r="PQP3" s="2"/>
      <c r="PQQ3" s="2"/>
      <c r="PQR3" s="2"/>
      <c r="PQS3" s="2"/>
      <c r="PQT3" s="2"/>
      <c r="PQU3" s="2"/>
      <c r="PQV3" s="2"/>
      <c r="PQW3" s="2"/>
      <c r="PQX3" s="2"/>
      <c r="PQY3" s="2"/>
      <c r="PQZ3" s="2"/>
      <c r="PRA3" s="2"/>
      <c r="PRB3" s="2"/>
      <c r="PRC3" s="2"/>
      <c r="PRD3" s="2"/>
      <c r="PRE3" s="2"/>
      <c r="PRF3" s="2"/>
      <c r="PRG3" s="2"/>
      <c r="PRH3" s="2"/>
      <c r="PRI3" s="2"/>
      <c r="PRJ3" s="2"/>
      <c r="PRK3" s="2"/>
      <c r="PRL3" s="2"/>
      <c r="PRM3" s="2"/>
      <c r="PRN3" s="2"/>
      <c r="PRO3" s="2"/>
      <c r="PRP3" s="2"/>
      <c r="PRQ3" s="2"/>
      <c r="PRR3" s="2"/>
      <c r="PRS3" s="2"/>
      <c r="PRT3" s="2"/>
      <c r="PRU3" s="2"/>
      <c r="PRV3" s="2"/>
      <c r="PRW3" s="2"/>
      <c r="PRX3" s="2"/>
      <c r="PRY3" s="2"/>
      <c r="PRZ3" s="2"/>
      <c r="PSA3" s="2"/>
      <c r="PSB3" s="2"/>
      <c r="PSC3" s="2"/>
      <c r="PSD3" s="2"/>
      <c r="PSE3" s="2"/>
      <c r="PSF3" s="2"/>
      <c r="PSG3" s="2"/>
      <c r="PSH3" s="2"/>
      <c r="PSI3" s="2"/>
      <c r="PSJ3" s="2"/>
      <c r="PSK3" s="2"/>
      <c r="PSL3" s="2"/>
      <c r="PSM3" s="2"/>
      <c r="PSN3" s="2"/>
      <c r="PSO3" s="2"/>
      <c r="PSP3" s="2"/>
      <c r="PSQ3" s="2"/>
      <c r="PSR3" s="2"/>
      <c r="PSS3" s="2"/>
      <c r="PST3" s="2"/>
      <c r="PSU3" s="2"/>
      <c r="PSV3" s="2"/>
      <c r="PSW3" s="2"/>
      <c r="PSX3" s="2"/>
      <c r="PSY3" s="2"/>
      <c r="PSZ3" s="2"/>
      <c r="PTA3" s="2"/>
      <c r="PTB3" s="2"/>
      <c r="PTC3" s="2"/>
      <c r="PTD3" s="2"/>
      <c r="PTE3" s="2"/>
      <c r="PTF3" s="2"/>
      <c r="PTG3" s="2"/>
      <c r="PTH3" s="2"/>
      <c r="PTI3" s="2"/>
      <c r="PTJ3" s="2"/>
      <c r="PTK3" s="2"/>
      <c r="PTL3" s="2"/>
      <c r="PTM3" s="2"/>
      <c r="PTN3" s="2"/>
      <c r="PTO3" s="2"/>
      <c r="PTP3" s="2"/>
      <c r="PTQ3" s="2"/>
      <c r="PTR3" s="2"/>
      <c r="PTS3" s="2"/>
      <c r="PTT3" s="2"/>
      <c r="PTU3" s="2"/>
      <c r="PTV3" s="2"/>
      <c r="PTW3" s="2"/>
      <c r="PTX3" s="2"/>
      <c r="PTY3" s="2"/>
      <c r="PTZ3" s="2"/>
      <c r="PUA3" s="2"/>
      <c r="PUB3" s="2"/>
      <c r="PUC3" s="2"/>
      <c r="PUD3" s="2"/>
      <c r="PUE3" s="2"/>
      <c r="PUF3" s="2"/>
      <c r="PUG3" s="2"/>
      <c r="PUH3" s="2"/>
      <c r="PUI3" s="2"/>
      <c r="PUJ3" s="2"/>
      <c r="PUK3" s="2"/>
      <c r="PUL3" s="2"/>
      <c r="PUM3" s="2"/>
      <c r="PUN3" s="2"/>
      <c r="PUO3" s="2"/>
      <c r="PUP3" s="2"/>
      <c r="PUQ3" s="2"/>
      <c r="PUR3" s="2"/>
      <c r="PUS3" s="2"/>
      <c r="PUT3" s="2"/>
      <c r="PUU3" s="2"/>
      <c r="PUV3" s="2"/>
      <c r="PUW3" s="2"/>
      <c r="PUX3" s="2"/>
      <c r="PUY3" s="2"/>
      <c r="PUZ3" s="2"/>
      <c r="PVA3" s="2"/>
      <c r="PVB3" s="2"/>
      <c r="PVC3" s="2"/>
      <c r="PVD3" s="2"/>
      <c r="PVE3" s="2"/>
      <c r="PVF3" s="2"/>
      <c r="PVG3" s="2"/>
      <c r="PVH3" s="2"/>
      <c r="PVI3" s="2"/>
      <c r="PVJ3" s="2"/>
      <c r="PVK3" s="2"/>
      <c r="PVL3" s="2"/>
      <c r="PVM3" s="2"/>
      <c r="PVN3" s="2"/>
      <c r="PVO3" s="2"/>
      <c r="PVP3" s="2"/>
      <c r="PVQ3" s="2"/>
      <c r="PVR3" s="2"/>
      <c r="PVS3" s="2"/>
      <c r="PVT3" s="2"/>
      <c r="PVU3" s="2"/>
      <c r="PVV3" s="2"/>
      <c r="PVW3" s="2"/>
      <c r="PVX3" s="2"/>
      <c r="PVY3" s="2"/>
      <c r="PVZ3" s="2"/>
      <c r="PWA3" s="2"/>
      <c r="PWB3" s="2"/>
      <c r="PWC3" s="2"/>
      <c r="PWD3" s="2"/>
      <c r="PWE3" s="2"/>
      <c r="PWF3" s="2"/>
      <c r="PWG3" s="2"/>
      <c r="PWH3" s="2"/>
      <c r="PWI3" s="2"/>
      <c r="PWJ3" s="2"/>
      <c r="PWK3" s="2"/>
      <c r="PWL3" s="2"/>
      <c r="PWM3" s="2"/>
      <c r="PWN3" s="2"/>
      <c r="PWO3" s="2"/>
      <c r="PWP3" s="2"/>
      <c r="PWQ3" s="2"/>
      <c r="PWR3" s="2"/>
      <c r="PWS3" s="2"/>
      <c r="PWT3" s="2"/>
      <c r="PWU3" s="2"/>
      <c r="PWV3" s="2"/>
      <c r="PWW3" s="2"/>
      <c r="PWX3" s="2"/>
      <c r="PWY3" s="2"/>
      <c r="PWZ3" s="2"/>
      <c r="PXA3" s="2"/>
      <c r="PXB3" s="2"/>
      <c r="PXC3" s="2"/>
      <c r="PXD3" s="2"/>
      <c r="PXE3" s="2"/>
      <c r="PXF3" s="2"/>
      <c r="PXG3" s="2"/>
      <c r="PXH3" s="2"/>
      <c r="PXI3" s="2"/>
      <c r="PXJ3" s="2"/>
      <c r="PXK3" s="2"/>
      <c r="PXL3" s="2"/>
      <c r="PXM3" s="2"/>
      <c r="PXN3" s="2"/>
      <c r="PXO3" s="2"/>
      <c r="PXP3" s="2"/>
      <c r="PXQ3" s="2"/>
      <c r="PXR3" s="2"/>
      <c r="PXS3" s="2"/>
      <c r="PXT3" s="2"/>
      <c r="PXU3" s="2"/>
      <c r="PXV3" s="2"/>
      <c r="PXW3" s="2"/>
      <c r="PXX3" s="2"/>
      <c r="PXY3" s="2"/>
      <c r="PXZ3" s="2"/>
      <c r="PYA3" s="2"/>
      <c r="PYB3" s="2"/>
      <c r="PYC3" s="2"/>
      <c r="PYD3" s="2"/>
      <c r="PYE3" s="2"/>
      <c r="PYF3" s="2"/>
      <c r="PYG3" s="2"/>
      <c r="PYH3" s="2"/>
      <c r="PYI3" s="2"/>
      <c r="PYJ3" s="2"/>
      <c r="PYK3" s="2"/>
      <c r="PYL3" s="2"/>
      <c r="PYM3" s="2"/>
      <c r="PYN3" s="2"/>
      <c r="PYO3" s="2"/>
      <c r="PYP3" s="2"/>
      <c r="PYQ3" s="2"/>
      <c r="PYR3" s="2"/>
      <c r="PYS3" s="2"/>
      <c r="PYT3" s="2"/>
      <c r="PYU3" s="2"/>
      <c r="PYV3" s="2"/>
      <c r="PYW3" s="2"/>
      <c r="PYX3" s="2"/>
      <c r="PYY3" s="2"/>
      <c r="PYZ3" s="2"/>
      <c r="PZA3" s="2"/>
      <c r="PZB3" s="2"/>
      <c r="PZC3" s="2"/>
      <c r="PZD3" s="2"/>
      <c r="PZE3" s="2"/>
      <c r="PZF3" s="2"/>
      <c r="PZG3" s="2"/>
      <c r="PZH3" s="2"/>
      <c r="PZI3" s="2"/>
      <c r="PZJ3" s="2"/>
      <c r="PZK3" s="2"/>
      <c r="PZL3" s="2"/>
      <c r="PZM3" s="2"/>
      <c r="PZN3" s="2"/>
      <c r="PZO3" s="2"/>
      <c r="PZP3" s="2"/>
      <c r="PZQ3" s="2"/>
      <c r="PZR3" s="2"/>
      <c r="PZS3" s="2"/>
      <c r="PZT3" s="2"/>
      <c r="PZU3" s="2"/>
      <c r="PZV3" s="2"/>
      <c r="PZW3" s="2"/>
      <c r="PZX3" s="2"/>
      <c r="PZY3" s="2"/>
      <c r="PZZ3" s="2"/>
      <c r="QAA3" s="2"/>
      <c r="QAB3" s="2"/>
      <c r="QAC3" s="2"/>
      <c r="QAD3" s="2"/>
      <c r="QAE3" s="2"/>
      <c r="QAF3" s="2"/>
      <c r="QAG3" s="2"/>
      <c r="QAH3" s="2"/>
      <c r="QAI3" s="2"/>
      <c r="QAJ3" s="2"/>
      <c r="QAK3" s="2"/>
      <c r="QAL3" s="2"/>
      <c r="QAM3" s="2"/>
      <c r="QAN3" s="2"/>
      <c r="QAO3" s="2"/>
      <c r="QAP3" s="2"/>
      <c r="QAQ3" s="2"/>
      <c r="QAR3" s="2"/>
      <c r="QAS3" s="2"/>
      <c r="QAT3" s="2"/>
      <c r="QAU3" s="2"/>
      <c r="QAV3" s="2"/>
      <c r="QAW3" s="2"/>
      <c r="QAX3" s="2"/>
      <c r="QAY3" s="2"/>
      <c r="QAZ3" s="2"/>
      <c r="QBA3" s="2"/>
      <c r="QBB3" s="2"/>
      <c r="QBC3" s="2"/>
      <c r="QBD3" s="2"/>
      <c r="QBE3" s="2"/>
      <c r="QBF3" s="2"/>
      <c r="QBG3" s="2"/>
      <c r="QBH3" s="2"/>
      <c r="QBI3" s="2"/>
      <c r="QBJ3" s="2"/>
      <c r="QBK3" s="2"/>
      <c r="QBL3" s="2"/>
      <c r="QBM3" s="2"/>
      <c r="QBN3" s="2"/>
      <c r="QBO3" s="2"/>
      <c r="QBP3" s="2"/>
      <c r="QBQ3" s="2"/>
      <c r="QBR3" s="2"/>
      <c r="QBS3" s="2"/>
      <c r="QBT3" s="2"/>
      <c r="QBU3" s="2"/>
      <c r="QBV3" s="2"/>
      <c r="QBW3" s="2"/>
      <c r="QBX3" s="2"/>
      <c r="QBY3" s="2"/>
      <c r="QBZ3" s="2"/>
      <c r="QCA3" s="2"/>
      <c r="QCB3" s="2"/>
      <c r="QCC3" s="2"/>
      <c r="QCD3" s="2"/>
      <c r="QCE3" s="2"/>
      <c r="QCF3" s="2"/>
      <c r="QCG3" s="2"/>
      <c r="QCH3" s="2"/>
      <c r="QCI3" s="2"/>
      <c r="QCJ3" s="2"/>
      <c r="QCK3" s="2"/>
      <c r="QCL3" s="2"/>
      <c r="QCM3" s="2"/>
      <c r="QCN3" s="2"/>
      <c r="QCO3" s="2"/>
      <c r="QCP3" s="2"/>
      <c r="QCQ3" s="2"/>
      <c r="QCR3" s="2"/>
      <c r="QCS3" s="2"/>
      <c r="QCT3" s="2"/>
      <c r="QCU3" s="2"/>
      <c r="QCV3" s="2"/>
      <c r="QCW3" s="2"/>
      <c r="QCX3" s="2"/>
      <c r="QCY3" s="2"/>
      <c r="QCZ3" s="2"/>
      <c r="QDA3" s="2"/>
      <c r="QDB3" s="2"/>
      <c r="QDC3" s="2"/>
      <c r="QDD3" s="2"/>
      <c r="QDE3" s="2"/>
      <c r="QDF3" s="2"/>
      <c r="QDG3" s="2"/>
      <c r="QDH3" s="2"/>
      <c r="QDI3" s="2"/>
      <c r="QDJ3" s="2"/>
      <c r="QDK3" s="2"/>
      <c r="QDL3" s="2"/>
      <c r="QDM3" s="2"/>
      <c r="QDN3" s="2"/>
      <c r="QDO3" s="2"/>
      <c r="QDP3" s="2"/>
      <c r="QDQ3" s="2"/>
      <c r="QDR3" s="2"/>
      <c r="QDS3" s="2"/>
      <c r="QDT3" s="2"/>
      <c r="QDU3" s="2"/>
      <c r="QDV3" s="2"/>
      <c r="QDW3" s="2"/>
      <c r="QDX3" s="2"/>
      <c r="QDY3" s="2"/>
      <c r="QDZ3" s="2"/>
      <c r="QEA3" s="2"/>
      <c r="QEB3" s="2"/>
      <c r="QEC3" s="2"/>
      <c r="QED3" s="2"/>
      <c r="QEE3" s="2"/>
      <c r="QEF3" s="2"/>
      <c r="QEG3" s="2"/>
      <c r="QEH3" s="2"/>
      <c r="QEI3" s="2"/>
      <c r="QEJ3" s="2"/>
      <c r="QEK3" s="2"/>
      <c r="QEL3" s="2"/>
      <c r="QEM3" s="2"/>
      <c r="QEN3" s="2"/>
      <c r="QEO3" s="2"/>
      <c r="QEP3" s="2"/>
      <c r="QEQ3" s="2"/>
      <c r="QER3" s="2"/>
      <c r="QES3" s="2"/>
      <c r="QET3" s="2"/>
      <c r="QEU3" s="2"/>
      <c r="QEV3" s="2"/>
      <c r="QEW3" s="2"/>
      <c r="QEX3" s="2"/>
      <c r="QEY3" s="2"/>
      <c r="QEZ3" s="2"/>
      <c r="QFA3" s="2"/>
      <c r="QFB3" s="2"/>
      <c r="QFC3" s="2"/>
      <c r="QFD3" s="2"/>
      <c r="QFE3" s="2"/>
      <c r="QFF3" s="2"/>
      <c r="QFG3" s="2"/>
      <c r="QFH3" s="2"/>
      <c r="QFI3" s="2"/>
      <c r="QFJ3" s="2"/>
      <c r="QFK3" s="2"/>
      <c r="QFL3" s="2"/>
      <c r="QFM3" s="2"/>
      <c r="QFN3" s="2"/>
      <c r="QFO3" s="2"/>
      <c r="QFP3" s="2"/>
      <c r="QFQ3" s="2"/>
      <c r="QFR3" s="2"/>
      <c r="QFS3" s="2"/>
      <c r="QFT3" s="2"/>
      <c r="QFU3" s="2"/>
      <c r="QFV3" s="2"/>
      <c r="QFW3" s="2"/>
      <c r="QFX3" s="2"/>
      <c r="QFY3" s="2"/>
      <c r="QFZ3" s="2"/>
      <c r="QGA3" s="2"/>
      <c r="QGB3" s="2"/>
      <c r="QGC3" s="2"/>
      <c r="QGD3" s="2"/>
      <c r="QGE3" s="2"/>
      <c r="QGF3" s="2"/>
      <c r="QGG3" s="2"/>
      <c r="QGH3" s="2"/>
      <c r="QGI3" s="2"/>
      <c r="QGJ3" s="2"/>
      <c r="QGK3" s="2"/>
      <c r="QGL3" s="2"/>
      <c r="QGM3" s="2"/>
      <c r="QGN3" s="2"/>
      <c r="QGO3" s="2"/>
      <c r="QGP3" s="2"/>
      <c r="QGQ3" s="2"/>
      <c r="QGR3" s="2"/>
      <c r="QGS3" s="2"/>
      <c r="QGT3" s="2"/>
      <c r="QGU3" s="2"/>
      <c r="QGV3" s="2"/>
      <c r="QGW3" s="2"/>
      <c r="QGX3" s="2"/>
      <c r="QGY3" s="2"/>
      <c r="QGZ3" s="2"/>
      <c r="QHA3" s="2"/>
      <c r="QHB3" s="2"/>
      <c r="QHC3" s="2"/>
      <c r="QHD3" s="2"/>
      <c r="QHE3" s="2"/>
      <c r="QHF3" s="2"/>
      <c r="QHG3" s="2"/>
      <c r="QHH3" s="2"/>
      <c r="QHI3" s="2"/>
      <c r="QHJ3" s="2"/>
      <c r="QHK3" s="2"/>
      <c r="QHL3" s="2"/>
      <c r="QHM3" s="2"/>
      <c r="QHN3" s="2"/>
      <c r="QHO3" s="2"/>
      <c r="QHP3" s="2"/>
      <c r="QHQ3" s="2"/>
      <c r="QHR3" s="2"/>
      <c r="QHS3" s="2"/>
      <c r="QHT3" s="2"/>
      <c r="QHU3" s="2"/>
      <c r="QHV3" s="2"/>
      <c r="QHW3" s="2"/>
      <c r="QHX3" s="2"/>
      <c r="QHY3" s="2"/>
      <c r="QHZ3" s="2"/>
      <c r="QIA3" s="2"/>
      <c r="QIB3" s="2"/>
      <c r="QIC3" s="2"/>
      <c r="QID3" s="2"/>
      <c r="QIE3" s="2"/>
      <c r="QIF3" s="2"/>
      <c r="QIG3" s="2"/>
      <c r="QIH3" s="2"/>
      <c r="QII3" s="2"/>
      <c r="QIJ3" s="2"/>
      <c r="QIK3" s="2"/>
      <c r="QIL3" s="2"/>
      <c r="QIM3" s="2"/>
      <c r="QIN3" s="2"/>
      <c r="QIO3" s="2"/>
      <c r="QIP3" s="2"/>
      <c r="QIQ3" s="2"/>
      <c r="QIR3" s="2"/>
      <c r="QIS3" s="2"/>
      <c r="QIT3" s="2"/>
      <c r="QIU3" s="2"/>
      <c r="QIV3" s="2"/>
      <c r="QIW3" s="2"/>
      <c r="QIX3" s="2"/>
      <c r="QIY3" s="2"/>
      <c r="QIZ3" s="2"/>
      <c r="QJA3" s="2"/>
      <c r="QJB3" s="2"/>
      <c r="QJC3" s="2"/>
      <c r="QJD3" s="2"/>
      <c r="QJE3" s="2"/>
      <c r="QJF3" s="2"/>
      <c r="QJG3" s="2"/>
      <c r="QJH3" s="2"/>
      <c r="QJI3" s="2"/>
      <c r="QJJ3" s="2"/>
      <c r="QJK3" s="2"/>
      <c r="QJL3" s="2"/>
      <c r="QJM3" s="2"/>
      <c r="QJN3" s="2"/>
      <c r="QJO3" s="2"/>
      <c r="QJP3" s="2"/>
      <c r="QJQ3" s="2"/>
      <c r="QJR3" s="2"/>
      <c r="QJS3" s="2"/>
      <c r="QJT3" s="2"/>
      <c r="QJU3" s="2"/>
      <c r="QJV3" s="2"/>
      <c r="QJW3" s="2"/>
      <c r="QJX3" s="2"/>
      <c r="QJY3" s="2"/>
      <c r="QJZ3" s="2"/>
      <c r="QKA3" s="2"/>
      <c r="QKB3" s="2"/>
      <c r="QKC3" s="2"/>
      <c r="QKD3" s="2"/>
      <c r="QKE3" s="2"/>
      <c r="QKF3" s="2"/>
      <c r="QKG3" s="2"/>
      <c r="QKH3" s="2"/>
      <c r="QKI3" s="2"/>
      <c r="QKJ3" s="2"/>
      <c r="QKK3" s="2"/>
      <c r="QKL3" s="2"/>
      <c r="QKM3" s="2"/>
      <c r="QKN3" s="2"/>
      <c r="QKO3" s="2"/>
      <c r="QKP3" s="2"/>
      <c r="QKQ3" s="2"/>
      <c r="QKR3" s="2"/>
      <c r="QKS3" s="2"/>
      <c r="QKT3" s="2"/>
      <c r="QKU3" s="2"/>
      <c r="QKV3" s="2"/>
      <c r="QKW3" s="2"/>
      <c r="QKX3" s="2"/>
      <c r="QKY3" s="2"/>
      <c r="QKZ3" s="2"/>
      <c r="QLA3" s="2"/>
      <c r="QLB3" s="2"/>
      <c r="QLC3" s="2"/>
      <c r="QLD3" s="2"/>
      <c r="QLE3" s="2"/>
      <c r="QLF3" s="2"/>
      <c r="QLG3" s="2"/>
      <c r="QLH3" s="2"/>
      <c r="QLI3" s="2"/>
      <c r="QLJ3" s="2"/>
      <c r="QLK3" s="2"/>
      <c r="QLL3" s="2"/>
      <c r="QLM3" s="2"/>
      <c r="QLN3" s="2"/>
      <c r="QLO3" s="2"/>
      <c r="QLP3" s="2"/>
      <c r="QLQ3" s="2"/>
      <c r="QLR3" s="2"/>
      <c r="QLS3" s="2"/>
      <c r="QLT3" s="2"/>
      <c r="QLU3" s="2"/>
      <c r="QLV3" s="2"/>
      <c r="QLW3" s="2"/>
      <c r="QLX3" s="2"/>
      <c r="QLY3" s="2"/>
      <c r="QLZ3" s="2"/>
      <c r="QMA3" s="2"/>
      <c r="QMB3" s="2"/>
      <c r="QMC3" s="2"/>
      <c r="QMD3" s="2"/>
      <c r="QME3" s="2"/>
      <c r="QMF3" s="2"/>
      <c r="QMG3" s="2"/>
      <c r="QMH3" s="2"/>
      <c r="QMI3" s="2"/>
      <c r="QMJ3" s="2"/>
      <c r="QMK3" s="2"/>
      <c r="QML3" s="2"/>
      <c r="QMM3" s="2"/>
      <c r="QMN3" s="2"/>
      <c r="QMO3" s="2"/>
      <c r="QMP3" s="2"/>
      <c r="QMQ3" s="2"/>
      <c r="QMR3" s="2"/>
      <c r="QMS3" s="2"/>
      <c r="QMT3" s="2"/>
      <c r="QMU3" s="2"/>
      <c r="QMV3" s="2"/>
      <c r="QMW3" s="2"/>
      <c r="QMX3" s="2"/>
      <c r="QMY3" s="2"/>
      <c r="QMZ3" s="2"/>
      <c r="QNA3" s="2"/>
      <c r="QNB3" s="2"/>
      <c r="QNC3" s="2"/>
      <c r="QND3" s="2"/>
      <c r="QNE3" s="2"/>
      <c r="QNF3" s="2"/>
      <c r="QNG3" s="2"/>
      <c r="QNH3" s="2"/>
      <c r="QNI3" s="2"/>
      <c r="QNJ3" s="2"/>
      <c r="QNK3" s="2"/>
      <c r="QNL3" s="2"/>
      <c r="QNM3" s="2"/>
      <c r="QNN3" s="2"/>
      <c r="QNO3" s="2"/>
      <c r="QNP3" s="2"/>
      <c r="QNQ3" s="2"/>
      <c r="QNR3" s="2"/>
      <c r="QNS3" s="2"/>
      <c r="QNT3" s="2"/>
      <c r="QNU3" s="2"/>
      <c r="QNV3" s="2"/>
      <c r="QNW3" s="2"/>
      <c r="QNX3" s="2"/>
      <c r="QNY3" s="2"/>
      <c r="QNZ3" s="2"/>
      <c r="QOA3" s="2"/>
      <c r="QOB3" s="2"/>
      <c r="QOC3" s="2"/>
      <c r="QOD3" s="2"/>
      <c r="QOE3" s="2"/>
      <c r="QOF3" s="2"/>
      <c r="QOG3" s="2"/>
      <c r="QOH3" s="2"/>
      <c r="QOI3" s="2"/>
      <c r="QOJ3" s="2"/>
      <c r="QOK3" s="2"/>
      <c r="QOL3" s="2"/>
      <c r="QOM3" s="2"/>
      <c r="QON3" s="2"/>
      <c r="QOO3" s="2"/>
      <c r="QOP3" s="2"/>
      <c r="QOQ3" s="2"/>
      <c r="QOR3" s="2"/>
      <c r="QOS3" s="2"/>
      <c r="QOT3" s="2"/>
      <c r="QOU3" s="2"/>
      <c r="QOV3" s="2"/>
      <c r="QOW3" s="2"/>
      <c r="QOX3" s="2"/>
      <c r="QOY3" s="2"/>
      <c r="QOZ3" s="2"/>
      <c r="QPA3" s="2"/>
      <c r="QPB3" s="2"/>
      <c r="QPC3" s="2"/>
      <c r="QPD3" s="2"/>
      <c r="QPE3" s="2"/>
      <c r="QPF3" s="2"/>
      <c r="QPG3" s="2"/>
      <c r="QPH3" s="2"/>
      <c r="QPI3" s="2"/>
      <c r="QPJ3" s="2"/>
      <c r="QPK3" s="2"/>
      <c r="QPL3" s="2"/>
      <c r="QPM3" s="2"/>
      <c r="QPN3" s="2"/>
      <c r="QPO3" s="2"/>
      <c r="QPP3" s="2"/>
      <c r="QPQ3" s="2"/>
      <c r="QPR3" s="2"/>
      <c r="QPS3" s="2"/>
      <c r="QPT3" s="2"/>
      <c r="QPU3" s="2"/>
      <c r="QPV3" s="2"/>
      <c r="QPW3" s="2"/>
      <c r="QPX3" s="2"/>
      <c r="QPY3" s="2"/>
      <c r="QPZ3" s="2"/>
      <c r="QQA3" s="2"/>
      <c r="QQB3" s="2"/>
      <c r="QQC3" s="2"/>
      <c r="QQD3" s="2"/>
      <c r="QQE3" s="2"/>
      <c r="QQF3" s="2"/>
      <c r="QQG3" s="2"/>
      <c r="QQH3" s="2"/>
      <c r="QQI3" s="2"/>
      <c r="QQJ3" s="2"/>
      <c r="QQK3" s="2"/>
      <c r="QQL3" s="2"/>
      <c r="QQM3" s="2"/>
      <c r="QQN3" s="2"/>
      <c r="QQO3" s="2"/>
      <c r="QQP3" s="2"/>
      <c r="QQQ3" s="2"/>
      <c r="QQR3" s="2"/>
      <c r="QQS3" s="2"/>
      <c r="QQT3" s="2"/>
      <c r="QQU3" s="2"/>
      <c r="QQV3" s="2"/>
      <c r="QQW3" s="2"/>
      <c r="QQX3" s="2"/>
      <c r="QQY3" s="2"/>
      <c r="QQZ3" s="2"/>
      <c r="QRA3" s="2"/>
      <c r="QRB3" s="2"/>
      <c r="QRC3" s="2"/>
      <c r="QRD3" s="2"/>
      <c r="QRE3" s="2"/>
      <c r="QRF3" s="2"/>
      <c r="QRG3" s="2"/>
      <c r="QRH3" s="2"/>
      <c r="QRI3" s="2"/>
      <c r="QRJ3" s="2"/>
      <c r="QRK3" s="2"/>
      <c r="QRL3" s="2"/>
      <c r="QRM3" s="2"/>
      <c r="QRN3" s="2"/>
      <c r="QRO3" s="2"/>
      <c r="QRP3" s="2"/>
      <c r="QRQ3" s="2"/>
      <c r="QRR3" s="2"/>
      <c r="QRS3" s="2"/>
      <c r="QRT3" s="2"/>
      <c r="QRU3" s="2"/>
      <c r="QRV3" s="2"/>
      <c r="QRW3" s="2"/>
      <c r="QRX3" s="2"/>
      <c r="QRY3" s="2"/>
      <c r="QRZ3" s="2"/>
      <c r="QSA3" s="2"/>
      <c r="QSB3" s="2"/>
      <c r="QSC3" s="2"/>
      <c r="QSD3" s="2"/>
      <c r="QSE3" s="2"/>
      <c r="QSF3" s="2"/>
      <c r="QSG3" s="2"/>
      <c r="QSH3" s="2"/>
      <c r="QSI3" s="2"/>
      <c r="QSJ3" s="2"/>
      <c r="QSK3" s="2"/>
      <c r="QSL3" s="2"/>
      <c r="QSM3" s="2"/>
      <c r="QSN3" s="2"/>
      <c r="QSO3" s="2"/>
      <c r="QSP3" s="2"/>
      <c r="QSQ3" s="2"/>
      <c r="QSR3" s="2"/>
      <c r="QSS3" s="2"/>
      <c r="QST3" s="2"/>
      <c r="QSU3" s="2"/>
      <c r="QSV3" s="2"/>
      <c r="QSW3" s="2"/>
      <c r="QSX3" s="2"/>
      <c r="QSY3" s="2"/>
      <c r="QSZ3" s="2"/>
      <c r="QTA3" s="2"/>
      <c r="QTB3" s="2"/>
      <c r="QTC3" s="2"/>
      <c r="QTD3" s="2"/>
      <c r="QTE3" s="2"/>
      <c r="QTF3" s="2"/>
      <c r="QTG3" s="2"/>
      <c r="QTH3" s="2"/>
      <c r="QTI3" s="2"/>
      <c r="QTJ3" s="2"/>
      <c r="QTK3" s="2"/>
      <c r="QTL3" s="2"/>
      <c r="QTM3" s="2"/>
      <c r="QTN3" s="2"/>
      <c r="QTO3" s="2"/>
      <c r="QTP3" s="2"/>
      <c r="QTQ3" s="2"/>
      <c r="QTR3" s="2"/>
      <c r="QTS3" s="2"/>
      <c r="QTT3" s="2"/>
      <c r="QTU3" s="2"/>
      <c r="QTV3" s="2"/>
      <c r="QTW3" s="2"/>
      <c r="QTX3" s="2"/>
      <c r="QTY3" s="2"/>
      <c r="QTZ3" s="2"/>
      <c r="QUA3" s="2"/>
      <c r="QUB3" s="2"/>
      <c r="QUC3" s="2"/>
      <c r="QUD3" s="2"/>
      <c r="QUE3" s="2"/>
      <c r="QUF3" s="2"/>
      <c r="QUG3" s="2"/>
      <c r="QUH3" s="2"/>
      <c r="QUI3" s="2"/>
      <c r="QUJ3" s="2"/>
      <c r="QUK3" s="2"/>
      <c r="QUL3" s="2"/>
      <c r="QUM3" s="2"/>
      <c r="QUN3" s="2"/>
      <c r="QUO3" s="2"/>
      <c r="QUP3" s="2"/>
      <c r="QUQ3" s="2"/>
      <c r="QUR3" s="2"/>
      <c r="QUS3" s="2"/>
      <c r="QUT3" s="2"/>
      <c r="QUU3" s="2"/>
      <c r="QUV3" s="2"/>
      <c r="QUW3" s="2"/>
      <c r="QUX3" s="2"/>
      <c r="QUY3" s="2"/>
      <c r="QUZ3" s="2"/>
      <c r="QVA3" s="2"/>
      <c r="QVB3" s="2"/>
      <c r="QVC3" s="2"/>
      <c r="QVD3" s="2"/>
      <c r="QVE3" s="2"/>
      <c r="QVF3" s="2"/>
      <c r="QVG3" s="2"/>
      <c r="QVH3" s="2"/>
      <c r="QVI3" s="2"/>
      <c r="QVJ3" s="2"/>
      <c r="QVK3" s="2"/>
      <c r="QVL3" s="2"/>
      <c r="QVM3" s="2"/>
      <c r="QVN3" s="2"/>
      <c r="QVO3" s="2"/>
      <c r="QVP3" s="2"/>
      <c r="QVQ3" s="2"/>
      <c r="QVR3" s="2"/>
      <c r="QVS3" s="2"/>
      <c r="QVT3" s="2"/>
      <c r="QVU3" s="2"/>
      <c r="QVV3" s="2"/>
      <c r="QVW3" s="2"/>
      <c r="QVX3" s="2"/>
      <c r="QVY3" s="2"/>
      <c r="QVZ3" s="2"/>
      <c r="QWA3" s="2"/>
      <c r="QWB3" s="2"/>
      <c r="QWC3" s="2"/>
      <c r="QWD3" s="2"/>
      <c r="QWE3" s="2"/>
      <c r="QWF3" s="2"/>
      <c r="QWG3" s="2"/>
      <c r="QWH3" s="2"/>
      <c r="QWI3" s="2"/>
      <c r="QWJ3" s="2"/>
      <c r="QWK3" s="2"/>
      <c r="QWL3" s="2"/>
      <c r="QWM3" s="2"/>
      <c r="QWN3" s="2"/>
      <c r="QWO3" s="2"/>
      <c r="QWP3" s="2"/>
      <c r="QWQ3" s="2"/>
      <c r="QWR3" s="2"/>
      <c r="QWS3" s="2"/>
      <c r="QWT3" s="2"/>
      <c r="QWU3" s="2"/>
      <c r="QWV3" s="2"/>
      <c r="QWW3" s="2"/>
      <c r="QWX3" s="2"/>
      <c r="QWY3" s="2"/>
      <c r="QWZ3" s="2"/>
      <c r="QXA3" s="2"/>
      <c r="QXB3" s="2"/>
      <c r="QXC3" s="2"/>
      <c r="QXD3" s="2"/>
      <c r="QXE3" s="2"/>
      <c r="QXF3" s="2"/>
      <c r="QXG3" s="2"/>
      <c r="QXH3" s="2"/>
      <c r="QXI3" s="2"/>
      <c r="QXJ3" s="2"/>
      <c r="QXK3" s="2"/>
      <c r="QXL3" s="2"/>
      <c r="QXM3" s="2"/>
      <c r="QXN3" s="2"/>
      <c r="QXO3" s="2"/>
      <c r="QXP3" s="2"/>
      <c r="QXQ3" s="2"/>
      <c r="QXR3" s="2"/>
      <c r="QXS3" s="2"/>
      <c r="QXT3" s="2"/>
      <c r="QXU3" s="2"/>
      <c r="QXV3" s="2"/>
      <c r="QXW3" s="2"/>
      <c r="QXX3" s="2"/>
      <c r="QXY3" s="2"/>
      <c r="QXZ3" s="2"/>
      <c r="QYA3" s="2"/>
      <c r="QYB3" s="2"/>
      <c r="QYC3" s="2"/>
      <c r="QYD3" s="2"/>
      <c r="QYE3" s="2"/>
      <c r="QYF3" s="2"/>
      <c r="QYG3" s="2"/>
      <c r="QYH3" s="2"/>
      <c r="QYI3" s="2"/>
      <c r="QYJ3" s="2"/>
      <c r="QYK3" s="2"/>
      <c r="QYL3" s="2"/>
      <c r="QYM3" s="2"/>
      <c r="QYN3" s="2"/>
      <c r="QYO3" s="2"/>
      <c r="QYP3" s="2"/>
      <c r="QYQ3" s="2"/>
      <c r="QYR3" s="2"/>
      <c r="QYS3" s="2"/>
      <c r="QYT3" s="2"/>
      <c r="QYU3" s="2"/>
      <c r="QYV3" s="2"/>
      <c r="QYW3" s="2"/>
      <c r="QYX3" s="2"/>
      <c r="QYY3" s="2"/>
      <c r="QYZ3" s="2"/>
      <c r="QZA3" s="2"/>
      <c r="QZB3" s="2"/>
      <c r="QZC3" s="2"/>
      <c r="QZD3" s="2"/>
      <c r="QZE3" s="2"/>
      <c r="QZF3" s="2"/>
      <c r="QZG3" s="2"/>
      <c r="QZH3" s="2"/>
      <c r="QZI3" s="2"/>
      <c r="QZJ3" s="2"/>
      <c r="QZK3" s="2"/>
      <c r="QZL3" s="2"/>
      <c r="QZM3" s="2"/>
      <c r="QZN3" s="2"/>
      <c r="QZO3" s="2"/>
      <c r="QZP3" s="2"/>
      <c r="QZQ3" s="2"/>
      <c r="QZR3" s="2"/>
      <c r="QZS3" s="2"/>
      <c r="QZT3" s="2"/>
      <c r="QZU3" s="2"/>
      <c r="QZV3" s="2"/>
      <c r="QZW3" s="2"/>
      <c r="QZX3" s="2"/>
      <c r="QZY3" s="2"/>
      <c r="QZZ3" s="2"/>
      <c r="RAA3" s="2"/>
      <c r="RAB3" s="2"/>
      <c r="RAC3" s="2"/>
      <c r="RAD3" s="2"/>
      <c r="RAE3" s="2"/>
      <c r="RAF3" s="2"/>
      <c r="RAG3" s="2"/>
      <c r="RAH3" s="2"/>
      <c r="RAI3" s="2"/>
      <c r="RAJ3" s="2"/>
      <c r="RAK3" s="2"/>
      <c r="RAL3" s="2"/>
      <c r="RAM3" s="2"/>
      <c r="RAN3" s="2"/>
      <c r="RAO3" s="2"/>
      <c r="RAP3" s="2"/>
      <c r="RAQ3" s="2"/>
      <c r="RAR3" s="2"/>
      <c r="RAS3" s="2"/>
      <c r="RAT3" s="2"/>
      <c r="RAU3" s="2"/>
      <c r="RAV3" s="2"/>
      <c r="RAW3" s="2"/>
      <c r="RAX3" s="2"/>
      <c r="RAY3" s="2"/>
      <c r="RAZ3" s="2"/>
      <c r="RBA3" s="2"/>
      <c r="RBB3" s="2"/>
      <c r="RBC3" s="2"/>
      <c r="RBD3" s="2"/>
      <c r="RBE3" s="2"/>
      <c r="RBF3" s="2"/>
      <c r="RBG3" s="2"/>
      <c r="RBH3" s="2"/>
      <c r="RBI3" s="2"/>
      <c r="RBJ3" s="2"/>
      <c r="RBK3" s="2"/>
      <c r="RBL3" s="2"/>
      <c r="RBM3" s="2"/>
      <c r="RBN3" s="2"/>
      <c r="RBO3" s="2"/>
      <c r="RBP3" s="2"/>
      <c r="RBQ3" s="2"/>
      <c r="RBR3" s="2"/>
      <c r="RBS3" s="2"/>
      <c r="RBT3" s="2"/>
      <c r="RBU3" s="2"/>
      <c r="RBV3" s="2"/>
      <c r="RBW3" s="2"/>
      <c r="RBX3" s="2"/>
      <c r="RBY3" s="2"/>
      <c r="RBZ3" s="2"/>
      <c r="RCA3" s="2"/>
      <c r="RCB3" s="2"/>
      <c r="RCC3" s="2"/>
      <c r="RCD3" s="2"/>
      <c r="RCE3" s="2"/>
      <c r="RCF3" s="2"/>
      <c r="RCG3" s="2"/>
      <c r="RCH3" s="2"/>
      <c r="RCI3" s="2"/>
      <c r="RCJ3" s="2"/>
      <c r="RCK3" s="2"/>
      <c r="RCL3" s="2"/>
      <c r="RCM3" s="2"/>
      <c r="RCN3" s="2"/>
      <c r="RCO3" s="2"/>
      <c r="RCP3" s="2"/>
      <c r="RCQ3" s="2"/>
      <c r="RCR3" s="2"/>
      <c r="RCS3" s="2"/>
      <c r="RCT3" s="2"/>
      <c r="RCU3" s="2"/>
      <c r="RCV3" s="2"/>
      <c r="RCW3" s="2"/>
      <c r="RCX3" s="2"/>
      <c r="RCY3" s="2"/>
      <c r="RCZ3" s="2"/>
      <c r="RDA3" s="2"/>
      <c r="RDB3" s="2"/>
      <c r="RDC3" s="2"/>
      <c r="RDD3" s="2"/>
      <c r="RDE3" s="2"/>
      <c r="RDF3" s="2"/>
      <c r="RDG3" s="2"/>
      <c r="RDH3" s="2"/>
      <c r="RDI3" s="2"/>
      <c r="RDJ3" s="2"/>
      <c r="RDK3" s="2"/>
      <c r="RDL3" s="2"/>
      <c r="RDM3" s="2"/>
      <c r="RDN3" s="2"/>
      <c r="RDO3" s="2"/>
      <c r="RDP3" s="2"/>
      <c r="RDQ3" s="2"/>
      <c r="RDR3" s="2"/>
      <c r="RDS3" s="2"/>
      <c r="RDT3" s="2"/>
      <c r="RDU3" s="2"/>
      <c r="RDV3" s="2"/>
      <c r="RDW3" s="2"/>
      <c r="RDX3" s="2"/>
      <c r="RDY3" s="2"/>
      <c r="RDZ3" s="2"/>
      <c r="REA3" s="2"/>
      <c r="REB3" s="2"/>
      <c r="REC3" s="2"/>
      <c r="RED3" s="2"/>
      <c r="REE3" s="2"/>
      <c r="REF3" s="2"/>
      <c r="REG3" s="2"/>
      <c r="REH3" s="2"/>
      <c r="REI3" s="2"/>
      <c r="REJ3" s="2"/>
      <c r="REK3" s="2"/>
      <c r="REL3" s="2"/>
      <c r="REM3" s="2"/>
      <c r="REN3" s="2"/>
      <c r="REO3" s="2"/>
      <c r="REP3" s="2"/>
      <c r="REQ3" s="2"/>
      <c r="RER3" s="2"/>
      <c r="RES3" s="2"/>
      <c r="RET3" s="2"/>
      <c r="REU3" s="2"/>
      <c r="REV3" s="2"/>
      <c r="REW3" s="2"/>
      <c r="REX3" s="2"/>
      <c r="REY3" s="2"/>
      <c r="REZ3" s="2"/>
      <c r="RFA3" s="2"/>
      <c r="RFB3" s="2"/>
      <c r="RFC3" s="2"/>
      <c r="RFD3" s="2"/>
      <c r="RFE3" s="2"/>
      <c r="RFF3" s="2"/>
      <c r="RFG3" s="2"/>
      <c r="RFH3" s="2"/>
      <c r="RFI3" s="2"/>
      <c r="RFJ3" s="2"/>
      <c r="RFK3" s="2"/>
      <c r="RFL3" s="2"/>
      <c r="RFM3" s="2"/>
      <c r="RFN3" s="2"/>
      <c r="RFO3" s="2"/>
      <c r="RFP3" s="2"/>
      <c r="RFQ3" s="2"/>
      <c r="RFR3" s="2"/>
      <c r="RFS3" s="2"/>
      <c r="RFT3" s="2"/>
      <c r="RFU3" s="2"/>
      <c r="RFV3" s="2"/>
      <c r="RFW3" s="2"/>
      <c r="RFX3" s="2"/>
      <c r="RFY3" s="2"/>
      <c r="RFZ3" s="2"/>
      <c r="RGA3" s="2"/>
      <c r="RGB3" s="2"/>
      <c r="RGC3" s="2"/>
      <c r="RGD3" s="2"/>
      <c r="RGE3" s="2"/>
      <c r="RGF3" s="2"/>
      <c r="RGG3" s="2"/>
      <c r="RGH3" s="2"/>
      <c r="RGI3" s="2"/>
      <c r="RGJ3" s="2"/>
      <c r="RGK3" s="2"/>
      <c r="RGL3" s="2"/>
      <c r="RGM3" s="2"/>
      <c r="RGN3" s="2"/>
      <c r="RGO3" s="2"/>
      <c r="RGP3" s="2"/>
      <c r="RGQ3" s="2"/>
      <c r="RGR3" s="2"/>
      <c r="RGS3" s="2"/>
      <c r="RGT3" s="2"/>
      <c r="RGU3" s="2"/>
      <c r="RGV3" s="2"/>
      <c r="RGW3" s="2"/>
      <c r="RGX3" s="2"/>
      <c r="RGY3" s="2"/>
      <c r="RGZ3" s="2"/>
      <c r="RHA3" s="2"/>
      <c r="RHB3" s="2"/>
      <c r="RHC3" s="2"/>
      <c r="RHD3" s="2"/>
      <c r="RHE3" s="2"/>
      <c r="RHF3" s="2"/>
      <c r="RHG3" s="2"/>
      <c r="RHH3" s="2"/>
      <c r="RHI3" s="2"/>
      <c r="RHJ3" s="2"/>
      <c r="RHK3" s="2"/>
      <c r="RHL3" s="2"/>
      <c r="RHM3" s="2"/>
      <c r="RHN3" s="2"/>
      <c r="RHO3" s="2"/>
      <c r="RHP3" s="2"/>
      <c r="RHQ3" s="2"/>
      <c r="RHR3" s="2"/>
      <c r="RHS3" s="2"/>
      <c r="RHT3" s="2"/>
      <c r="RHU3" s="2"/>
      <c r="RHV3" s="2"/>
      <c r="RHW3" s="2"/>
      <c r="RHX3" s="2"/>
      <c r="RHY3" s="2"/>
      <c r="RHZ3" s="2"/>
      <c r="RIA3" s="2"/>
      <c r="RIB3" s="2"/>
      <c r="RIC3" s="2"/>
      <c r="RID3" s="2"/>
      <c r="RIE3" s="2"/>
      <c r="RIF3" s="2"/>
      <c r="RIG3" s="2"/>
      <c r="RIH3" s="2"/>
      <c r="RII3" s="2"/>
      <c r="RIJ3" s="2"/>
      <c r="RIK3" s="2"/>
      <c r="RIL3" s="2"/>
      <c r="RIM3" s="2"/>
      <c r="RIN3" s="2"/>
      <c r="RIO3" s="2"/>
      <c r="RIP3" s="2"/>
      <c r="RIQ3" s="2"/>
      <c r="RIR3" s="2"/>
      <c r="RIS3" s="2"/>
      <c r="RIT3" s="2"/>
      <c r="RIU3" s="2"/>
      <c r="RIV3" s="2"/>
      <c r="RIW3" s="2"/>
      <c r="RIX3" s="2"/>
      <c r="RIY3" s="2"/>
      <c r="RIZ3" s="2"/>
      <c r="RJA3" s="2"/>
      <c r="RJB3" s="2"/>
      <c r="RJC3" s="2"/>
      <c r="RJD3" s="2"/>
      <c r="RJE3" s="2"/>
      <c r="RJF3" s="2"/>
      <c r="RJG3" s="2"/>
      <c r="RJH3" s="2"/>
      <c r="RJI3" s="2"/>
      <c r="RJJ3" s="2"/>
      <c r="RJK3" s="2"/>
      <c r="RJL3" s="2"/>
      <c r="RJM3" s="2"/>
      <c r="RJN3" s="2"/>
      <c r="RJO3" s="2"/>
      <c r="RJP3" s="2"/>
      <c r="RJQ3" s="2"/>
      <c r="RJR3" s="2"/>
      <c r="RJS3" s="2"/>
      <c r="RJT3" s="2"/>
      <c r="RJU3" s="2"/>
      <c r="RJV3" s="2"/>
      <c r="RJW3" s="2"/>
      <c r="RJX3" s="2"/>
      <c r="RJY3" s="2"/>
      <c r="RJZ3" s="2"/>
      <c r="RKA3" s="2"/>
      <c r="RKB3" s="2"/>
      <c r="RKC3" s="2"/>
      <c r="RKD3" s="2"/>
      <c r="RKE3" s="2"/>
      <c r="RKF3" s="2"/>
      <c r="RKG3" s="2"/>
      <c r="RKH3" s="2"/>
      <c r="RKI3" s="2"/>
      <c r="RKJ3" s="2"/>
      <c r="RKK3" s="2"/>
      <c r="RKL3" s="2"/>
      <c r="RKM3" s="2"/>
      <c r="RKN3" s="2"/>
      <c r="RKO3" s="2"/>
      <c r="RKP3" s="2"/>
      <c r="RKQ3" s="2"/>
      <c r="RKR3" s="2"/>
      <c r="RKS3" s="2"/>
      <c r="RKT3" s="2"/>
      <c r="RKU3" s="2"/>
      <c r="RKV3" s="2"/>
      <c r="RKW3" s="2"/>
      <c r="RKX3" s="2"/>
      <c r="RKY3" s="2"/>
      <c r="RKZ3" s="2"/>
      <c r="RLA3" s="2"/>
      <c r="RLB3" s="2"/>
      <c r="RLC3" s="2"/>
      <c r="RLD3" s="2"/>
      <c r="RLE3" s="2"/>
      <c r="RLF3" s="2"/>
      <c r="RLG3" s="2"/>
      <c r="RLH3" s="2"/>
      <c r="RLI3" s="2"/>
      <c r="RLJ3" s="2"/>
      <c r="RLK3" s="2"/>
      <c r="RLL3" s="2"/>
      <c r="RLM3" s="2"/>
      <c r="RLN3" s="2"/>
      <c r="RLO3" s="2"/>
      <c r="RLP3" s="2"/>
      <c r="RLQ3" s="2"/>
      <c r="RLR3" s="2"/>
      <c r="RLS3" s="2"/>
      <c r="RLT3" s="2"/>
      <c r="RLU3" s="2"/>
      <c r="RLV3" s="2"/>
      <c r="RLW3" s="2"/>
      <c r="RLX3" s="2"/>
      <c r="RLY3" s="2"/>
      <c r="RLZ3" s="2"/>
      <c r="RMA3" s="2"/>
      <c r="RMB3" s="2"/>
      <c r="RMC3" s="2"/>
      <c r="RMD3" s="2"/>
      <c r="RME3" s="2"/>
      <c r="RMF3" s="2"/>
      <c r="RMG3" s="2"/>
      <c r="RMH3" s="2"/>
      <c r="RMI3" s="2"/>
      <c r="RMJ3" s="2"/>
      <c r="RMK3" s="2"/>
      <c r="RML3" s="2"/>
      <c r="RMM3" s="2"/>
      <c r="RMN3" s="2"/>
      <c r="RMO3" s="2"/>
      <c r="RMP3" s="2"/>
      <c r="RMQ3" s="2"/>
      <c r="RMR3" s="2"/>
      <c r="RMS3" s="2"/>
      <c r="RMT3" s="2"/>
      <c r="RMU3" s="2"/>
      <c r="RMV3" s="2"/>
      <c r="RMW3" s="2"/>
      <c r="RMX3" s="2"/>
      <c r="RMY3" s="2"/>
      <c r="RMZ3" s="2"/>
      <c r="RNA3" s="2"/>
      <c r="RNB3" s="2"/>
      <c r="RNC3" s="2"/>
      <c r="RND3" s="2"/>
      <c r="RNE3" s="2"/>
      <c r="RNF3" s="2"/>
      <c r="RNG3" s="2"/>
      <c r="RNH3" s="2"/>
      <c r="RNI3" s="2"/>
      <c r="RNJ3" s="2"/>
      <c r="RNK3" s="2"/>
      <c r="RNL3" s="2"/>
      <c r="RNM3" s="2"/>
      <c r="RNN3" s="2"/>
      <c r="RNO3" s="2"/>
      <c r="RNP3" s="2"/>
      <c r="RNQ3" s="2"/>
      <c r="RNR3" s="2"/>
      <c r="RNS3" s="2"/>
      <c r="RNT3" s="2"/>
      <c r="RNU3" s="2"/>
      <c r="RNV3" s="2"/>
      <c r="RNW3" s="2"/>
      <c r="RNX3" s="2"/>
      <c r="RNY3" s="2"/>
      <c r="RNZ3" s="2"/>
      <c r="ROA3" s="2"/>
      <c r="ROB3" s="2"/>
      <c r="ROC3" s="2"/>
      <c r="ROD3" s="2"/>
      <c r="ROE3" s="2"/>
      <c r="ROF3" s="2"/>
      <c r="ROG3" s="2"/>
      <c r="ROH3" s="2"/>
      <c r="ROI3" s="2"/>
      <c r="ROJ3" s="2"/>
      <c r="ROK3" s="2"/>
      <c r="ROL3" s="2"/>
      <c r="ROM3" s="2"/>
      <c r="RON3" s="2"/>
      <c r="ROO3" s="2"/>
      <c r="ROP3" s="2"/>
      <c r="ROQ3" s="2"/>
      <c r="ROR3" s="2"/>
      <c r="ROS3" s="2"/>
      <c r="ROT3" s="2"/>
      <c r="ROU3" s="2"/>
      <c r="ROV3" s="2"/>
      <c r="ROW3" s="2"/>
      <c r="ROX3" s="2"/>
      <c r="ROY3" s="2"/>
      <c r="ROZ3" s="2"/>
      <c r="RPA3" s="2"/>
      <c r="RPB3" s="2"/>
      <c r="RPC3" s="2"/>
      <c r="RPD3" s="2"/>
      <c r="RPE3" s="2"/>
      <c r="RPF3" s="2"/>
      <c r="RPG3" s="2"/>
      <c r="RPH3" s="2"/>
      <c r="RPI3" s="2"/>
      <c r="RPJ3" s="2"/>
      <c r="RPK3" s="2"/>
      <c r="RPL3" s="2"/>
      <c r="RPM3" s="2"/>
      <c r="RPN3" s="2"/>
      <c r="RPO3" s="2"/>
      <c r="RPP3" s="2"/>
      <c r="RPQ3" s="2"/>
      <c r="RPR3" s="2"/>
      <c r="RPS3" s="2"/>
      <c r="RPT3" s="2"/>
      <c r="RPU3" s="2"/>
      <c r="RPV3" s="2"/>
      <c r="RPW3" s="2"/>
      <c r="RPX3" s="2"/>
      <c r="RPY3" s="2"/>
      <c r="RPZ3" s="2"/>
      <c r="RQA3" s="2"/>
      <c r="RQB3" s="2"/>
      <c r="RQC3" s="2"/>
      <c r="RQD3" s="2"/>
      <c r="RQE3" s="2"/>
      <c r="RQF3" s="2"/>
      <c r="RQG3" s="2"/>
      <c r="RQH3" s="2"/>
      <c r="RQI3" s="2"/>
      <c r="RQJ3" s="2"/>
      <c r="RQK3" s="2"/>
      <c r="RQL3" s="2"/>
      <c r="RQM3" s="2"/>
      <c r="RQN3" s="2"/>
      <c r="RQO3" s="2"/>
      <c r="RQP3" s="2"/>
      <c r="RQQ3" s="2"/>
      <c r="RQR3" s="2"/>
      <c r="RQS3" s="2"/>
      <c r="RQT3" s="2"/>
      <c r="RQU3" s="2"/>
      <c r="RQV3" s="2"/>
      <c r="RQW3" s="2"/>
      <c r="RQX3" s="2"/>
      <c r="RQY3" s="2"/>
      <c r="RQZ3" s="2"/>
      <c r="RRA3" s="2"/>
      <c r="RRB3" s="2"/>
      <c r="RRC3" s="2"/>
      <c r="RRD3" s="2"/>
      <c r="RRE3" s="2"/>
      <c r="RRF3" s="2"/>
      <c r="RRG3" s="2"/>
      <c r="RRH3" s="2"/>
      <c r="RRI3" s="2"/>
      <c r="RRJ3" s="2"/>
      <c r="RRK3" s="2"/>
      <c r="RRL3" s="2"/>
      <c r="RRM3" s="2"/>
      <c r="RRN3" s="2"/>
      <c r="RRO3" s="2"/>
      <c r="RRP3" s="2"/>
      <c r="RRQ3" s="2"/>
      <c r="RRR3" s="2"/>
      <c r="RRS3" s="2"/>
      <c r="RRT3" s="2"/>
      <c r="RRU3" s="2"/>
      <c r="RRV3" s="2"/>
      <c r="RRW3" s="2"/>
      <c r="RRX3" s="2"/>
      <c r="RRY3" s="2"/>
      <c r="RRZ3" s="2"/>
      <c r="RSA3" s="2"/>
      <c r="RSB3" s="2"/>
      <c r="RSC3" s="2"/>
      <c r="RSD3" s="2"/>
      <c r="RSE3" s="2"/>
      <c r="RSF3" s="2"/>
      <c r="RSG3" s="2"/>
      <c r="RSH3" s="2"/>
      <c r="RSI3" s="2"/>
      <c r="RSJ3" s="2"/>
      <c r="RSK3" s="2"/>
      <c r="RSL3" s="2"/>
      <c r="RSM3" s="2"/>
      <c r="RSN3" s="2"/>
      <c r="RSO3" s="2"/>
      <c r="RSP3" s="2"/>
      <c r="RSQ3" s="2"/>
      <c r="RSR3" s="2"/>
      <c r="RSS3" s="2"/>
      <c r="RST3" s="2"/>
      <c r="RSU3" s="2"/>
      <c r="RSV3" s="2"/>
      <c r="RSW3" s="2"/>
      <c r="RSX3" s="2"/>
      <c r="RSY3" s="2"/>
      <c r="RSZ3" s="2"/>
      <c r="RTA3" s="2"/>
      <c r="RTB3" s="2"/>
      <c r="RTC3" s="2"/>
      <c r="RTD3" s="2"/>
      <c r="RTE3" s="2"/>
      <c r="RTF3" s="2"/>
      <c r="RTG3" s="2"/>
      <c r="RTH3" s="2"/>
      <c r="RTI3" s="2"/>
      <c r="RTJ3" s="2"/>
      <c r="RTK3" s="2"/>
      <c r="RTL3" s="2"/>
      <c r="RTM3" s="2"/>
      <c r="RTN3" s="2"/>
      <c r="RTO3" s="2"/>
      <c r="RTP3" s="2"/>
      <c r="RTQ3" s="2"/>
      <c r="RTR3" s="2"/>
      <c r="RTS3" s="2"/>
      <c r="RTT3" s="2"/>
      <c r="RTU3" s="2"/>
      <c r="RTV3" s="2"/>
      <c r="RTW3" s="2"/>
      <c r="RTX3" s="2"/>
      <c r="RTY3" s="2"/>
      <c r="RTZ3" s="2"/>
      <c r="RUA3" s="2"/>
      <c r="RUB3" s="2"/>
      <c r="RUC3" s="2"/>
      <c r="RUD3" s="2"/>
      <c r="RUE3" s="2"/>
      <c r="RUF3" s="2"/>
      <c r="RUG3" s="2"/>
      <c r="RUH3" s="2"/>
      <c r="RUI3" s="2"/>
      <c r="RUJ3" s="2"/>
      <c r="RUK3" s="2"/>
      <c r="RUL3" s="2"/>
      <c r="RUM3" s="2"/>
      <c r="RUN3" s="2"/>
      <c r="RUO3" s="2"/>
      <c r="RUP3" s="2"/>
      <c r="RUQ3" s="2"/>
      <c r="RUR3" s="2"/>
      <c r="RUS3" s="2"/>
      <c r="RUT3" s="2"/>
      <c r="RUU3" s="2"/>
      <c r="RUV3" s="2"/>
      <c r="RUW3" s="2"/>
      <c r="RUX3" s="2"/>
      <c r="RUY3" s="2"/>
      <c r="RUZ3" s="2"/>
      <c r="RVA3" s="2"/>
      <c r="RVB3" s="2"/>
      <c r="RVC3" s="2"/>
      <c r="RVD3" s="2"/>
      <c r="RVE3" s="2"/>
      <c r="RVF3" s="2"/>
      <c r="RVG3" s="2"/>
      <c r="RVH3" s="2"/>
      <c r="RVI3" s="2"/>
      <c r="RVJ3" s="2"/>
      <c r="RVK3" s="2"/>
      <c r="RVL3" s="2"/>
      <c r="RVM3" s="2"/>
      <c r="RVN3" s="2"/>
      <c r="RVO3" s="2"/>
      <c r="RVP3" s="2"/>
      <c r="RVQ3" s="2"/>
      <c r="RVR3" s="2"/>
      <c r="RVS3" s="2"/>
      <c r="RVT3" s="2"/>
      <c r="RVU3" s="2"/>
      <c r="RVV3" s="2"/>
      <c r="RVW3" s="2"/>
      <c r="RVX3" s="2"/>
      <c r="RVY3" s="2"/>
      <c r="RVZ3" s="2"/>
      <c r="RWA3" s="2"/>
      <c r="RWB3" s="2"/>
      <c r="RWC3" s="2"/>
      <c r="RWD3" s="2"/>
      <c r="RWE3" s="2"/>
      <c r="RWF3" s="2"/>
      <c r="RWG3" s="2"/>
      <c r="RWH3" s="2"/>
      <c r="RWI3" s="2"/>
      <c r="RWJ3" s="2"/>
      <c r="RWK3" s="2"/>
      <c r="RWL3" s="2"/>
      <c r="RWM3" s="2"/>
      <c r="RWN3" s="2"/>
      <c r="RWO3" s="2"/>
      <c r="RWP3" s="2"/>
      <c r="RWQ3" s="2"/>
      <c r="RWR3" s="2"/>
      <c r="RWS3" s="2"/>
      <c r="RWT3" s="2"/>
      <c r="RWU3" s="2"/>
      <c r="RWV3" s="2"/>
      <c r="RWW3" s="2"/>
      <c r="RWX3" s="2"/>
      <c r="RWY3" s="2"/>
      <c r="RWZ3" s="2"/>
      <c r="RXA3" s="2"/>
      <c r="RXB3" s="2"/>
      <c r="RXC3" s="2"/>
      <c r="RXD3" s="2"/>
      <c r="RXE3" s="2"/>
      <c r="RXF3" s="2"/>
      <c r="RXG3" s="2"/>
      <c r="RXH3" s="2"/>
      <c r="RXI3" s="2"/>
      <c r="RXJ3" s="2"/>
      <c r="RXK3" s="2"/>
      <c r="RXL3" s="2"/>
      <c r="RXM3" s="2"/>
      <c r="RXN3" s="2"/>
      <c r="RXO3" s="2"/>
      <c r="RXP3" s="2"/>
      <c r="RXQ3" s="2"/>
      <c r="RXR3" s="2"/>
      <c r="RXS3" s="2"/>
      <c r="RXT3" s="2"/>
      <c r="RXU3" s="2"/>
      <c r="RXV3" s="2"/>
      <c r="RXW3" s="2"/>
      <c r="RXX3" s="2"/>
      <c r="RXY3" s="2"/>
      <c r="RXZ3" s="2"/>
      <c r="RYA3" s="2"/>
      <c r="RYB3" s="2"/>
      <c r="RYC3" s="2"/>
      <c r="RYD3" s="2"/>
      <c r="RYE3" s="2"/>
      <c r="RYF3" s="2"/>
      <c r="RYG3" s="2"/>
      <c r="RYH3" s="2"/>
      <c r="RYI3" s="2"/>
      <c r="RYJ3" s="2"/>
      <c r="RYK3" s="2"/>
      <c r="RYL3" s="2"/>
      <c r="RYM3" s="2"/>
      <c r="RYN3" s="2"/>
      <c r="RYO3" s="2"/>
      <c r="RYP3" s="2"/>
      <c r="RYQ3" s="2"/>
      <c r="RYR3" s="2"/>
      <c r="RYS3" s="2"/>
      <c r="RYT3" s="2"/>
      <c r="RYU3" s="2"/>
      <c r="RYV3" s="2"/>
      <c r="RYW3" s="2"/>
      <c r="RYX3" s="2"/>
      <c r="RYY3" s="2"/>
      <c r="RYZ3" s="2"/>
      <c r="RZA3" s="2"/>
      <c r="RZB3" s="2"/>
      <c r="RZC3" s="2"/>
      <c r="RZD3" s="2"/>
      <c r="RZE3" s="2"/>
      <c r="RZF3" s="2"/>
      <c r="RZG3" s="2"/>
      <c r="RZH3" s="2"/>
      <c r="RZI3" s="2"/>
      <c r="RZJ3" s="2"/>
      <c r="RZK3" s="2"/>
      <c r="RZL3" s="2"/>
      <c r="RZM3" s="2"/>
      <c r="RZN3" s="2"/>
      <c r="RZO3" s="2"/>
      <c r="RZP3" s="2"/>
      <c r="RZQ3" s="2"/>
      <c r="RZR3" s="2"/>
      <c r="RZS3" s="2"/>
      <c r="RZT3" s="2"/>
      <c r="RZU3" s="2"/>
      <c r="RZV3" s="2"/>
      <c r="RZW3" s="2"/>
      <c r="RZX3" s="2"/>
      <c r="RZY3" s="2"/>
      <c r="RZZ3" s="2"/>
      <c r="SAA3" s="2"/>
      <c r="SAB3" s="2"/>
      <c r="SAC3" s="2"/>
      <c r="SAD3" s="2"/>
      <c r="SAE3" s="2"/>
      <c r="SAF3" s="2"/>
      <c r="SAG3" s="2"/>
      <c r="SAH3" s="2"/>
      <c r="SAI3" s="2"/>
      <c r="SAJ3" s="2"/>
      <c r="SAK3" s="2"/>
      <c r="SAL3" s="2"/>
      <c r="SAM3" s="2"/>
      <c r="SAN3" s="2"/>
      <c r="SAO3" s="2"/>
      <c r="SAP3" s="2"/>
      <c r="SAQ3" s="2"/>
      <c r="SAR3" s="2"/>
      <c r="SAS3" s="2"/>
      <c r="SAT3" s="2"/>
      <c r="SAU3" s="2"/>
      <c r="SAV3" s="2"/>
      <c r="SAW3" s="2"/>
      <c r="SAX3" s="2"/>
      <c r="SAY3" s="2"/>
      <c r="SAZ3" s="2"/>
      <c r="SBA3" s="2"/>
      <c r="SBB3" s="2"/>
      <c r="SBC3" s="2"/>
      <c r="SBD3" s="2"/>
      <c r="SBE3" s="2"/>
      <c r="SBF3" s="2"/>
      <c r="SBG3" s="2"/>
      <c r="SBH3" s="2"/>
      <c r="SBI3" s="2"/>
      <c r="SBJ3" s="2"/>
      <c r="SBK3" s="2"/>
      <c r="SBL3" s="2"/>
      <c r="SBM3" s="2"/>
      <c r="SBN3" s="2"/>
      <c r="SBO3" s="2"/>
      <c r="SBP3" s="2"/>
      <c r="SBQ3" s="2"/>
      <c r="SBR3" s="2"/>
      <c r="SBS3" s="2"/>
      <c r="SBT3" s="2"/>
      <c r="SBU3" s="2"/>
      <c r="SBV3" s="2"/>
      <c r="SBW3" s="2"/>
      <c r="SBX3" s="2"/>
      <c r="SBY3" s="2"/>
      <c r="SBZ3" s="2"/>
      <c r="SCA3" s="2"/>
      <c r="SCB3" s="2"/>
      <c r="SCC3" s="2"/>
      <c r="SCD3" s="2"/>
      <c r="SCE3" s="2"/>
      <c r="SCF3" s="2"/>
      <c r="SCG3" s="2"/>
      <c r="SCH3" s="2"/>
      <c r="SCI3" s="2"/>
      <c r="SCJ3" s="2"/>
      <c r="SCK3" s="2"/>
      <c r="SCL3" s="2"/>
      <c r="SCM3" s="2"/>
      <c r="SCN3" s="2"/>
      <c r="SCO3" s="2"/>
      <c r="SCP3" s="2"/>
      <c r="SCQ3" s="2"/>
      <c r="SCR3" s="2"/>
      <c r="SCS3" s="2"/>
      <c r="SCT3" s="2"/>
      <c r="SCU3" s="2"/>
      <c r="SCV3" s="2"/>
      <c r="SCW3" s="2"/>
      <c r="SCX3" s="2"/>
      <c r="SCY3" s="2"/>
      <c r="SCZ3" s="2"/>
      <c r="SDA3" s="2"/>
      <c r="SDB3" s="2"/>
      <c r="SDC3" s="2"/>
      <c r="SDD3" s="2"/>
      <c r="SDE3" s="2"/>
      <c r="SDF3" s="2"/>
      <c r="SDG3" s="2"/>
      <c r="SDH3" s="2"/>
      <c r="SDI3" s="2"/>
      <c r="SDJ3" s="2"/>
      <c r="SDK3" s="2"/>
      <c r="SDL3" s="2"/>
      <c r="SDM3" s="2"/>
      <c r="SDN3" s="2"/>
      <c r="SDO3" s="2"/>
      <c r="SDP3" s="2"/>
      <c r="SDQ3" s="2"/>
      <c r="SDR3" s="2"/>
      <c r="SDS3" s="2"/>
      <c r="SDT3" s="2"/>
      <c r="SDU3" s="2"/>
      <c r="SDV3" s="2"/>
      <c r="SDW3" s="2"/>
      <c r="SDX3" s="2"/>
      <c r="SDY3" s="2"/>
      <c r="SDZ3" s="2"/>
      <c r="SEA3" s="2"/>
      <c r="SEB3" s="2"/>
      <c r="SEC3" s="2"/>
      <c r="SED3" s="2"/>
      <c r="SEE3" s="2"/>
      <c r="SEF3" s="2"/>
      <c r="SEG3" s="2"/>
      <c r="SEH3" s="2"/>
      <c r="SEI3" s="2"/>
      <c r="SEJ3" s="2"/>
      <c r="SEK3" s="2"/>
      <c r="SEL3" s="2"/>
      <c r="SEM3" s="2"/>
      <c r="SEN3" s="2"/>
      <c r="SEO3" s="2"/>
      <c r="SEP3" s="2"/>
      <c r="SEQ3" s="2"/>
      <c r="SER3" s="2"/>
      <c r="SES3" s="2"/>
      <c r="SET3" s="2"/>
      <c r="SEU3" s="2"/>
      <c r="SEV3" s="2"/>
      <c r="SEW3" s="2"/>
      <c r="SEX3" s="2"/>
      <c r="SEY3" s="2"/>
      <c r="SEZ3" s="2"/>
      <c r="SFA3" s="2"/>
      <c r="SFB3" s="2"/>
      <c r="SFC3" s="2"/>
      <c r="SFD3" s="2"/>
      <c r="SFE3" s="2"/>
      <c r="SFF3" s="2"/>
      <c r="SFG3" s="2"/>
      <c r="SFH3" s="2"/>
      <c r="SFI3" s="2"/>
      <c r="SFJ3" s="2"/>
      <c r="SFK3" s="2"/>
      <c r="SFL3" s="2"/>
      <c r="SFM3" s="2"/>
      <c r="SFN3" s="2"/>
      <c r="SFO3" s="2"/>
      <c r="SFP3" s="2"/>
      <c r="SFQ3" s="2"/>
      <c r="SFR3" s="2"/>
      <c r="SFS3" s="2"/>
      <c r="SFT3" s="2"/>
      <c r="SFU3" s="2"/>
      <c r="SFV3" s="2"/>
      <c r="SFW3" s="2"/>
      <c r="SFX3" s="2"/>
      <c r="SFY3" s="2"/>
      <c r="SFZ3" s="2"/>
      <c r="SGA3" s="2"/>
      <c r="SGB3" s="2"/>
      <c r="SGC3" s="2"/>
      <c r="SGD3" s="2"/>
      <c r="SGE3" s="2"/>
      <c r="SGF3" s="2"/>
      <c r="SGG3" s="2"/>
      <c r="SGH3" s="2"/>
      <c r="SGI3" s="2"/>
      <c r="SGJ3" s="2"/>
      <c r="SGK3" s="2"/>
      <c r="SGL3" s="2"/>
      <c r="SGM3" s="2"/>
      <c r="SGN3" s="2"/>
      <c r="SGO3" s="2"/>
      <c r="SGP3" s="2"/>
      <c r="SGQ3" s="2"/>
      <c r="SGR3" s="2"/>
      <c r="SGS3" s="2"/>
      <c r="SGT3" s="2"/>
      <c r="SGU3" s="2"/>
      <c r="SGV3" s="2"/>
      <c r="SGW3" s="2"/>
      <c r="SGX3" s="2"/>
      <c r="SGY3" s="2"/>
      <c r="SGZ3" s="2"/>
      <c r="SHA3" s="2"/>
      <c r="SHB3" s="2"/>
      <c r="SHC3" s="2"/>
      <c r="SHD3" s="2"/>
      <c r="SHE3" s="2"/>
      <c r="SHF3" s="2"/>
      <c r="SHG3" s="2"/>
      <c r="SHH3" s="2"/>
      <c r="SHI3" s="2"/>
      <c r="SHJ3" s="2"/>
      <c r="SHK3" s="2"/>
      <c r="SHL3" s="2"/>
      <c r="SHM3" s="2"/>
      <c r="SHN3" s="2"/>
      <c r="SHO3" s="2"/>
      <c r="SHP3" s="2"/>
      <c r="SHQ3" s="2"/>
      <c r="SHR3" s="2"/>
      <c r="SHS3" s="2"/>
      <c r="SHT3" s="2"/>
      <c r="SHU3" s="2"/>
      <c r="SHV3" s="2"/>
      <c r="SHW3" s="2"/>
      <c r="SHX3" s="2"/>
      <c r="SHY3" s="2"/>
      <c r="SHZ3" s="2"/>
      <c r="SIA3" s="2"/>
      <c r="SIB3" s="2"/>
      <c r="SIC3" s="2"/>
      <c r="SID3" s="2"/>
      <c r="SIE3" s="2"/>
      <c r="SIF3" s="2"/>
      <c r="SIG3" s="2"/>
      <c r="SIH3" s="2"/>
      <c r="SII3" s="2"/>
      <c r="SIJ3" s="2"/>
      <c r="SIK3" s="2"/>
      <c r="SIL3" s="2"/>
      <c r="SIM3" s="2"/>
      <c r="SIN3" s="2"/>
      <c r="SIO3" s="2"/>
      <c r="SIP3" s="2"/>
      <c r="SIQ3" s="2"/>
      <c r="SIR3" s="2"/>
      <c r="SIS3" s="2"/>
      <c r="SIT3" s="2"/>
      <c r="SIU3" s="2"/>
      <c r="SIV3" s="2"/>
      <c r="SIW3" s="2"/>
      <c r="SIX3" s="2"/>
      <c r="SIY3" s="2"/>
      <c r="SIZ3" s="2"/>
      <c r="SJA3" s="2"/>
      <c r="SJB3" s="2"/>
      <c r="SJC3" s="2"/>
      <c r="SJD3" s="2"/>
      <c r="SJE3" s="2"/>
      <c r="SJF3" s="2"/>
      <c r="SJG3" s="2"/>
      <c r="SJH3" s="2"/>
      <c r="SJI3" s="2"/>
      <c r="SJJ3" s="2"/>
      <c r="SJK3" s="2"/>
      <c r="SJL3" s="2"/>
      <c r="SJM3" s="2"/>
      <c r="SJN3" s="2"/>
      <c r="SJO3" s="2"/>
      <c r="SJP3" s="2"/>
      <c r="SJQ3" s="2"/>
      <c r="SJR3" s="2"/>
      <c r="SJS3" s="2"/>
      <c r="SJT3" s="2"/>
      <c r="SJU3" s="2"/>
      <c r="SJV3" s="2"/>
      <c r="SJW3" s="2"/>
      <c r="SJX3" s="2"/>
      <c r="SJY3" s="2"/>
      <c r="SJZ3" s="2"/>
      <c r="SKA3" s="2"/>
      <c r="SKB3" s="2"/>
      <c r="SKC3" s="2"/>
      <c r="SKD3" s="2"/>
      <c r="SKE3" s="2"/>
      <c r="SKF3" s="2"/>
      <c r="SKG3" s="2"/>
      <c r="SKH3" s="2"/>
      <c r="SKI3" s="2"/>
      <c r="SKJ3" s="2"/>
      <c r="SKK3" s="2"/>
      <c r="SKL3" s="2"/>
      <c r="SKM3" s="2"/>
      <c r="SKN3" s="2"/>
      <c r="SKO3" s="2"/>
      <c r="SKP3" s="2"/>
      <c r="SKQ3" s="2"/>
      <c r="SKR3" s="2"/>
      <c r="SKS3" s="2"/>
      <c r="SKT3" s="2"/>
      <c r="SKU3" s="2"/>
      <c r="SKV3" s="2"/>
      <c r="SKW3" s="2"/>
      <c r="SKX3" s="2"/>
      <c r="SKY3" s="2"/>
      <c r="SKZ3" s="2"/>
      <c r="SLA3" s="2"/>
      <c r="SLB3" s="2"/>
      <c r="SLC3" s="2"/>
      <c r="SLD3" s="2"/>
      <c r="SLE3" s="2"/>
      <c r="SLF3" s="2"/>
      <c r="SLG3" s="2"/>
      <c r="SLH3" s="2"/>
      <c r="SLI3" s="2"/>
      <c r="SLJ3" s="2"/>
      <c r="SLK3" s="2"/>
      <c r="SLL3" s="2"/>
      <c r="SLM3" s="2"/>
      <c r="SLN3" s="2"/>
      <c r="SLO3" s="2"/>
      <c r="SLP3" s="2"/>
      <c r="SLQ3" s="2"/>
      <c r="SLR3" s="2"/>
      <c r="SLS3" s="2"/>
      <c r="SLT3" s="2"/>
      <c r="SLU3" s="2"/>
      <c r="SLV3" s="2"/>
      <c r="SLW3" s="2"/>
      <c r="SLX3" s="2"/>
      <c r="SLY3" s="2"/>
      <c r="SLZ3" s="2"/>
      <c r="SMA3" s="2"/>
      <c r="SMB3" s="2"/>
      <c r="SMC3" s="2"/>
      <c r="SMD3" s="2"/>
      <c r="SME3" s="2"/>
      <c r="SMF3" s="2"/>
      <c r="SMG3" s="2"/>
      <c r="SMH3" s="2"/>
      <c r="SMI3" s="2"/>
      <c r="SMJ3" s="2"/>
      <c r="SMK3" s="2"/>
      <c r="SML3" s="2"/>
      <c r="SMM3" s="2"/>
      <c r="SMN3" s="2"/>
      <c r="SMO3" s="2"/>
      <c r="SMP3" s="2"/>
      <c r="SMQ3" s="2"/>
      <c r="SMR3" s="2"/>
      <c r="SMS3" s="2"/>
      <c r="SMT3" s="2"/>
      <c r="SMU3" s="2"/>
      <c r="SMV3" s="2"/>
      <c r="SMW3" s="2"/>
      <c r="SMX3" s="2"/>
      <c r="SMY3" s="2"/>
      <c r="SMZ3" s="2"/>
      <c r="SNA3" s="2"/>
      <c r="SNB3" s="2"/>
      <c r="SNC3" s="2"/>
      <c r="SND3" s="2"/>
      <c r="SNE3" s="2"/>
      <c r="SNF3" s="2"/>
      <c r="SNG3" s="2"/>
      <c r="SNH3" s="2"/>
      <c r="SNI3" s="2"/>
      <c r="SNJ3" s="2"/>
      <c r="SNK3" s="2"/>
      <c r="SNL3" s="2"/>
      <c r="SNM3" s="2"/>
      <c r="SNN3" s="2"/>
      <c r="SNO3" s="2"/>
      <c r="SNP3" s="2"/>
      <c r="SNQ3" s="2"/>
      <c r="SNR3" s="2"/>
      <c r="SNS3" s="2"/>
      <c r="SNT3" s="2"/>
      <c r="SNU3" s="2"/>
      <c r="SNV3" s="2"/>
      <c r="SNW3" s="2"/>
      <c r="SNX3" s="2"/>
      <c r="SNY3" s="2"/>
      <c r="SNZ3" s="2"/>
      <c r="SOA3" s="2"/>
      <c r="SOB3" s="2"/>
      <c r="SOC3" s="2"/>
      <c r="SOD3" s="2"/>
      <c r="SOE3" s="2"/>
      <c r="SOF3" s="2"/>
      <c r="SOG3" s="2"/>
      <c r="SOH3" s="2"/>
      <c r="SOI3" s="2"/>
      <c r="SOJ3" s="2"/>
      <c r="SOK3" s="2"/>
      <c r="SOL3" s="2"/>
      <c r="SOM3" s="2"/>
      <c r="SON3" s="2"/>
      <c r="SOO3" s="2"/>
      <c r="SOP3" s="2"/>
      <c r="SOQ3" s="2"/>
      <c r="SOR3" s="2"/>
      <c r="SOS3" s="2"/>
      <c r="SOT3" s="2"/>
      <c r="SOU3" s="2"/>
      <c r="SOV3" s="2"/>
      <c r="SOW3" s="2"/>
      <c r="SOX3" s="2"/>
      <c r="SOY3" s="2"/>
      <c r="SOZ3" s="2"/>
      <c r="SPA3" s="2"/>
      <c r="SPB3" s="2"/>
      <c r="SPC3" s="2"/>
      <c r="SPD3" s="2"/>
      <c r="SPE3" s="2"/>
      <c r="SPF3" s="2"/>
      <c r="SPG3" s="2"/>
      <c r="SPH3" s="2"/>
      <c r="SPI3" s="2"/>
      <c r="SPJ3" s="2"/>
      <c r="SPK3" s="2"/>
      <c r="SPL3" s="2"/>
      <c r="SPM3" s="2"/>
      <c r="SPN3" s="2"/>
      <c r="SPO3" s="2"/>
      <c r="SPP3" s="2"/>
      <c r="SPQ3" s="2"/>
      <c r="SPR3" s="2"/>
      <c r="SPS3" s="2"/>
      <c r="SPT3" s="2"/>
      <c r="SPU3" s="2"/>
      <c r="SPV3" s="2"/>
      <c r="SPW3" s="2"/>
      <c r="SPX3" s="2"/>
      <c r="SPY3" s="2"/>
      <c r="SPZ3" s="2"/>
      <c r="SQA3" s="2"/>
      <c r="SQB3" s="2"/>
      <c r="SQC3" s="2"/>
      <c r="SQD3" s="2"/>
      <c r="SQE3" s="2"/>
      <c r="SQF3" s="2"/>
      <c r="SQG3" s="2"/>
      <c r="SQH3" s="2"/>
      <c r="SQI3" s="2"/>
      <c r="SQJ3" s="2"/>
      <c r="SQK3" s="2"/>
      <c r="SQL3" s="2"/>
      <c r="SQM3" s="2"/>
      <c r="SQN3" s="2"/>
      <c r="SQO3" s="2"/>
      <c r="SQP3" s="2"/>
      <c r="SQQ3" s="2"/>
      <c r="SQR3" s="2"/>
      <c r="SQS3" s="2"/>
      <c r="SQT3" s="2"/>
      <c r="SQU3" s="2"/>
      <c r="SQV3" s="2"/>
      <c r="SQW3" s="2"/>
      <c r="SQX3" s="2"/>
      <c r="SQY3" s="2"/>
      <c r="SQZ3" s="2"/>
      <c r="SRA3" s="2"/>
      <c r="SRB3" s="2"/>
      <c r="SRC3" s="2"/>
      <c r="SRD3" s="2"/>
      <c r="SRE3" s="2"/>
      <c r="SRF3" s="2"/>
      <c r="SRG3" s="2"/>
      <c r="SRH3" s="2"/>
      <c r="SRI3" s="2"/>
      <c r="SRJ3" s="2"/>
      <c r="SRK3" s="2"/>
      <c r="SRL3" s="2"/>
      <c r="SRM3" s="2"/>
      <c r="SRN3" s="2"/>
      <c r="SRO3" s="2"/>
      <c r="SRP3" s="2"/>
      <c r="SRQ3" s="2"/>
      <c r="SRR3" s="2"/>
      <c r="SRS3" s="2"/>
      <c r="SRT3" s="2"/>
      <c r="SRU3" s="2"/>
      <c r="SRV3" s="2"/>
      <c r="SRW3" s="2"/>
      <c r="SRX3" s="2"/>
      <c r="SRY3" s="2"/>
      <c r="SRZ3" s="2"/>
      <c r="SSA3" s="2"/>
      <c r="SSB3" s="2"/>
      <c r="SSC3" s="2"/>
      <c r="SSD3" s="2"/>
      <c r="SSE3" s="2"/>
      <c r="SSF3" s="2"/>
      <c r="SSG3" s="2"/>
      <c r="SSH3" s="2"/>
      <c r="SSI3" s="2"/>
      <c r="SSJ3" s="2"/>
      <c r="SSK3" s="2"/>
      <c r="SSL3" s="2"/>
      <c r="SSM3" s="2"/>
      <c r="SSN3" s="2"/>
      <c r="SSO3" s="2"/>
      <c r="SSP3" s="2"/>
      <c r="SSQ3" s="2"/>
      <c r="SSR3" s="2"/>
      <c r="SSS3" s="2"/>
      <c r="SST3" s="2"/>
      <c r="SSU3" s="2"/>
      <c r="SSV3" s="2"/>
      <c r="SSW3" s="2"/>
      <c r="SSX3" s="2"/>
      <c r="SSY3" s="2"/>
      <c r="SSZ3" s="2"/>
      <c r="STA3" s="2"/>
      <c r="STB3" s="2"/>
      <c r="STC3" s="2"/>
      <c r="STD3" s="2"/>
      <c r="STE3" s="2"/>
      <c r="STF3" s="2"/>
      <c r="STG3" s="2"/>
      <c r="STH3" s="2"/>
      <c r="STI3" s="2"/>
      <c r="STJ3" s="2"/>
      <c r="STK3" s="2"/>
      <c r="STL3" s="2"/>
      <c r="STM3" s="2"/>
      <c r="STN3" s="2"/>
      <c r="STO3" s="2"/>
      <c r="STP3" s="2"/>
      <c r="STQ3" s="2"/>
      <c r="STR3" s="2"/>
      <c r="STS3" s="2"/>
      <c r="STT3" s="2"/>
      <c r="STU3" s="2"/>
      <c r="STV3" s="2"/>
      <c r="STW3" s="2"/>
      <c r="STX3" s="2"/>
      <c r="STY3" s="2"/>
      <c r="STZ3" s="2"/>
      <c r="SUA3" s="2"/>
      <c r="SUB3" s="2"/>
      <c r="SUC3" s="2"/>
      <c r="SUD3" s="2"/>
      <c r="SUE3" s="2"/>
      <c r="SUF3" s="2"/>
      <c r="SUG3" s="2"/>
      <c r="SUH3" s="2"/>
      <c r="SUI3" s="2"/>
      <c r="SUJ3" s="2"/>
      <c r="SUK3" s="2"/>
      <c r="SUL3" s="2"/>
      <c r="SUM3" s="2"/>
      <c r="SUN3" s="2"/>
      <c r="SUO3" s="2"/>
      <c r="SUP3" s="2"/>
      <c r="SUQ3" s="2"/>
      <c r="SUR3" s="2"/>
      <c r="SUS3" s="2"/>
      <c r="SUT3" s="2"/>
      <c r="SUU3" s="2"/>
      <c r="SUV3" s="2"/>
      <c r="SUW3" s="2"/>
      <c r="SUX3" s="2"/>
      <c r="SUY3" s="2"/>
      <c r="SUZ3" s="2"/>
      <c r="SVA3" s="2"/>
      <c r="SVB3" s="2"/>
      <c r="SVC3" s="2"/>
      <c r="SVD3" s="2"/>
      <c r="SVE3" s="2"/>
      <c r="SVF3" s="2"/>
      <c r="SVG3" s="2"/>
      <c r="SVH3" s="2"/>
      <c r="SVI3" s="2"/>
      <c r="SVJ3" s="2"/>
      <c r="SVK3" s="2"/>
      <c r="SVL3" s="2"/>
      <c r="SVM3" s="2"/>
      <c r="SVN3" s="2"/>
      <c r="SVO3" s="2"/>
      <c r="SVP3" s="2"/>
      <c r="SVQ3" s="2"/>
      <c r="SVR3" s="2"/>
      <c r="SVS3" s="2"/>
      <c r="SVT3" s="2"/>
      <c r="SVU3" s="2"/>
      <c r="SVV3" s="2"/>
      <c r="SVW3" s="2"/>
      <c r="SVX3" s="2"/>
      <c r="SVY3" s="2"/>
      <c r="SVZ3" s="2"/>
      <c r="SWA3" s="2"/>
      <c r="SWB3" s="2"/>
      <c r="SWC3" s="2"/>
      <c r="SWD3" s="2"/>
      <c r="SWE3" s="2"/>
      <c r="SWF3" s="2"/>
      <c r="SWG3" s="2"/>
      <c r="SWH3" s="2"/>
      <c r="SWI3" s="2"/>
      <c r="SWJ3" s="2"/>
      <c r="SWK3" s="2"/>
      <c r="SWL3" s="2"/>
      <c r="SWM3" s="2"/>
      <c r="SWN3" s="2"/>
      <c r="SWO3" s="2"/>
      <c r="SWP3" s="2"/>
      <c r="SWQ3" s="2"/>
      <c r="SWR3" s="2"/>
      <c r="SWS3" s="2"/>
      <c r="SWT3" s="2"/>
      <c r="SWU3" s="2"/>
      <c r="SWV3" s="2"/>
      <c r="SWW3" s="2"/>
      <c r="SWX3" s="2"/>
      <c r="SWY3" s="2"/>
      <c r="SWZ3" s="2"/>
      <c r="SXA3" s="2"/>
      <c r="SXB3" s="2"/>
      <c r="SXC3" s="2"/>
      <c r="SXD3" s="2"/>
      <c r="SXE3" s="2"/>
      <c r="SXF3" s="2"/>
      <c r="SXG3" s="2"/>
      <c r="SXH3" s="2"/>
      <c r="SXI3" s="2"/>
      <c r="SXJ3" s="2"/>
      <c r="SXK3" s="2"/>
      <c r="SXL3" s="2"/>
      <c r="SXM3" s="2"/>
      <c r="SXN3" s="2"/>
      <c r="SXO3" s="2"/>
      <c r="SXP3" s="2"/>
      <c r="SXQ3" s="2"/>
      <c r="SXR3" s="2"/>
      <c r="SXS3" s="2"/>
      <c r="SXT3" s="2"/>
      <c r="SXU3" s="2"/>
      <c r="SXV3" s="2"/>
      <c r="SXW3" s="2"/>
      <c r="SXX3" s="2"/>
      <c r="SXY3" s="2"/>
      <c r="SXZ3" s="2"/>
      <c r="SYA3" s="2"/>
      <c r="SYB3" s="2"/>
      <c r="SYC3" s="2"/>
      <c r="SYD3" s="2"/>
      <c r="SYE3" s="2"/>
      <c r="SYF3" s="2"/>
      <c r="SYG3" s="2"/>
      <c r="SYH3" s="2"/>
      <c r="SYI3" s="2"/>
      <c r="SYJ3" s="2"/>
      <c r="SYK3" s="2"/>
      <c r="SYL3" s="2"/>
      <c r="SYM3" s="2"/>
      <c r="SYN3" s="2"/>
      <c r="SYO3" s="2"/>
      <c r="SYP3" s="2"/>
      <c r="SYQ3" s="2"/>
      <c r="SYR3" s="2"/>
      <c r="SYS3" s="2"/>
      <c r="SYT3" s="2"/>
      <c r="SYU3" s="2"/>
      <c r="SYV3" s="2"/>
      <c r="SYW3" s="2"/>
      <c r="SYX3" s="2"/>
      <c r="SYY3" s="2"/>
      <c r="SYZ3" s="2"/>
      <c r="SZA3" s="2"/>
      <c r="SZB3" s="2"/>
      <c r="SZC3" s="2"/>
      <c r="SZD3" s="2"/>
      <c r="SZE3" s="2"/>
      <c r="SZF3" s="2"/>
      <c r="SZG3" s="2"/>
      <c r="SZH3" s="2"/>
      <c r="SZI3" s="2"/>
      <c r="SZJ3" s="2"/>
      <c r="SZK3" s="2"/>
      <c r="SZL3" s="2"/>
      <c r="SZM3" s="2"/>
      <c r="SZN3" s="2"/>
      <c r="SZO3" s="2"/>
      <c r="SZP3" s="2"/>
      <c r="SZQ3" s="2"/>
      <c r="SZR3" s="2"/>
      <c r="SZS3" s="2"/>
      <c r="SZT3" s="2"/>
      <c r="SZU3" s="2"/>
      <c r="SZV3" s="2"/>
      <c r="SZW3" s="2"/>
      <c r="SZX3" s="2"/>
      <c r="SZY3" s="2"/>
      <c r="SZZ3" s="2"/>
      <c r="TAA3" s="2"/>
      <c r="TAB3" s="2"/>
      <c r="TAC3" s="2"/>
      <c r="TAD3" s="2"/>
      <c r="TAE3" s="2"/>
      <c r="TAF3" s="2"/>
      <c r="TAG3" s="2"/>
      <c r="TAH3" s="2"/>
      <c r="TAI3" s="2"/>
      <c r="TAJ3" s="2"/>
      <c r="TAK3" s="2"/>
      <c r="TAL3" s="2"/>
      <c r="TAM3" s="2"/>
      <c r="TAN3" s="2"/>
      <c r="TAO3" s="2"/>
      <c r="TAP3" s="2"/>
      <c r="TAQ3" s="2"/>
      <c r="TAR3" s="2"/>
      <c r="TAS3" s="2"/>
      <c r="TAT3" s="2"/>
      <c r="TAU3" s="2"/>
      <c r="TAV3" s="2"/>
      <c r="TAW3" s="2"/>
      <c r="TAX3" s="2"/>
      <c r="TAY3" s="2"/>
      <c r="TAZ3" s="2"/>
      <c r="TBA3" s="2"/>
      <c r="TBB3" s="2"/>
      <c r="TBC3" s="2"/>
      <c r="TBD3" s="2"/>
      <c r="TBE3" s="2"/>
      <c r="TBF3" s="2"/>
      <c r="TBG3" s="2"/>
      <c r="TBH3" s="2"/>
      <c r="TBI3" s="2"/>
      <c r="TBJ3" s="2"/>
      <c r="TBK3" s="2"/>
      <c r="TBL3" s="2"/>
      <c r="TBM3" s="2"/>
      <c r="TBN3" s="2"/>
      <c r="TBO3" s="2"/>
      <c r="TBP3" s="2"/>
      <c r="TBQ3" s="2"/>
      <c r="TBR3" s="2"/>
      <c r="TBS3" s="2"/>
      <c r="TBT3" s="2"/>
      <c r="TBU3" s="2"/>
      <c r="TBV3" s="2"/>
      <c r="TBW3" s="2"/>
      <c r="TBX3" s="2"/>
      <c r="TBY3" s="2"/>
      <c r="TBZ3" s="2"/>
      <c r="TCA3" s="2"/>
      <c r="TCB3" s="2"/>
      <c r="TCC3" s="2"/>
      <c r="TCD3" s="2"/>
      <c r="TCE3" s="2"/>
      <c r="TCF3" s="2"/>
      <c r="TCG3" s="2"/>
      <c r="TCH3" s="2"/>
      <c r="TCI3" s="2"/>
      <c r="TCJ3" s="2"/>
      <c r="TCK3" s="2"/>
      <c r="TCL3" s="2"/>
      <c r="TCM3" s="2"/>
      <c r="TCN3" s="2"/>
      <c r="TCO3" s="2"/>
      <c r="TCP3" s="2"/>
      <c r="TCQ3" s="2"/>
      <c r="TCR3" s="2"/>
      <c r="TCS3" s="2"/>
      <c r="TCT3" s="2"/>
      <c r="TCU3" s="2"/>
      <c r="TCV3" s="2"/>
      <c r="TCW3" s="2"/>
      <c r="TCX3" s="2"/>
      <c r="TCY3" s="2"/>
      <c r="TCZ3" s="2"/>
      <c r="TDA3" s="2"/>
      <c r="TDB3" s="2"/>
      <c r="TDC3" s="2"/>
      <c r="TDD3" s="2"/>
      <c r="TDE3" s="2"/>
      <c r="TDF3" s="2"/>
      <c r="TDG3" s="2"/>
      <c r="TDH3" s="2"/>
      <c r="TDI3" s="2"/>
      <c r="TDJ3" s="2"/>
      <c r="TDK3" s="2"/>
      <c r="TDL3" s="2"/>
      <c r="TDM3" s="2"/>
      <c r="TDN3" s="2"/>
      <c r="TDO3" s="2"/>
      <c r="TDP3" s="2"/>
      <c r="TDQ3" s="2"/>
      <c r="TDR3" s="2"/>
      <c r="TDS3" s="2"/>
      <c r="TDT3" s="2"/>
      <c r="TDU3" s="2"/>
      <c r="TDV3" s="2"/>
      <c r="TDW3" s="2"/>
      <c r="TDX3" s="2"/>
      <c r="TDY3" s="2"/>
      <c r="TDZ3" s="2"/>
      <c r="TEA3" s="2"/>
      <c r="TEB3" s="2"/>
      <c r="TEC3" s="2"/>
      <c r="TED3" s="2"/>
      <c r="TEE3" s="2"/>
      <c r="TEF3" s="2"/>
      <c r="TEG3" s="2"/>
      <c r="TEH3" s="2"/>
      <c r="TEI3" s="2"/>
      <c r="TEJ3" s="2"/>
      <c r="TEK3" s="2"/>
      <c r="TEL3" s="2"/>
      <c r="TEM3" s="2"/>
      <c r="TEN3" s="2"/>
      <c r="TEO3" s="2"/>
      <c r="TEP3" s="2"/>
      <c r="TEQ3" s="2"/>
      <c r="TER3" s="2"/>
      <c r="TES3" s="2"/>
      <c r="TET3" s="2"/>
      <c r="TEU3" s="2"/>
      <c r="TEV3" s="2"/>
      <c r="TEW3" s="2"/>
      <c r="TEX3" s="2"/>
      <c r="TEY3" s="2"/>
      <c r="TEZ3" s="2"/>
      <c r="TFA3" s="2"/>
      <c r="TFB3" s="2"/>
      <c r="TFC3" s="2"/>
      <c r="TFD3" s="2"/>
      <c r="TFE3" s="2"/>
      <c r="TFF3" s="2"/>
      <c r="TFG3" s="2"/>
      <c r="TFH3" s="2"/>
      <c r="TFI3" s="2"/>
      <c r="TFJ3" s="2"/>
      <c r="TFK3" s="2"/>
      <c r="TFL3" s="2"/>
      <c r="TFM3" s="2"/>
      <c r="TFN3" s="2"/>
      <c r="TFO3" s="2"/>
      <c r="TFP3" s="2"/>
      <c r="TFQ3" s="2"/>
      <c r="TFR3" s="2"/>
      <c r="TFS3" s="2"/>
      <c r="TFT3" s="2"/>
      <c r="TFU3" s="2"/>
      <c r="TFV3" s="2"/>
      <c r="TFW3" s="2"/>
      <c r="TFX3" s="2"/>
      <c r="TFY3" s="2"/>
      <c r="TFZ3" s="2"/>
      <c r="TGA3" s="2"/>
      <c r="TGB3" s="2"/>
      <c r="TGC3" s="2"/>
      <c r="TGD3" s="2"/>
      <c r="TGE3" s="2"/>
      <c r="TGF3" s="2"/>
      <c r="TGG3" s="2"/>
      <c r="TGH3" s="2"/>
      <c r="TGI3" s="2"/>
      <c r="TGJ3" s="2"/>
      <c r="TGK3" s="2"/>
      <c r="TGL3" s="2"/>
      <c r="TGM3" s="2"/>
      <c r="TGN3" s="2"/>
      <c r="TGO3" s="2"/>
      <c r="TGP3" s="2"/>
      <c r="TGQ3" s="2"/>
      <c r="TGR3" s="2"/>
      <c r="TGS3" s="2"/>
      <c r="TGT3" s="2"/>
      <c r="TGU3" s="2"/>
      <c r="TGV3" s="2"/>
      <c r="TGW3" s="2"/>
      <c r="TGX3" s="2"/>
      <c r="TGY3" s="2"/>
      <c r="TGZ3" s="2"/>
      <c r="THA3" s="2"/>
      <c r="THB3" s="2"/>
      <c r="THC3" s="2"/>
      <c r="THD3" s="2"/>
      <c r="THE3" s="2"/>
      <c r="THF3" s="2"/>
      <c r="THG3" s="2"/>
      <c r="THH3" s="2"/>
      <c r="THI3" s="2"/>
      <c r="THJ3" s="2"/>
      <c r="THK3" s="2"/>
      <c r="THL3" s="2"/>
      <c r="THM3" s="2"/>
      <c r="THN3" s="2"/>
      <c r="THO3" s="2"/>
      <c r="THP3" s="2"/>
      <c r="THQ3" s="2"/>
      <c r="THR3" s="2"/>
      <c r="THS3" s="2"/>
      <c r="THT3" s="2"/>
      <c r="THU3" s="2"/>
      <c r="THV3" s="2"/>
      <c r="THW3" s="2"/>
      <c r="THX3" s="2"/>
      <c r="THY3" s="2"/>
      <c r="THZ3" s="2"/>
      <c r="TIA3" s="2"/>
      <c r="TIB3" s="2"/>
      <c r="TIC3" s="2"/>
      <c r="TID3" s="2"/>
      <c r="TIE3" s="2"/>
      <c r="TIF3" s="2"/>
      <c r="TIG3" s="2"/>
      <c r="TIH3" s="2"/>
      <c r="TII3" s="2"/>
      <c r="TIJ3" s="2"/>
      <c r="TIK3" s="2"/>
      <c r="TIL3" s="2"/>
      <c r="TIM3" s="2"/>
      <c r="TIN3" s="2"/>
      <c r="TIO3" s="2"/>
      <c r="TIP3" s="2"/>
      <c r="TIQ3" s="2"/>
      <c r="TIR3" s="2"/>
      <c r="TIS3" s="2"/>
      <c r="TIT3" s="2"/>
      <c r="TIU3" s="2"/>
      <c r="TIV3" s="2"/>
      <c r="TIW3" s="2"/>
      <c r="TIX3" s="2"/>
      <c r="TIY3" s="2"/>
      <c r="TIZ3" s="2"/>
      <c r="TJA3" s="2"/>
      <c r="TJB3" s="2"/>
      <c r="TJC3" s="2"/>
      <c r="TJD3" s="2"/>
      <c r="TJE3" s="2"/>
      <c r="TJF3" s="2"/>
      <c r="TJG3" s="2"/>
      <c r="TJH3" s="2"/>
      <c r="TJI3" s="2"/>
      <c r="TJJ3" s="2"/>
      <c r="TJK3" s="2"/>
      <c r="TJL3" s="2"/>
      <c r="TJM3" s="2"/>
      <c r="TJN3" s="2"/>
      <c r="TJO3" s="2"/>
      <c r="TJP3" s="2"/>
      <c r="TJQ3" s="2"/>
      <c r="TJR3" s="2"/>
      <c r="TJS3" s="2"/>
      <c r="TJT3" s="2"/>
      <c r="TJU3" s="2"/>
      <c r="TJV3" s="2"/>
      <c r="TJW3" s="2"/>
      <c r="TJX3" s="2"/>
      <c r="TJY3" s="2"/>
      <c r="TJZ3" s="2"/>
      <c r="TKA3" s="2"/>
      <c r="TKB3" s="2"/>
      <c r="TKC3" s="2"/>
      <c r="TKD3" s="2"/>
      <c r="TKE3" s="2"/>
      <c r="TKF3" s="2"/>
      <c r="TKG3" s="2"/>
      <c r="TKH3" s="2"/>
      <c r="TKI3" s="2"/>
      <c r="TKJ3" s="2"/>
      <c r="TKK3" s="2"/>
      <c r="TKL3" s="2"/>
      <c r="TKM3" s="2"/>
      <c r="TKN3" s="2"/>
      <c r="TKO3" s="2"/>
      <c r="TKP3" s="2"/>
      <c r="TKQ3" s="2"/>
      <c r="TKR3" s="2"/>
      <c r="TKS3" s="2"/>
      <c r="TKT3" s="2"/>
      <c r="TKU3" s="2"/>
      <c r="TKV3" s="2"/>
      <c r="TKW3" s="2"/>
      <c r="TKX3" s="2"/>
      <c r="TKY3" s="2"/>
      <c r="TKZ3" s="2"/>
      <c r="TLA3" s="2"/>
      <c r="TLB3" s="2"/>
      <c r="TLC3" s="2"/>
      <c r="TLD3" s="2"/>
      <c r="TLE3" s="2"/>
      <c r="TLF3" s="2"/>
      <c r="TLG3" s="2"/>
      <c r="TLH3" s="2"/>
      <c r="TLI3" s="2"/>
      <c r="TLJ3" s="2"/>
      <c r="TLK3" s="2"/>
      <c r="TLL3" s="2"/>
      <c r="TLM3" s="2"/>
      <c r="TLN3" s="2"/>
      <c r="TLO3" s="2"/>
      <c r="TLP3" s="2"/>
      <c r="TLQ3" s="2"/>
      <c r="TLR3" s="2"/>
      <c r="TLS3" s="2"/>
      <c r="TLT3" s="2"/>
      <c r="TLU3" s="2"/>
      <c r="TLV3" s="2"/>
      <c r="TLW3" s="2"/>
      <c r="TLX3" s="2"/>
      <c r="TLY3" s="2"/>
      <c r="TLZ3" s="2"/>
      <c r="TMA3" s="2"/>
      <c r="TMB3" s="2"/>
      <c r="TMC3" s="2"/>
      <c r="TMD3" s="2"/>
      <c r="TME3" s="2"/>
      <c r="TMF3" s="2"/>
      <c r="TMG3" s="2"/>
      <c r="TMH3" s="2"/>
      <c r="TMI3" s="2"/>
      <c r="TMJ3" s="2"/>
      <c r="TMK3" s="2"/>
      <c r="TML3" s="2"/>
      <c r="TMM3" s="2"/>
      <c r="TMN3" s="2"/>
      <c r="TMO3" s="2"/>
      <c r="TMP3" s="2"/>
      <c r="TMQ3" s="2"/>
      <c r="TMR3" s="2"/>
      <c r="TMS3" s="2"/>
      <c r="TMT3" s="2"/>
      <c r="TMU3" s="2"/>
      <c r="TMV3" s="2"/>
      <c r="TMW3" s="2"/>
      <c r="TMX3" s="2"/>
      <c r="TMY3" s="2"/>
      <c r="TMZ3" s="2"/>
      <c r="TNA3" s="2"/>
      <c r="TNB3" s="2"/>
      <c r="TNC3" s="2"/>
      <c r="TND3" s="2"/>
      <c r="TNE3" s="2"/>
      <c r="TNF3" s="2"/>
      <c r="TNG3" s="2"/>
      <c r="TNH3" s="2"/>
      <c r="TNI3" s="2"/>
      <c r="TNJ3" s="2"/>
      <c r="TNK3" s="2"/>
      <c r="TNL3" s="2"/>
      <c r="TNM3" s="2"/>
      <c r="TNN3" s="2"/>
      <c r="TNO3" s="2"/>
      <c r="TNP3" s="2"/>
      <c r="TNQ3" s="2"/>
      <c r="TNR3" s="2"/>
      <c r="TNS3" s="2"/>
      <c r="TNT3" s="2"/>
      <c r="TNU3" s="2"/>
      <c r="TNV3" s="2"/>
      <c r="TNW3" s="2"/>
      <c r="TNX3" s="2"/>
      <c r="TNY3" s="2"/>
      <c r="TNZ3" s="2"/>
      <c r="TOA3" s="2"/>
      <c r="TOB3" s="2"/>
      <c r="TOC3" s="2"/>
      <c r="TOD3" s="2"/>
      <c r="TOE3" s="2"/>
      <c r="TOF3" s="2"/>
      <c r="TOG3" s="2"/>
      <c r="TOH3" s="2"/>
      <c r="TOI3" s="2"/>
      <c r="TOJ3" s="2"/>
      <c r="TOK3" s="2"/>
      <c r="TOL3" s="2"/>
      <c r="TOM3" s="2"/>
      <c r="TON3" s="2"/>
      <c r="TOO3" s="2"/>
      <c r="TOP3" s="2"/>
      <c r="TOQ3" s="2"/>
      <c r="TOR3" s="2"/>
      <c r="TOS3" s="2"/>
      <c r="TOT3" s="2"/>
      <c r="TOU3" s="2"/>
      <c r="TOV3" s="2"/>
      <c r="TOW3" s="2"/>
      <c r="TOX3" s="2"/>
      <c r="TOY3" s="2"/>
      <c r="TOZ3" s="2"/>
      <c r="TPA3" s="2"/>
      <c r="TPB3" s="2"/>
      <c r="TPC3" s="2"/>
      <c r="TPD3" s="2"/>
      <c r="TPE3" s="2"/>
      <c r="TPF3" s="2"/>
      <c r="TPG3" s="2"/>
      <c r="TPH3" s="2"/>
      <c r="TPI3" s="2"/>
      <c r="TPJ3" s="2"/>
      <c r="TPK3" s="2"/>
      <c r="TPL3" s="2"/>
      <c r="TPM3" s="2"/>
      <c r="TPN3" s="2"/>
      <c r="TPO3" s="2"/>
      <c r="TPP3" s="2"/>
      <c r="TPQ3" s="2"/>
      <c r="TPR3" s="2"/>
      <c r="TPS3" s="2"/>
      <c r="TPT3" s="2"/>
      <c r="TPU3" s="2"/>
      <c r="TPV3" s="2"/>
      <c r="TPW3" s="2"/>
      <c r="TPX3" s="2"/>
      <c r="TPY3" s="2"/>
      <c r="TPZ3" s="2"/>
      <c r="TQA3" s="2"/>
      <c r="TQB3" s="2"/>
      <c r="TQC3" s="2"/>
      <c r="TQD3" s="2"/>
      <c r="TQE3" s="2"/>
      <c r="TQF3" s="2"/>
      <c r="TQG3" s="2"/>
      <c r="TQH3" s="2"/>
      <c r="TQI3" s="2"/>
      <c r="TQJ3" s="2"/>
      <c r="TQK3" s="2"/>
      <c r="TQL3" s="2"/>
      <c r="TQM3" s="2"/>
      <c r="TQN3" s="2"/>
      <c r="TQO3" s="2"/>
      <c r="TQP3" s="2"/>
      <c r="TQQ3" s="2"/>
      <c r="TQR3" s="2"/>
      <c r="TQS3" s="2"/>
      <c r="TQT3" s="2"/>
      <c r="TQU3" s="2"/>
      <c r="TQV3" s="2"/>
      <c r="TQW3" s="2"/>
      <c r="TQX3" s="2"/>
      <c r="TQY3" s="2"/>
      <c r="TQZ3" s="2"/>
      <c r="TRA3" s="2"/>
      <c r="TRB3" s="2"/>
      <c r="TRC3" s="2"/>
      <c r="TRD3" s="2"/>
      <c r="TRE3" s="2"/>
      <c r="TRF3" s="2"/>
      <c r="TRG3" s="2"/>
      <c r="TRH3" s="2"/>
      <c r="TRI3" s="2"/>
      <c r="TRJ3" s="2"/>
      <c r="TRK3" s="2"/>
      <c r="TRL3" s="2"/>
      <c r="TRM3" s="2"/>
      <c r="TRN3" s="2"/>
      <c r="TRO3" s="2"/>
      <c r="TRP3" s="2"/>
      <c r="TRQ3" s="2"/>
      <c r="TRR3" s="2"/>
      <c r="TRS3" s="2"/>
      <c r="TRT3" s="2"/>
      <c r="TRU3" s="2"/>
      <c r="TRV3" s="2"/>
      <c r="TRW3" s="2"/>
      <c r="TRX3" s="2"/>
      <c r="TRY3" s="2"/>
      <c r="TRZ3" s="2"/>
      <c r="TSA3" s="2"/>
      <c r="TSB3" s="2"/>
      <c r="TSC3" s="2"/>
      <c r="TSD3" s="2"/>
      <c r="TSE3" s="2"/>
      <c r="TSF3" s="2"/>
      <c r="TSG3" s="2"/>
      <c r="TSH3" s="2"/>
      <c r="TSI3" s="2"/>
      <c r="TSJ3" s="2"/>
      <c r="TSK3" s="2"/>
      <c r="TSL3" s="2"/>
      <c r="TSM3" s="2"/>
      <c r="TSN3" s="2"/>
      <c r="TSO3" s="2"/>
      <c r="TSP3" s="2"/>
      <c r="TSQ3" s="2"/>
      <c r="TSR3" s="2"/>
      <c r="TSS3" s="2"/>
      <c r="TST3" s="2"/>
      <c r="TSU3" s="2"/>
      <c r="TSV3" s="2"/>
      <c r="TSW3" s="2"/>
      <c r="TSX3" s="2"/>
      <c r="TSY3" s="2"/>
      <c r="TSZ3" s="2"/>
      <c r="TTA3" s="2"/>
      <c r="TTB3" s="2"/>
      <c r="TTC3" s="2"/>
      <c r="TTD3" s="2"/>
      <c r="TTE3" s="2"/>
      <c r="TTF3" s="2"/>
      <c r="TTG3" s="2"/>
      <c r="TTH3" s="2"/>
      <c r="TTI3" s="2"/>
      <c r="TTJ3" s="2"/>
      <c r="TTK3" s="2"/>
      <c r="TTL3" s="2"/>
      <c r="TTM3" s="2"/>
      <c r="TTN3" s="2"/>
      <c r="TTO3" s="2"/>
      <c r="TTP3" s="2"/>
      <c r="TTQ3" s="2"/>
      <c r="TTR3" s="2"/>
      <c r="TTS3" s="2"/>
      <c r="TTT3" s="2"/>
      <c r="TTU3" s="2"/>
      <c r="TTV3" s="2"/>
      <c r="TTW3" s="2"/>
      <c r="TTX3" s="2"/>
      <c r="TTY3" s="2"/>
      <c r="TTZ3" s="2"/>
      <c r="TUA3" s="2"/>
      <c r="TUB3" s="2"/>
      <c r="TUC3" s="2"/>
      <c r="TUD3" s="2"/>
      <c r="TUE3" s="2"/>
      <c r="TUF3" s="2"/>
      <c r="TUG3" s="2"/>
      <c r="TUH3" s="2"/>
      <c r="TUI3" s="2"/>
      <c r="TUJ3" s="2"/>
      <c r="TUK3" s="2"/>
      <c r="TUL3" s="2"/>
      <c r="TUM3" s="2"/>
      <c r="TUN3" s="2"/>
      <c r="TUO3" s="2"/>
      <c r="TUP3" s="2"/>
      <c r="TUQ3" s="2"/>
      <c r="TUR3" s="2"/>
      <c r="TUS3" s="2"/>
      <c r="TUT3" s="2"/>
      <c r="TUU3" s="2"/>
      <c r="TUV3" s="2"/>
      <c r="TUW3" s="2"/>
      <c r="TUX3" s="2"/>
      <c r="TUY3" s="2"/>
      <c r="TUZ3" s="2"/>
      <c r="TVA3" s="2"/>
      <c r="TVB3" s="2"/>
      <c r="TVC3" s="2"/>
      <c r="TVD3" s="2"/>
      <c r="TVE3" s="2"/>
      <c r="TVF3" s="2"/>
      <c r="TVG3" s="2"/>
      <c r="TVH3" s="2"/>
      <c r="TVI3" s="2"/>
      <c r="TVJ3" s="2"/>
      <c r="TVK3" s="2"/>
      <c r="TVL3" s="2"/>
      <c r="TVM3" s="2"/>
      <c r="TVN3" s="2"/>
      <c r="TVO3" s="2"/>
      <c r="TVP3" s="2"/>
      <c r="TVQ3" s="2"/>
      <c r="TVR3" s="2"/>
      <c r="TVS3" s="2"/>
      <c r="TVT3" s="2"/>
      <c r="TVU3" s="2"/>
      <c r="TVV3" s="2"/>
      <c r="TVW3" s="2"/>
      <c r="TVX3" s="2"/>
      <c r="TVY3" s="2"/>
      <c r="TVZ3" s="2"/>
      <c r="TWA3" s="2"/>
      <c r="TWB3" s="2"/>
      <c r="TWC3" s="2"/>
      <c r="TWD3" s="2"/>
      <c r="TWE3" s="2"/>
      <c r="TWF3" s="2"/>
      <c r="TWG3" s="2"/>
      <c r="TWH3" s="2"/>
      <c r="TWI3" s="2"/>
      <c r="TWJ3" s="2"/>
      <c r="TWK3" s="2"/>
      <c r="TWL3" s="2"/>
      <c r="TWM3" s="2"/>
      <c r="TWN3" s="2"/>
      <c r="TWO3" s="2"/>
      <c r="TWP3" s="2"/>
      <c r="TWQ3" s="2"/>
      <c r="TWR3" s="2"/>
      <c r="TWS3" s="2"/>
      <c r="TWT3" s="2"/>
      <c r="TWU3" s="2"/>
      <c r="TWV3" s="2"/>
      <c r="TWW3" s="2"/>
      <c r="TWX3" s="2"/>
      <c r="TWY3" s="2"/>
      <c r="TWZ3" s="2"/>
      <c r="TXA3" s="2"/>
      <c r="TXB3" s="2"/>
      <c r="TXC3" s="2"/>
      <c r="TXD3" s="2"/>
      <c r="TXE3" s="2"/>
      <c r="TXF3" s="2"/>
      <c r="TXG3" s="2"/>
      <c r="TXH3" s="2"/>
      <c r="TXI3" s="2"/>
      <c r="TXJ3" s="2"/>
      <c r="TXK3" s="2"/>
      <c r="TXL3" s="2"/>
      <c r="TXM3" s="2"/>
      <c r="TXN3" s="2"/>
      <c r="TXO3" s="2"/>
      <c r="TXP3" s="2"/>
      <c r="TXQ3" s="2"/>
      <c r="TXR3" s="2"/>
      <c r="TXS3" s="2"/>
      <c r="TXT3" s="2"/>
      <c r="TXU3" s="2"/>
      <c r="TXV3" s="2"/>
      <c r="TXW3" s="2"/>
      <c r="TXX3" s="2"/>
      <c r="TXY3" s="2"/>
      <c r="TXZ3" s="2"/>
      <c r="TYA3" s="2"/>
      <c r="TYB3" s="2"/>
      <c r="TYC3" s="2"/>
      <c r="TYD3" s="2"/>
      <c r="TYE3" s="2"/>
      <c r="TYF3" s="2"/>
      <c r="TYG3" s="2"/>
      <c r="TYH3" s="2"/>
      <c r="TYI3" s="2"/>
      <c r="TYJ3" s="2"/>
      <c r="TYK3" s="2"/>
      <c r="TYL3" s="2"/>
      <c r="TYM3" s="2"/>
      <c r="TYN3" s="2"/>
      <c r="TYO3" s="2"/>
      <c r="TYP3" s="2"/>
      <c r="TYQ3" s="2"/>
      <c r="TYR3" s="2"/>
      <c r="TYS3" s="2"/>
      <c r="TYT3" s="2"/>
      <c r="TYU3" s="2"/>
      <c r="TYV3" s="2"/>
      <c r="TYW3" s="2"/>
      <c r="TYX3" s="2"/>
      <c r="TYY3" s="2"/>
      <c r="TYZ3" s="2"/>
      <c r="TZA3" s="2"/>
      <c r="TZB3" s="2"/>
      <c r="TZC3" s="2"/>
      <c r="TZD3" s="2"/>
      <c r="TZE3" s="2"/>
      <c r="TZF3" s="2"/>
      <c r="TZG3" s="2"/>
      <c r="TZH3" s="2"/>
      <c r="TZI3" s="2"/>
      <c r="TZJ3" s="2"/>
      <c r="TZK3" s="2"/>
      <c r="TZL3" s="2"/>
      <c r="TZM3" s="2"/>
      <c r="TZN3" s="2"/>
      <c r="TZO3" s="2"/>
      <c r="TZP3" s="2"/>
      <c r="TZQ3" s="2"/>
      <c r="TZR3" s="2"/>
      <c r="TZS3" s="2"/>
      <c r="TZT3" s="2"/>
      <c r="TZU3" s="2"/>
      <c r="TZV3" s="2"/>
      <c r="TZW3" s="2"/>
      <c r="TZX3" s="2"/>
      <c r="TZY3" s="2"/>
      <c r="TZZ3" s="2"/>
      <c r="UAA3" s="2"/>
      <c r="UAB3" s="2"/>
      <c r="UAC3" s="2"/>
      <c r="UAD3" s="2"/>
      <c r="UAE3" s="2"/>
      <c r="UAF3" s="2"/>
      <c r="UAG3" s="2"/>
      <c r="UAH3" s="2"/>
      <c r="UAI3" s="2"/>
      <c r="UAJ3" s="2"/>
      <c r="UAK3" s="2"/>
      <c r="UAL3" s="2"/>
      <c r="UAM3" s="2"/>
      <c r="UAN3" s="2"/>
      <c r="UAO3" s="2"/>
      <c r="UAP3" s="2"/>
      <c r="UAQ3" s="2"/>
      <c r="UAR3" s="2"/>
      <c r="UAS3" s="2"/>
      <c r="UAT3" s="2"/>
      <c r="UAU3" s="2"/>
      <c r="UAV3" s="2"/>
      <c r="UAW3" s="2"/>
      <c r="UAX3" s="2"/>
      <c r="UAY3" s="2"/>
      <c r="UAZ3" s="2"/>
      <c r="UBA3" s="2"/>
      <c r="UBB3" s="2"/>
      <c r="UBC3" s="2"/>
      <c r="UBD3" s="2"/>
      <c r="UBE3" s="2"/>
      <c r="UBF3" s="2"/>
      <c r="UBG3" s="2"/>
      <c r="UBH3" s="2"/>
      <c r="UBI3" s="2"/>
      <c r="UBJ3" s="2"/>
      <c r="UBK3" s="2"/>
      <c r="UBL3" s="2"/>
      <c r="UBM3" s="2"/>
      <c r="UBN3" s="2"/>
      <c r="UBO3" s="2"/>
      <c r="UBP3" s="2"/>
      <c r="UBQ3" s="2"/>
      <c r="UBR3" s="2"/>
      <c r="UBS3" s="2"/>
      <c r="UBT3" s="2"/>
      <c r="UBU3" s="2"/>
      <c r="UBV3" s="2"/>
      <c r="UBW3" s="2"/>
      <c r="UBX3" s="2"/>
      <c r="UBY3" s="2"/>
      <c r="UBZ3" s="2"/>
      <c r="UCA3" s="2"/>
      <c r="UCB3" s="2"/>
      <c r="UCC3" s="2"/>
      <c r="UCD3" s="2"/>
      <c r="UCE3" s="2"/>
      <c r="UCF3" s="2"/>
      <c r="UCG3" s="2"/>
      <c r="UCH3" s="2"/>
      <c r="UCI3" s="2"/>
      <c r="UCJ3" s="2"/>
      <c r="UCK3" s="2"/>
      <c r="UCL3" s="2"/>
      <c r="UCM3" s="2"/>
      <c r="UCN3" s="2"/>
      <c r="UCO3" s="2"/>
      <c r="UCP3" s="2"/>
      <c r="UCQ3" s="2"/>
      <c r="UCR3" s="2"/>
      <c r="UCS3" s="2"/>
      <c r="UCT3" s="2"/>
      <c r="UCU3" s="2"/>
      <c r="UCV3" s="2"/>
      <c r="UCW3" s="2"/>
      <c r="UCX3" s="2"/>
      <c r="UCY3" s="2"/>
      <c r="UCZ3" s="2"/>
      <c r="UDA3" s="2"/>
      <c r="UDB3" s="2"/>
      <c r="UDC3" s="2"/>
      <c r="UDD3" s="2"/>
      <c r="UDE3" s="2"/>
      <c r="UDF3" s="2"/>
      <c r="UDG3" s="2"/>
      <c r="UDH3" s="2"/>
      <c r="UDI3" s="2"/>
      <c r="UDJ3" s="2"/>
      <c r="UDK3" s="2"/>
      <c r="UDL3" s="2"/>
      <c r="UDM3" s="2"/>
      <c r="UDN3" s="2"/>
      <c r="UDO3" s="2"/>
      <c r="UDP3" s="2"/>
      <c r="UDQ3" s="2"/>
      <c r="UDR3" s="2"/>
      <c r="UDS3" s="2"/>
      <c r="UDT3" s="2"/>
      <c r="UDU3" s="2"/>
      <c r="UDV3" s="2"/>
      <c r="UDW3" s="2"/>
      <c r="UDX3" s="2"/>
      <c r="UDY3" s="2"/>
      <c r="UDZ3" s="2"/>
      <c r="UEA3" s="2"/>
      <c r="UEB3" s="2"/>
      <c r="UEC3" s="2"/>
      <c r="UED3" s="2"/>
      <c r="UEE3" s="2"/>
      <c r="UEF3" s="2"/>
      <c r="UEG3" s="2"/>
      <c r="UEH3" s="2"/>
      <c r="UEI3" s="2"/>
      <c r="UEJ3" s="2"/>
      <c r="UEK3" s="2"/>
      <c r="UEL3" s="2"/>
      <c r="UEM3" s="2"/>
      <c r="UEN3" s="2"/>
      <c r="UEO3" s="2"/>
      <c r="UEP3" s="2"/>
      <c r="UEQ3" s="2"/>
      <c r="UER3" s="2"/>
      <c r="UES3" s="2"/>
      <c r="UET3" s="2"/>
      <c r="UEU3" s="2"/>
      <c r="UEV3" s="2"/>
      <c r="UEW3" s="2"/>
      <c r="UEX3" s="2"/>
      <c r="UEY3" s="2"/>
      <c r="UEZ3" s="2"/>
      <c r="UFA3" s="2"/>
      <c r="UFB3" s="2"/>
      <c r="UFC3" s="2"/>
      <c r="UFD3" s="2"/>
      <c r="UFE3" s="2"/>
      <c r="UFF3" s="2"/>
      <c r="UFG3" s="2"/>
      <c r="UFH3" s="2"/>
      <c r="UFI3" s="2"/>
      <c r="UFJ3" s="2"/>
      <c r="UFK3" s="2"/>
      <c r="UFL3" s="2"/>
      <c r="UFM3" s="2"/>
      <c r="UFN3" s="2"/>
      <c r="UFO3" s="2"/>
      <c r="UFP3" s="2"/>
      <c r="UFQ3" s="2"/>
      <c r="UFR3" s="2"/>
      <c r="UFS3" s="2"/>
      <c r="UFT3" s="2"/>
      <c r="UFU3" s="2"/>
      <c r="UFV3" s="2"/>
      <c r="UFW3" s="2"/>
      <c r="UFX3" s="2"/>
      <c r="UFY3" s="2"/>
      <c r="UFZ3" s="2"/>
      <c r="UGA3" s="2"/>
      <c r="UGB3" s="2"/>
      <c r="UGC3" s="2"/>
      <c r="UGD3" s="2"/>
      <c r="UGE3" s="2"/>
      <c r="UGF3" s="2"/>
      <c r="UGG3" s="2"/>
      <c r="UGH3" s="2"/>
      <c r="UGI3" s="2"/>
      <c r="UGJ3" s="2"/>
      <c r="UGK3" s="2"/>
      <c r="UGL3" s="2"/>
      <c r="UGM3" s="2"/>
      <c r="UGN3" s="2"/>
      <c r="UGO3" s="2"/>
      <c r="UGP3" s="2"/>
      <c r="UGQ3" s="2"/>
      <c r="UGR3" s="2"/>
      <c r="UGS3" s="2"/>
      <c r="UGT3" s="2"/>
      <c r="UGU3" s="2"/>
      <c r="UGV3" s="2"/>
      <c r="UGW3" s="2"/>
      <c r="UGX3" s="2"/>
      <c r="UGY3" s="2"/>
      <c r="UGZ3" s="2"/>
      <c r="UHA3" s="2"/>
      <c r="UHB3" s="2"/>
      <c r="UHC3" s="2"/>
      <c r="UHD3" s="2"/>
      <c r="UHE3" s="2"/>
      <c r="UHF3" s="2"/>
      <c r="UHG3" s="2"/>
      <c r="UHH3" s="2"/>
      <c r="UHI3" s="2"/>
      <c r="UHJ3" s="2"/>
      <c r="UHK3" s="2"/>
      <c r="UHL3" s="2"/>
      <c r="UHM3" s="2"/>
      <c r="UHN3" s="2"/>
      <c r="UHO3" s="2"/>
      <c r="UHP3" s="2"/>
      <c r="UHQ3" s="2"/>
      <c r="UHR3" s="2"/>
      <c r="UHS3" s="2"/>
      <c r="UHT3" s="2"/>
      <c r="UHU3" s="2"/>
      <c r="UHV3" s="2"/>
      <c r="UHW3" s="2"/>
      <c r="UHX3" s="2"/>
      <c r="UHY3" s="2"/>
      <c r="UHZ3" s="2"/>
      <c r="UIA3" s="2"/>
      <c r="UIB3" s="2"/>
      <c r="UIC3" s="2"/>
      <c r="UID3" s="2"/>
      <c r="UIE3" s="2"/>
      <c r="UIF3" s="2"/>
      <c r="UIG3" s="2"/>
      <c r="UIH3" s="2"/>
      <c r="UII3" s="2"/>
      <c r="UIJ3" s="2"/>
      <c r="UIK3" s="2"/>
      <c r="UIL3" s="2"/>
      <c r="UIM3" s="2"/>
      <c r="UIN3" s="2"/>
      <c r="UIO3" s="2"/>
      <c r="UIP3" s="2"/>
      <c r="UIQ3" s="2"/>
      <c r="UIR3" s="2"/>
      <c r="UIS3" s="2"/>
      <c r="UIT3" s="2"/>
      <c r="UIU3" s="2"/>
      <c r="UIV3" s="2"/>
      <c r="UIW3" s="2"/>
      <c r="UIX3" s="2"/>
      <c r="UIY3" s="2"/>
      <c r="UIZ3" s="2"/>
      <c r="UJA3" s="2"/>
      <c r="UJB3" s="2"/>
      <c r="UJC3" s="2"/>
      <c r="UJD3" s="2"/>
      <c r="UJE3" s="2"/>
      <c r="UJF3" s="2"/>
      <c r="UJG3" s="2"/>
      <c r="UJH3" s="2"/>
      <c r="UJI3" s="2"/>
      <c r="UJJ3" s="2"/>
      <c r="UJK3" s="2"/>
      <c r="UJL3" s="2"/>
      <c r="UJM3" s="2"/>
      <c r="UJN3" s="2"/>
      <c r="UJO3" s="2"/>
      <c r="UJP3" s="2"/>
      <c r="UJQ3" s="2"/>
      <c r="UJR3" s="2"/>
      <c r="UJS3" s="2"/>
      <c r="UJT3" s="2"/>
      <c r="UJU3" s="2"/>
      <c r="UJV3" s="2"/>
      <c r="UJW3" s="2"/>
      <c r="UJX3" s="2"/>
      <c r="UJY3" s="2"/>
      <c r="UJZ3" s="2"/>
      <c r="UKA3" s="2"/>
      <c r="UKB3" s="2"/>
      <c r="UKC3" s="2"/>
      <c r="UKD3" s="2"/>
      <c r="UKE3" s="2"/>
      <c r="UKF3" s="2"/>
      <c r="UKG3" s="2"/>
      <c r="UKH3" s="2"/>
      <c r="UKI3" s="2"/>
      <c r="UKJ3" s="2"/>
      <c r="UKK3" s="2"/>
      <c r="UKL3" s="2"/>
      <c r="UKM3" s="2"/>
      <c r="UKN3" s="2"/>
      <c r="UKO3" s="2"/>
      <c r="UKP3" s="2"/>
      <c r="UKQ3" s="2"/>
      <c r="UKR3" s="2"/>
      <c r="UKS3" s="2"/>
      <c r="UKT3" s="2"/>
      <c r="UKU3" s="2"/>
      <c r="UKV3" s="2"/>
      <c r="UKW3" s="2"/>
      <c r="UKX3" s="2"/>
      <c r="UKY3" s="2"/>
      <c r="UKZ3" s="2"/>
      <c r="ULA3" s="2"/>
      <c r="ULB3" s="2"/>
      <c r="ULC3" s="2"/>
      <c r="ULD3" s="2"/>
      <c r="ULE3" s="2"/>
      <c r="ULF3" s="2"/>
      <c r="ULG3" s="2"/>
      <c r="ULH3" s="2"/>
      <c r="ULI3" s="2"/>
      <c r="ULJ3" s="2"/>
      <c r="ULK3" s="2"/>
      <c r="ULL3" s="2"/>
      <c r="ULM3" s="2"/>
      <c r="ULN3" s="2"/>
      <c r="ULO3" s="2"/>
      <c r="ULP3" s="2"/>
      <c r="ULQ3" s="2"/>
      <c r="ULR3" s="2"/>
      <c r="ULS3" s="2"/>
      <c r="ULT3" s="2"/>
      <c r="ULU3" s="2"/>
      <c r="ULV3" s="2"/>
      <c r="ULW3" s="2"/>
      <c r="ULX3" s="2"/>
      <c r="ULY3" s="2"/>
      <c r="ULZ3" s="2"/>
      <c r="UMA3" s="2"/>
      <c r="UMB3" s="2"/>
      <c r="UMC3" s="2"/>
      <c r="UMD3" s="2"/>
      <c r="UME3" s="2"/>
      <c r="UMF3" s="2"/>
      <c r="UMG3" s="2"/>
      <c r="UMH3" s="2"/>
      <c r="UMI3" s="2"/>
      <c r="UMJ3" s="2"/>
      <c r="UMK3" s="2"/>
      <c r="UML3" s="2"/>
      <c r="UMM3" s="2"/>
      <c r="UMN3" s="2"/>
      <c r="UMO3" s="2"/>
      <c r="UMP3" s="2"/>
      <c r="UMQ3" s="2"/>
      <c r="UMR3" s="2"/>
      <c r="UMS3" s="2"/>
      <c r="UMT3" s="2"/>
      <c r="UMU3" s="2"/>
      <c r="UMV3" s="2"/>
      <c r="UMW3" s="2"/>
      <c r="UMX3" s="2"/>
      <c r="UMY3" s="2"/>
      <c r="UMZ3" s="2"/>
      <c r="UNA3" s="2"/>
      <c r="UNB3" s="2"/>
      <c r="UNC3" s="2"/>
      <c r="UND3" s="2"/>
      <c r="UNE3" s="2"/>
      <c r="UNF3" s="2"/>
      <c r="UNG3" s="2"/>
      <c r="UNH3" s="2"/>
      <c r="UNI3" s="2"/>
      <c r="UNJ3" s="2"/>
      <c r="UNK3" s="2"/>
      <c r="UNL3" s="2"/>
      <c r="UNM3" s="2"/>
      <c r="UNN3" s="2"/>
      <c r="UNO3" s="2"/>
      <c r="UNP3" s="2"/>
      <c r="UNQ3" s="2"/>
      <c r="UNR3" s="2"/>
      <c r="UNS3" s="2"/>
      <c r="UNT3" s="2"/>
      <c r="UNU3" s="2"/>
      <c r="UNV3" s="2"/>
      <c r="UNW3" s="2"/>
      <c r="UNX3" s="2"/>
      <c r="UNY3" s="2"/>
      <c r="UNZ3" s="2"/>
      <c r="UOA3" s="2"/>
      <c r="UOB3" s="2"/>
      <c r="UOC3" s="2"/>
      <c r="UOD3" s="2"/>
      <c r="UOE3" s="2"/>
      <c r="UOF3" s="2"/>
      <c r="UOG3" s="2"/>
      <c r="UOH3" s="2"/>
      <c r="UOI3" s="2"/>
      <c r="UOJ3" s="2"/>
      <c r="UOK3" s="2"/>
      <c r="UOL3" s="2"/>
      <c r="UOM3" s="2"/>
      <c r="UON3" s="2"/>
      <c r="UOO3" s="2"/>
      <c r="UOP3" s="2"/>
      <c r="UOQ3" s="2"/>
      <c r="UOR3" s="2"/>
      <c r="UOS3" s="2"/>
      <c r="UOT3" s="2"/>
      <c r="UOU3" s="2"/>
      <c r="UOV3" s="2"/>
      <c r="UOW3" s="2"/>
      <c r="UOX3" s="2"/>
      <c r="UOY3" s="2"/>
      <c r="UOZ3" s="2"/>
      <c r="UPA3" s="2"/>
      <c r="UPB3" s="2"/>
      <c r="UPC3" s="2"/>
      <c r="UPD3" s="2"/>
      <c r="UPE3" s="2"/>
      <c r="UPF3" s="2"/>
      <c r="UPG3" s="2"/>
      <c r="UPH3" s="2"/>
      <c r="UPI3" s="2"/>
      <c r="UPJ3" s="2"/>
      <c r="UPK3" s="2"/>
      <c r="UPL3" s="2"/>
      <c r="UPM3" s="2"/>
      <c r="UPN3" s="2"/>
      <c r="UPO3" s="2"/>
      <c r="UPP3" s="2"/>
      <c r="UPQ3" s="2"/>
      <c r="UPR3" s="2"/>
      <c r="UPS3" s="2"/>
      <c r="UPT3" s="2"/>
      <c r="UPU3" s="2"/>
      <c r="UPV3" s="2"/>
      <c r="UPW3" s="2"/>
      <c r="UPX3" s="2"/>
      <c r="UPY3" s="2"/>
      <c r="UPZ3" s="2"/>
      <c r="UQA3" s="2"/>
      <c r="UQB3" s="2"/>
      <c r="UQC3" s="2"/>
      <c r="UQD3" s="2"/>
      <c r="UQE3" s="2"/>
      <c r="UQF3" s="2"/>
      <c r="UQG3" s="2"/>
      <c r="UQH3" s="2"/>
      <c r="UQI3" s="2"/>
      <c r="UQJ3" s="2"/>
      <c r="UQK3" s="2"/>
      <c r="UQL3" s="2"/>
      <c r="UQM3" s="2"/>
      <c r="UQN3" s="2"/>
      <c r="UQO3" s="2"/>
      <c r="UQP3" s="2"/>
      <c r="UQQ3" s="2"/>
      <c r="UQR3" s="2"/>
      <c r="UQS3" s="2"/>
      <c r="UQT3" s="2"/>
      <c r="UQU3" s="2"/>
      <c r="UQV3" s="2"/>
      <c r="UQW3" s="2"/>
      <c r="UQX3" s="2"/>
      <c r="UQY3" s="2"/>
      <c r="UQZ3" s="2"/>
      <c r="URA3" s="2"/>
      <c r="URB3" s="2"/>
      <c r="URC3" s="2"/>
      <c r="URD3" s="2"/>
      <c r="URE3" s="2"/>
      <c r="URF3" s="2"/>
      <c r="URG3" s="2"/>
      <c r="URH3" s="2"/>
      <c r="URI3" s="2"/>
      <c r="URJ3" s="2"/>
      <c r="URK3" s="2"/>
      <c r="URL3" s="2"/>
      <c r="URM3" s="2"/>
      <c r="URN3" s="2"/>
      <c r="URO3" s="2"/>
      <c r="URP3" s="2"/>
      <c r="URQ3" s="2"/>
      <c r="URR3" s="2"/>
      <c r="URS3" s="2"/>
      <c r="URT3" s="2"/>
      <c r="URU3" s="2"/>
      <c r="URV3" s="2"/>
      <c r="URW3" s="2"/>
      <c r="URX3" s="2"/>
      <c r="URY3" s="2"/>
      <c r="URZ3" s="2"/>
      <c r="USA3" s="2"/>
      <c r="USB3" s="2"/>
      <c r="USC3" s="2"/>
      <c r="USD3" s="2"/>
      <c r="USE3" s="2"/>
      <c r="USF3" s="2"/>
      <c r="USG3" s="2"/>
      <c r="USH3" s="2"/>
      <c r="USI3" s="2"/>
      <c r="USJ3" s="2"/>
      <c r="USK3" s="2"/>
      <c r="USL3" s="2"/>
      <c r="USM3" s="2"/>
      <c r="USN3" s="2"/>
      <c r="USO3" s="2"/>
      <c r="USP3" s="2"/>
      <c r="USQ3" s="2"/>
      <c r="USR3" s="2"/>
      <c r="USS3" s="2"/>
      <c r="UST3" s="2"/>
      <c r="USU3" s="2"/>
      <c r="USV3" s="2"/>
      <c r="USW3" s="2"/>
      <c r="USX3" s="2"/>
      <c r="USY3" s="2"/>
      <c r="USZ3" s="2"/>
      <c r="UTA3" s="2"/>
      <c r="UTB3" s="2"/>
      <c r="UTC3" s="2"/>
      <c r="UTD3" s="2"/>
      <c r="UTE3" s="2"/>
      <c r="UTF3" s="2"/>
      <c r="UTG3" s="2"/>
      <c r="UTH3" s="2"/>
      <c r="UTI3" s="2"/>
      <c r="UTJ3" s="2"/>
      <c r="UTK3" s="2"/>
      <c r="UTL3" s="2"/>
      <c r="UTM3" s="2"/>
      <c r="UTN3" s="2"/>
      <c r="UTO3" s="2"/>
      <c r="UTP3" s="2"/>
      <c r="UTQ3" s="2"/>
      <c r="UTR3" s="2"/>
      <c r="UTS3" s="2"/>
      <c r="UTT3" s="2"/>
      <c r="UTU3" s="2"/>
      <c r="UTV3" s="2"/>
      <c r="UTW3" s="2"/>
      <c r="UTX3" s="2"/>
      <c r="UTY3" s="2"/>
      <c r="UTZ3" s="2"/>
      <c r="UUA3" s="2"/>
      <c r="UUB3" s="2"/>
      <c r="UUC3" s="2"/>
      <c r="UUD3" s="2"/>
      <c r="UUE3" s="2"/>
      <c r="UUF3" s="2"/>
      <c r="UUG3" s="2"/>
      <c r="UUH3" s="2"/>
      <c r="UUI3" s="2"/>
      <c r="UUJ3" s="2"/>
      <c r="UUK3" s="2"/>
      <c r="UUL3" s="2"/>
      <c r="UUM3" s="2"/>
      <c r="UUN3" s="2"/>
      <c r="UUO3" s="2"/>
      <c r="UUP3" s="2"/>
      <c r="UUQ3" s="2"/>
      <c r="UUR3" s="2"/>
      <c r="UUS3" s="2"/>
      <c r="UUT3" s="2"/>
      <c r="UUU3" s="2"/>
      <c r="UUV3" s="2"/>
      <c r="UUW3" s="2"/>
      <c r="UUX3" s="2"/>
      <c r="UUY3" s="2"/>
      <c r="UUZ3" s="2"/>
      <c r="UVA3" s="2"/>
      <c r="UVB3" s="2"/>
      <c r="UVC3" s="2"/>
      <c r="UVD3" s="2"/>
      <c r="UVE3" s="2"/>
      <c r="UVF3" s="2"/>
      <c r="UVG3" s="2"/>
      <c r="UVH3" s="2"/>
      <c r="UVI3" s="2"/>
      <c r="UVJ3" s="2"/>
      <c r="UVK3" s="2"/>
      <c r="UVL3" s="2"/>
      <c r="UVM3" s="2"/>
      <c r="UVN3" s="2"/>
      <c r="UVO3" s="2"/>
      <c r="UVP3" s="2"/>
      <c r="UVQ3" s="2"/>
      <c r="UVR3" s="2"/>
      <c r="UVS3" s="2"/>
      <c r="UVT3" s="2"/>
      <c r="UVU3" s="2"/>
      <c r="UVV3" s="2"/>
      <c r="UVW3" s="2"/>
      <c r="UVX3" s="2"/>
      <c r="UVY3" s="2"/>
      <c r="UVZ3" s="2"/>
      <c r="UWA3" s="2"/>
      <c r="UWB3" s="2"/>
      <c r="UWC3" s="2"/>
      <c r="UWD3" s="2"/>
      <c r="UWE3" s="2"/>
      <c r="UWF3" s="2"/>
      <c r="UWG3" s="2"/>
      <c r="UWH3" s="2"/>
      <c r="UWI3" s="2"/>
      <c r="UWJ3" s="2"/>
      <c r="UWK3" s="2"/>
      <c r="UWL3" s="2"/>
      <c r="UWM3" s="2"/>
      <c r="UWN3" s="2"/>
      <c r="UWO3" s="2"/>
      <c r="UWP3" s="2"/>
      <c r="UWQ3" s="2"/>
      <c r="UWR3" s="2"/>
      <c r="UWS3" s="2"/>
      <c r="UWT3" s="2"/>
      <c r="UWU3" s="2"/>
      <c r="UWV3" s="2"/>
      <c r="UWW3" s="2"/>
      <c r="UWX3" s="2"/>
      <c r="UWY3" s="2"/>
      <c r="UWZ3" s="2"/>
      <c r="UXA3" s="2"/>
      <c r="UXB3" s="2"/>
      <c r="UXC3" s="2"/>
      <c r="UXD3" s="2"/>
      <c r="UXE3" s="2"/>
      <c r="UXF3" s="2"/>
      <c r="UXG3" s="2"/>
      <c r="UXH3" s="2"/>
      <c r="UXI3" s="2"/>
      <c r="UXJ3" s="2"/>
      <c r="UXK3" s="2"/>
      <c r="UXL3" s="2"/>
      <c r="UXM3" s="2"/>
      <c r="UXN3" s="2"/>
      <c r="UXO3" s="2"/>
      <c r="UXP3" s="2"/>
      <c r="UXQ3" s="2"/>
      <c r="UXR3" s="2"/>
      <c r="UXS3" s="2"/>
      <c r="UXT3" s="2"/>
      <c r="UXU3" s="2"/>
      <c r="UXV3" s="2"/>
      <c r="UXW3" s="2"/>
      <c r="UXX3" s="2"/>
      <c r="UXY3" s="2"/>
      <c r="UXZ3" s="2"/>
      <c r="UYA3" s="2"/>
      <c r="UYB3" s="2"/>
      <c r="UYC3" s="2"/>
      <c r="UYD3" s="2"/>
      <c r="UYE3" s="2"/>
      <c r="UYF3" s="2"/>
      <c r="UYG3" s="2"/>
      <c r="UYH3" s="2"/>
      <c r="UYI3" s="2"/>
      <c r="UYJ3" s="2"/>
      <c r="UYK3" s="2"/>
      <c r="UYL3" s="2"/>
      <c r="UYM3" s="2"/>
      <c r="UYN3" s="2"/>
      <c r="UYO3" s="2"/>
      <c r="UYP3" s="2"/>
      <c r="UYQ3" s="2"/>
      <c r="UYR3" s="2"/>
      <c r="UYS3" s="2"/>
      <c r="UYT3" s="2"/>
      <c r="UYU3" s="2"/>
      <c r="UYV3" s="2"/>
      <c r="UYW3" s="2"/>
      <c r="UYX3" s="2"/>
      <c r="UYY3" s="2"/>
      <c r="UYZ3" s="2"/>
      <c r="UZA3" s="2"/>
      <c r="UZB3" s="2"/>
      <c r="UZC3" s="2"/>
      <c r="UZD3" s="2"/>
      <c r="UZE3" s="2"/>
      <c r="UZF3" s="2"/>
      <c r="UZG3" s="2"/>
      <c r="UZH3" s="2"/>
      <c r="UZI3" s="2"/>
      <c r="UZJ3" s="2"/>
      <c r="UZK3" s="2"/>
      <c r="UZL3" s="2"/>
      <c r="UZM3" s="2"/>
      <c r="UZN3" s="2"/>
      <c r="UZO3" s="2"/>
      <c r="UZP3" s="2"/>
      <c r="UZQ3" s="2"/>
      <c r="UZR3" s="2"/>
      <c r="UZS3" s="2"/>
      <c r="UZT3" s="2"/>
      <c r="UZU3" s="2"/>
      <c r="UZV3" s="2"/>
      <c r="UZW3" s="2"/>
      <c r="UZX3" s="2"/>
      <c r="UZY3" s="2"/>
      <c r="UZZ3" s="2"/>
      <c r="VAA3" s="2"/>
      <c r="VAB3" s="2"/>
      <c r="VAC3" s="2"/>
      <c r="VAD3" s="2"/>
      <c r="VAE3" s="2"/>
      <c r="VAF3" s="2"/>
      <c r="VAG3" s="2"/>
      <c r="VAH3" s="2"/>
      <c r="VAI3" s="2"/>
      <c r="VAJ3" s="2"/>
      <c r="VAK3" s="2"/>
      <c r="VAL3" s="2"/>
      <c r="VAM3" s="2"/>
      <c r="VAN3" s="2"/>
      <c r="VAO3" s="2"/>
      <c r="VAP3" s="2"/>
      <c r="VAQ3" s="2"/>
      <c r="VAR3" s="2"/>
      <c r="VAS3" s="2"/>
      <c r="VAT3" s="2"/>
      <c r="VAU3" s="2"/>
      <c r="VAV3" s="2"/>
      <c r="VAW3" s="2"/>
      <c r="VAX3" s="2"/>
      <c r="VAY3" s="2"/>
      <c r="VAZ3" s="2"/>
      <c r="VBA3" s="2"/>
      <c r="VBB3" s="2"/>
      <c r="VBC3" s="2"/>
      <c r="VBD3" s="2"/>
      <c r="VBE3" s="2"/>
      <c r="VBF3" s="2"/>
      <c r="VBG3" s="2"/>
      <c r="VBH3" s="2"/>
      <c r="VBI3" s="2"/>
      <c r="VBJ3" s="2"/>
      <c r="VBK3" s="2"/>
      <c r="VBL3" s="2"/>
      <c r="VBM3" s="2"/>
      <c r="VBN3" s="2"/>
      <c r="VBO3" s="2"/>
      <c r="VBP3" s="2"/>
      <c r="VBQ3" s="2"/>
      <c r="VBR3" s="2"/>
      <c r="VBS3" s="2"/>
      <c r="VBT3" s="2"/>
      <c r="VBU3" s="2"/>
      <c r="VBV3" s="2"/>
      <c r="VBW3" s="2"/>
      <c r="VBX3" s="2"/>
      <c r="VBY3" s="2"/>
      <c r="VBZ3" s="2"/>
      <c r="VCA3" s="2"/>
      <c r="VCB3" s="2"/>
      <c r="VCC3" s="2"/>
      <c r="VCD3" s="2"/>
      <c r="VCE3" s="2"/>
      <c r="VCF3" s="2"/>
      <c r="VCG3" s="2"/>
      <c r="VCH3" s="2"/>
      <c r="VCI3" s="2"/>
      <c r="VCJ3" s="2"/>
      <c r="VCK3" s="2"/>
      <c r="VCL3" s="2"/>
      <c r="VCM3" s="2"/>
      <c r="VCN3" s="2"/>
      <c r="VCO3" s="2"/>
      <c r="VCP3" s="2"/>
      <c r="VCQ3" s="2"/>
      <c r="VCR3" s="2"/>
      <c r="VCS3" s="2"/>
      <c r="VCT3" s="2"/>
      <c r="VCU3" s="2"/>
      <c r="VCV3" s="2"/>
      <c r="VCW3" s="2"/>
      <c r="VCX3" s="2"/>
      <c r="VCY3" s="2"/>
      <c r="VCZ3" s="2"/>
      <c r="VDA3" s="2"/>
      <c r="VDB3" s="2"/>
      <c r="VDC3" s="2"/>
      <c r="VDD3" s="2"/>
      <c r="VDE3" s="2"/>
      <c r="VDF3" s="2"/>
      <c r="VDG3" s="2"/>
      <c r="VDH3" s="2"/>
      <c r="VDI3" s="2"/>
      <c r="VDJ3" s="2"/>
      <c r="VDK3" s="2"/>
      <c r="VDL3" s="2"/>
      <c r="VDM3" s="2"/>
      <c r="VDN3" s="2"/>
      <c r="VDO3" s="2"/>
      <c r="VDP3" s="2"/>
      <c r="VDQ3" s="2"/>
      <c r="VDR3" s="2"/>
      <c r="VDS3" s="2"/>
      <c r="VDT3" s="2"/>
      <c r="VDU3" s="2"/>
      <c r="VDV3" s="2"/>
      <c r="VDW3" s="2"/>
      <c r="VDX3" s="2"/>
      <c r="VDY3" s="2"/>
      <c r="VDZ3" s="2"/>
      <c r="VEA3" s="2"/>
      <c r="VEB3" s="2"/>
      <c r="VEC3" s="2"/>
      <c r="VED3" s="2"/>
      <c r="VEE3" s="2"/>
      <c r="VEF3" s="2"/>
      <c r="VEG3" s="2"/>
      <c r="VEH3" s="2"/>
      <c r="VEI3" s="2"/>
      <c r="VEJ3" s="2"/>
      <c r="VEK3" s="2"/>
      <c r="VEL3" s="2"/>
      <c r="VEM3" s="2"/>
      <c r="VEN3" s="2"/>
      <c r="VEO3" s="2"/>
      <c r="VEP3" s="2"/>
      <c r="VEQ3" s="2"/>
      <c r="VER3" s="2"/>
      <c r="VES3" s="2"/>
      <c r="VET3" s="2"/>
      <c r="VEU3" s="2"/>
      <c r="VEV3" s="2"/>
      <c r="VEW3" s="2"/>
      <c r="VEX3" s="2"/>
      <c r="VEY3" s="2"/>
      <c r="VEZ3" s="2"/>
      <c r="VFA3" s="2"/>
      <c r="VFB3" s="2"/>
      <c r="VFC3" s="2"/>
      <c r="VFD3" s="2"/>
      <c r="VFE3" s="2"/>
      <c r="VFF3" s="2"/>
      <c r="VFG3" s="2"/>
      <c r="VFH3" s="2"/>
      <c r="VFI3" s="2"/>
      <c r="VFJ3" s="2"/>
      <c r="VFK3" s="2"/>
      <c r="VFL3" s="2"/>
      <c r="VFM3" s="2"/>
      <c r="VFN3" s="2"/>
      <c r="VFO3" s="2"/>
      <c r="VFP3" s="2"/>
      <c r="VFQ3" s="2"/>
      <c r="VFR3" s="2"/>
      <c r="VFS3" s="2"/>
      <c r="VFT3" s="2"/>
      <c r="VFU3" s="2"/>
      <c r="VFV3" s="2"/>
      <c r="VFW3" s="2"/>
      <c r="VFX3" s="2"/>
      <c r="VFY3" s="2"/>
      <c r="VFZ3" s="2"/>
      <c r="VGA3" s="2"/>
      <c r="VGB3" s="2"/>
      <c r="VGC3" s="2"/>
      <c r="VGD3" s="2"/>
      <c r="VGE3" s="2"/>
      <c r="VGF3" s="2"/>
      <c r="VGG3" s="2"/>
      <c r="VGH3" s="2"/>
      <c r="VGI3" s="2"/>
      <c r="VGJ3" s="2"/>
      <c r="VGK3" s="2"/>
      <c r="VGL3" s="2"/>
      <c r="VGM3" s="2"/>
      <c r="VGN3" s="2"/>
      <c r="VGO3" s="2"/>
      <c r="VGP3" s="2"/>
      <c r="VGQ3" s="2"/>
      <c r="VGR3" s="2"/>
      <c r="VGS3" s="2"/>
      <c r="VGT3" s="2"/>
      <c r="VGU3" s="2"/>
      <c r="VGV3" s="2"/>
      <c r="VGW3" s="2"/>
      <c r="VGX3" s="2"/>
      <c r="VGY3" s="2"/>
      <c r="VGZ3" s="2"/>
      <c r="VHA3" s="2"/>
      <c r="VHB3" s="2"/>
      <c r="VHC3" s="2"/>
      <c r="VHD3" s="2"/>
      <c r="VHE3" s="2"/>
      <c r="VHF3" s="2"/>
      <c r="VHG3" s="2"/>
      <c r="VHH3" s="2"/>
      <c r="VHI3" s="2"/>
      <c r="VHJ3" s="2"/>
      <c r="VHK3" s="2"/>
      <c r="VHL3" s="2"/>
      <c r="VHM3" s="2"/>
      <c r="VHN3" s="2"/>
      <c r="VHO3" s="2"/>
      <c r="VHP3" s="2"/>
      <c r="VHQ3" s="2"/>
      <c r="VHR3" s="2"/>
      <c r="VHS3" s="2"/>
      <c r="VHT3" s="2"/>
      <c r="VHU3" s="2"/>
      <c r="VHV3" s="2"/>
      <c r="VHW3" s="2"/>
      <c r="VHX3" s="2"/>
      <c r="VHY3" s="2"/>
      <c r="VHZ3" s="2"/>
      <c r="VIA3" s="2"/>
      <c r="VIB3" s="2"/>
      <c r="VIC3" s="2"/>
      <c r="VID3" s="2"/>
      <c r="VIE3" s="2"/>
      <c r="VIF3" s="2"/>
      <c r="VIG3" s="2"/>
      <c r="VIH3" s="2"/>
      <c r="VII3" s="2"/>
      <c r="VIJ3" s="2"/>
      <c r="VIK3" s="2"/>
      <c r="VIL3" s="2"/>
      <c r="VIM3" s="2"/>
      <c r="VIN3" s="2"/>
      <c r="VIO3" s="2"/>
      <c r="VIP3" s="2"/>
      <c r="VIQ3" s="2"/>
      <c r="VIR3" s="2"/>
      <c r="VIS3" s="2"/>
      <c r="VIT3" s="2"/>
      <c r="VIU3" s="2"/>
      <c r="VIV3" s="2"/>
      <c r="VIW3" s="2"/>
      <c r="VIX3" s="2"/>
      <c r="VIY3" s="2"/>
      <c r="VIZ3" s="2"/>
      <c r="VJA3" s="2"/>
      <c r="VJB3" s="2"/>
      <c r="VJC3" s="2"/>
      <c r="VJD3" s="2"/>
      <c r="VJE3" s="2"/>
      <c r="VJF3" s="2"/>
      <c r="VJG3" s="2"/>
      <c r="VJH3" s="2"/>
      <c r="VJI3" s="2"/>
      <c r="VJJ3" s="2"/>
      <c r="VJK3" s="2"/>
      <c r="VJL3" s="2"/>
      <c r="VJM3" s="2"/>
      <c r="VJN3" s="2"/>
      <c r="VJO3" s="2"/>
      <c r="VJP3" s="2"/>
      <c r="VJQ3" s="2"/>
      <c r="VJR3" s="2"/>
      <c r="VJS3" s="2"/>
      <c r="VJT3" s="2"/>
      <c r="VJU3" s="2"/>
      <c r="VJV3" s="2"/>
      <c r="VJW3" s="2"/>
      <c r="VJX3" s="2"/>
      <c r="VJY3" s="2"/>
      <c r="VJZ3" s="2"/>
      <c r="VKA3" s="2"/>
      <c r="VKB3" s="2"/>
      <c r="VKC3" s="2"/>
      <c r="VKD3" s="2"/>
      <c r="VKE3" s="2"/>
      <c r="VKF3" s="2"/>
      <c r="VKG3" s="2"/>
      <c r="VKH3" s="2"/>
      <c r="VKI3" s="2"/>
      <c r="VKJ3" s="2"/>
      <c r="VKK3" s="2"/>
      <c r="VKL3" s="2"/>
      <c r="VKM3" s="2"/>
      <c r="VKN3" s="2"/>
      <c r="VKO3" s="2"/>
      <c r="VKP3" s="2"/>
      <c r="VKQ3" s="2"/>
      <c r="VKR3" s="2"/>
      <c r="VKS3" s="2"/>
      <c r="VKT3" s="2"/>
      <c r="VKU3" s="2"/>
      <c r="VKV3" s="2"/>
      <c r="VKW3" s="2"/>
      <c r="VKX3" s="2"/>
      <c r="VKY3" s="2"/>
      <c r="VKZ3" s="2"/>
      <c r="VLA3" s="2"/>
      <c r="VLB3" s="2"/>
      <c r="VLC3" s="2"/>
      <c r="VLD3" s="2"/>
      <c r="VLE3" s="2"/>
      <c r="VLF3" s="2"/>
      <c r="VLG3" s="2"/>
      <c r="VLH3" s="2"/>
      <c r="VLI3" s="2"/>
      <c r="VLJ3" s="2"/>
      <c r="VLK3" s="2"/>
      <c r="VLL3" s="2"/>
      <c r="VLM3" s="2"/>
      <c r="VLN3" s="2"/>
      <c r="VLO3" s="2"/>
      <c r="VLP3" s="2"/>
      <c r="VLQ3" s="2"/>
      <c r="VLR3" s="2"/>
      <c r="VLS3" s="2"/>
      <c r="VLT3" s="2"/>
      <c r="VLU3" s="2"/>
      <c r="VLV3" s="2"/>
      <c r="VLW3" s="2"/>
      <c r="VLX3" s="2"/>
      <c r="VLY3" s="2"/>
      <c r="VLZ3" s="2"/>
      <c r="VMA3" s="2"/>
      <c r="VMB3" s="2"/>
      <c r="VMC3" s="2"/>
      <c r="VMD3" s="2"/>
      <c r="VME3" s="2"/>
      <c r="VMF3" s="2"/>
      <c r="VMG3" s="2"/>
      <c r="VMH3" s="2"/>
      <c r="VMI3" s="2"/>
      <c r="VMJ3" s="2"/>
      <c r="VMK3" s="2"/>
      <c r="VML3" s="2"/>
      <c r="VMM3" s="2"/>
      <c r="VMN3" s="2"/>
      <c r="VMO3" s="2"/>
      <c r="VMP3" s="2"/>
      <c r="VMQ3" s="2"/>
      <c r="VMR3" s="2"/>
      <c r="VMS3" s="2"/>
      <c r="VMT3" s="2"/>
      <c r="VMU3" s="2"/>
      <c r="VMV3" s="2"/>
      <c r="VMW3" s="2"/>
      <c r="VMX3" s="2"/>
      <c r="VMY3" s="2"/>
      <c r="VMZ3" s="2"/>
      <c r="VNA3" s="2"/>
      <c r="VNB3" s="2"/>
      <c r="VNC3" s="2"/>
      <c r="VND3" s="2"/>
      <c r="VNE3" s="2"/>
      <c r="VNF3" s="2"/>
      <c r="VNG3" s="2"/>
      <c r="VNH3" s="2"/>
      <c r="VNI3" s="2"/>
      <c r="VNJ3" s="2"/>
      <c r="VNK3" s="2"/>
      <c r="VNL3" s="2"/>
      <c r="VNM3" s="2"/>
      <c r="VNN3" s="2"/>
      <c r="VNO3" s="2"/>
      <c r="VNP3" s="2"/>
      <c r="VNQ3" s="2"/>
      <c r="VNR3" s="2"/>
      <c r="VNS3" s="2"/>
      <c r="VNT3" s="2"/>
      <c r="VNU3" s="2"/>
      <c r="VNV3" s="2"/>
      <c r="VNW3" s="2"/>
      <c r="VNX3" s="2"/>
      <c r="VNY3" s="2"/>
      <c r="VNZ3" s="2"/>
      <c r="VOA3" s="2"/>
      <c r="VOB3" s="2"/>
      <c r="VOC3" s="2"/>
      <c r="VOD3" s="2"/>
      <c r="VOE3" s="2"/>
      <c r="VOF3" s="2"/>
      <c r="VOG3" s="2"/>
      <c r="VOH3" s="2"/>
      <c r="VOI3" s="2"/>
      <c r="VOJ3" s="2"/>
      <c r="VOK3" s="2"/>
      <c r="VOL3" s="2"/>
      <c r="VOM3" s="2"/>
      <c r="VON3" s="2"/>
      <c r="VOO3" s="2"/>
      <c r="VOP3" s="2"/>
      <c r="VOQ3" s="2"/>
      <c r="VOR3" s="2"/>
      <c r="VOS3" s="2"/>
      <c r="VOT3" s="2"/>
      <c r="VOU3" s="2"/>
      <c r="VOV3" s="2"/>
      <c r="VOW3" s="2"/>
      <c r="VOX3" s="2"/>
      <c r="VOY3" s="2"/>
      <c r="VOZ3" s="2"/>
      <c r="VPA3" s="2"/>
      <c r="VPB3" s="2"/>
      <c r="VPC3" s="2"/>
      <c r="VPD3" s="2"/>
      <c r="VPE3" s="2"/>
      <c r="VPF3" s="2"/>
      <c r="VPG3" s="2"/>
      <c r="VPH3" s="2"/>
      <c r="VPI3" s="2"/>
      <c r="VPJ3" s="2"/>
      <c r="VPK3" s="2"/>
      <c r="VPL3" s="2"/>
      <c r="VPM3" s="2"/>
      <c r="VPN3" s="2"/>
      <c r="VPO3" s="2"/>
      <c r="VPP3" s="2"/>
      <c r="VPQ3" s="2"/>
      <c r="VPR3" s="2"/>
      <c r="VPS3" s="2"/>
      <c r="VPT3" s="2"/>
      <c r="VPU3" s="2"/>
      <c r="VPV3" s="2"/>
      <c r="VPW3" s="2"/>
      <c r="VPX3" s="2"/>
      <c r="VPY3" s="2"/>
      <c r="VPZ3" s="2"/>
      <c r="VQA3" s="2"/>
      <c r="VQB3" s="2"/>
      <c r="VQC3" s="2"/>
      <c r="VQD3" s="2"/>
      <c r="VQE3" s="2"/>
      <c r="VQF3" s="2"/>
      <c r="VQG3" s="2"/>
      <c r="VQH3" s="2"/>
      <c r="VQI3" s="2"/>
      <c r="VQJ3" s="2"/>
      <c r="VQK3" s="2"/>
      <c r="VQL3" s="2"/>
      <c r="VQM3" s="2"/>
      <c r="VQN3" s="2"/>
      <c r="VQO3" s="2"/>
      <c r="VQP3" s="2"/>
      <c r="VQQ3" s="2"/>
      <c r="VQR3" s="2"/>
      <c r="VQS3" s="2"/>
      <c r="VQT3" s="2"/>
      <c r="VQU3" s="2"/>
      <c r="VQV3" s="2"/>
      <c r="VQW3" s="2"/>
      <c r="VQX3" s="2"/>
      <c r="VQY3" s="2"/>
      <c r="VQZ3" s="2"/>
      <c r="VRA3" s="2"/>
      <c r="VRB3" s="2"/>
      <c r="VRC3" s="2"/>
      <c r="VRD3" s="2"/>
      <c r="VRE3" s="2"/>
      <c r="VRF3" s="2"/>
      <c r="VRG3" s="2"/>
      <c r="VRH3" s="2"/>
      <c r="VRI3" s="2"/>
      <c r="VRJ3" s="2"/>
      <c r="VRK3" s="2"/>
      <c r="VRL3" s="2"/>
      <c r="VRM3" s="2"/>
      <c r="VRN3" s="2"/>
      <c r="VRO3" s="2"/>
      <c r="VRP3" s="2"/>
      <c r="VRQ3" s="2"/>
      <c r="VRR3" s="2"/>
      <c r="VRS3" s="2"/>
      <c r="VRT3" s="2"/>
      <c r="VRU3" s="2"/>
      <c r="VRV3" s="2"/>
      <c r="VRW3" s="2"/>
      <c r="VRX3" s="2"/>
      <c r="VRY3" s="2"/>
      <c r="VRZ3" s="2"/>
      <c r="VSA3" s="2"/>
      <c r="VSB3" s="2"/>
      <c r="VSC3" s="2"/>
      <c r="VSD3" s="2"/>
      <c r="VSE3" s="2"/>
      <c r="VSF3" s="2"/>
      <c r="VSG3" s="2"/>
      <c r="VSH3" s="2"/>
      <c r="VSI3" s="2"/>
      <c r="VSJ3" s="2"/>
      <c r="VSK3" s="2"/>
      <c r="VSL3" s="2"/>
      <c r="VSM3" s="2"/>
      <c r="VSN3" s="2"/>
      <c r="VSO3" s="2"/>
      <c r="VSP3" s="2"/>
      <c r="VSQ3" s="2"/>
      <c r="VSR3" s="2"/>
      <c r="VSS3" s="2"/>
      <c r="VST3" s="2"/>
      <c r="VSU3" s="2"/>
      <c r="VSV3" s="2"/>
      <c r="VSW3" s="2"/>
      <c r="VSX3" s="2"/>
      <c r="VSY3" s="2"/>
      <c r="VSZ3" s="2"/>
      <c r="VTA3" s="2"/>
      <c r="VTB3" s="2"/>
      <c r="VTC3" s="2"/>
      <c r="VTD3" s="2"/>
      <c r="VTE3" s="2"/>
      <c r="VTF3" s="2"/>
      <c r="VTG3" s="2"/>
      <c r="VTH3" s="2"/>
      <c r="VTI3" s="2"/>
      <c r="VTJ3" s="2"/>
      <c r="VTK3" s="2"/>
      <c r="VTL3" s="2"/>
      <c r="VTM3" s="2"/>
      <c r="VTN3" s="2"/>
      <c r="VTO3" s="2"/>
      <c r="VTP3" s="2"/>
      <c r="VTQ3" s="2"/>
      <c r="VTR3" s="2"/>
      <c r="VTS3" s="2"/>
      <c r="VTT3" s="2"/>
      <c r="VTU3" s="2"/>
      <c r="VTV3" s="2"/>
      <c r="VTW3" s="2"/>
      <c r="VTX3" s="2"/>
      <c r="VTY3" s="2"/>
      <c r="VTZ3" s="2"/>
      <c r="VUA3" s="2"/>
      <c r="VUB3" s="2"/>
      <c r="VUC3" s="2"/>
      <c r="VUD3" s="2"/>
      <c r="VUE3" s="2"/>
      <c r="VUF3" s="2"/>
      <c r="VUG3" s="2"/>
      <c r="VUH3" s="2"/>
      <c r="VUI3" s="2"/>
      <c r="VUJ3" s="2"/>
      <c r="VUK3" s="2"/>
      <c r="VUL3" s="2"/>
      <c r="VUM3" s="2"/>
      <c r="VUN3" s="2"/>
      <c r="VUO3" s="2"/>
      <c r="VUP3" s="2"/>
      <c r="VUQ3" s="2"/>
      <c r="VUR3" s="2"/>
      <c r="VUS3" s="2"/>
      <c r="VUT3" s="2"/>
      <c r="VUU3" s="2"/>
      <c r="VUV3" s="2"/>
      <c r="VUW3" s="2"/>
      <c r="VUX3" s="2"/>
      <c r="VUY3" s="2"/>
      <c r="VUZ3" s="2"/>
      <c r="VVA3" s="2"/>
      <c r="VVB3" s="2"/>
      <c r="VVC3" s="2"/>
      <c r="VVD3" s="2"/>
      <c r="VVE3" s="2"/>
      <c r="VVF3" s="2"/>
      <c r="VVG3" s="2"/>
      <c r="VVH3" s="2"/>
      <c r="VVI3" s="2"/>
      <c r="VVJ3" s="2"/>
      <c r="VVK3" s="2"/>
      <c r="VVL3" s="2"/>
      <c r="VVM3" s="2"/>
      <c r="VVN3" s="2"/>
      <c r="VVO3" s="2"/>
      <c r="VVP3" s="2"/>
      <c r="VVQ3" s="2"/>
      <c r="VVR3" s="2"/>
      <c r="VVS3" s="2"/>
      <c r="VVT3" s="2"/>
      <c r="VVU3" s="2"/>
      <c r="VVV3" s="2"/>
      <c r="VVW3" s="2"/>
      <c r="VVX3" s="2"/>
      <c r="VVY3" s="2"/>
      <c r="VVZ3" s="2"/>
      <c r="VWA3" s="2"/>
      <c r="VWB3" s="2"/>
      <c r="VWC3" s="2"/>
      <c r="VWD3" s="2"/>
      <c r="VWE3" s="2"/>
      <c r="VWF3" s="2"/>
      <c r="VWG3" s="2"/>
      <c r="VWH3" s="2"/>
      <c r="VWI3" s="2"/>
      <c r="VWJ3" s="2"/>
      <c r="VWK3" s="2"/>
      <c r="VWL3" s="2"/>
      <c r="VWM3" s="2"/>
      <c r="VWN3" s="2"/>
      <c r="VWO3" s="2"/>
      <c r="VWP3" s="2"/>
      <c r="VWQ3" s="2"/>
      <c r="VWR3" s="2"/>
      <c r="VWS3" s="2"/>
      <c r="VWT3" s="2"/>
      <c r="VWU3" s="2"/>
      <c r="VWV3" s="2"/>
      <c r="VWW3" s="2"/>
      <c r="VWX3" s="2"/>
      <c r="VWY3" s="2"/>
      <c r="VWZ3" s="2"/>
      <c r="VXA3" s="2"/>
      <c r="VXB3" s="2"/>
      <c r="VXC3" s="2"/>
      <c r="VXD3" s="2"/>
      <c r="VXE3" s="2"/>
      <c r="VXF3" s="2"/>
      <c r="VXG3" s="2"/>
      <c r="VXH3" s="2"/>
      <c r="VXI3" s="2"/>
      <c r="VXJ3" s="2"/>
      <c r="VXK3" s="2"/>
      <c r="VXL3" s="2"/>
      <c r="VXM3" s="2"/>
      <c r="VXN3" s="2"/>
      <c r="VXO3" s="2"/>
      <c r="VXP3" s="2"/>
      <c r="VXQ3" s="2"/>
      <c r="VXR3" s="2"/>
      <c r="VXS3" s="2"/>
      <c r="VXT3" s="2"/>
      <c r="VXU3" s="2"/>
      <c r="VXV3" s="2"/>
      <c r="VXW3" s="2"/>
      <c r="VXX3" s="2"/>
      <c r="VXY3" s="2"/>
      <c r="VXZ3" s="2"/>
      <c r="VYA3" s="2"/>
      <c r="VYB3" s="2"/>
      <c r="VYC3" s="2"/>
      <c r="VYD3" s="2"/>
      <c r="VYE3" s="2"/>
      <c r="VYF3" s="2"/>
      <c r="VYG3" s="2"/>
      <c r="VYH3" s="2"/>
      <c r="VYI3" s="2"/>
      <c r="VYJ3" s="2"/>
      <c r="VYK3" s="2"/>
      <c r="VYL3" s="2"/>
      <c r="VYM3" s="2"/>
      <c r="VYN3" s="2"/>
      <c r="VYO3" s="2"/>
      <c r="VYP3" s="2"/>
      <c r="VYQ3" s="2"/>
      <c r="VYR3" s="2"/>
      <c r="VYS3" s="2"/>
      <c r="VYT3" s="2"/>
      <c r="VYU3" s="2"/>
      <c r="VYV3" s="2"/>
      <c r="VYW3" s="2"/>
      <c r="VYX3" s="2"/>
      <c r="VYY3" s="2"/>
      <c r="VYZ3" s="2"/>
      <c r="VZA3" s="2"/>
      <c r="VZB3" s="2"/>
      <c r="VZC3" s="2"/>
      <c r="VZD3" s="2"/>
      <c r="VZE3" s="2"/>
      <c r="VZF3" s="2"/>
      <c r="VZG3" s="2"/>
      <c r="VZH3" s="2"/>
      <c r="VZI3" s="2"/>
      <c r="VZJ3" s="2"/>
      <c r="VZK3" s="2"/>
      <c r="VZL3" s="2"/>
      <c r="VZM3" s="2"/>
      <c r="VZN3" s="2"/>
      <c r="VZO3" s="2"/>
      <c r="VZP3" s="2"/>
      <c r="VZQ3" s="2"/>
      <c r="VZR3" s="2"/>
      <c r="VZS3" s="2"/>
      <c r="VZT3" s="2"/>
      <c r="VZU3" s="2"/>
      <c r="VZV3" s="2"/>
      <c r="VZW3" s="2"/>
      <c r="VZX3" s="2"/>
      <c r="VZY3" s="2"/>
      <c r="VZZ3" s="2"/>
      <c r="WAA3" s="2"/>
      <c r="WAB3" s="2"/>
      <c r="WAC3" s="2"/>
      <c r="WAD3" s="2"/>
      <c r="WAE3" s="2"/>
      <c r="WAF3" s="2"/>
      <c r="WAG3" s="2"/>
      <c r="WAH3" s="2"/>
      <c r="WAI3" s="2"/>
      <c r="WAJ3" s="2"/>
      <c r="WAK3" s="2"/>
      <c r="WAL3" s="2"/>
      <c r="WAM3" s="2"/>
      <c r="WAN3" s="2"/>
      <c r="WAO3" s="2"/>
      <c r="WAP3" s="2"/>
      <c r="WAQ3" s="2"/>
      <c r="WAR3" s="2"/>
      <c r="WAS3" s="2"/>
      <c r="WAT3" s="2"/>
      <c r="WAU3" s="2"/>
      <c r="WAV3" s="2"/>
      <c r="WAW3" s="2"/>
      <c r="WAX3" s="2"/>
      <c r="WAY3" s="2"/>
      <c r="WAZ3" s="2"/>
      <c r="WBA3" s="2"/>
      <c r="WBB3" s="2"/>
      <c r="WBC3" s="2"/>
      <c r="WBD3" s="2"/>
      <c r="WBE3" s="2"/>
      <c r="WBF3" s="2"/>
      <c r="WBG3" s="2"/>
      <c r="WBH3" s="2"/>
      <c r="WBI3" s="2"/>
      <c r="WBJ3" s="2"/>
      <c r="WBK3" s="2"/>
      <c r="WBL3" s="2"/>
      <c r="WBM3" s="2"/>
      <c r="WBN3" s="2"/>
      <c r="WBO3" s="2"/>
      <c r="WBP3" s="2"/>
      <c r="WBQ3" s="2"/>
      <c r="WBR3" s="2"/>
      <c r="WBS3" s="2"/>
      <c r="WBT3" s="2"/>
      <c r="WBU3" s="2"/>
      <c r="WBV3" s="2"/>
      <c r="WBW3" s="2"/>
      <c r="WBX3" s="2"/>
      <c r="WBY3" s="2"/>
      <c r="WBZ3" s="2"/>
      <c r="WCA3" s="2"/>
      <c r="WCB3" s="2"/>
      <c r="WCC3" s="2"/>
      <c r="WCD3" s="2"/>
      <c r="WCE3" s="2"/>
      <c r="WCF3" s="2"/>
      <c r="WCG3" s="2"/>
      <c r="WCH3" s="2"/>
      <c r="WCI3" s="2"/>
      <c r="WCJ3" s="2"/>
      <c r="WCK3" s="2"/>
      <c r="WCL3" s="2"/>
      <c r="WCM3" s="2"/>
      <c r="WCN3" s="2"/>
      <c r="WCO3" s="2"/>
      <c r="WCP3" s="2"/>
      <c r="WCQ3" s="2"/>
      <c r="WCR3" s="2"/>
      <c r="WCS3" s="2"/>
      <c r="WCT3" s="2"/>
      <c r="WCU3" s="2"/>
      <c r="WCV3" s="2"/>
      <c r="WCW3" s="2"/>
      <c r="WCX3" s="2"/>
      <c r="WCY3" s="2"/>
      <c r="WCZ3" s="2"/>
      <c r="WDA3" s="2"/>
      <c r="WDB3" s="2"/>
      <c r="WDC3" s="2"/>
      <c r="WDD3" s="2"/>
      <c r="WDE3" s="2"/>
      <c r="WDF3" s="2"/>
      <c r="WDG3" s="2"/>
      <c r="WDH3" s="2"/>
      <c r="WDI3" s="2"/>
      <c r="WDJ3" s="2"/>
      <c r="WDK3" s="2"/>
      <c r="WDL3" s="2"/>
      <c r="WDM3" s="2"/>
      <c r="WDN3" s="2"/>
      <c r="WDO3" s="2"/>
      <c r="WDP3" s="2"/>
      <c r="WDQ3" s="2"/>
      <c r="WDR3" s="2"/>
      <c r="WDS3" s="2"/>
      <c r="WDT3" s="2"/>
      <c r="WDU3" s="2"/>
      <c r="WDV3" s="2"/>
      <c r="WDW3" s="2"/>
      <c r="WDX3" s="2"/>
      <c r="WDY3" s="2"/>
      <c r="WDZ3" s="2"/>
      <c r="WEA3" s="2"/>
      <c r="WEB3" s="2"/>
      <c r="WEC3" s="2"/>
      <c r="WED3" s="2"/>
      <c r="WEE3" s="2"/>
      <c r="WEF3" s="2"/>
      <c r="WEG3" s="2"/>
      <c r="WEH3" s="2"/>
      <c r="WEI3" s="2"/>
      <c r="WEJ3" s="2"/>
      <c r="WEK3" s="2"/>
      <c r="WEL3" s="2"/>
      <c r="WEM3" s="2"/>
      <c r="WEN3" s="2"/>
      <c r="WEO3" s="2"/>
      <c r="WEP3" s="2"/>
      <c r="WEQ3" s="2"/>
      <c r="WER3" s="2"/>
      <c r="WES3" s="2"/>
      <c r="WET3" s="2"/>
      <c r="WEU3" s="2"/>
      <c r="WEV3" s="2"/>
      <c r="WEW3" s="2"/>
      <c r="WEX3" s="2"/>
      <c r="WEY3" s="2"/>
      <c r="WEZ3" s="2"/>
      <c r="WFA3" s="2"/>
      <c r="WFB3" s="2"/>
      <c r="WFC3" s="2"/>
      <c r="WFD3" s="2"/>
      <c r="WFE3" s="2"/>
      <c r="WFF3" s="2"/>
      <c r="WFG3" s="2"/>
      <c r="WFH3" s="2"/>
      <c r="WFI3" s="2"/>
      <c r="WFJ3" s="2"/>
      <c r="WFK3" s="2"/>
      <c r="WFL3" s="2"/>
      <c r="WFM3" s="2"/>
      <c r="WFN3" s="2"/>
      <c r="WFO3" s="2"/>
      <c r="WFP3" s="2"/>
      <c r="WFQ3" s="2"/>
      <c r="WFR3" s="2"/>
      <c r="WFS3" s="2"/>
      <c r="WFT3" s="2"/>
      <c r="WFU3" s="2"/>
      <c r="WFV3" s="2"/>
      <c r="WFW3" s="2"/>
      <c r="WFX3" s="2"/>
      <c r="WFY3" s="2"/>
      <c r="WFZ3" s="2"/>
      <c r="WGA3" s="2"/>
      <c r="WGB3" s="2"/>
      <c r="WGC3" s="2"/>
      <c r="WGD3" s="2"/>
      <c r="WGE3" s="2"/>
      <c r="WGF3" s="2"/>
      <c r="WGG3" s="2"/>
      <c r="WGH3" s="2"/>
      <c r="WGI3" s="2"/>
      <c r="WGJ3" s="2"/>
      <c r="WGK3" s="2"/>
      <c r="WGL3" s="2"/>
      <c r="WGM3" s="2"/>
      <c r="WGN3" s="2"/>
      <c r="WGO3" s="2"/>
      <c r="WGP3" s="2"/>
      <c r="WGQ3" s="2"/>
      <c r="WGR3" s="2"/>
      <c r="WGS3" s="2"/>
      <c r="WGT3" s="2"/>
      <c r="WGU3" s="2"/>
      <c r="WGV3" s="2"/>
      <c r="WGW3" s="2"/>
      <c r="WGX3" s="2"/>
      <c r="WGY3" s="2"/>
      <c r="WGZ3" s="2"/>
      <c r="WHA3" s="2"/>
      <c r="WHB3" s="2"/>
      <c r="WHC3" s="2"/>
      <c r="WHD3" s="2"/>
      <c r="WHE3" s="2"/>
      <c r="WHF3" s="2"/>
      <c r="WHG3" s="2"/>
      <c r="WHH3" s="2"/>
      <c r="WHI3" s="2"/>
      <c r="WHJ3" s="2"/>
      <c r="WHK3" s="2"/>
      <c r="WHL3" s="2"/>
      <c r="WHM3" s="2"/>
      <c r="WHN3" s="2"/>
      <c r="WHO3" s="2"/>
      <c r="WHP3" s="2"/>
      <c r="WHQ3" s="2"/>
      <c r="WHR3" s="2"/>
      <c r="WHS3" s="2"/>
      <c r="WHT3" s="2"/>
      <c r="WHU3" s="2"/>
      <c r="WHV3" s="2"/>
      <c r="WHW3" s="2"/>
      <c r="WHX3" s="2"/>
      <c r="WHY3" s="2"/>
      <c r="WHZ3" s="2"/>
      <c r="WIA3" s="2"/>
      <c r="WIB3" s="2"/>
      <c r="WIC3" s="2"/>
      <c r="WID3" s="2"/>
      <c r="WIE3" s="2"/>
      <c r="WIF3" s="2"/>
      <c r="WIG3" s="2"/>
      <c r="WIH3" s="2"/>
      <c r="WII3" s="2"/>
      <c r="WIJ3" s="2"/>
      <c r="WIK3" s="2"/>
      <c r="WIL3" s="2"/>
      <c r="WIM3" s="2"/>
      <c r="WIN3" s="2"/>
      <c r="WIO3" s="2"/>
      <c r="WIP3" s="2"/>
      <c r="WIQ3" s="2"/>
      <c r="WIR3" s="2"/>
      <c r="WIS3" s="2"/>
      <c r="WIT3" s="2"/>
      <c r="WIU3" s="2"/>
      <c r="WIV3" s="2"/>
      <c r="WIW3" s="2"/>
      <c r="WIX3" s="2"/>
      <c r="WIY3" s="2"/>
      <c r="WIZ3" s="2"/>
      <c r="WJA3" s="2"/>
      <c r="WJB3" s="2"/>
      <c r="WJC3" s="2"/>
      <c r="WJD3" s="2"/>
      <c r="WJE3" s="2"/>
      <c r="WJF3" s="2"/>
      <c r="WJG3" s="2"/>
      <c r="WJH3" s="2"/>
      <c r="WJI3" s="2"/>
      <c r="WJJ3" s="2"/>
      <c r="WJK3" s="2"/>
      <c r="WJL3" s="2"/>
      <c r="WJM3" s="2"/>
      <c r="WJN3" s="2"/>
      <c r="WJO3" s="2"/>
      <c r="WJP3" s="2"/>
      <c r="WJQ3" s="2"/>
      <c r="WJR3" s="2"/>
      <c r="WJS3" s="2"/>
      <c r="WJT3" s="2"/>
      <c r="WJU3" s="2"/>
      <c r="WJV3" s="2"/>
      <c r="WJW3" s="2"/>
      <c r="WJX3" s="2"/>
      <c r="WJY3" s="2"/>
      <c r="WJZ3" s="2"/>
      <c r="WKA3" s="2"/>
      <c r="WKB3" s="2"/>
      <c r="WKC3" s="2"/>
      <c r="WKD3" s="2"/>
      <c r="WKE3" s="2"/>
      <c r="WKF3" s="2"/>
      <c r="WKG3" s="2"/>
      <c r="WKH3" s="2"/>
      <c r="WKI3" s="2"/>
      <c r="WKJ3" s="2"/>
      <c r="WKK3" s="2"/>
      <c r="WKL3" s="2"/>
      <c r="WKM3" s="2"/>
      <c r="WKN3" s="2"/>
      <c r="WKO3" s="2"/>
      <c r="WKP3" s="2"/>
      <c r="WKQ3" s="2"/>
      <c r="WKR3" s="2"/>
      <c r="WKS3" s="2"/>
      <c r="WKT3" s="2"/>
      <c r="WKU3" s="2"/>
      <c r="WKV3" s="2"/>
      <c r="WKW3" s="2"/>
      <c r="WKX3" s="2"/>
      <c r="WKY3" s="2"/>
      <c r="WKZ3" s="2"/>
      <c r="WLA3" s="2"/>
      <c r="WLB3" s="2"/>
      <c r="WLC3" s="2"/>
      <c r="WLD3" s="2"/>
      <c r="WLE3" s="2"/>
      <c r="WLF3" s="2"/>
      <c r="WLG3" s="2"/>
      <c r="WLH3" s="2"/>
      <c r="WLI3" s="2"/>
      <c r="WLJ3" s="2"/>
      <c r="WLK3" s="2"/>
      <c r="WLL3" s="2"/>
      <c r="WLM3" s="2"/>
      <c r="WLN3" s="2"/>
      <c r="WLO3" s="2"/>
      <c r="WLP3" s="2"/>
      <c r="WLQ3" s="2"/>
      <c r="WLR3" s="2"/>
      <c r="WLS3" s="2"/>
      <c r="WLT3" s="2"/>
      <c r="WLU3" s="2"/>
      <c r="WLV3" s="2"/>
      <c r="WLW3" s="2"/>
      <c r="WLX3" s="2"/>
      <c r="WLY3" s="2"/>
      <c r="WLZ3" s="2"/>
      <c r="WMA3" s="2"/>
      <c r="WMB3" s="2"/>
      <c r="WMC3" s="2"/>
      <c r="WMD3" s="2"/>
      <c r="WME3" s="2"/>
      <c r="WMF3" s="2"/>
      <c r="WMG3" s="2"/>
      <c r="WMH3" s="2"/>
      <c r="WMI3" s="2"/>
      <c r="WMJ3" s="2"/>
      <c r="WMK3" s="2"/>
      <c r="WML3" s="2"/>
      <c r="WMM3" s="2"/>
      <c r="WMN3" s="2"/>
      <c r="WMO3" s="2"/>
      <c r="WMP3" s="2"/>
      <c r="WMQ3" s="2"/>
      <c r="WMR3" s="2"/>
      <c r="WMS3" s="2"/>
      <c r="WMT3" s="2"/>
      <c r="WMU3" s="2"/>
      <c r="WMV3" s="2"/>
      <c r="WMW3" s="2"/>
      <c r="WMX3" s="2"/>
      <c r="WMY3" s="2"/>
      <c r="WMZ3" s="2"/>
      <c r="WNA3" s="2"/>
      <c r="WNB3" s="2"/>
      <c r="WNC3" s="2"/>
      <c r="WND3" s="2"/>
      <c r="WNE3" s="2"/>
      <c r="WNF3" s="2"/>
      <c r="WNG3" s="2"/>
      <c r="WNH3" s="2"/>
      <c r="WNI3" s="2"/>
      <c r="WNJ3" s="2"/>
      <c r="WNK3" s="2"/>
      <c r="WNL3" s="2"/>
      <c r="WNM3" s="2"/>
      <c r="WNN3" s="2"/>
      <c r="WNO3" s="2"/>
      <c r="WNP3" s="2"/>
      <c r="WNQ3" s="2"/>
      <c r="WNR3" s="2"/>
      <c r="WNS3" s="2"/>
      <c r="WNT3" s="2"/>
      <c r="WNU3" s="2"/>
      <c r="WNV3" s="2"/>
      <c r="WNW3" s="2"/>
      <c r="WNX3" s="2"/>
      <c r="WNY3" s="2"/>
      <c r="WNZ3" s="2"/>
      <c r="WOA3" s="2"/>
      <c r="WOB3" s="2"/>
      <c r="WOC3" s="2"/>
      <c r="WOD3" s="2"/>
      <c r="WOE3" s="2"/>
      <c r="WOF3" s="2"/>
      <c r="WOG3" s="2"/>
      <c r="WOH3" s="2"/>
      <c r="WOI3" s="2"/>
      <c r="WOJ3" s="2"/>
      <c r="WOK3" s="2"/>
      <c r="WOL3" s="2"/>
      <c r="WOM3" s="2"/>
      <c r="WON3" s="2"/>
      <c r="WOO3" s="2"/>
      <c r="WOP3" s="2"/>
      <c r="WOQ3" s="2"/>
      <c r="WOR3" s="2"/>
      <c r="WOS3" s="2"/>
      <c r="WOT3" s="2"/>
      <c r="WOU3" s="2"/>
      <c r="WOV3" s="2"/>
      <c r="WOW3" s="2"/>
      <c r="WOX3" s="2"/>
      <c r="WOY3" s="2"/>
      <c r="WOZ3" s="2"/>
      <c r="WPA3" s="2"/>
      <c r="WPB3" s="2"/>
      <c r="WPC3" s="2"/>
      <c r="WPD3" s="2"/>
      <c r="WPE3" s="2"/>
      <c r="WPF3" s="2"/>
      <c r="WPG3" s="2"/>
      <c r="WPH3" s="2"/>
      <c r="WPI3" s="2"/>
      <c r="WPJ3" s="2"/>
      <c r="WPK3" s="2"/>
      <c r="WPL3" s="2"/>
      <c r="WPM3" s="2"/>
      <c r="WPN3" s="2"/>
      <c r="WPO3" s="2"/>
      <c r="WPP3" s="2"/>
      <c r="WPQ3" s="2"/>
      <c r="WPR3" s="2"/>
      <c r="WPS3" s="2"/>
      <c r="WPT3" s="2"/>
      <c r="WPU3" s="2"/>
      <c r="WPV3" s="2"/>
      <c r="WPW3" s="2"/>
      <c r="WPX3" s="2"/>
      <c r="WPY3" s="2"/>
      <c r="WPZ3" s="2"/>
      <c r="WQA3" s="2"/>
      <c r="WQB3" s="2"/>
      <c r="WQC3" s="2"/>
      <c r="WQD3" s="2"/>
      <c r="WQE3" s="2"/>
      <c r="WQF3" s="2"/>
      <c r="WQG3" s="2"/>
      <c r="WQH3" s="2"/>
      <c r="WQI3" s="2"/>
      <c r="WQJ3" s="2"/>
      <c r="WQK3" s="2"/>
      <c r="WQL3" s="2"/>
      <c r="WQM3" s="2"/>
      <c r="WQN3" s="2"/>
      <c r="WQO3" s="2"/>
      <c r="WQP3" s="2"/>
      <c r="WQQ3" s="2"/>
      <c r="WQR3" s="2"/>
      <c r="WQS3" s="2"/>
      <c r="WQT3" s="2"/>
      <c r="WQU3" s="2"/>
      <c r="WQV3" s="2"/>
      <c r="WQW3" s="2"/>
      <c r="WQX3" s="2"/>
      <c r="WQY3" s="2"/>
      <c r="WQZ3" s="2"/>
      <c r="WRA3" s="2"/>
      <c r="WRB3" s="2"/>
      <c r="WRC3" s="2"/>
      <c r="WRD3" s="2"/>
      <c r="WRE3" s="2"/>
      <c r="WRF3" s="2"/>
      <c r="WRG3" s="2"/>
      <c r="WRH3" s="2"/>
      <c r="WRI3" s="2"/>
      <c r="WRJ3" s="2"/>
      <c r="WRK3" s="2"/>
      <c r="WRL3" s="2"/>
      <c r="WRM3" s="2"/>
      <c r="WRN3" s="2"/>
      <c r="WRO3" s="2"/>
      <c r="WRP3" s="2"/>
      <c r="WRQ3" s="2"/>
      <c r="WRR3" s="2"/>
      <c r="WRS3" s="2"/>
      <c r="WRT3" s="2"/>
      <c r="WRU3" s="2"/>
      <c r="WRV3" s="2"/>
      <c r="WRW3" s="2"/>
      <c r="WRX3" s="2"/>
      <c r="WRY3" s="2"/>
      <c r="WRZ3" s="2"/>
      <c r="WSA3" s="2"/>
      <c r="WSB3" s="2"/>
      <c r="WSC3" s="2"/>
      <c r="WSD3" s="2"/>
      <c r="WSE3" s="2"/>
      <c r="WSF3" s="2"/>
      <c r="WSG3" s="2"/>
      <c r="WSH3" s="2"/>
      <c r="WSI3" s="2"/>
      <c r="WSJ3" s="2"/>
      <c r="WSK3" s="2"/>
      <c r="WSL3" s="2"/>
      <c r="WSM3" s="2"/>
      <c r="WSN3" s="2"/>
      <c r="WSO3" s="2"/>
      <c r="WSP3" s="2"/>
      <c r="WSQ3" s="2"/>
      <c r="WSR3" s="2"/>
      <c r="WSS3" s="2"/>
      <c r="WST3" s="2"/>
      <c r="WSU3" s="2"/>
      <c r="WSV3" s="2"/>
      <c r="WSW3" s="2"/>
      <c r="WSX3" s="2"/>
      <c r="WSY3" s="2"/>
      <c r="WSZ3" s="2"/>
      <c r="WTA3" s="2"/>
      <c r="WTB3" s="2"/>
      <c r="WTC3" s="2"/>
      <c r="WTD3" s="2"/>
      <c r="WTE3" s="2"/>
      <c r="WTF3" s="2"/>
      <c r="WTG3" s="2"/>
      <c r="WTH3" s="2"/>
      <c r="WTI3" s="2"/>
      <c r="WTJ3" s="2"/>
      <c r="WTK3" s="2"/>
      <c r="WTL3" s="2"/>
      <c r="WTM3" s="2"/>
      <c r="WTN3" s="2"/>
      <c r="WTO3" s="2"/>
      <c r="WTP3" s="2"/>
      <c r="WTQ3" s="2"/>
      <c r="WTR3" s="2"/>
      <c r="WTS3" s="2"/>
      <c r="WTT3" s="2"/>
      <c r="WTU3" s="2"/>
      <c r="WTV3" s="2"/>
      <c r="WTW3" s="2"/>
      <c r="WTX3" s="2"/>
      <c r="WTY3" s="2"/>
      <c r="WTZ3" s="2"/>
      <c r="WUA3" s="2"/>
      <c r="WUB3" s="2"/>
      <c r="WUC3" s="2"/>
      <c r="WUD3" s="2"/>
      <c r="WUE3" s="2"/>
      <c r="WUF3" s="2"/>
      <c r="WUG3" s="2"/>
      <c r="WUH3" s="2"/>
      <c r="WUI3" s="2"/>
      <c r="WUJ3" s="2"/>
      <c r="WUK3" s="2"/>
      <c r="WUL3" s="2"/>
      <c r="WUM3" s="2"/>
      <c r="WUN3" s="2"/>
      <c r="WUO3" s="2"/>
      <c r="WUP3" s="2"/>
      <c r="WUQ3" s="2"/>
      <c r="WUR3" s="2"/>
      <c r="WUS3" s="2"/>
      <c r="WUT3" s="2"/>
      <c r="WUU3" s="2"/>
      <c r="WUV3" s="2"/>
      <c r="WUW3" s="2"/>
      <c r="WUX3" s="2"/>
      <c r="WUY3" s="2"/>
      <c r="WUZ3" s="2"/>
      <c r="WVA3" s="2"/>
      <c r="WVB3" s="2"/>
      <c r="WVC3" s="2"/>
      <c r="WVD3" s="2"/>
      <c r="WVE3" s="2"/>
      <c r="WVF3" s="2"/>
      <c r="WVG3" s="2"/>
      <c r="WVH3" s="2"/>
      <c r="WVI3" s="2"/>
      <c r="WVJ3" s="2"/>
      <c r="WVK3" s="2"/>
      <c r="WVL3" s="2"/>
      <c r="WVM3" s="2"/>
      <c r="WVN3" s="2"/>
      <c r="WVO3" s="2"/>
      <c r="WVP3" s="2"/>
      <c r="WVQ3" s="2"/>
      <c r="WVR3" s="2"/>
      <c r="WVS3" s="2"/>
      <c r="WVT3" s="2"/>
      <c r="WVU3" s="2"/>
      <c r="WVV3" s="2"/>
      <c r="WVW3" s="2"/>
      <c r="WVX3" s="2"/>
      <c r="WVY3" s="2"/>
      <c r="WVZ3" s="2"/>
      <c r="WWA3" s="2"/>
      <c r="WWB3" s="2"/>
      <c r="WWC3" s="2"/>
      <c r="WWD3" s="2"/>
      <c r="WWE3" s="2"/>
      <c r="WWF3" s="2"/>
      <c r="WWG3" s="2"/>
      <c r="WWH3" s="2"/>
      <c r="WWI3" s="2"/>
      <c r="WWJ3" s="2"/>
      <c r="WWK3" s="2"/>
      <c r="WWL3" s="2"/>
      <c r="WWM3" s="2"/>
      <c r="WWN3" s="2"/>
      <c r="WWO3" s="2"/>
      <c r="WWP3" s="2"/>
      <c r="WWQ3" s="2"/>
      <c r="WWR3" s="2"/>
      <c r="WWS3" s="2"/>
      <c r="WWT3" s="2"/>
      <c r="WWU3" s="2"/>
      <c r="WWV3" s="2"/>
      <c r="WWW3" s="2"/>
      <c r="WWX3" s="2"/>
      <c r="WWY3" s="2"/>
      <c r="WWZ3" s="2"/>
      <c r="WXA3" s="2"/>
      <c r="WXB3" s="2"/>
      <c r="WXC3" s="2"/>
      <c r="WXD3" s="2"/>
      <c r="WXE3" s="2"/>
      <c r="WXF3" s="2"/>
      <c r="WXG3" s="2"/>
      <c r="WXH3" s="2"/>
      <c r="WXI3" s="2"/>
      <c r="WXJ3" s="2"/>
      <c r="WXK3" s="2"/>
      <c r="WXL3" s="2"/>
      <c r="WXM3" s="2"/>
      <c r="WXN3" s="2"/>
      <c r="WXO3" s="2"/>
      <c r="WXP3" s="2"/>
      <c r="WXQ3" s="2"/>
      <c r="WXR3" s="2"/>
      <c r="WXS3" s="2"/>
      <c r="WXT3" s="2"/>
      <c r="WXU3" s="2"/>
      <c r="WXV3" s="2"/>
      <c r="WXW3" s="2"/>
      <c r="WXX3" s="2"/>
      <c r="WXY3" s="2"/>
      <c r="WXZ3" s="2"/>
      <c r="WYA3" s="2"/>
      <c r="WYB3" s="2"/>
      <c r="WYC3" s="2"/>
      <c r="WYD3" s="2"/>
      <c r="WYE3" s="2"/>
      <c r="WYF3" s="2"/>
      <c r="WYG3" s="2"/>
      <c r="WYH3" s="2"/>
      <c r="WYI3" s="2"/>
      <c r="WYJ3" s="2"/>
      <c r="WYK3" s="2"/>
      <c r="WYL3" s="2"/>
      <c r="WYM3" s="2"/>
      <c r="WYN3" s="2"/>
      <c r="WYO3" s="2"/>
      <c r="WYP3" s="2"/>
      <c r="WYQ3" s="2"/>
      <c r="WYR3" s="2"/>
      <c r="WYS3" s="2"/>
      <c r="WYT3" s="2"/>
      <c r="WYU3" s="2"/>
      <c r="WYV3" s="2"/>
      <c r="WYW3" s="2"/>
      <c r="WYX3" s="2"/>
      <c r="WYY3" s="2"/>
      <c r="WYZ3" s="2"/>
      <c r="WZA3" s="2"/>
      <c r="WZB3" s="2"/>
      <c r="WZC3" s="2"/>
      <c r="WZD3" s="2"/>
      <c r="WZE3" s="2"/>
      <c r="WZF3" s="2"/>
      <c r="WZG3" s="2"/>
      <c r="WZH3" s="2"/>
      <c r="WZI3" s="2"/>
      <c r="WZJ3" s="2"/>
      <c r="WZK3" s="2"/>
      <c r="WZL3" s="2"/>
      <c r="WZM3" s="2"/>
      <c r="WZN3" s="2"/>
      <c r="WZO3" s="2"/>
      <c r="WZP3" s="2"/>
      <c r="WZQ3" s="2"/>
      <c r="WZR3" s="2"/>
      <c r="WZS3" s="2"/>
      <c r="WZT3" s="2"/>
      <c r="WZU3" s="2"/>
      <c r="WZV3" s="2"/>
      <c r="WZW3" s="2"/>
      <c r="WZX3" s="2"/>
      <c r="WZY3" s="2"/>
      <c r="WZZ3" s="2"/>
      <c r="XAA3" s="2"/>
      <c r="XAB3" s="2"/>
      <c r="XAC3" s="2"/>
      <c r="XAD3" s="2"/>
      <c r="XAE3" s="2"/>
      <c r="XAF3" s="2"/>
      <c r="XAG3" s="2"/>
      <c r="XAH3" s="2"/>
      <c r="XAI3" s="2"/>
      <c r="XAJ3" s="2"/>
      <c r="XAK3" s="2"/>
      <c r="XAL3" s="2"/>
      <c r="XAM3" s="2"/>
      <c r="XAN3" s="2"/>
      <c r="XAO3" s="2"/>
      <c r="XAP3" s="2"/>
      <c r="XAQ3" s="2"/>
      <c r="XAR3" s="2"/>
      <c r="XAS3" s="2"/>
      <c r="XAT3" s="2"/>
      <c r="XAU3" s="2"/>
      <c r="XAV3" s="2"/>
      <c r="XAW3" s="2"/>
      <c r="XAX3" s="2"/>
      <c r="XAY3" s="2"/>
      <c r="XAZ3" s="2"/>
      <c r="XBA3" s="2"/>
      <c r="XBB3" s="2"/>
      <c r="XBC3" s="2"/>
      <c r="XBD3" s="2"/>
      <c r="XBE3" s="2"/>
      <c r="XBF3" s="2"/>
      <c r="XBG3" s="2"/>
      <c r="XBH3" s="2"/>
      <c r="XBI3" s="2"/>
      <c r="XBJ3" s="2"/>
      <c r="XBK3" s="2"/>
      <c r="XBL3" s="2"/>
      <c r="XBM3" s="2"/>
      <c r="XBN3" s="2"/>
      <c r="XBO3" s="2"/>
      <c r="XBP3" s="2"/>
      <c r="XBQ3" s="2"/>
      <c r="XBR3" s="2"/>
      <c r="XBS3" s="2"/>
      <c r="XBT3" s="2"/>
      <c r="XBU3" s="2"/>
      <c r="XBV3" s="2"/>
      <c r="XBW3" s="2"/>
      <c r="XBX3" s="2"/>
      <c r="XBY3" s="2"/>
      <c r="XBZ3" s="2"/>
      <c r="XCA3" s="2"/>
      <c r="XCB3" s="2"/>
      <c r="XCC3" s="2"/>
      <c r="XCD3" s="2"/>
      <c r="XCE3" s="2"/>
      <c r="XCF3" s="2"/>
      <c r="XCG3" s="2"/>
      <c r="XCH3" s="2"/>
      <c r="XCI3" s="2"/>
      <c r="XCJ3" s="2"/>
      <c r="XCK3" s="2"/>
      <c r="XCL3" s="2"/>
      <c r="XCM3" s="2"/>
      <c r="XCN3" s="2"/>
      <c r="XCO3" s="2"/>
      <c r="XCP3" s="2"/>
      <c r="XCQ3" s="2"/>
      <c r="XCR3" s="2"/>
      <c r="XCS3" s="2"/>
      <c r="XCT3" s="2"/>
      <c r="XCU3" s="2"/>
      <c r="XCV3" s="2"/>
      <c r="XCW3" s="2"/>
      <c r="XCX3" s="2"/>
      <c r="XCY3" s="2"/>
      <c r="XCZ3" s="2"/>
      <c r="XDA3" s="2"/>
      <c r="XDB3" s="2"/>
      <c r="XDC3" s="2"/>
      <c r="XDD3" s="2"/>
      <c r="XDE3" s="2"/>
      <c r="XDF3" s="2"/>
      <c r="XDG3" s="2"/>
      <c r="XDH3" s="2"/>
      <c r="XDI3" s="2"/>
      <c r="XDJ3" s="2"/>
      <c r="XDK3" s="2"/>
      <c r="XDL3" s="2"/>
      <c r="XDM3" s="2"/>
      <c r="XDN3" s="2"/>
      <c r="XDO3" s="2"/>
      <c r="XDP3" s="2"/>
      <c r="XDQ3" s="2"/>
      <c r="XDR3" s="2"/>
      <c r="XDS3" s="2"/>
      <c r="XDT3" s="2"/>
      <c r="XDU3" s="2"/>
      <c r="XDV3" s="2"/>
      <c r="XDW3" s="2"/>
      <c r="XDX3" s="2"/>
      <c r="XDY3" s="2"/>
      <c r="XDZ3" s="2"/>
      <c r="XEA3" s="2"/>
      <c r="XEB3" s="2"/>
      <c r="XEC3" s="2"/>
      <c r="XED3" s="2"/>
      <c r="XEE3" s="2"/>
      <c r="XEF3" s="2"/>
      <c r="XEG3" s="2"/>
      <c r="XEH3" s="2"/>
      <c r="XEI3" s="2"/>
      <c r="XEJ3" s="2"/>
      <c r="XEK3" s="2"/>
      <c r="XEL3" s="2"/>
      <c r="XEM3" s="2"/>
      <c r="XEN3" s="2"/>
      <c r="XEO3" s="2"/>
      <c r="XEP3" s="2"/>
      <c r="XEQ3" s="2"/>
      <c r="XER3" s="2"/>
      <c r="XES3" s="2"/>
      <c r="XET3" s="2"/>
      <c r="XEU3" s="2"/>
      <c r="XEV3" s="2"/>
      <c r="XEW3" s="2"/>
      <c r="XEX3" s="2"/>
      <c r="XEY3" s="2"/>
      <c r="XEZ3" s="2"/>
      <c r="XFA3" s="2"/>
      <c r="XFB3" s="2"/>
      <c r="XFC3" s="2"/>
      <c r="XFD3" s="2"/>
    </row>
    <row r="4" spans="1:16384" s="3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  <c r="CRU4" s="2"/>
      <c r="CRV4" s="2"/>
      <c r="CRW4" s="2"/>
      <c r="CRX4" s="2"/>
      <c r="CRY4" s="2"/>
      <c r="CRZ4" s="2"/>
      <c r="CSA4" s="2"/>
      <c r="CSB4" s="2"/>
      <c r="CSC4" s="2"/>
      <c r="CSD4" s="2"/>
      <c r="CSE4" s="2"/>
      <c r="CSF4" s="2"/>
      <c r="CSG4" s="2"/>
      <c r="CSH4" s="2"/>
      <c r="CSI4" s="2"/>
      <c r="CSJ4" s="2"/>
      <c r="CSK4" s="2"/>
      <c r="CSL4" s="2"/>
      <c r="CSM4" s="2"/>
      <c r="CSN4" s="2"/>
      <c r="CSO4" s="2"/>
      <c r="CSP4" s="2"/>
      <c r="CSQ4" s="2"/>
      <c r="CSR4" s="2"/>
      <c r="CSS4" s="2"/>
      <c r="CST4" s="2"/>
      <c r="CSU4" s="2"/>
      <c r="CSV4" s="2"/>
      <c r="CSW4" s="2"/>
      <c r="CSX4" s="2"/>
      <c r="CSY4" s="2"/>
      <c r="CSZ4" s="2"/>
      <c r="CTA4" s="2"/>
      <c r="CTB4" s="2"/>
      <c r="CTC4" s="2"/>
      <c r="CTD4" s="2"/>
      <c r="CTE4" s="2"/>
      <c r="CTF4" s="2"/>
      <c r="CTG4" s="2"/>
      <c r="CTH4" s="2"/>
      <c r="CTI4" s="2"/>
      <c r="CTJ4" s="2"/>
      <c r="CTK4" s="2"/>
      <c r="CTL4" s="2"/>
      <c r="CTM4" s="2"/>
      <c r="CTN4" s="2"/>
      <c r="CTO4" s="2"/>
      <c r="CTP4" s="2"/>
      <c r="CTQ4" s="2"/>
      <c r="CTR4" s="2"/>
      <c r="CTS4" s="2"/>
      <c r="CTT4" s="2"/>
      <c r="CTU4" s="2"/>
      <c r="CTV4" s="2"/>
      <c r="CTW4" s="2"/>
      <c r="CTX4" s="2"/>
      <c r="CTY4" s="2"/>
      <c r="CTZ4" s="2"/>
      <c r="CUA4" s="2"/>
      <c r="CUB4" s="2"/>
      <c r="CUC4" s="2"/>
      <c r="CUD4" s="2"/>
      <c r="CUE4" s="2"/>
      <c r="CUF4" s="2"/>
      <c r="CUG4" s="2"/>
      <c r="CUH4" s="2"/>
      <c r="CUI4" s="2"/>
      <c r="CUJ4" s="2"/>
      <c r="CUK4" s="2"/>
      <c r="CUL4" s="2"/>
      <c r="CUM4" s="2"/>
      <c r="CUN4" s="2"/>
      <c r="CUO4" s="2"/>
      <c r="CUP4" s="2"/>
      <c r="CUQ4" s="2"/>
      <c r="CUR4" s="2"/>
      <c r="CUS4" s="2"/>
      <c r="CUT4" s="2"/>
      <c r="CUU4" s="2"/>
      <c r="CUV4" s="2"/>
      <c r="CUW4" s="2"/>
      <c r="CUX4" s="2"/>
      <c r="CUY4" s="2"/>
      <c r="CUZ4" s="2"/>
      <c r="CVA4" s="2"/>
      <c r="CVB4" s="2"/>
      <c r="CVC4" s="2"/>
      <c r="CVD4" s="2"/>
      <c r="CVE4" s="2"/>
      <c r="CVF4" s="2"/>
      <c r="CVG4" s="2"/>
      <c r="CVH4" s="2"/>
      <c r="CVI4" s="2"/>
      <c r="CVJ4" s="2"/>
      <c r="CVK4" s="2"/>
      <c r="CVL4" s="2"/>
      <c r="CVM4" s="2"/>
      <c r="CVN4" s="2"/>
      <c r="CVO4" s="2"/>
      <c r="CVP4" s="2"/>
      <c r="CVQ4" s="2"/>
      <c r="CVR4" s="2"/>
      <c r="CVS4" s="2"/>
      <c r="CVT4" s="2"/>
      <c r="CVU4" s="2"/>
      <c r="CVV4" s="2"/>
      <c r="CVW4" s="2"/>
      <c r="CVX4" s="2"/>
      <c r="CVY4" s="2"/>
      <c r="CVZ4" s="2"/>
      <c r="CWA4" s="2"/>
      <c r="CWB4" s="2"/>
      <c r="CWC4" s="2"/>
      <c r="CWD4" s="2"/>
      <c r="CWE4" s="2"/>
      <c r="CWF4" s="2"/>
      <c r="CWG4" s="2"/>
      <c r="CWH4" s="2"/>
      <c r="CWI4" s="2"/>
      <c r="CWJ4" s="2"/>
      <c r="CWK4" s="2"/>
      <c r="CWL4" s="2"/>
      <c r="CWM4" s="2"/>
      <c r="CWN4" s="2"/>
      <c r="CWO4" s="2"/>
      <c r="CWP4" s="2"/>
      <c r="CWQ4" s="2"/>
      <c r="CWR4" s="2"/>
      <c r="CWS4" s="2"/>
      <c r="CWT4" s="2"/>
      <c r="CWU4" s="2"/>
      <c r="CWV4" s="2"/>
      <c r="CWW4" s="2"/>
      <c r="CWX4" s="2"/>
      <c r="CWY4" s="2"/>
      <c r="CWZ4" s="2"/>
      <c r="CXA4" s="2"/>
      <c r="CXB4" s="2"/>
      <c r="CXC4" s="2"/>
      <c r="CXD4" s="2"/>
      <c r="CXE4" s="2"/>
      <c r="CXF4" s="2"/>
      <c r="CXG4" s="2"/>
      <c r="CXH4" s="2"/>
      <c r="CXI4" s="2"/>
      <c r="CXJ4" s="2"/>
      <c r="CXK4" s="2"/>
      <c r="CXL4" s="2"/>
      <c r="CXM4" s="2"/>
      <c r="CXN4" s="2"/>
      <c r="CXO4" s="2"/>
      <c r="CXP4" s="2"/>
      <c r="CXQ4" s="2"/>
      <c r="CXR4" s="2"/>
      <c r="CXS4" s="2"/>
      <c r="CXT4" s="2"/>
      <c r="CXU4" s="2"/>
      <c r="CXV4" s="2"/>
      <c r="CXW4" s="2"/>
      <c r="CXX4" s="2"/>
      <c r="CXY4" s="2"/>
      <c r="CXZ4" s="2"/>
      <c r="CYA4" s="2"/>
      <c r="CYB4" s="2"/>
      <c r="CYC4" s="2"/>
      <c r="CYD4" s="2"/>
      <c r="CYE4" s="2"/>
      <c r="CYF4" s="2"/>
      <c r="CYG4" s="2"/>
      <c r="CYH4" s="2"/>
      <c r="CYI4" s="2"/>
      <c r="CYJ4" s="2"/>
      <c r="CYK4" s="2"/>
      <c r="CYL4" s="2"/>
      <c r="CYM4" s="2"/>
      <c r="CYN4" s="2"/>
      <c r="CYO4" s="2"/>
      <c r="CYP4" s="2"/>
      <c r="CYQ4" s="2"/>
      <c r="CYR4" s="2"/>
      <c r="CYS4" s="2"/>
      <c r="CYT4" s="2"/>
      <c r="CYU4" s="2"/>
      <c r="CYV4" s="2"/>
      <c r="CYW4" s="2"/>
      <c r="CYX4" s="2"/>
      <c r="CYY4" s="2"/>
      <c r="CYZ4" s="2"/>
      <c r="CZA4" s="2"/>
      <c r="CZB4" s="2"/>
      <c r="CZC4" s="2"/>
      <c r="CZD4" s="2"/>
      <c r="CZE4" s="2"/>
      <c r="CZF4" s="2"/>
      <c r="CZG4" s="2"/>
      <c r="CZH4" s="2"/>
      <c r="CZI4" s="2"/>
      <c r="CZJ4" s="2"/>
      <c r="CZK4" s="2"/>
      <c r="CZL4" s="2"/>
      <c r="CZM4" s="2"/>
      <c r="CZN4" s="2"/>
      <c r="CZO4" s="2"/>
      <c r="CZP4" s="2"/>
      <c r="CZQ4" s="2"/>
      <c r="CZR4" s="2"/>
      <c r="CZS4" s="2"/>
      <c r="CZT4" s="2"/>
      <c r="CZU4" s="2"/>
      <c r="CZV4" s="2"/>
      <c r="CZW4" s="2"/>
      <c r="CZX4" s="2"/>
      <c r="CZY4" s="2"/>
      <c r="CZZ4" s="2"/>
      <c r="DAA4" s="2"/>
      <c r="DAB4" s="2"/>
      <c r="DAC4" s="2"/>
      <c r="DAD4" s="2"/>
      <c r="DAE4" s="2"/>
      <c r="DAF4" s="2"/>
      <c r="DAG4" s="2"/>
      <c r="DAH4" s="2"/>
      <c r="DAI4" s="2"/>
      <c r="DAJ4" s="2"/>
      <c r="DAK4" s="2"/>
      <c r="DAL4" s="2"/>
      <c r="DAM4" s="2"/>
      <c r="DAN4" s="2"/>
      <c r="DAO4" s="2"/>
      <c r="DAP4" s="2"/>
      <c r="DAQ4" s="2"/>
      <c r="DAR4" s="2"/>
      <c r="DAS4" s="2"/>
      <c r="DAT4" s="2"/>
      <c r="DAU4" s="2"/>
      <c r="DAV4" s="2"/>
      <c r="DAW4" s="2"/>
      <c r="DAX4" s="2"/>
      <c r="DAY4" s="2"/>
      <c r="DAZ4" s="2"/>
      <c r="DBA4" s="2"/>
      <c r="DBB4" s="2"/>
      <c r="DBC4" s="2"/>
      <c r="DBD4" s="2"/>
      <c r="DBE4" s="2"/>
      <c r="DBF4" s="2"/>
      <c r="DBG4" s="2"/>
      <c r="DBH4" s="2"/>
      <c r="DBI4" s="2"/>
      <c r="DBJ4" s="2"/>
      <c r="DBK4" s="2"/>
      <c r="DBL4" s="2"/>
      <c r="DBM4" s="2"/>
      <c r="DBN4" s="2"/>
      <c r="DBO4" s="2"/>
      <c r="DBP4" s="2"/>
      <c r="DBQ4" s="2"/>
      <c r="DBR4" s="2"/>
      <c r="DBS4" s="2"/>
      <c r="DBT4" s="2"/>
      <c r="DBU4" s="2"/>
      <c r="DBV4" s="2"/>
      <c r="DBW4" s="2"/>
      <c r="DBX4" s="2"/>
      <c r="DBY4" s="2"/>
      <c r="DBZ4" s="2"/>
      <c r="DCA4" s="2"/>
      <c r="DCB4" s="2"/>
      <c r="DCC4" s="2"/>
      <c r="DCD4" s="2"/>
      <c r="DCE4" s="2"/>
      <c r="DCF4" s="2"/>
      <c r="DCG4" s="2"/>
      <c r="DCH4" s="2"/>
      <c r="DCI4" s="2"/>
      <c r="DCJ4" s="2"/>
      <c r="DCK4" s="2"/>
      <c r="DCL4" s="2"/>
      <c r="DCM4" s="2"/>
      <c r="DCN4" s="2"/>
      <c r="DCO4" s="2"/>
      <c r="DCP4" s="2"/>
      <c r="DCQ4" s="2"/>
      <c r="DCR4" s="2"/>
      <c r="DCS4" s="2"/>
      <c r="DCT4" s="2"/>
      <c r="DCU4" s="2"/>
      <c r="DCV4" s="2"/>
      <c r="DCW4" s="2"/>
      <c r="DCX4" s="2"/>
      <c r="DCY4" s="2"/>
      <c r="DCZ4" s="2"/>
      <c r="DDA4" s="2"/>
      <c r="DDB4" s="2"/>
      <c r="DDC4" s="2"/>
      <c r="DDD4" s="2"/>
      <c r="DDE4" s="2"/>
      <c r="DDF4" s="2"/>
      <c r="DDG4" s="2"/>
      <c r="DDH4" s="2"/>
      <c r="DDI4" s="2"/>
      <c r="DDJ4" s="2"/>
      <c r="DDK4" s="2"/>
      <c r="DDL4" s="2"/>
      <c r="DDM4" s="2"/>
      <c r="DDN4" s="2"/>
      <c r="DDO4" s="2"/>
      <c r="DDP4" s="2"/>
      <c r="DDQ4" s="2"/>
      <c r="DDR4" s="2"/>
      <c r="DDS4" s="2"/>
      <c r="DDT4" s="2"/>
      <c r="DDU4" s="2"/>
      <c r="DDV4" s="2"/>
      <c r="DDW4" s="2"/>
      <c r="DDX4" s="2"/>
      <c r="DDY4" s="2"/>
      <c r="DDZ4" s="2"/>
      <c r="DEA4" s="2"/>
      <c r="DEB4" s="2"/>
      <c r="DEC4" s="2"/>
      <c r="DED4" s="2"/>
      <c r="DEE4" s="2"/>
      <c r="DEF4" s="2"/>
      <c r="DEG4" s="2"/>
      <c r="DEH4" s="2"/>
      <c r="DEI4" s="2"/>
      <c r="DEJ4" s="2"/>
      <c r="DEK4" s="2"/>
      <c r="DEL4" s="2"/>
      <c r="DEM4" s="2"/>
      <c r="DEN4" s="2"/>
      <c r="DEO4" s="2"/>
      <c r="DEP4" s="2"/>
      <c r="DEQ4" s="2"/>
      <c r="DER4" s="2"/>
      <c r="DES4" s="2"/>
      <c r="DET4" s="2"/>
      <c r="DEU4" s="2"/>
      <c r="DEV4" s="2"/>
      <c r="DEW4" s="2"/>
      <c r="DEX4" s="2"/>
      <c r="DEY4" s="2"/>
      <c r="DEZ4" s="2"/>
      <c r="DFA4" s="2"/>
      <c r="DFB4" s="2"/>
      <c r="DFC4" s="2"/>
      <c r="DFD4" s="2"/>
      <c r="DFE4" s="2"/>
      <c r="DFF4" s="2"/>
      <c r="DFG4" s="2"/>
      <c r="DFH4" s="2"/>
      <c r="DFI4" s="2"/>
      <c r="DFJ4" s="2"/>
      <c r="DFK4" s="2"/>
      <c r="DFL4" s="2"/>
      <c r="DFM4" s="2"/>
      <c r="DFN4" s="2"/>
      <c r="DFO4" s="2"/>
      <c r="DFP4" s="2"/>
      <c r="DFQ4" s="2"/>
      <c r="DFR4" s="2"/>
      <c r="DFS4" s="2"/>
      <c r="DFT4" s="2"/>
      <c r="DFU4" s="2"/>
      <c r="DFV4" s="2"/>
      <c r="DFW4" s="2"/>
      <c r="DFX4" s="2"/>
      <c r="DFY4" s="2"/>
      <c r="DFZ4" s="2"/>
      <c r="DGA4" s="2"/>
      <c r="DGB4" s="2"/>
      <c r="DGC4" s="2"/>
      <c r="DGD4" s="2"/>
      <c r="DGE4" s="2"/>
      <c r="DGF4" s="2"/>
      <c r="DGG4" s="2"/>
      <c r="DGH4" s="2"/>
      <c r="DGI4" s="2"/>
      <c r="DGJ4" s="2"/>
      <c r="DGK4" s="2"/>
      <c r="DGL4" s="2"/>
      <c r="DGM4" s="2"/>
      <c r="DGN4" s="2"/>
      <c r="DGO4" s="2"/>
      <c r="DGP4" s="2"/>
      <c r="DGQ4" s="2"/>
      <c r="DGR4" s="2"/>
      <c r="DGS4" s="2"/>
      <c r="DGT4" s="2"/>
      <c r="DGU4" s="2"/>
      <c r="DGV4" s="2"/>
      <c r="DGW4" s="2"/>
      <c r="DGX4" s="2"/>
      <c r="DGY4" s="2"/>
      <c r="DGZ4" s="2"/>
      <c r="DHA4" s="2"/>
      <c r="DHB4" s="2"/>
      <c r="DHC4" s="2"/>
      <c r="DHD4" s="2"/>
      <c r="DHE4" s="2"/>
      <c r="DHF4" s="2"/>
      <c r="DHG4" s="2"/>
      <c r="DHH4" s="2"/>
      <c r="DHI4" s="2"/>
      <c r="DHJ4" s="2"/>
      <c r="DHK4" s="2"/>
      <c r="DHL4" s="2"/>
      <c r="DHM4" s="2"/>
      <c r="DHN4" s="2"/>
      <c r="DHO4" s="2"/>
      <c r="DHP4" s="2"/>
      <c r="DHQ4" s="2"/>
      <c r="DHR4" s="2"/>
      <c r="DHS4" s="2"/>
      <c r="DHT4" s="2"/>
      <c r="DHU4" s="2"/>
      <c r="DHV4" s="2"/>
      <c r="DHW4" s="2"/>
      <c r="DHX4" s="2"/>
      <c r="DHY4" s="2"/>
      <c r="DHZ4" s="2"/>
      <c r="DIA4" s="2"/>
      <c r="DIB4" s="2"/>
      <c r="DIC4" s="2"/>
      <c r="DID4" s="2"/>
      <c r="DIE4" s="2"/>
      <c r="DIF4" s="2"/>
      <c r="DIG4" s="2"/>
      <c r="DIH4" s="2"/>
      <c r="DII4" s="2"/>
      <c r="DIJ4" s="2"/>
      <c r="DIK4" s="2"/>
      <c r="DIL4" s="2"/>
      <c r="DIM4" s="2"/>
      <c r="DIN4" s="2"/>
      <c r="DIO4" s="2"/>
      <c r="DIP4" s="2"/>
      <c r="DIQ4" s="2"/>
      <c r="DIR4" s="2"/>
      <c r="DIS4" s="2"/>
      <c r="DIT4" s="2"/>
      <c r="DIU4" s="2"/>
      <c r="DIV4" s="2"/>
      <c r="DIW4" s="2"/>
      <c r="DIX4" s="2"/>
      <c r="DIY4" s="2"/>
      <c r="DIZ4" s="2"/>
      <c r="DJA4" s="2"/>
      <c r="DJB4" s="2"/>
      <c r="DJC4" s="2"/>
      <c r="DJD4" s="2"/>
      <c r="DJE4" s="2"/>
      <c r="DJF4" s="2"/>
      <c r="DJG4" s="2"/>
      <c r="DJH4" s="2"/>
      <c r="DJI4" s="2"/>
      <c r="DJJ4" s="2"/>
      <c r="DJK4" s="2"/>
      <c r="DJL4" s="2"/>
      <c r="DJM4" s="2"/>
      <c r="DJN4" s="2"/>
      <c r="DJO4" s="2"/>
      <c r="DJP4" s="2"/>
      <c r="DJQ4" s="2"/>
      <c r="DJR4" s="2"/>
      <c r="DJS4" s="2"/>
      <c r="DJT4" s="2"/>
      <c r="DJU4" s="2"/>
      <c r="DJV4" s="2"/>
      <c r="DJW4" s="2"/>
      <c r="DJX4" s="2"/>
      <c r="DJY4" s="2"/>
      <c r="DJZ4" s="2"/>
      <c r="DKA4" s="2"/>
      <c r="DKB4" s="2"/>
      <c r="DKC4" s="2"/>
      <c r="DKD4" s="2"/>
      <c r="DKE4" s="2"/>
      <c r="DKF4" s="2"/>
      <c r="DKG4" s="2"/>
      <c r="DKH4" s="2"/>
      <c r="DKI4" s="2"/>
      <c r="DKJ4" s="2"/>
      <c r="DKK4" s="2"/>
      <c r="DKL4" s="2"/>
      <c r="DKM4" s="2"/>
      <c r="DKN4" s="2"/>
      <c r="DKO4" s="2"/>
      <c r="DKP4" s="2"/>
      <c r="DKQ4" s="2"/>
      <c r="DKR4" s="2"/>
      <c r="DKS4" s="2"/>
      <c r="DKT4" s="2"/>
      <c r="DKU4" s="2"/>
      <c r="DKV4" s="2"/>
      <c r="DKW4" s="2"/>
      <c r="DKX4" s="2"/>
      <c r="DKY4" s="2"/>
      <c r="DKZ4" s="2"/>
      <c r="DLA4" s="2"/>
      <c r="DLB4" s="2"/>
      <c r="DLC4" s="2"/>
      <c r="DLD4" s="2"/>
      <c r="DLE4" s="2"/>
      <c r="DLF4" s="2"/>
      <c r="DLG4" s="2"/>
      <c r="DLH4" s="2"/>
      <c r="DLI4" s="2"/>
      <c r="DLJ4" s="2"/>
      <c r="DLK4" s="2"/>
      <c r="DLL4" s="2"/>
      <c r="DLM4" s="2"/>
      <c r="DLN4" s="2"/>
      <c r="DLO4" s="2"/>
      <c r="DLP4" s="2"/>
      <c r="DLQ4" s="2"/>
      <c r="DLR4" s="2"/>
      <c r="DLS4" s="2"/>
      <c r="DLT4" s="2"/>
      <c r="DLU4" s="2"/>
      <c r="DLV4" s="2"/>
      <c r="DLW4" s="2"/>
      <c r="DLX4" s="2"/>
      <c r="DLY4" s="2"/>
      <c r="DLZ4" s="2"/>
      <c r="DMA4" s="2"/>
      <c r="DMB4" s="2"/>
      <c r="DMC4" s="2"/>
      <c r="DMD4" s="2"/>
      <c r="DME4" s="2"/>
      <c r="DMF4" s="2"/>
      <c r="DMG4" s="2"/>
      <c r="DMH4" s="2"/>
      <c r="DMI4" s="2"/>
      <c r="DMJ4" s="2"/>
      <c r="DMK4" s="2"/>
      <c r="DML4" s="2"/>
      <c r="DMM4" s="2"/>
      <c r="DMN4" s="2"/>
      <c r="DMO4" s="2"/>
      <c r="DMP4" s="2"/>
      <c r="DMQ4" s="2"/>
      <c r="DMR4" s="2"/>
      <c r="DMS4" s="2"/>
      <c r="DMT4" s="2"/>
      <c r="DMU4" s="2"/>
      <c r="DMV4" s="2"/>
      <c r="DMW4" s="2"/>
      <c r="DMX4" s="2"/>
      <c r="DMY4" s="2"/>
      <c r="DMZ4" s="2"/>
      <c r="DNA4" s="2"/>
      <c r="DNB4" s="2"/>
      <c r="DNC4" s="2"/>
      <c r="DND4" s="2"/>
      <c r="DNE4" s="2"/>
      <c r="DNF4" s="2"/>
      <c r="DNG4" s="2"/>
      <c r="DNH4" s="2"/>
      <c r="DNI4" s="2"/>
      <c r="DNJ4" s="2"/>
      <c r="DNK4" s="2"/>
      <c r="DNL4" s="2"/>
      <c r="DNM4" s="2"/>
      <c r="DNN4" s="2"/>
      <c r="DNO4" s="2"/>
      <c r="DNP4" s="2"/>
      <c r="DNQ4" s="2"/>
      <c r="DNR4" s="2"/>
      <c r="DNS4" s="2"/>
      <c r="DNT4" s="2"/>
      <c r="DNU4" s="2"/>
      <c r="DNV4" s="2"/>
      <c r="DNW4" s="2"/>
      <c r="DNX4" s="2"/>
      <c r="DNY4" s="2"/>
      <c r="DNZ4" s="2"/>
      <c r="DOA4" s="2"/>
      <c r="DOB4" s="2"/>
      <c r="DOC4" s="2"/>
      <c r="DOD4" s="2"/>
      <c r="DOE4" s="2"/>
      <c r="DOF4" s="2"/>
      <c r="DOG4" s="2"/>
      <c r="DOH4" s="2"/>
      <c r="DOI4" s="2"/>
      <c r="DOJ4" s="2"/>
      <c r="DOK4" s="2"/>
      <c r="DOL4" s="2"/>
      <c r="DOM4" s="2"/>
      <c r="DON4" s="2"/>
      <c r="DOO4" s="2"/>
      <c r="DOP4" s="2"/>
      <c r="DOQ4" s="2"/>
      <c r="DOR4" s="2"/>
      <c r="DOS4" s="2"/>
      <c r="DOT4" s="2"/>
      <c r="DOU4" s="2"/>
      <c r="DOV4" s="2"/>
      <c r="DOW4" s="2"/>
      <c r="DOX4" s="2"/>
      <c r="DOY4" s="2"/>
      <c r="DOZ4" s="2"/>
      <c r="DPA4" s="2"/>
      <c r="DPB4" s="2"/>
      <c r="DPC4" s="2"/>
      <c r="DPD4" s="2"/>
      <c r="DPE4" s="2"/>
      <c r="DPF4" s="2"/>
      <c r="DPG4" s="2"/>
      <c r="DPH4" s="2"/>
      <c r="DPI4" s="2"/>
      <c r="DPJ4" s="2"/>
      <c r="DPK4" s="2"/>
      <c r="DPL4" s="2"/>
      <c r="DPM4" s="2"/>
      <c r="DPN4" s="2"/>
      <c r="DPO4" s="2"/>
      <c r="DPP4" s="2"/>
      <c r="DPQ4" s="2"/>
      <c r="DPR4" s="2"/>
      <c r="DPS4" s="2"/>
      <c r="DPT4" s="2"/>
      <c r="DPU4" s="2"/>
      <c r="DPV4" s="2"/>
      <c r="DPW4" s="2"/>
      <c r="DPX4" s="2"/>
      <c r="DPY4" s="2"/>
      <c r="DPZ4" s="2"/>
      <c r="DQA4" s="2"/>
      <c r="DQB4" s="2"/>
      <c r="DQC4" s="2"/>
      <c r="DQD4" s="2"/>
      <c r="DQE4" s="2"/>
      <c r="DQF4" s="2"/>
      <c r="DQG4" s="2"/>
      <c r="DQH4" s="2"/>
      <c r="DQI4" s="2"/>
      <c r="DQJ4" s="2"/>
      <c r="DQK4" s="2"/>
      <c r="DQL4" s="2"/>
      <c r="DQM4" s="2"/>
      <c r="DQN4" s="2"/>
      <c r="DQO4" s="2"/>
      <c r="DQP4" s="2"/>
      <c r="DQQ4" s="2"/>
      <c r="DQR4" s="2"/>
      <c r="DQS4" s="2"/>
      <c r="DQT4" s="2"/>
      <c r="DQU4" s="2"/>
      <c r="DQV4" s="2"/>
      <c r="DQW4" s="2"/>
      <c r="DQX4" s="2"/>
      <c r="DQY4" s="2"/>
      <c r="DQZ4" s="2"/>
      <c r="DRA4" s="2"/>
      <c r="DRB4" s="2"/>
      <c r="DRC4" s="2"/>
      <c r="DRD4" s="2"/>
      <c r="DRE4" s="2"/>
      <c r="DRF4" s="2"/>
      <c r="DRG4" s="2"/>
      <c r="DRH4" s="2"/>
      <c r="DRI4" s="2"/>
      <c r="DRJ4" s="2"/>
      <c r="DRK4" s="2"/>
      <c r="DRL4" s="2"/>
      <c r="DRM4" s="2"/>
      <c r="DRN4" s="2"/>
      <c r="DRO4" s="2"/>
      <c r="DRP4" s="2"/>
      <c r="DRQ4" s="2"/>
      <c r="DRR4" s="2"/>
      <c r="DRS4" s="2"/>
      <c r="DRT4" s="2"/>
      <c r="DRU4" s="2"/>
      <c r="DRV4" s="2"/>
      <c r="DRW4" s="2"/>
      <c r="DRX4" s="2"/>
      <c r="DRY4" s="2"/>
      <c r="DRZ4" s="2"/>
      <c r="DSA4" s="2"/>
      <c r="DSB4" s="2"/>
      <c r="DSC4" s="2"/>
      <c r="DSD4" s="2"/>
      <c r="DSE4" s="2"/>
      <c r="DSF4" s="2"/>
      <c r="DSG4" s="2"/>
      <c r="DSH4" s="2"/>
      <c r="DSI4" s="2"/>
      <c r="DSJ4" s="2"/>
      <c r="DSK4" s="2"/>
      <c r="DSL4" s="2"/>
      <c r="DSM4" s="2"/>
      <c r="DSN4" s="2"/>
      <c r="DSO4" s="2"/>
      <c r="DSP4" s="2"/>
      <c r="DSQ4" s="2"/>
      <c r="DSR4" s="2"/>
      <c r="DSS4" s="2"/>
      <c r="DST4" s="2"/>
      <c r="DSU4" s="2"/>
      <c r="DSV4" s="2"/>
      <c r="DSW4" s="2"/>
      <c r="DSX4" s="2"/>
      <c r="DSY4" s="2"/>
      <c r="DSZ4" s="2"/>
      <c r="DTA4" s="2"/>
      <c r="DTB4" s="2"/>
      <c r="DTC4" s="2"/>
      <c r="DTD4" s="2"/>
      <c r="DTE4" s="2"/>
      <c r="DTF4" s="2"/>
      <c r="DTG4" s="2"/>
      <c r="DTH4" s="2"/>
      <c r="DTI4" s="2"/>
      <c r="DTJ4" s="2"/>
      <c r="DTK4" s="2"/>
      <c r="DTL4" s="2"/>
      <c r="DTM4" s="2"/>
      <c r="DTN4" s="2"/>
      <c r="DTO4" s="2"/>
      <c r="DTP4" s="2"/>
      <c r="DTQ4" s="2"/>
      <c r="DTR4" s="2"/>
      <c r="DTS4" s="2"/>
      <c r="DTT4" s="2"/>
      <c r="DTU4" s="2"/>
      <c r="DTV4" s="2"/>
      <c r="DTW4" s="2"/>
      <c r="DTX4" s="2"/>
      <c r="DTY4" s="2"/>
      <c r="DTZ4" s="2"/>
      <c r="DUA4" s="2"/>
      <c r="DUB4" s="2"/>
      <c r="DUC4" s="2"/>
      <c r="DUD4" s="2"/>
      <c r="DUE4" s="2"/>
      <c r="DUF4" s="2"/>
      <c r="DUG4" s="2"/>
      <c r="DUH4" s="2"/>
      <c r="DUI4" s="2"/>
      <c r="DUJ4" s="2"/>
      <c r="DUK4" s="2"/>
      <c r="DUL4" s="2"/>
      <c r="DUM4" s="2"/>
      <c r="DUN4" s="2"/>
      <c r="DUO4" s="2"/>
      <c r="DUP4" s="2"/>
      <c r="DUQ4" s="2"/>
      <c r="DUR4" s="2"/>
      <c r="DUS4" s="2"/>
      <c r="DUT4" s="2"/>
      <c r="DUU4" s="2"/>
      <c r="DUV4" s="2"/>
      <c r="DUW4" s="2"/>
      <c r="DUX4" s="2"/>
      <c r="DUY4" s="2"/>
      <c r="DUZ4" s="2"/>
      <c r="DVA4" s="2"/>
      <c r="DVB4" s="2"/>
      <c r="DVC4" s="2"/>
      <c r="DVD4" s="2"/>
      <c r="DVE4" s="2"/>
      <c r="DVF4" s="2"/>
      <c r="DVG4" s="2"/>
      <c r="DVH4" s="2"/>
      <c r="DVI4" s="2"/>
      <c r="DVJ4" s="2"/>
      <c r="DVK4" s="2"/>
      <c r="DVL4" s="2"/>
      <c r="DVM4" s="2"/>
      <c r="DVN4" s="2"/>
      <c r="DVO4" s="2"/>
      <c r="DVP4" s="2"/>
      <c r="DVQ4" s="2"/>
      <c r="DVR4" s="2"/>
      <c r="DVS4" s="2"/>
      <c r="DVT4" s="2"/>
      <c r="DVU4" s="2"/>
      <c r="DVV4" s="2"/>
      <c r="DVW4" s="2"/>
      <c r="DVX4" s="2"/>
      <c r="DVY4" s="2"/>
      <c r="DVZ4" s="2"/>
      <c r="DWA4" s="2"/>
      <c r="DWB4" s="2"/>
      <c r="DWC4" s="2"/>
      <c r="DWD4" s="2"/>
      <c r="DWE4" s="2"/>
      <c r="DWF4" s="2"/>
      <c r="DWG4" s="2"/>
      <c r="DWH4" s="2"/>
      <c r="DWI4" s="2"/>
      <c r="DWJ4" s="2"/>
      <c r="DWK4" s="2"/>
      <c r="DWL4" s="2"/>
      <c r="DWM4" s="2"/>
      <c r="DWN4" s="2"/>
      <c r="DWO4" s="2"/>
      <c r="DWP4" s="2"/>
      <c r="DWQ4" s="2"/>
      <c r="DWR4" s="2"/>
      <c r="DWS4" s="2"/>
      <c r="DWT4" s="2"/>
      <c r="DWU4" s="2"/>
      <c r="DWV4" s="2"/>
      <c r="DWW4" s="2"/>
      <c r="DWX4" s="2"/>
      <c r="DWY4" s="2"/>
      <c r="DWZ4" s="2"/>
      <c r="DXA4" s="2"/>
      <c r="DXB4" s="2"/>
      <c r="DXC4" s="2"/>
      <c r="DXD4" s="2"/>
      <c r="DXE4" s="2"/>
      <c r="DXF4" s="2"/>
      <c r="DXG4" s="2"/>
      <c r="DXH4" s="2"/>
      <c r="DXI4" s="2"/>
      <c r="DXJ4" s="2"/>
      <c r="DXK4" s="2"/>
      <c r="DXL4" s="2"/>
      <c r="DXM4" s="2"/>
      <c r="DXN4" s="2"/>
      <c r="DXO4" s="2"/>
      <c r="DXP4" s="2"/>
      <c r="DXQ4" s="2"/>
      <c r="DXR4" s="2"/>
      <c r="DXS4" s="2"/>
      <c r="DXT4" s="2"/>
      <c r="DXU4" s="2"/>
      <c r="DXV4" s="2"/>
      <c r="DXW4" s="2"/>
      <c r="DXX4" s="2"/>
      <c r="DXY4" s="2"/>
      <c r="DXZ4" s="2"/>
      <c r="DYA4" s="2"/>
      <c r="DYB4" s="2"/>
      <c r="DYC4" s="2"/>
      <c r="DYD4" s="2"/>
      <c r="DYE4" s="2"/>
      <c r="DYF4" s="2"/>
      <c r="DYG4" s="2"/>
      <c r="DYH4" s="2"/>
      <c r="DYI4" s="2"/>
      <c r="DYJ4" s="2"/>
      <c r="DYK4" s="2"/>
      <c r="DYL4" s="2"/>
      <c r="DYM4" s="2"/>
      <c r="DYN4" s="2"/>
      <c r="DYO4" s="2"/>
      <c r="DYP4" s="2"/>
      <c r="DYQ4" s="2"/>
      <c r="DYR4" s="2"/>
      <c r="DYS4" s="2"/>
      <c r="DYT4" s="2"/>
      <c r="DYU4" s="2"/>
      <c r="DYV4" s="2"/>
      <c r="DYW4" s="2"/>
      <c r="DYX4" s="2"/>
      <c r="DYY4" s="2"/>
      <c r="DYZ4" s="2"/>
      <c r="DZA4" s="2"/>
      <c r="DZB4" s="2"/>
      <c r="DZC4" s="2"/>
      <c r="DZD4" s="2"/>
      <c r="DZE4" s="2"/>
      <c r="DZF4" s="2"/>
      <c r="DZG4" s="2"/>
      <c r="DZH4" s="2"/>
      <c r="DZI4" s="2"/>
      <c r="DZJ4" s="2"/>
      <c r="DZK4" s="2"/>
      <c r="DZL4" s="2"/>
      <c r="DZM4" s="2"/>
      <c r="DZN4" s="2"/>
      <c r="DZO4" s="2"/>
      <c r="DZP4" s="2"/>
      <c r="DZQ4" s="2"/>
      <c r="DZR4" s="2"/>
      <c r="DZS4" s="2"/>
      <c r="DZT4" s="2"/>
      <c r="DZU4" s="2"/>
      <c r="DZV4" s="2"/>
      <c r="DZW4" s="2"/>
      <c r="DZX4" s="2"/>
      <c r="DZY4" s="2"/>
      <c r="DZZ4" s="2"/>
      <c r="EAA4" s="2"/>
      <c r="EAB4" s="2"/>
      <c r="EAC4" s="2"/>
      <c r="EAD4" s="2"/>
      <c r="EAE4" s="2"/>
      <c r="EAF4" s="2"/>
      <c r="EAG4" s="2"/>
      <c r="EAH4" s="2"/>
      <c r="EAI4" s="2"/>
      <c r="EAJ4" s="2"/>
      <c r="EAK4" s="2"/>
      <c r="EAL4" s="2"/>
      <c r="EAM4" s="2"/>
      <c r="EAN4" s="2"/>
      <c r="EAO4" s="2"/>
      <c r="EAP4" s="2"/>
      <c r="EAQ4" s="2"/>
      <c r="EAR4" s="2"/>
      <c r="EAS4" s="2"/>
      <c r="EAT4" s="2"/>
      <c r="EAU4" s="2"/>
      <c r="EAV4" s="2"/>
      <c r="EAW4" s="2"/>
      <c r="EAX4" s="2"/>
      <c r="EAY4" s="2"/>
      <c r="EAZ4" s="2"/>
      <c r="EBA4" s="2"/>
      <c r="EBB4" s="2"/>
      <c r="EBC4" s="2"/>
      <c r="EBD4" s="2"/>
      <c r="EBE4" s="2"/>
      <c r="EBF4" s="2"/>
      <c r="EBG4" s="2"/>
      <c r="EBH4" s="2"/>
      <c r="EBI4" s="2"/>
      <c r="EBJ4" s="2"/>
      <c r="EBK4" s="2"/>
      <c r="EBL4" s="2"/>
      <c r="EBM4" s="2"/>
      <c r="EBN4" s="2"/>
      <c r="EBO4" s="2"/>
      <c r="EBP4" s="2"/>
      <c r="EBQ4" s="2"/>
      <c r="EBR4" s="2"/>
      <c r="EBS4" s="2"/>
      <c r="EBT4" s="2"/>
      <c r="EBU4" s="2"/>
      <c r="EBV4" s="2"/>
      <c r="EBW4" s="2"/>
      <c r="EBX4" s="2"/>
      <c r="EBY4" s="2"/>
      <c r="EBZ4" s="2"/>
      <c r="ECA4" s="2"/>
      <c r="ECB4" s="2"/>
      <c r="ECC4" s="2"/>
      <c r="ECD4" s="2"/>
      <c r="ECE4" s="2"/>
      <c r="ECF4" s="2"/>
      <c r="ECG4" s="2"/>
      <c r="ECH4" s="2"/>
      <c r="ECI4" s="2"/>
      <c r="ECJ4" s="2"/>
      <c r="ECK4" s="2"/>
      <c r="ECL4" s="2"/>
      <c r="ECM4" s="2"/>
      <c r="ECN4" s="2"/>
      <c r="ECO4" s="2"/>
      <c r="ECP4" s="2"/>
      <c r="ECQ4" s="2"/>
      <c r="ECR4" s="2"/>
      <c r="ECS4" s="2"/>
      <c r="ECT4" s="2"/>
      <c r="ECU4" s="2"/>
      <c r="ECV4" s="2"/>
      <c r="ECW4" s="2"/>
      <c r="ECX4" s="2"/>
      <c r="ECY4" s="2"/>
      <c r="ECZ4" s="2"/>
      <c r="EDA4" s="2"/>
      <c r="EDB4" s="2"/>
      <c r="EDC4" s="2"/>
      <c r="EDD4" s="2"/>
      <c r="EDE4" s="2"/>
      <c r="EDF4" s="2"/>
      <c r="EDG4" s="2"/>
      <c r="EDH4" s="2"/>
      <c r="EDI4" s="2"/>
      <c r="EDJ4" s="2"/>
      <c r="EDK4" s="2"/>
      <c r="EDL4" s="2"/>
      <c r="EDM4" s="2"/>
      <c r="EDN4" s="2"/>
      <c r="EDO4" s="2"/>
      <c r="EDP4" s="2"/>
      <c r="EDQ4" s="2"/>
      <c r="EDR4" s="2"/>
      <c r="EDS4" s="2"/>
      <c r="EDT4" s="2"/>
      <c r="EDU4" s="2"/>
      <c r="EDV4" s="2"/>
      <c r="EDW4" s="2"/>
      <c r="EDX4" s="2"/>
      <c r="EDY4" s="2"/>
      <c r="EDZ4" s="2"/>
      <c r="EEA4" s="2"/>
      <c r="EEB4" s="2"/>
      <c r="EEC4" s="2"/>
      <c r="EED4" s="2"/>
      <c r="EEE4" s="2"/>
      <c r="EEF4" s="2"/>
      <c r="EEG4" s="2"/>
      <c r="EEH4" s="2"/>
      <c r="EEI4" s="2"/>
      <c r="EEJ4" s="2"/>
      <c r="EEK4" s="2"/>
      <c r="EEL4" s="2"/>
      <c r="EEM4" s="2"/>
      <c r="EEN4" s="2"/>
      <c r="EEO4" s="2"/>
      <c r="EEP4" s="2"/>
      <c r="EEQ4" s="2"/>
      <c r="EER4" s="2"/>
      <c r="EES4" s="2"/>
      <c r="EET4" s="2"/>
      <c r="EEU4" s="2"/>
      <c r="EEV4" s="2"/>
      <c r="EEW4" s="2"/>
      <c r="EEX4" s="2"/>
      <c r="EEY4" s="2"/>
      <c r="EEZ4" s="2"/>
      <c r="EFA4" s="2"/>
      <c r="EFB4" s="2"/>
      <c r="EFC4" s="2"/>
      <c r="EFD4" s="2"/>
      <c r="EFE4" s="2"/>
      <c r="EFF4" s="2"/>
      <c r="EFG4" s="2"/>
      <c r="EFH4" s="2"/>
      <c r="EFI4" s="2"/>
      <c r="EFJ4" s="2"/>
      <c r="EFK4" s="2"/>
      <c r="EFL4" s="2"/>
      <c r="EFM4" s="2"/>
      <c r="EFN4" s="2"/>
      <c r="EFO4" s="2"/>
      <c r="EFP4" s="2"/>
      <c r="EFQ4" s="2"/>
      <c r="EFR4" s="2"/>
      <c r="EFS4" s="2"/>
      <c r="EFT4" s="2"/>
      <c r="EFU4" s="2"/>
      <c r="EFV4" s="2"/>
      <c r="EFW4" s="2"/>
      <c r="EFX4" s="2"/>
      <c r="EFY4" s="2"/>
      <c r="EFZ4" s="2"/>
      <c r="EGA4" s="2"/>
      <c r="EGB4" s="2"/>
      <c r="EGC4" s="2"/>
      <c r="EGD4" s="2"/>
      <c r="EGE4" s="2"/>
      <c r="EGF4" s="2"/>
      <c r="EGG4" s="2"/>
      <c r="EGH4" s="2"/>
      <c r="EGI4" s="2"/>
      <c r="EGJ4" s="2"/>
      <c r="EGK4" s="2"/>
      <c r="EGL4" s="2"/>
      <c r="EGM4" s="2"/>
      <c r="EGN4" s="2"/>
      <c r="EGO4" s="2"/>
      <c r="EGP4" s="2"/>
      <c r="EGQ4" s="2"/>
      <c r="EGR4" s="2"/>
      <c r="EGS4" s="2"/>
      <c r="EGT4" s="2"/>
      <c r="EGU4" s="2"/>
      <c r="EGV4" s="2"/>
      <c r="EGW4" s="2"/>
      <c r="EGX4" s="2"/>
      <c r="EGY4" s="2"/>
      <c r="EGZ4" s="2"/>
      <c r="EHA4" s="2"/>
      <c r="EHB4" s="2"/>
      <c r="EHC4" s="2"/>
      <c r="EHD4" s="2"/>
      <c r="EHE4" s="2"/>
      <c r="EHF4" s="2"/>
      <c r="EHG4" s="2"/>
      <c r="EHH4" s="2"/>
      <c r="EHI4" s="2"/>
      <c r="EHJ4" s="2"/>
      <c r="EHK4" s="2"/>
      <c r="EHL4" s="2"/>
      <c r="EHM4" s="2"/>
      <c r="EHN4" s="2"/>
      <c r="EHO4" s="2"/>
      <c r="EHP4" s="2"/>
      <c r="EHQ4" s="2"/>
      <c r="EHR4" s="2"/>
      <c r="EHS4" s="2"/>
      <c r="EHT4" s="2"/>
      <c r="EHU4" s="2"/>
      <c r="EHV4" s="2"/>
      <c r="EHW4" s="2"/>
      <c r="EHX4" s="2"/>
      <c r="EHY4" s="2"/>
      <c r="EHZ4" s="2"/>
      <c r="EIA4" s="2"/>
      <c r="EIB4" s="2"/>
      <c r="EIC4" s="2"/>
      <c r="EID4" s="2"/>
      <c r="EIE4" s="2"/>
      <c r="EIF4" s="2"/>
      <c r="EIG4" s="2"/>
      <c r="EIH4" s="2"/>
      <c r="EII4" s="2"/>
      <c r="EIJ4" s="2"/>
      <c r="EIK4" s="2"/>
      <c r="EIL4" s="2"/>
      <c r="EIM4" s="2"/>
      <c r="EIN4" s="2"/>
      <c r="EIO4" s="2"/>
      <c r="EIP4" s="2"/>
      <c r="EIQ4" s="2"/>
      <c r="EIR4" s="2"/>
      <c r="EIS4" s="2"/>
      <c r="EIT4" s="2"/>
      <c r="EIU4" s="2"/>
      <c r="EIV4" s="2"/>
      <c r="EIW4" s="2"/>
      <c r="EIX4" s="2"/>
      <c r="EIY4" s="2"/>
      <c r="EIZ4" s="2"/>
      <c r="EJA4" s="2"/>
      <c r="EJB4" s="2"/>
      <c r="EJC4" s="2"/>
      <c r="EJD4" s="2"/>
      <c r="EJE4" s="2"/>
      <c r="EJF4" s="2"/>
      <c r="EJG4" s="2"/>
      <c r="EJH4" s="2"/>
      <c r="EJI4" s="2"/>
      <c r="EJJ4" s="2"/>
      <c r="EJK4" s="2"/>
      <c r="EJL4" s="2"/>
      <c r="EJM4" s="2"/>
      <c r="EJN4" s="2"/>
      <c r="EJO4" s="2"/>
      <c r="EJP4" s="2"/>
      <c r="EJQ4" s="2"/>
      <c r="EJR4" s="2"/>
      <c r="EJS4" s="2"/>
      <c r="EJT4" s="2"/>
      <c r="EJU4" s="2"/>
      <c r="EJV4" s="2"/>
      <c r="EJW4" s="2"/>
      <c r="EJX4" s="2"/>
      <c r="EJY4" s="2"/>
      <c r="EJZ4" s="2"/>
      <c r="EKA4" s="2"/>
      <c r="EKB4" s="2"/>
      <c r="EKC4" s="2"/>
      <c r="EKD4" s="2"/>
      <c r="EKE4" s="2"/>
      <c r="EKF4" s="2"/>
      <c r="EKG4" s="2"/>
      <c r="EKH4" s="2"/>
      <c r="EKI4" s="2"/>
      <c r="EKJ4" s="2"/>
      <c r="EKK4" s="2"/>
      <c r="EKL4" s="2"/>
      <c r="EKM4" s="2"/>
      <c r="EKN4" s="2"/>
      <c r="EKO4" s="2"/>
      <c r="EKP4" s="2"/>
      <c r="EKQ4" s="2"/>
      <c r="EKR4" s="2"/>
      <c r="EKS4" s="2"/>
      <c r="EKT4" s="2"/>
      <c r="EKU4" s="2"/>
      <c r="EKV4" s="2"/>
      <c r="EKW4" s="2"/>
      <c r="EKX4" s="2"/>
      <c r="EKY4" s="2"/>
      <c r="EKZ4" s="2"/>
      <c r="ELA4" s="2"/>
      <c r="ELB4" s="2"/>
      <c r="ELC4" s="2"/>
      <c r="ELD4" s="2"/>
      <c r="ELE4" s="2"/>
      <c r="ELF4" s="2"/>
      <c r="ELG4" s="2"/>
      <c r="ELH4" s="2"/>
      <c r="ELI4" s="2"/>
      <c r="ELJ4" s="2"/>
      <c r="ELK4" s="2"/>
      <c r="ELL4" s="2"/>
      <c r="ELM4" s="2"/>
      <c r="ELN4" s="2"/>
      <c r="ELO4" s="2"/>
      <c r="ELP4" s="2"/>
      <c r="ELQ4" s="2"/>
      <c r="ELR4" s="2"/>
      <c r="ELS4" s="2"/>
      <c r="ELT4" s="2"/>
      <c r="ELU4" s="2"/>
      <c r="ELV4" s="2"/>
      <c r="ELW4" s="2"/>
      <c r="ELX4" s="2"/>
      <c r="ELY4" s="2"/>
      <c r="ELZ4" s="2"/>
      <c r="EMA4" s="2"/>
      <c r="EMB4" s="2"/>
      <c r="EMC4" s="2"/>
      <c r="EMD4" s="2"/>
      <c r="EME4" s="2"/>
      <c r="EMF4" s="2"/>
      <c r="EMG4" s="2"/>
      <c r="EMH4" s="2"/>
      <c r="EMI4" s="2"/>
      <c r="EMJ4" s="2"/>
      <c r="EMK4" s="2"/>
      <c r="EML4" s="2"/>
      <c r="EMM4" s="2"/>
      <c r="EMN4" s="2"/>
      <c r="EMO4" s="2"/>
      <c r="EMP4" s="2"/>
      <c r="EMQ4" s="2"/>
      <c r="EMR4" s="2"/>
      <c r="EMS4" s="2"/>
      <c r="EMT4" s="2"/>
      <c r="EMU4" s="2"/>
      <c r="EMV4" s="2"/>
      <c r="EMW4" s="2"/>
      <c r="EMX4" s="2"/>
      <c r="EMY4" s="2"/>
      <c r="EMZ4" s="2"/>
      <c r="ENA4" s="2"/>
      <c r="ENB4" s="2"/>
      <c r="ENC4" s="2"/>
      <c r="END4" s="2"/>
      <c r="ENE4" s="2"/>
      <c r="ENF4" s="2"/>
      <c r="ENG4" s="2"/>
      <c r="ENH4" s="2"/>
      <c r="ENI4" s="2"/>
      <c r="ENJ4" s="2"/>
      <c r="ENK4" s="2"/>
      <c r="ENL4" s="2"/>
      <c r="ENM4" s="2"/>
      <c r="ENN4" s="2"/>
      <c r="ENO4" s="2"/>
      <c r="ENP4" s="2"/>
      <c r="ENQ4" s="2"/>
      <c r="ENR4" s="2"/>
      <c r="ENS4" s="2"/>
      <c r="ENT4" s="2"/>
      <c r="ENU4" s="2"/>
      <c r="ENV4" s="2"/>
      <c r="ENW4" s="2"/>
      <c r="ENX4" s="2"/>
      <c r="ENY4" s="2"/>
      <c r="ENZ4" s="2"/>
      <c r="EOA4" s="2"/>
      <c r="EOB4" s="2"/>
      <c r="EOC4" s="2"/>
      <c r="EOD4" s="2"/>
      <c r="EOE4" s="2"/>
      <c r="EOF4" s="2"/>
      <c r="EOG4" s="2"/>
      <c r="EOH4" s="2"/>
      <c r="EOI4" s="2"/>
      <c r="EOJ4" s="2"/>
      <c r="EOK4" s="2"/>
      <c r="EOL4" s="2"/>
      <c r="EOM4" s="2"/>
      <c r="EON4" s="2"/>
      <c r="EOO4" s="2"/>
      <c r="EOP4" s="2"/>
      <c r="EOQ4" s="2"/>
      <c r="EOR4" s="2"/>
      <c r="EOS4" s="2"/>
      <c r="EOT4" s="2"/>
      <c r="EOU4" s="2"/>
      <c r="EOV4" s="2"/>
      <c r="EOW4" s="2"/>
      <c r="EOX4" s="2"/>
      <c r="EOY4" s="2"/>
      <c r="EOZ4" s="2"/>
      <c r="EPA4" s="2"/>
      <c r="EPB4" s="2"/>
      <c r="EPC4" s="2"/>
      <c r="EPD4" s="2"/>
      <c r="EPE4" s="2"/>
      <c r="EPF4" s="2"/>
      <c r="EPG4" s="2"/>
      <c r="EPH4" s="2"/>
      <c r="EPI4" s="2"/>
      <c r="EPJ4" s="2"/>
      <c r="EPK4" s="2"/>
      <c r="EPL4" s="2"/>
      <c r="EPM4" s="2"/>
      <c r="EPN4" s="2"/>
      <c r="EPO4" s="2"/>
      <c r="EPP4" s="2"/>
      <c r="EPQ4" s="2"/>
      <c r="EPR4" s="2"/>
      <c r="EPS4" s="2"/>
      <c r="EPT4" s="2"/>
      <c r="EPU4" s="2"/>
      <c r="EPV4" s="2"/>
      <c r="EPW4" s="2"/>
      <c r="EPX4" s="2"/>
      <c r="EPY4" s="2"/>
      <c r="EPZ4" s="2"/>
      <c r="EQA4" s="2"/>
      <c r="EQB4" s="2"/>
      <c r="EQC4" s="2"/>
      <c r="EQD4" s="2"/>
      <c r="EQE4" s="2"/>
      <c r="EQF4" s="2"/>
      <c r="EQG4" s="2"/>
      <c r="EQH4" s="2"/>
      <c r="EQI4" s="2"/>
      <c r="EQJ4" s="2"/>
      <c r="EQK4" s="2"/>
      <c r="EQL4" s="2"/>
      <c r="EQM4" s="2"/>
      <c r="EQN4" s="2"/>
      <c r="EQO4" s="2"/>
      <c r="EQP4" s="2"/>
      <c r="EQQ4" s="2"/>
      <c r="EQR4" s="2"/>
      <c r="EQS4" s="2"/>
      <c r="EQT4" s="2"/>
      <c r="EQU4" s="2"/>
      <c r="EQV4" s="2"/>
      <c r="EQW4" s="2"/>
      <c r="EQX4" s="2"/>
      <c r="EQY4" s="2"/>
      <c r="EQZ4" s="2"/>
      <c r="ERA4" s="2"/>
      <c r="ERB4" s="2"/>
      <c r="ERC4" s="2"/>
      <c r="ERD4" s="2"/>
      <c r="ERE4" s="2"/>
      <c r="ERF4" s="2"/>
      <c r="ERG4" s="2"/>
      <c r="ERH4" s="2"/>
      <c r="ERI4" s="2"/>
      <c r="ERJ4" s="2"/>
      <c r="ERK4" s="2"/>
      <c r="ERL4" s="2"/>
      <c r="ERM4" s="2"/>
      <c r="ERN4" s="2"/>
      <c r="ERO4" s="2"/>
      <c r="ERP4" s="2"/>
      <c r="ERQ4" s="2"/>
      <c r="ERR4" s="2"/>
      <c r="ERS4" s="2"/>
      <c r="ERT4" s="2"/>
      <c r="ERU4" s="2"/>
      <c r="ERV4" s="2"/>
      <c r="ERW4" s="2"/>
      <c r="ERX4" s="2"/>
      <c r="ERY4" s="2"/>
      <c r="ERZ4" s="2"/>
      <c r="ESA4" s="2"/>
      <c r="ESB4" s="2"/>
      <c r="ESC4" s="2"/>
      <c r="ESD4" s="2"/>
      <c r="ESE4" s="2"/>
      <c r="ESF4" s="2"/>
      <c r="ESG4" s="2"/>
      <c r="ESH4" s="2"/>
      <c r="ESI4" s="2"/>
      <c r="ESJ4" s="2"/>
      <c r="ESK4" s="2"/>
      <c r="ESL4" s="2"/>
      <c r="ESM4" s="2"/>
      <c r="ESN4" s="2"/>
      <c r="ESO4" s="2"/>
      <c r="ESP4" s="2"/>
      <c r="ESQ4" s="2"/>
      <c r="ESR4" s="2"/>
      <c r="ESS4" s="2"/>
      <c r="EST4" s="2"/>
      <c r="ESU4" s="2"/>
      <c r="ESV4" s="2"/>
      <c r="ESW4" s="2"/>
      <c r="ESX4" s="2"/>
      <c r="ESY4" s="2"/>
      <c r="ESZ4" s="2"/>
      <c r="ETA4" s="2"/>
      <c r="ETB4" s="2"/>
      <c r="ETC4" s="2"/>
      <c r="ETD4" s="2"/>
      <c r="ETE4" s="2"/>
      <c r="ETF4" s="2"/>
      <c r="ETG4" s="2"/>
      <c r="ETH4" s="2"/>
      <c r="ETI4" s="2"/>
      <c r="ETJ4" s="2"/>
      <c r="ETK4" s="2"/>
      <c r="ETL4" s="2"/>
      <c r="ETM4" s="2"/>
      <c r="ETN4" s="2"/>
      <c r="ETO4" s="2"/>
      <c r="ETP4" s="2"/>
      <c r="ETQ4" s="2"/>
      <c r="ETR4" s="2"/>
      <c r="ETS4" s="2"/>
      <c r="ETT4" s="2"/>
      <c r="ETU4" s="2"/>
      <c r="ETV4" s="2"/>
      <c r="ETW4" s="2"/>
      <c r="ETX4" s="2"/>
      <c r="ETY4" s="2"/>
      <c r="ETZ4" s="2"/>
      <c r="EUA4" s="2"/>
      <c r="EUB4" s="2"/>
      <c r="EUC4" s="2"/>
      <c r="EUD4" s="2"/>
      <c r="EUE4" s="2"/>
      <c r="EUF4" s="2"/>
      <c r="EUG4" s="2"/>
      <c r="EUH4" s="2"/>
      <c r="EUI4" s="2"/>
      <c r="EUJ4" s="2"/>
      <c r="EUK4" s="2"/>
      <c r="EUL4" s="2"/>
      <c r="EUM4" s="2"/>
      <c r="EUN4" s="2"/>
      <c r="EUO4" s="2"/>
      <c r="EUP4" s="2"/>
      <c r="EUQ4" s="2"/>
      <c r="EUR4" s="2"/>
      <c r="EUS4" s="2"/>
      <c r="EUT4" s="2"/>
      <c r="EUU4" s="2"/>
      <c r="EUV4" s="2"/>
      <c r="EUW4" s="2"/>
      <c r="EUX4" s="2"/>
      <c r="EUY4" s="2"/>
      <c r="EUZ4" s="2"/>
      <c r="EVA4" s="2"/>
      <c r="EVB4" s="2"/>
      <c r="EVC4" s="2"/>
      <c r="EVD4" s="2"/>
      <c r="EVE4" s="2"/>
      <c r="EVF4" s="2"/>
      <c r="EVG4" s="2"/>
      <c r="EVH4" s="2"/>
      <c r="EVI4" s="2"/>
      <c r="EVJ4" s="2"/>
      <c r="EVK4" s="2"/>
      <c r="EVL4" s="2"/>
      <c r="EVM4" s="2"/>
      <c r="EVN4" s="2"/>
      <c r="EVO4" s="2"/>
      <c r="EVP4" s="2"/>
      <c r="EVQ4" s="2"/>
      <c r="EVR4" s="2"/>
      <c r="EVS4" s="2"/>
      <c r="EVT4" s="2"/>
      <c r="EVU4" s="2"/>
      <c r="EVV4" s="2"/>
      <c r="EVW4" s="2"/>
      <c r="EVX4" s="2"/>
      <c r="EVY4" s="2"/>
      <c r="EVZ4" s="2"/>
      <c r="EWA4" s="2"/>
      <c r="EWB4" s="2"/>
      <c r="EWC4" s="2"/>
      <c r="EWD4" s="2"/>
      <c r="EWE4" s="2"/>
      <c r="EWF4" s="2"/>
      <c r="EWG4" s="2"/>
      <c r="EWH4" s="2"/>
      <c r="EWI4" s="2"/>
      <c r="EWJ4" s="2"/>
      <c r="EWK4" s="2"/>
      <c r="EWL4" s="2"/>
      <c r="EWM4" s="2"/>
      <c r="EWN4" s="2"/>
      <c r="EWO4" s="2"/>
      <c r="EWP4" s="2"/>
      <c r="EWQ4" s="2"/>
      <c r="EWR4" s="2"/>
      <c r="EWS4" s="2"/>
      <c r="EWT4" s="2"/>
      <c r="EWU4" s="2"/>
      <c r="EWV4" s="2"/>
      <c r="EWW4" s="2"/>
      <c r="EWX4" s="2"/>
      <c r="EWY4" s="2"/>
      <c r="EWZ4" s="2"/>
      <c r="EXA4" s="2"/>
      <c r="EXB4" s="2"/>
      <c r="EXC4" s="2"/>
      <c r="EXD4" s="2"/>
      <c r="EXE4" s="2"/>
      <c r="EXF4" s="2"/>
      <c r="EXG4" s="2"/>
      <c r="EXH4" s="2"/>
      <c r="EXI4" s="2"/>
      <c r="EXJ4" s="2"/>
      <c r="EXK4" s="2"/>
      <c r="EXL4" s="2"/>
      <c r="EXM4" s="2"/>
      <c r="EXN4" s="2"/>
      <c r="EXO4" s="2"/>
      <c r="EXP4" s="2"/>
      <c r="EXQ4" s="2"/>
      <c r="EXR4" s="2"/>
      <c r="EXS4" s="2"/>
      <c r="EXT4" s="2"/>
      <c r="EXU4" s="2"/>
      <c r="EXV4" s="2"/>
      <c r="EXW4" s="2"/>
      <c r="EXX4" s="2"/>
      <c r="EXY4" s="2"/>
      <c r="EXZ4" s="2"/>
      <c r="EYA4" s="2"/>
      <c r="EYB4" s="2"/>
      <c r="EYC4" s="2"/>
      <c r="EYD4" s="2"/>
      <c r="EYE4" s="2"/>
      <c r="EYF4" s="2"/>
      <c r="EYG4" s="2"/>
      <c r="EYH4" s="2"/>
      <c r="EYI4" s="2"/>
      <c r="EYJ4" s="2"/>
      <c r="EYK4" s="2"/>
      <c r="EYL4" s="2"/>
      <c r="EYM4" s="2"/>
      <c r="EYN4" s="2"/>
      <c r="EYO4" s="2"/>
      <c r="EYP4" s="2"/>
      <c r="EYQ4" s="2"/>
      <c r="EYR4" s="2"/>
      <c r="EYS4" s="2"/>
      <c r="EYT4" s="2"/>
      <c r="EYU4" s="2"/>
      <c r="EYV4" s="2"/>
      <c r="EYW4" s="2"/>
      <c r="EYX4" s="2"/>
      <c r="EYY4" s="2"/>
      <c r="EYZ4" s="2"/>
      <c r="EZA4" s="2"/>
      <c r="EZB4" s="2"/>
      <c r="EZC4" s="2"/>
      <c r="EZD4" s="2"/>
      <c r="EZE4" s="2"/>
      <c r="EZF4" s="2"/>
      <c r="EZG4" s="2"/>
      <c r="EZH4" s="2"/>
      <c r="EZI4" s="2"/>
      <c r="EZJ4" s="2"/>
      <c r="EZK4" s="2"/>
      <c r="EZL4" s="2"/>
      <c r="EZM4" s="2"/>
      <c r="EZN4" s="2"/>
      <c r="EZO4" s="2"/>
      <c r="EZP4" s="2"/>
      <c r="EZQ4" s="2"/>
      <c r="EZR4" s="2"/>
      <c r="EZS4" s="2"/>
      <c r="EZT4" s="2"/>
      <c r="EZU4" s="2"/>
      <c r="EZV4" s="2"/>
      <c r="EZW4" s="2"/>
      <c r="EZX4" s="2"/>
      <c r="EZY4" s="2"/>
      <c r="EZZ4" s="2"/>
      <c r="FAA4" s="2"/>
      <c r="FAB4" s="2"/>
      <c r="FAC4" s="2"/>
      <c r="FAD4" s="2"/>
      <c r="FAE4" s="2"/>
      <c r="FAF4" s="2"/>
      <c r="FAG4" s="2"/>
      <c r="FAH4" s="2"/>
      <c r="FAI4" s="2"/>
      <c r="FAJ4" s="2"/>
      <c r="FAK4" s="2"/>
      <c r="FAL4" s="2"/>
      <c r="FAM4" s="2"/>
      <c r="FAN4" s="2"/>
      <c r="FAO4" s="2"/>
      <c r="FAP4" s="2"/>
      <c r="FAQ4" s="2"/>
      <c r="FAR4" s="2"/>
      <c r="FAS4" s="2"/>
      <c r="FAT4" s="2"/>
      <c r="FAU4" s="2"/>
      <c r="FAV4" s="2"/>
      <c r="FAW4" s="2"/>
      <c r="FAX4" s="2"/>
      <c r="FAY4" s="2"/>
      <c r="FAZ4" s="2"/>
      <c r="FBA4" s="2"/>
      <c r="FBB4" s="2"/>
      <c r="FBC4" s="2"/>
      <c r="FBD4" s="2"/>
      <c r="FBE4" s="2"/>
      <c r="FBF4" s="2"/>
      <c r="FBG4" s="2"/>
      <c r="FBH4" s="2"/>
      <c r="FBI4" s="2"/>
      <c r="FBJ4" s="2"/>
      <c r="FBK4" s="2"/>
      <c r="FBL4" s="2"/>
      <c r="FBM4" s="2"/>
      <c r="FBN4" s="2"/>
      <c r="FBO4" s="2"/>
      <c r="FBP4" s="2"/>
      <c r="FBQ4" s="2"/>
      <c r="FBR4" s="2"/>
      <c r="FBS4" s="2"/>
      <c r="FBT4" s="2"/>
      <c r="FBU4" s="2"/>
      <c r="FBV4" s="2"/>
      <c r="FBW4" s="2"/>
      <c r="FBX4" s="2"/>
      <c r="FBY4" s="2"/>
      <c r="FBZ4" s="2"/>
      <c r="FCA4" s="2"/>
      <c r="FCB4" s="2"/>
      <c r="FCC4" s="2"/>
      <c r="FCD4" s="2"/>
      <c r="FCE4" s="2"/>
      <c r="FCF4" s="2"/>
      <c r="FCG4" s="2"/>
      <c r="FCH4" s="2"/>
      <c r="FCI4" s="2"/>
      <c r="FCJ4" s="2"/>
      <c r="FCK4" s="2"/>
      <c r="FCL4" s="2"/>
      <c r="FCM4" s="2"/>
      <c r="FCN4" s="2"/>
      <c r="FCO4" s="2"/>
      <c r="FCP4" s="2"/>
      <c r="FCQ4" s="2"/>
      <c r="FCR4" s="2"/>
      <c r="FCS4" s="2"/>
      <c r="FCT4" s="2"/>
      <c r="FCU4" s="2"/>
      <c r="FCV4" s="2"/>
      <c r="FCW4" s="2"/>
      <c r="FCX4" s="2"/>
      <c r="FCY4" s="2"/>
      <c r="FCZ4" s="2"/>
      <c r="FDA4" s="2"/>
      <c r="FDB4" s="2"/>
      <c r="FDC4" s="2"/>
      <c r="FDD4" s="2"/>
      <c r="FDE4" s="2"/>
      <c r="FDF4" s="2"/>
      <c r="FDG4" s="2"/>
      <c r="FDH4" s="2"/>
      <c r="FDI4" s="2"/>
      <c r="FDJ4" s="2"/>
      <c r="FDK4" s="2"/>
      <c r="FDL4" s="2"/>
      <c r="FDM4" s="2"/>
      <c r="FDN4" s="2"/>
      <c r="FDO4" s="2"/>
      <c r="FDP4" s="2"/>
      <c r="FDQ4" s="2"/>
      <c r="FDR4" s="2"/>
      <c r="FDS4" s="2"/>
      <c r="FDT4" s="2"/>
      <c r="FDU4" s="2"/>
      <c r="FDV4" s="2"/>
      <c r="FDW4" s="2"/>
      <c r="FDX4" s="2"/>
      <c r="FDY4" s="2"/>
      <c r="FDZ4" s="2"/>
      <c r="FEA4" s="2"/>
      <c r="FEB4" s="2"/>
      <c r="FEC4" s="2"/>
      <c r="FED4" s="2"/>
      <c r="FEE4" s="2"/>
      <c r="FEF4" s="2"/>
      <c r="FEG4" s="2"/>
      <c r="FEH4" s="2"/>
      <c r="FEI4" s="2"/>
      <c r="FEJ4" s="2"/>
      <c r="FEK4" s="2"/>
      <c r="FEL4" s="2"/>
      <c r="FEM4" s="2"/>
      <c r="FEN4" s="2"/>
      <c r="FEO4" s="2"/>
      <c r="FEP4" s="2"/>
      <c r="FEQ4" s="2"/>
      <c r="FER4" s="2"/>
      <c r="FES4" s="2"/>
      <c r="FET4" s="2"/>
      <c r="FEU4" s="2"/>
      <c r="FEV4" s="2"/>
      <c r="FEW4" s="2"/>
      <c r="FEX4" s="2"/>
      <c r="FEY4" s="2"/>
      <c r="FEZ4" s="2"/>
      <c r="FFA4" s="2"/>
      <c r="FFB4" s="2"/>
      <c r="FFC4" s="2"/>
      <c r="FFD4" s="2"/>
      <c r="FFE4" s="2"/>
      <c r="FFF4" s="2"/>
      <c r="FFG4" s="2"/>
      <c r="FFH4" s="2"/>
      <c r="FFI4" s="2"/>
      <c r="FFJ4" s="2"/>
      <c r="FFK4" s="2"/>
      <c r="FFL4" s="2"/>
      <c r="FFM4" s="2"/>
      <c r="FFN4" s="2"/>
      <c r="FFO4" s="2"/>
      <c r="FFP4" s="2"/>
      <c r="FFQ4" s="2"/>
      <c r="FFR4" s="2"/>
      <c r="FFS4" s="2"/>
      <c r="FFT4" s="2"/>
      <c r="FFU4" s="2"/>
      <c r="FFV4" s="2"/>
      <c r="FFW4" s="2"/>
      <c r="FFX4" s="2"/>
      <c r="FFY4" s="2"/>
      <c r="FFZ4" s="2"/>
      <c r="FGA4" s="2"/>
      <c r="FGB4" s="2"/>
      <c r="FGC4" s="2"/>
      <c r="FGD4" s="2"/>
      <c r="FGE4" s="2"/>
      <c r="FGF4" s="2"/>
      <c r="FGG4" s="2"/>
      <c r="FGH4" s="2"/>
      <c r="FGI4" s="2"/>
      <c r="FGJ4" s="2"/>
      <c r="FGK4" s="2"/>
      <c r="FGL4" s="2"/>
      <c r="FGM4" s="2"/>
      <c r="FGN4" s="2"/>
      <c r="FGO4" s="2"/>
      <c r="FGP4" s="2"/>
      <c r="FGQ4" s="2"/>
      <c r="FGR4" s="2"/>
      <c r="FGS4" s="2"/>
      <c r="FGT4" s="2"/>
      <c r="FGU4" s="2"/>
      <c r="FGV4" s="2"/>
      <c r="FGW4" s="2"/>
      <c r="FGX4" s="2"/>
      <c r="FGY4" s="2"/>
      <c r="FGZ4" s="2"/>
      <c r="FHA4" s="2"/>
      <c r="FHB4" s="2"/>
      <c r="FHC4" s="2"/>
      <c r="FHD4" s="2"/>
      <c r="FHE4" s="2"/>
      <c r="FHF4" s="2"/>
      <c r="FHG4" s="2"/>
      <c r="FHH4" s="2"/>
      <c r="FHI4" s="2"/>
      <c r="FHJ4" s="2"/>
      <c r="FHK4" s="2"/>
      <c r="FHL4" s="2"/>
      <c r="FHM4" s="2"/>
      <c r="FHN4" s="2"/>
      <c r="FHO4" s="2"/>
      <c r="FHP4" s="2"/>
      <c r="FHQ4" s="2"/>
      <c r="FHR4" s="2"/>
      <c r="FHS4" s="2"/>
      <c r="FHT4" s="2"/>
      <c r="FHU4" s="2"/>
      <c r="FHV4" s="2"/>
      <c r="FHW4" s="2"/>
      <c r="FHX4" s="2"/>
      <c r="FHY4" s="2"/>
      <c r="FHZ4" s="2"/>
      <c r="FIA4" s="2"/>
      <c r="FIB4" s="2"/>
      <c r="FIC4" s="2"/>
      <c r="FID4" s="2"/>
      <c r="FIE4" s="2"/>
      <c r="FIF4" s="2"/>
      <c r="FIG4" s="2"/>
      <c r="FIH4" s="2"/>
      <c r="FII4" s="2"/>
      <c r="FIJ4" s="2"/>
      <c r="FIK4" s="2"/>
      <c r="FIL4" s="2"/>
      <c r="FIM4" s="2"/>
      <c r="FIN4" s="2"/>
      <c r="FIO4" s="2"/>
      <c r="FIP4" s="2"/>
      <c r="FIQ4" s="2"/>
      <c r="FIR4" s="2"/>
      <c r="FIS4" s="2"/>
      <c r="FIT4" s="2"/>
      <c r="FIU4" s="2"/>
      <c r="FIV4" s="2"/>
      <c r="FIW4" s="2"/>
      <c r="FIX4" s="2"/>
      <c r="FIY4" s="2"/>
      <c r="FIZ4" s="2"/>
      <c r="FJA4" s="2"/>
      <c r="FJB4" s="2"/>
      <c r="FJC4" s="2"/>
      <c r="FJD4" s="2"/>
      <c r="FJE4" s="2"/>
      <c r="FJF4" s="2"/>
      <c r="FJG4" s="2"/>
      <c r="FJH4" s="2"/>
      <c r="FJI4" s="2"/>
      <c r="FJJ4" s="2"/>
      <c r="FJK4" s="2"/>
      <c r="FJL4" s="2"/>
      <c r="FJM4" s="2"/>
      <c r="FJN4" s="2"/>
      <c r="FJO4" s="2"/>
      <c r="FJP4" s="2"/>
      <c r="FJQ4" s="2"/>
      <c r="FJR4" s="2"/>
      <c r="FJS4" s="2"/>
      <c r="FJT4" s="2"/>
      <c r="FJU4" s="2"/>
      <c r="FJV4" s="2"/>
      <c r="FJW4" s="2"/>
      <c r="FJX4" s="2"/>
      <c r="FJY4" s="2"/>
      <c r="FJZ4" s="2"/>
      <c r="FKA4" s="2"/>
      <c r="FKB4" s="2"/>
      <c r="FKC4" s="2"/>
      <c r="FKD4" s="2"/>
      <c r="FKE4" s="2"/>
      <c r="FKF4" s="2"/>
      <c r="FKG4" s="2"/>
      <c r="FKH4" s="2"/>
      <c r="FKI4" s="2"/>
      <c r="FKJ4" s="2"/>
      <c r="FKK4" s="2"/>
      <c r="FKL4" s="2"/>
      <c r="FKM4" s="2"/>
      <c r="FKN4" s="2"/>
      <c r="FKO4" s="2"/>
      <c r="FKP4" s="2"/>
      <c r="FKQ4" s="2"/>
      <c r="FKR4" s="2"/>
      <c r="FKS4" s="2"/>
      <c r="FKT4" s="2"/>
      <c r="FKU4" s="2"/>
      <c r="FKV4" s="2"/>
      <c r="FKW4" s="2"/>
      <c r="FKX4" s="2"/>
      <c r="FKY4" s="2"/>
      <c r="FKZ4" s="2"/>
      <c r="FLA4" s="2"/>
      <c r="FLB4" s="2"/>
      <c r="FLC4" s="2"/>
      <c r="FLD4" s="2"/>
      <c r="FLE4" s="2"/>
      <c r="FLF4" s="2"/>
      <c r="FLG4" s="2"/>
      <c r="FLH4" s="2"/>
      <c r="FLI4" s="2"/>
      <c r="FLJ4" s="2"/>
      <c r="FLK4" s="2"/>
      <c r="FLL4" s="2"/>
      <c r="FLM4" s="2"/>
      <c r="FLN4" s="2"/>
      <c r="FLO4" s="2"/>
      <c r="FLP4" s="2"/>
      <c r="FLQ4" s="2"/>
      <c r="FLR4" s="2"/>
      <c r="FLS4" s="2"/>
      <c r="FLT4" s="2"/>
      <c r="FLU4" s="2"/>
      <c r="FLV4" s="2"/>
      <c r="FLW4" s="2"/>
      <c r="FLX4" s="2"/>
      <c r="FLY4" s="2"/>
      <c r="FLZ4" s="2"/>
      <c r="FMA4" s="2"/>
      <c r="FMB4" s="2"/>
      <c r="FMC4" s="2"/>
      <c r="FMD4" s="2"/>
      <c r="FME4" s="2"/>
      <c r="FMF4" s="2"/>
      <c r="FMG4" s="2"/>
      <c r="FMH4" s="2"/>
      <c r="FMI4" s="2"/>
      <c r="FMJ4" s="2"/>
      <c r="FMK4" s="2"/>
      <c r="FML4" s="2"/>
      <c r="FMM4" s="2"/>
      <c r="FMN4" s="2"/>
      <c r="FMO4" s="2"/>
      <c r="FMP4" s="2"/>
      <c r="FMQ4" s="2"/>
      <c r="FMR4" s="2"/>
      <c r="FMS4" s="2"/>
      <c r="FMT4" s="2"/>
      <c r="FMU4" s="2"/>
      <c r="FMV4" s="2"/>
      <c r="FMW4" s="2"/>
      <c r="FMX4" s="2"/>
      <c r="FMY4" s="2"/>
      <c r="FMZ4" s="2"/>
      <c r="FNA4" s="2"/>
      <c r="FNB4" s="2"/>
      <c r="FNC4" s="2"/>
      <c r="FND4" s="2"/>
      <c r="FNE4" s="2"/>
      <c r="FNF4" s="2"/>
      <c r="FNG4" s="2"/>
      <c r="FNH4" s="2"/>
      <c r="FNI4" s="2"/>
      <c r="FNJ4" s="2"/>
      <c r="FNK4" s="2"/>
      <c r="FNL4" s="2"/>
      <c r="FNM4" s="2"/>
      <c r="FNN4" s="2"/>
      <c r="FNO4" s="2"/>
      <c r="FNP4" s="2"/>
      <c r="FNQ4" s="2"/>
      <c r="FNR4" s="2"/>
      <c r="FNS4" s="2"/>
      <c r="FNT4" s="2"/>
      <c r="FNU4" s="2"/>
      <c r="FNV4" s="2"/>
      <c r="FNW4" s="2"/>
      <c r="FNX4" s="2"/>
      <c r="FNY4" s="2"/>
      <c r="FNZ4" s="2"/>
      <c r="FOA4" s="2"/>
      <c r="FOB4" s="2"/>
      <c r="FOC4" s="2"/>
      <c r="FOD4" s="2"/>
      <c r="FOE4" s="2"/>
      <c r="FOF4" s="2"/>
      <c r="FOG4" s="2"/>
      <c r="FOH4" s="2"/>
      <c r="FOI4" s="2"/>
      <c r="FOJ4" s="2"/>
      <c r="FOK4" s="2"/>
      <c r="FOL4" s="2"/>
      <c r="FOM4" s="2"/>
      <c r="FON4" s="2"/>
      <c r="FOO4" s="2"/>
      <c r="FOP4" s="2"/>
      <c r="FOQ4" s="2"/>
      <c r="FOR4" s="2"/>
      <c r="FOS4" s="2"/>
      <c r="FOT4" s="2"/>
      <c r="FOU4" s="2"/>
      <c r="FOV4" s="2"/>
      <c r="FOW4" s="2"/>
      <c r="FOX4" s="2"/>
      <c r="FOY4" s="2"/>
      <c r="FOZ4" s="2"/>
      <c r="FPA4" s="2"/>
      <c r="FPB4" s="2"/>
      <c r="FPC4" s="2"/>
      <c r="FPD4" s="2"/>
      <c r="FPE4" s="2"/>
      <c r="FPF4" s="2"/>
      <c r="FPG4" s="2"/>
      <c r="FPH4" s="2"/>
      <c r="FPI4" s="2"/>
      <c r="FPJ4" s="2"/>
      <c r="FPK4" s="2"/>
      <c r="FPL4" s="2"/>
      <c r="FPM4" s="2"/>
      <c r="FPN4" s="2"/>
      <c r="FPO4" s="2"/>
      <c r="FPP4" s="2"/>
      <c r="FPQ4" s="2"/>
      <c r="FPR4" s="2"/>
      <c r="FPS4" s="2"/>
      <c r="FPT4" s="2"/>
      <c r="FPU4" s="2"/>
      <c r="FPV4" s="2"/>
      <c r="FPW4" s="2"/>
      <c r="FPX4" s="2"/>
      <c r="FPY4" s="2"/>
      <c r="FPZ4" s="2"/>
      <c r="FQA4" s="2"/>
      <c r="FQB4" s="2"/>
      <c r="FQC4" s="2"/>
      <c r="FQD4" s="2"/>
      <c r="FQE4" s="2"/>
      <c r="FQF4" s="2"/>
      <c r="FQG4" s="2"/>
      <c r="FQH4" s="2"/>
      <c r="FQI4" s="2"/>
      <c r="FQJ4" s="2"/>
      <c r="FQK4" s="2"/>
      <c r="FQL4" s="2"/>
      <c r="FQM4" s="2"/>
      <c r="FQN4" s="2"/>
      <c r="FQO4" s="2"/>
      <c r="FQP4" s="2"/>
      <c r="FQQ4" s="2"/>
      <c r="FQR4" s="2"/>
      <c r="FQS4" s="2"/>
      <c r="FQT4" s="2"/>
      <c r="FQU4" s="2"/>
      <c r="FQV4" s="2"/>
      <c r="FQW4" s="2"/>
      <c r="FQX4" s="2"/>
      <c r="FQY4" s="2"/>
      <c r="FQZ4" s="2"/>
      <c r="FRA4" s="2"/>
      <c r="FRB4" s="2"/>
      <c r="FRC4" s="2"/>
      <c r="FRD4" s="2"/>
      <c r="FRE4" s="2"/>
      <c r="FRF4" s="2"/>
      <c r="FRG4" s="2"/>
      <c r="FRH4" s="2"/>
      <c r="FRI4" s="2"/>
      <c r="FRJ4" s="2"/>
      <c r="FRK4" s="2"/>
      <c r="FRL4" s="2"/>
      <c r="FRM4" s="2"/>
      <c r="FRN4" s="2"/>
      <c r="FRO4" s="2"/>
      <c r="FRP4" s="2"/>
      <c r="FRQ4" s="2"/>
      <c r="FRR4" s="2"/>
      <c r="FRS4" s="2"/>
      <c r="FRT4" s="2"/>
      <c r="FRU4" s="2"/>
      <c r="FRV4" s="2"/>
      <c r="FRW4" s="2"/>
      <c r="FRX4" s="2"/>
      <c r="FRY4" s="2"/>
      <c r="FRZ4" s="2"/>
      <c r="FSA4" s="2"/>
      <c r="FSB4" s="2"/>
      <c r="FSC4" s="2"/>
      <c r="FSD4" s="2"/>
      <c r="FSE4" s="2"/>
      <c r="FSF4" s="2"/>
      <c r="FSG4" s="2"/>
      <c r="FSH4" s="2"/>
      <c r="FSI4" s="2"/>
      <c r="FSJ4" s="2"/>
      <c r="FSK4" s="2"/>
      <c r="FSL4" s="2"/>
      <c r="FSM4" s="2"/>
      <c r="FSN4" s="2"/>
      <c r="FSO4" s="2"/>
      <c r="FSP4" s="2"/>
      <c r="FSQ4" s="2"/>
      <c r="FSR4" s="2"/>
      <c r="FSS4" s="2"/>
      <c r="FST4" s="2"/>
      <c r="FSU4" s="2"/>
      <c r="FSV4" s="2"/>
      <c r="FSW4" s="2"/>
      <c r="FSX4" s="2"/>
      <c r="FSY4" s="2"/>
      <c r="FSZ4" s="2"/>
      <c r="FTA4" s="2"/>
      <c r="FTB4" s="2"/>
      <c r="FTC4" s="2"/>
      <c r="FTD4" s="2"/>
      <c r="FTE4" s="2"/>
      <c r="FTF4" s="2"/>
      <c r="FTG4" s="2"/>
      <c r="FTH4" s="2"/>
      <c r="FTI4" s="2"/>
      <c r="FTJ4" s="2"/>
      <c r="FTK4" s="2"/>
      <c r="FTL4" s="2"/>
      <c r="FTM4" s="2"/>
      <c r="FTN4" s="2"/>
      <c r="FTO4" s="2"/>
      <c r="FTP4" s="2"/>
      <c r="FTQ4" s="2"/>
      <c r="FTR4" s="2"/>
      <c r="FTS4" s="2"/>
      <c r="FTT4" s="2"/>
      <c r="FTU4" s="2"/>
      <c r="FTV4" s="2"/>
      <c r="FTW4" s="2"/>
      <c r="FTX4" s="2"/>
      <c r="FTY4" s="2"/>
      <c r="FTZ4" s="2"/>
      <c r="FUA4" s="2"/>
      <c r="FUB4" s="2"/>
      <c r="FUC4" s="2"/>
      <c r="FUD4" s="2"/>
      <c r="FUE4" s="2"/>
      <c r="FUF4" s="2"/>
      <c r="FUG4" s="2"/>
      <c r="FUH4" s="2"/>
      <c r="FUI4" s="2"/>
      <c r="FUJ4" s="2"/>
      <c r="FUK4" s="2"/>
      <c r="FUL4" s="2"/>
      <c r="FUM4" s="2"/>
      <c r="FUN4" s="2"/>
      <c r="FUO4" s="2"/>
      <c r="FUP4" s="2"/>
      <c r="FUQ4" s="2"/>
      <c r="FUR4" s="2"/>
      <c r="FUS4" s="2"/>
      <c r="FUT4" s="2"/>
      <c r="FUU4" s="2"/>
      <c r="FUV4" s="2"/>
      <c r="FUW4" s="2"/>
      <c r="FUX4" s="2"/>
      <c r="FUY4" s="2"/>
      <c r="FUZ4" s="2"/>
      <c r="FVA4" s="2"/>
      <c r="FVB4" s="2"/>
      <c r="FVC4" s="2"/>
      <c r="FVD4" s="2"/>
      <c r="FVE4" s="2"/>
      <c r="FVF4" s="2"/>
      <c r="FVG4" s="2"/>
      <c r="FVH4" s="2"/>
      <c r="FVI4" s="2"/>
      <c r="FVJ4" s="2"/>
      <c r="FVK4" s="2"/>
      <c r="FVL4" s="2"/>
      <c r="FVM4" s="2"/>
      <c r="FVN4" s="2"/>
      <c r="FVO4" s="2"/>
      <c r="FVP4" s="2"/>
      <c r="FVQ4" s="2"/>
      <c r="FVR4" s="2"/>
      <c r="FVS4" s="2"/>
      <c r="FVT4" s="2"/>
      <c r="FVU4" s="2"/>
      <c r="FVV4" s="2"/>
      <c r="FVW4" s="2"/>
      <c r="FVX4" s="2"/>
      <c r="FVY4" s="2"/>
      <c r="FVZ4" s="2"/>
      <c r="FWA4" s="2"/>
      <c r="FWB4" s="2"/>
      <c r="FWC4" s="2"/>
      <c r="FWD4" s="2"/>
      <c r="FWE4" s="2"/>
      <c r="FWF4" s="2"/>
      <c r="FWG4" s="2"/>
      <c r="FWH4" s="2"/>
      <c r="FWI4" s="2"/>
      <c r="FWJ4" s="2"/>
      <c r="FWK4" s="2"/>
      <c r="FWL4" s="2"/>
      <c r="FWM4" s="2"/>
      <c r="FWN4" s="2"/>
      <c r="FWO4" s="2"/>
      <c r="FWP4" s="2"/>
      <c r="FWQ4" s="2"/>
      <c r="FWR4" s="2"/>
      <c r="FWS4" s="2"/>
      <c r="FWT4" s="2"/>
      <c r="FWU4" s="2"/>
      <c r="FWV4" s="2"/>
      <c r="FWW4" s="2"/>
      <c r="FWX4" s="2"/>
      <c r="FWY4" s="2"/>
      <c r="FWZ4" s="2"/>
      <c r="FXA4" s="2"/>
      <c r="FXB4" s="2"/>
      <c r="FXC4" s="2"/>
      <c r="FXD4" s="2"/>
      <c r="FXE4" s="2"/>
      <c r="FXF4" s="2"/>
      <c r="FXG4" s="2"/>
      <c r="FXH4" s="2"/>
      <c r="FXI4" s="2"/>
      <c r="FXJ4" s="2"/>
      <c r="FXK4" s="2"/>
      <c r="FXL4" s="2"/>
      <c r="FXM4" s="2"/>
      <c r="FXN4" s="2"/>
      <c r="FXO4" s="2"/>
      <c r="FXP4" s="2"/>
      <c r="FXQ4" s="2"/>
      <c r="FXR4" s="2"/>
      <c r="FXS4" s="2"/>
      <c r="FXT4" s="2"/>
      <c r="FXU4" s="2"/>
      <c r="FXV4" s="2"/>
      <c r="FXW4" s="2"/>
      <c r="FXX4" s="2"/>
      <c r="FXY4" s="2"/>
      <c r="FXZ4" s="2"/>
      <c r="FYA4" s="2"/>
      <c r="FYB4" s="2"/>
      <c r="FYC4" s="2"/>
      <c r="FYD4" s="2"/>
      <c r="FYE4" s="2"/>
      <c r="FYF4" s="2"/>
      <c r="FYG4" s="2"/>
      <c r="FYH4" s="2"/>
      <c r="FYI4" s="2"/>
      <c r="FYJ4" s="2"/>
      <c r="FYK4" s="2"/>
      <c r="FYL4" s="2"/>
      <c r="FYM4" s="2"/>
      <c r="FYN4" s="2"/>
      <c r="FYO4" s="2"/>
      <c r="FYP4" s="2"/>
      <c r="FYQ4" s="2"/>
      <c r="FYR4" s="2"/>
      <c r="FYS4" s="2"/>
      <c r="FYT4" s="2"/>
      <c r="FYU4" s="2"/>
      <c r="FYV4" s="2"/>
      <c r="FYW4" s="2"/>
      <c r="FYX4" s="2"/>
      <c r="FYY4" s="2"/>
      <c r="FYZ4" s="2"/>
      <c r="FZA4" s="2"/>
      <c r="FZB4" s="2"/>
      <c r="FZC4" s="2"/>
      <c r="FZD4" s="2"/>
      <c r="FZE4" s="2"/>
      <c r="FZF4" s="2"/>
      <c r="FZG4" s="2"/>
      <c r="FZH4" s="2"/>
      <c r="FZI4" s="2"/>
      <c r="FZJ4" s="2"/>
      <c r="FZK4" s="2"/>
      <c r="FZL4" s="2"/>
      <c r="FZM4" s="2"/>
      <c r="FZN4" s="2"/>
      <c r="FZO4" s="2"/>
      <c r="FZP4" s="2"/>
      <c r="FZQ4" s="2"/>
      <c r="FZR4" s="2"/>
      <c r="FZS4" s="2"/>
      <c r="FZT4" s="2"/>
      <c r="FZU4" s="2"/>
      <c r="FZV4" s="2"/>
      <c r="FZW4" s="2"/>
      <c r="FZX4" s="2"/>
      <c r="FZY4" s="2"/>
      <c r="FZZ4" s="2"/>
      <c r="GAA4" s="2"/>
      <c r="GAB4" s="2"/>
      <c r="GAC4" s="2"/>
      <c r="GAD4" s="2"/>
      <c r="GAE4" s="2"/>
      <c r="GAF4" s="2"/>
      <c r="GAG4" s="2"/>
      <c r="GAH4" s="2"/>
      <c r="GAI4" s="2"/>
      <c r="GAJ4" s="2"/>
      <c r="GAK4" s="2"/>
      <c r="GAL4" s="2"/>
      <c r="GAM4" s="2"/>
      <c r="GAN4" s="2"/>
      <c r="GAO4" s="2"/>
      <c r="GAP4" s="2"/>
      <c r="GAQ4" s="2"/>
      <c r="GAR4" s="2"/>
      <c r="GAS4" s="2"/>
      <c r="GAT4" s="2"/>
      <c r="GAU4" s="2"/>
      <c r="GAV4" s="2"/>
      <c r="GAW4" s="2"/>
      <c r="GAX4" s="2"/>
      <c r="GAY4" s="2"/>
      <c r="GAZ4" s="2"/>
      <c r="GBA4" s="2"/>
      <c r="GBB4" s="2"/>
      <c r="GBC4" s="2"/>
      <c r="GBD4" s="2"/>
      <c r="GBE4" s="2"/>
      <c r="GBF4" s="2"/>
      <c r="GBG4" s="2"/>
      <c r="GBH4" s="2"/>
      <c r="GBI4" s="2"/>
      <c r="GBJ4" s="2"/>
      <c r="GBK4" s="2"/>
      <c r="GBL4" s="2"/>
      <c r="GBM4" s="2"/>
      <c r="GBN4" s="2"/>
      <c r="GBO4" s="2"/>
      <c r="GBP4" s="2"/>
      <c r="GBQ4" s="2"/>
      <c r="GBR4" s="2"/>
      <c r="GBS4" s="2"/>
      <c r="GBT4" s="2"/>
      <c r="GBU4" s="2"/>
      <c r="GBV4" s="2"/>
      <c r="GBW4" s="2"/>
      <c r="GBX4" s="2"/>
      <c r="GBY4" s="2"/>
      <c r="GBZ4" s="2"/>
      <c r="GCA4" s="2"/>
      <c r="GCB4" s="2"/>
      <c r="GCC4" s="2"/>
      <c r="GCD4" s="2"/>
      <c r="GCE4" s="2"/>
      <c r="GCF4" s="2"/>
      <c r="GCG4" s="2"/>
      <c r="GCH4" s="2"/>
      <c r="GCI4" s="2"/>
      <c r="GCJ4" s="2"/>
      <c r="GCK4" s="2"/>
      <c r="GCL4" s="2"/>
      <c r="GCM4" s="2"/>
      <c r="GCN4" s="2"/>
      <c r="GCO4" s="2"/>
      <c r="GCP4" s="2"/>
      <c r="GCQ4" s="2"/>
      <c r="GCR4" s="2"/>
      <c r="GCS4" s="2"/>
      <c r="GCT4" s="2"/>
      <c r="GCU4" s="2"/>
      <c r="GCV4" s="2"/>
      <c r="GCW4" s="2"/>
      <c r="GCX4" s="2"/>
      <c r="GCY4" s="2"/>
      <c r="GCZ4" s="2"/>
      <c r="GDA4" s="2"/>
      <c r="GDB4" s="2"/>
      <c r="GDC4" s="2"/>
      <c r="GDD4" s="2"/>
      <c r="GDE4" s="2"/>
      <c r="GDF4" s="2"/>
      <c r="GDG4" s="2"/>
      <c r="GDH4" s="2"/>
      <c r="GDI4" s="2"/>
      <c r="GDJ4" s="2"/>
      <c r="GDK4" s="2"/>
      <c r="GDL4" s="2"/>
      <c r="GDM4" s="2"/>
      <c r="GDN4" s="2"/>
      <c r="GDO4" s="2"/>
      <c r="GDP4" s="2"/>
      <c r="GDQ4" s="2"/>
      <c r="GDR4" s="2"/>
      <c r="GDS4" s="2"/>
      <c r="GDT4" s="2"/>
      <c r="GDU4" s="2"/>
      <c r="GDV4" s="2"/>
      <c r="GDW4" s="2"/>
      <c r="GDX4" s="2"/>
      <c r="GDY4" s="2"/>
      <c r="GDZ4" s="2"/>
      <c r="GEA4" s="2"/>
      <c r="GEB4" s="2"/>
      <c r="GEC4" s="2"/>
      <c r="GED4" s="2"/>
      <c r="GEE4" s="2"/>
      <c r="GEF4" s="2"/>
      <c r="GEG4" s="2"/>
      <c r="GEH4" s="2"/>
      <c r="GEI4" s="2"/>
      <c r="GEJ4" s="2"/>
      <c r="GEK4" s="2"/>
      <c r="GEL4" s="2"/>
      <c r="GEM4" s="2"/>
      <c r="GEN4" s="2"/>
      <c r="GEO4" s="2"/>
      <c r="GEP4" s="2"/>
      <c r="GEQ4" s="2"/>
      <c r="GER4" s="2"/>
      <c r="GES4" s="2"/>
      <c r="GET4" s="2"/>
      <c r="GEU4" s="2"/>
      <c r="GEV4" s="2"/>
      <c r="GEW4" s="2"/>
      <c r="GEX4" s="2"/>
      <c r="GEY4" s="2"/>
      <c r="GEZ4" s="2"/>
      <c r="GFA4" s="2"/>
      <c r="GFB4" s="2"/>
      <c r="GFC4" s="2"/>
      <c r="GFD4" s="2"/>
      <c r="GFE4" s="2"/>
      <c r="GFF4" s="2"/>
      <c r="GFG4" s="2"/>
      <c r="GFH4" s="2"/>
      <c r="GFI4" s="2"/>
      <c r="GFJ4" s="2"/>
      <c r="GFK4" s="2"/>
      <c r="GFL4" s="2"/>
      <c r="GFM4" s="2"/>
      <c r="GFN4" s="2"/>
      <c r="GFO4" s="2"/>
      <c r="GFP4" s="2"/>
      <c r="GFQ4" s="2"/>
      <c r="GFR4" s="2"/>
      <c r="GFS4" s="2"/>
      <c r="GFT4" s="2"/>
      <c r="GFU4" s="2"/>
      <c r="GFV4" s="2"/>
      <c r="GFW4" s="2"/>
      <c r="GFX4" s="2"/>
      <c r="GFY4" s="2"/>
      <c r="GFZ4" s="2"/>
      <c r="GGA4" s="2"/>
      <c r="GGB4" s="2"/>
      <c r="GGC4" s="2"/>
      <c r="GGD4" s="2"/>
      <c r="GGE4" s="2"/>
      <c r="GGF4" s="2"/>
      <c r="GGG4" s="2"/>
      <c r="GGH4" s="2"/>
      <c r="GGI4" s="2"/>
      <c r="GGJ4" s="2"/>
      <c r="GGK4" s="2"/>
      <c r="GGL4" s="2"/>
      <c r="GGM4" s="2"/>
      <c r="GGN4" s="2"/>
      <c r="GGO4" s="2"/>
      <c r="GGP4" s="2"/>
      <c r="GGQ4" s="2"/>
      <c r="GGR4" s="2"/>
      <c r="GGS4" s="2"/>
      <c r="GGT4" s="2"/>
      <c r="GGU4" s="2"/>
      <c r="GGV4" s="2"/>
      <c r="GGW4" s="2"/>
      <c r="GGX4" s="2"/>
      <c r="GGY4" s="2"/>
      <c r="GGZ4" s="2"/>
      <c r="GHA4" s="2"/>
      <c r="GHB4" s="2"/>
      <c r="GHC4" s="2"/>
      <c r="GHD4" s="2"/>
      <c r="GHE4" s="2"/>
      <c r="GHF4" s="2"/>
      <c r="GHG4" s="2"/>
      <c r="GHH4" s="2"/>
      <c r="GHI4" s="2"/>
      <c r="GHJ4" s="2"/>
      <c r="GHK4" s="2"/>
      <c r="GHL4" s="2"/>
      <c r="GHM4" s="2"/>
      <c r="GHN4" s="2"/>
      <c r="GHO4" s="2"/>
      <c r="GHP4" s="2"/>
      <c r="GHQ4" s="2"/>
      <c r="GHR4" s="2"/>
      <c r="GHS4" s="2"/>
      <c r="GHT4" s="2"/>
      <c r="GHU4" s="2"/>
      <c r="GHV4" s="2"/>
      <c r="GHW4" s="2"/>
      <c r="GHX4" s="2"/>
      <c r="GHY4" s="2"/>
      <c r="GHZ4" s="2"/>
      <c r="GIA4" s="2"/>
      <c r="GIB4" s="2"/>
      <c r="GIC4" s="2"/>
      <c r="GID4" s="2"/>
      <c r="GIE4" s="2"/>
      <c r="GIF4" s="2"/>
      <c r="GIG4" s="2"/>
      <c r="GIH4" s="2"/>
      <c r="GII4" s="2"/>
      <c r="GIJ4" s="2"/>
      <c r="GIK4" s="2"/>
      <c r="GIL4" s="2"/>
      <c r="GIM4" s="2"/>
      <c r="GIN4" s="2"/>
      <c r="GIO4" s="2"/>
      <c r="GIP4" s="2"/>
      <c r="GIQ4" s="2"/>
      <c r="GIR4" s="2"/>
      <c r="GIS4" s="2"/>
      <c r="GIT4" s="2"/>
      <c r="GIU4" s="2"/>
      <c r="GIV4" s="2"/>
      <c r="GIW4" s="2"/>
      <c r="GIX4" s="2"/>
      <c r="GIY4" s="2"/>
      <c r="GIZ4" s="2"/>
      <c r="GJA4" s="2"/>
      <c r="GJB4" s="2"/>
      <c r="GJC4" s="2"/>
      <c r="GJD4" s="2"/>
      <c r="GJE4" s="2"/>
      <c r="GJF4" s="2"/>
      <c r="GJG4" s="2"/>
      <c r="GJH4" s="2"/>
      <c r="GJI4" s="2"/>
      <c r="GJJ4" s="2"/>
      <c r="GJK4" s="2"/>
      <c r="GJL4" s="2"/>
      <c r="GJM4" s="2"/>
      <c r="GJN4" s="2"/>
      <c r="GJO4" s="2"/>
      <c r="GJP4" s="2"/>
      <c r="GJQ4" s="2"/>
      <c r="GJR4" s="2"/>
      <c r="GJS4" s="2"/>
      <c r="GJT4" s="2"/>
      <c r="GJU4" s="2"/>
      <c r="GJV4" s="2"/>
      <c r="GJW4" s="2"/>
      <c r="GJX4" s="2"/>
      <c r="GJY4" s="2"/>
      <c r="GJZ4" s="2"/>
      <c r="GKA4" s="2"/>
      <c r="GKB4" s="2"/>
      <c r="GKC4" s="2"/>
      <c r="GKD4" s="2"/>
      <c r="GKE4" s="2"/>
      <c r="GKF4" s="2"/>
      <c r="GKG4" s="2"/>
      <c r="GKH4" s="2"/>
      <c r="GKI4" s="2"/>
      <c r="GKJ4" s="2"/>
      <c r="GKK4" s="2"/>
      <c r="GKL4" s="2"/>
      <c r="GKM4" s="2"/>
      <c r="GKN4" s="2"/>
      <c r="GKO4" s="2"/>
      <c r="GKP4" s="2"/>
      <c r="GKQ4" s="2"/>
      <c r="GKR4" s="2"/>
      <c r="GKS4" s="2"/>
      <c r="GKT4" s="2"/>
      <c r="GKU4" s="2"/>
      <c r="GKV4" s="2"/>
      <c r="GKW4" s="2"/>
      <c r="GKX4" s="2"/>
      <c r="GKY4" s="2"/>
      <c r="GKZ4" s="2"/>
      <c r="GLA4" s="2"/>
      <c r="GLB4" s="2"/>
      <c r="GLC4" s="2"/>
      <c r="GLD4" s="2"/>
      <c r="GLE4" s="2"/>
      <c r="GLF4" s="2"/>
      <c r="GLG4" s="2"/>
      <c r="GLH4" s="2"/>
      <c r="GLI4" s="2"/>
      <c r="GLJ4" s="2"/>
      <c r="GLK4" s="2"/>
      <c r="GLL4" s="2"/>
      <c r="GLM4" s="2"/>
      <c r="GLN4" s="2"/>
      <c r="GLO4" s="2"/>
      <c r="GLP4" s="2"/>
      <c r="GLQ4" s="2"/>
      <c r="GLR4" s="2"/>
      <c r="GLS4" s="2"/>
      <c r="GLT4" s="2"/>
      <c r="GLU4" s="2"/>
      <c r="GLV4" s="2"/>
      <c r="GLW4" s="2"/>
      <c r="GLX4" s="2"/>
      <c r="GLY4" s="2"/>
      <c r="GLZ4" s="2"/>
      <c r="GMA4" s="2"/>
      <c r="GMB4" s="2"/>
      <c r="GMC4" s="2"/>
      <c r="GMD4" s="2"/>
      <c r="GME4" s="2"/>
      <c r="GMF4" s="2"/>
      <c r="GMG4" s="2"/>
      <c r="GMH4" s="2"/>
      <c r="GMI4" s="2"/>
      <c r="GMJ4" s="2"/>
      <c r="GMK4" s="2"/>
      <c r="GML4" s="2"/>
      <c r="GMM4" s="2"/>
      <c r="GMN4" s="2"/>
      <c r="GMO4" s="2"/>
      <c r="GMP4" s="2"/>
      <c r="GMQ4" s="2"/>
      <c r="GMR4" s="2"/>
      <c r="GMS4" s="2"/>
      <c r="GMT4" s="2"/>
      <c r="GMU4" s="2"/>
      <c r="GMV4" s="2"/>
      <c r="GMW4" s="2"/>
      <c r="GMX4" s="2"/>
      <c r="GMY4" s="2"/>
      <c r="GMZ4" s="2"/>
      <c r="GNA4" s="2"/>
      <c r="GNB4" s="2"/>
      <c r="GNC4" s="2"/>
      <c r="GND4" s="2"/>
      <c r="GNE4" s="2"/>
      <c r="GNF4" s="2"/>
      <c r="GNG4" s="2"/>
      <c r="GNH4" s="2"/>
      <c r="GNI4" s="2"/>
      <c r="GNJ4" s="2"/>
      <c r="GNK4" s="2"/>
      <c r="GNL4" s="2"/>
      <c r="GNM4" s="2"/>
      <c r="GNN4" s="2"/>
      <c r="GNO4" s="2"/>
      <c r="GNP4" s="2"/>
      <c r="GNQ4" s="2"/>
      <c r="GNR4" s="2"/>
      <c r="GNS4" s="2"/>
      <c r="GNT4" s="2"/>
      <c r="GNU4" s="2"/>
      <c r="GNV4" s="2"/>
      <c r="GNW4" s="2"/>
      <c r="GNX4" s="2"/>
      <c r="GNY4" s="2"/>
      <c r="GNZ4" s="2"/>
      <c r="GOA4" s="2"/>
      <c r="GOB4" s="2"/>
      <c r="GOC4" s="2"/>
      <c r="GOD4" s="2"/>
      <c r="GOE4" s="2"/>
      <c r="GOF4" s="2"/>
      <c r="GOG4" s="2"/>
      <c r="GOH4" s="2"/>
      <c r="GOI4" s="2"/>
      <c r="GOJ4" s="2"/>
      <c r="GOK4" s="2"/>
      <c r="GOL4" s="2"/>
      <c r="GOM4" s="2"/>
      <c r="GON4" s="2"/>
      <c r="GOO4" s="2"/>
      <c r="GOP4" s="2"/>
      <c r="GOQ4" s="2"/>
      <c r="GOR4" s="2"/>
      <c r="GOS4" s="2"/>
      <c r="GOT4" s="2"/>
      <c r="GOU4" s="2"/>
      <c r="GOV4" s="2"/>
      <c r="GOW4" s="2"/>
      <c r="GOX4" s="2"/>
      <c r="GOY4" s="2"/>
      <c r="GOZ4" s="2"/>
      <c r="GPA4" s="2"/>
      <c r="GPB4" s="2"/>
      <c r="GPC4" s="2"/>
      <c r="GPD4" s="2"/>
      <c r="GPE4" s="2"/>
      <c r="GPF4" s="2"/>
      <c r="GPG4" s="2"/>
      <c r="GPH4" s="2"/>
      <c r="GPI4" s="2"/>
      <c r="GPJ4" s="2"/>
      <c r="GPK4" s="2"/>
      <c r="GPL4" s="2"/>
      <c r="GPM4" s="2"/>
      <c r="GPN4" s="2"/>
      <c r="GPO4" s="2"/>
      <c r="GPP4" s="2"/>
      <c r="GPQ4" s="2"/>
      <c r="GPR4" s="2"/>
      <c r="GPS4" s="2"/>
      <c r="GPT4" s="2"/>
      <c r="GPU4" s="2"/>
      <c r="GPV4" s="2"/>
      <c r="GPW4" s="2"/>
      <c r="GPX4" s="2"/>
      <c r="GPY4" s="2"/>
      <c r="GPZ4" s="2"/>
      <c r="GQA4" s="2"/>
      <c r="GQB4" s="2"/>
      <c r="GQC4" s="2"/>
      <c r="GQD4" s="2"/>
      <c r="GQE4" s="2"/>
      <c r="GQF4" s="2"/>
      <c r="GQG4" s="2"/>
      <c r="GQH4" s="2"/>
      <c r="GQI4" s="2"/>
      <c r="GQJ4" s="2"/>
      <c r="GQK4" s="2"/>
      <c r="GQL4" s="2"/>
      <c r="GQM4" s="2"/>
      <c r="GQN4" s="2"/>
      <c r="GQO4" s="2"/>
      <c r="GQP4" s="2"/>
      <c r="GQQ4" s="2"/>
      <c r="GQR4" s="2"/>
      <c r="GQS4" s="2"/>
      <c r="GQT4" s="2"/>
      <c r="GQU4" s="2"/>
      <c r="GQV4" s="2"/>
      <c r="GQW4" s="2"/>
      <c r="GQX4" s="2"/>
      <c r="GQY4" s="2"/>
      <c r="GQZ4" s="2"/>
      <c r="GRA4" s="2"/>
      <c r="GRB4" s="2"/>
      <c r="GRC4" s="2"/>
      <c r="GRD4" s="2"/>
      <c r="GRE4" s="2"/>
      <c r="GRF4" s="2"/>
      <c r="GRG4" s="2"/>
      <c r="GRH4" s="2"/>
      <c r="GRI4" s="2"/>
      <c r="GRJ4" s="2"/>
      <c r="GRK4" s="2"/>
      <c r="GRL4" s="2"/>
      <c r="GRM4" s="2"/>
      <c r="GRN4" s="2"/>
      <c r="GRO4" s="2"/>
      <c r="GRP4" s="2"/>
      <c r="GRQ4" s="2"/>
      <c r="GRR4" s="2"/>
      <c r="GRS4" s="2"/>
      <c r="GRT4" s="2"/>
      <c r="GRU4" s="2"/>
      <c r="GRV4" s="2"/>
      <c r="GRW4" s="2"/>
      <c r="GRX4" s="2"/>
      <c r="GRY4" s="2"/>
      <c r="GRZ4" s="2"/>
      <c r="GSA4" s="2"/>
      <c r="GSB4" s="2"/>
      <c r="GSC4" s="2"/>
      <c r="GSD4" s="2"/>
      <c r="GSE4" s="2"/>
      <c r="GSF4" s="2"/>
      <c r="GSG4" s="2"/>
      <c r="GSH4" s="2"/>
      <c r="GSI4" s="2"/>
      <c r="GSJ4" s="2"/>
      <c r="GSK4" s="2"/>
      <c r="GSL4" s="2"/>
      <c r="GSM4" s="2"/>
      <c r="GSN4" s="2"/>
      <c r="GSO4" s="2"/>
      <c r="GSP4" s="2"/>
      <c r="GSQ4" s="2"/>
      <c r="GSR4" s="2"/>
      <c r="GSS4" s="2"/>
      <c r="GST4" s="2"/>
      <c r="GSU4" s="2"/>
      <c r="GSV4" s="2"/>
      <c r="GSW4" s="2"/>
      <c r="GSX4" s="2"/>
      <c r="GSY4" s="2"/>
      <c r="GSZ4" s="2"/>
      <c r="GTA4" s="2"/>
      <c r="GTB4" s="2"/>
      <c r="GTC4" s="2"/>
      <c r="GTD4" s="2"/>
      <c r="GTE4" s="2"/>
      <c r="GTF4" s="2"/>
      <c r="GTG4" s="2"/>
      <c r="GTH4" s="2"/>
      <c r="GTI4" s="2"/>
      <c r="GTJ4" s="2"/>
      <c r="GTK4" s="2"/>
      <c r="GTL4" s="2"/>
      <c r="GTM4" s="2"/>
      <c r="GTN4" s="2"/>
      <c r="GTO4" s="2"/>
      <c r="GTP4" s="2"/>
      <c r="GTQ4" s="2"/>
      <c r="GTR4" s="2"/>
      <c r="GTS4" s="2"/>
      <c r="GTT4" s="2"/>
      <c r="GTU4" s="2"/>
      <c r="GTV4" s="2"/>
      <c r="GTW4" s="2"/>
      <c r="GTX4" s="2"/>
      <c r="GTY4" s="2"/>
      <c r="GTZ4" s="2"/>
      <c r="GUA4" s="2"/>
      <c r="GUB4" s="2"/>
      <c r="GUC4" s="2"/>
      <c r="GUD4" s="2"/>
      <c r="GUE4" s="2"/>
      <c r="GUF4" s="2"/>
      <c r="GUG4" s="2"/>
      <c r="GUH4" s="2"/>
      <c r="GUI4" s="2"/>
      <c r="GUJ4" s="2"/>
      <c r="GUK4" s="2"/>
      <c r="GUL4" s="2"/>
      <c r="GUM4" s="2"/>
      <c r="GUN4" s="2"/>
      <c r="GUO4" s="2"/>
      <c r="GUP4" s="2"/>
      <c r="GUQ4" s="2"/>
      <c r="GUR4" s="2"/>
      <c r="GUS4" s="2"/>
      <c r="GUT4" s="2"/>
      <c r="GUU4" s="2"/>
      <c r="GUV4" s="2"/>
      <c r="GUW4" s="2"/>
      <c r="GUX4" s="2"/>
      <c r="GUY4" s="2"/>
      <c r="GUZ4" s="2"/>
      <c r="GVA4" s="2"/>
      <c r="GVB4" s="2"/>
      <c r="GVC4" s="2"/>
      <c r="GVD4" s="2"/>
      <c r="GVE4" s="2"/>
      <c r="GVF4" s="2"/>
      <c r="GVG4" s="2"/>
      <c r="GVH4" s="2"/>
      <c r="GVI4" s="2"/>
      <c r="GVJ4" s="2"/>
      <c r="GVK4" s="2"/>
      <c r="GVL4" s="2"/>
      <c r="GVM4" s="2"/>
      <c r="GVN4" s="2"/>
      <c r="GVO4" s="2"/>
      <c r="GVP4" s="2"/>
      <c r="GVQ4" s="2"/>
      <c r="GVR4" s="2"/>
      <c r="GVS4" s="2"/>
      <c r="GVT4" s="2"/>
      <c r="GVU4" s="2"/>
      <c r="GVV4" s="2"/>
      <c r="GVW4" s="2"/>
      <c r="GVX4" s="2"/>
      <c r="GVY4" s="2"/>
      <c r="GVZ4" s="2"/>
      <c r="GWA4" s="2"/>
      <c r="GWB4" s="2"/>
      <c r="GWC4" s="2"/>
      <c r="GWD4" s="2"/>
      <c r="GWE4" s="2"/>
      <c r="GWF4" s="2"/>
      <c r="GWG4" s="2"/>
      <c r="GWH4" s="2"/>
      <c r="GWI4" s="2"/>
      <c r="GWJ4" s="2"/>
      <c r="GWK4" s="2"/>
      <c r="GWL4" s="2"/>
      <c r="GWM4" s="2"/>
      <c r="GWN4" s="2"/>
      <c r="GWO4" s="2"/>
      <c r="GWP4" s="2"/>
      <c r="GWQ4" s="2"/>
      <c r="GWR4" s="2"/>
      <c r="GWS4" s="2"/>
      <c r="GWT4" s="2"/>
      <c r="GWU4" s="2"/>
      <c r="GWV4" s="2"/>
      <c r="GWW4" s="2"/>
      <c r="GWX4" s="2"/>
      <c r="GWY4" s="2"/>
      <c r="GWZ4" s="2"/>
      <c r="GXA4" s="2"/>
      <c r="GXB4" s="2"/>
      <c r="GXC4" s="2"/>
      <c r="GXD4" s="2"/>
      <c r="GXE4" s="2"/>
      <c r="GXF4" s="2"/>
      <c r="GXG4" s="2"/>
      <c r="GXH4" s="2"/>
      <c r="GXI4" s="2"/>
      <c r="GXJ4" s="2"/>
      <c r="GXK4" s="2"/>
      <c r="GXL4" s="2"/>
      <c r="GXM4" s="2"/>
      <c r="GXN4" s="2"/>
      <c r="GXO4" s="2"/>
      <c r="GXP4" s="2"/>
      <c r="GXQ4" s="2"/>
      <c r="GXR4" s="2"/>
      <c r="GXS4" s="2"/>
      <c r="GXT4" s="2"/>
      <c r="GXU4" s="2"/>
      <c r="GXV4" s="2"/>
      <c r="GXW4" s="2"/>
      <c r="GXX4" s="2"/>
      <c r="GXY4" s="2"/>
      <c r="GXZ4" s="2"/>
      <c r="GYA4" s="2"/>
      <c r="GYB4" s="2"/>
      <c r="GYC4" s="2"/>
      <c r="GYD4" s="2"/>
      <c r="GYE4" s="2"/>
      <c r="GYF4" s="2"/>
      <c r="GYG4" s="2"/>
      <c r="GYH4" s="2"/>
      <c r="GYI4" s="2"/>
      <c r="GYJ4" s="2"/>
      <c r="GYK4" s="2"/>
      <c r="GYL4" s="2"/>
      <c r="GYM4" s="2"/>
      <c r="GYN4" s="2"/>
      <c r="GYO4" s="2"/>
      <c r="GYP4" s="2"/>
      <c r="GYQ4" s="2"/>
      <c r="GYR4" s="2"/>
      <c r="GYS4" s="2"/>
      <c r="GYT4" s="2"/>
      <c r="GYU4" s="2"/>
      <c r="GYV4" s="2"/>
      <c r="GYW4" s="2"/>
      <c r="GYX4" s="2"/>
      <c r="GYY4" s="2"/>
      <c r="GYZ4" s="2"/>
      <c r="GZA4" s="2"/>
      <c r="GZB4" s="2"/>
      <c r="GZC4" s="2"/>
      <c r="GZD4" s="2"/>
      <c r="GZE4" s="2"/>
      <c r="GZF4" s="2"/>
      <c r="GZG4" s="2"/>
      <c r="GZH4" s="2"/>
      <c r="GZI4" s="2"/>
      <c r="GZJ4" s="2"/>
      <c r="GZK4" s="2"/>
      <c r="GZL4" s="2"/>
      <c r="GZM4" s="2"/>
      <c r="GZN4" s="2"/>
      <c r="GZO4" s="2"/>
      <c r="GZP4" s="2"/>
      <c r="GZQ4" s="2"/>
      <c r="GZR4" s="2"/>
      <c r="GZS4" s="2"/>
      <c r="GZT4" s="2"/>
      <c r="GZU4" s="2"/>
      <c r="GZV4" s="2"/>
      <c r="GZW4" s="2"/>
      <c r="GZX4" s="2"/>
      <c r="GZY4" s="2"/>
      <c r="GZZ4" s="2"/>
      <c r="HAA4" s="2"/>
      <c r="HAB4" s="2"/>
      <c r="HAC4" s="2"/>
      <c r="HAD4" s="2"/>
      <c r="HAE4" s="2"/>
      <c r="HAF4" s="2"/>
      <c r="HAG4" s="2"/>
      <c r="HAH4" s="2"/>
      <c r="HAI4" s="2"/>
      <c r="HAJ4" s="2"/>
      <c r="HAK4" s="2"/>
      <c r="HAL4" s="2"/>
      <c r="HAM4" s="2"/>
      <c r="HAN4" s="2"/>
      <c r="HAO4" s="2"/>
      <c r="HAP4" s="2"/>
      <c r="HAQ4" s="2"/>
      <c r="HAR4" s="2"/>
      <c r="HAS4" s="2"/>
      <c r="HAT4" s="2"/>
      <c r="HAU4" s="2"/>
      <c r="HAV4" s="2"/>
      <c r="HAW4" s="2"/>
      <c r="HAX4" s="2"/>
      <c r="HAY4" s="2"/>
      <c r="HAZ4" s="2"/>
      <c r="HBA4" s="2"/>
      <c r="HBB4" s="2"/>
      <c r="HBC4" s="2"/>
      <c r="HBD4" s="2"/>
      <c r="HBE4" s="2"/>
      <c r="HBF4" s="2"/>
      <c r="HBG4" s="2"/>
      <c r="HBH4" s="2"/>
      <c r="HBI4" s="2"/>
      <c r="HBJ4" s="2"/>
      <c r="HBK4" s="2"/>
      <c r="HBL4" s="2"/>
      <c r="HBM4" s="2"/>
      <c r="HBN4" s="2"/>
      <c r="HBO4" s="2"/>
      <c r="HBP4" s="2"/>
      <c r="HBQ4" s="2"/>
      <c r="HBR4" s="2"/>
      <c r="HBS4" s="2"/>
      <c r="HBT4" s="2"/>
      <c r="HBU4" s="2"/>
      <c r="HBV4" s="2"/>
      <c r="HBW4" s="2"/>
      <c r="HBX4" s="2"/>
      <c r="HBY4" s="2"/>
      <c r="HBZ4" s="2"/>
      <c r="HCA4" s="2"/>
      <c r="HCB4" s="2"/>
      <c r="HCC4" s="2"/>
      <c r="HCD4" s="2"/>
      <c r="HCE4" s="2"/>
      <c r="HCF4" s="2"/>
      <c r="HCG4" s="2"/>
      <c r="HCH4" s="2"/>
      <c r="HCI4" s="2"/>
      <c r="HCJ4" s="2"/>
      <c r="HCK4" s="2"/>
      <c r="HCL4" s="2"/>
      <c r="HCM4" s="2"/>
      <c r="HCN4" s="2"/>
      <c r="HCO4" s="2"/>
      <c r="HCP4" s="2"/>
      <c r="HCQ4" s="2"/>
      <c r="HCR4" s="2"/>
      <c r="HCS4" s="2"/>
      <c r="HCT4" s="2"/>
      <c r="HCU4" s="2"/>
      <c r="HCV4" s="2"/>
      <c r="HCW4" s="2"/>
      <c r="HCX4" s="2"/>
      <c r="HCY4" s="2"/>
      <c r="HCZ4" s="2"/>
      <c r="HDA4" s="2"/>
      <c r="HDB4" s="2"/>
      <c r="HDC4" s="2"/>
      <c r="HDD4" s="2"/>
      <c r="HDE4" s="2"/>
      <c r="HDF4" s="2"/>
      <c r="HDG4" s="2"/>
      <c r="HDH4" s="2"/>
      <c r="HDI4" s="2"/>
      <c r="HDJ4" s="2"/>
      <c r="HDK4" s="2"/>
      <c r="HDL4" s="2"/>
      <c r="HDM4" s="2"/>
      <c r="HDN4" s="2"/>
      <c r="HDO4" s="2"/>
      <c r="HDP4" s="2"/>
      <c r="HDQ4" s="2"/>
      <c r="HDR4" s="2"/>
      <c r="HDS4" s="2"/>
      <c r="HDT4" s="2"/>
      <c r="HDU4" s="2"/>
      <c r="HDV4" s="2"/>
      <c r="HDW4" s="2"/>
      <c r="HDX4" s="2"/>
      <c r="HDY4" s="2"/>
      <c r="HDZ4" s="2"/>
      <c r="HEA4" s="2"/>
      <c r="HEB4" s="2"/>
      <c r="HEC4" s="2"/>
      <c r="HED4" s="2"/>
      <c r="HEE4" s="2"/>
      <c r="HEF4" s="2"/>
      <c r="HEG4" s="2"/>
      <c r="HEH4" s="2"/>
      <c r="HEI4" s="2"/>
      <c r="HEJ4" s="2"/>
      <c r="HEK4" s="2"/>
      <c r="HEL4" s="2"/>
      <c r="HEM4" s="2"/>
      <c r="HEN4" s="2"/>
      <c r="HEO4" s="2"/>
      <c r="HEP4" s="2"/>
      <c r="HEQ4" s="2"/>
      <c r="HER4" s="2"/>
      <c r="HES4" s="2"/>
      <c r="HET4" s="2"/>
      <c r="HEU4" s="2"/>
      <c r="HEV4" s="2"/>
      <c r="HEW4" s="2"/>
      <c r="HEX4" s="2"/>
      <c r="HEY4" s="2"/>
      <c r="HEZ4" s="2"/>
      <c r="HFA4" s="2"/>
      <c r="HFB4" s="2"/>
      <c r="HFC4" s="2"/>
      <c r="HFD4" s="2"/>
      <c r="HFE4" s="2"/>
      <c r="HFF4" s="2"/>
      <c r="HFG4" s="2"/>
      <c r="HFH4" s="2"/>
      <c r="HFI4" s="2"/>
      <c r="HFJ4" s="2"/>
      <c r="HFK4" s="2"/>
      <c r="HFL4" s="2"/>
      <c r="HFM4" s="2"/>
      <c r="HFN4" s="2"/>
      <c r="HFO4" s="2"/>
      <c r="HFP4" s="2"/>
      <c r="HFQ4" s="2"/>
      <c r="HFR4" s="2"/>
      <c r="HFS4" s="2"/>
      <c r="HFT4" s="2"/>
      <c r="HFU4" s="2"/>
      <c r="HFV4" s="2"/>
      <c r="HFW4" s="2"/>
      <c r="HFX4" s="2"/>
      <c r="HFY4" s="2"/>
      <c r="HFZ4" s="2"/>
      <c r="HGA4" s="2"/>
      <c r="HGB4" s="2"/>
      <c r="HGC4" s="2"/>
      <c r="HGD4" s="2"/>
      <c r="HGE4" s="2"/>
      <c r="HGF4" s="2"/>
      <c r="HGG4" s="2"/>
      <c r="HGH4" s="2"/>
      <c r="HGI4" s="2"/>
      <c r="HGJ4" s="2"/>
      <c r="HGK4" s="2"/>
      <c r="HGL4" s="2"/>
      <c r="HGM4" s="2"/>
      <c r="HGN4" s="2"/>
      <c r="HGO4" s="2"/>
      <c r="HGP4" s="2"/>
      <c r="HGQ4" s="2"/>
      <c r="HGR4" s="2"/>
      <c r="HGS4" s="2"/>
      <c r="HGT4" s="2"/>
      <c r="HGU4" s="2"/>
      <c r="HGV4" s="2"/>
      <c r="HGW4" s="2"/>
      <c r="HGX4" s="2"/>
      <c r="HGY4" s="2"/>
      <c r="HGZ4" s="2"/>
      <c r="HHA4" s="2"/>
      <c r="HHB4" s="2"/>
      <c r="HHC4" s="2"/>
      <c r="HHD4" s="2"/>
      <c r="HHE4" s="2"/>
      <c r="HHF4" s="2"/>
      <c r="HHG4" s="2"/>
      <c r="HHH4" s="2"/>
      <c r="HHI4" s="2"/>
      <c r="HHJ4" s="2"/>
      <c r="HHK4" s="2"/>
      <c r="HHL4" s="2"/>
      <c r="HHM4" s="2"/>
      <c r="HHN4" s="2"/>
      <c r="HHO4" s="2"/>
      <c r="HHP4" s="2"/>
      <c r="HHQ4" s="2"/>
      <c r="HHR4" s="2"/>
      <c r="HHS4" s="2"/>
      <c r="HHT4" s="2"/>
      <c r="HHU4" s="2"/>
      <c r="HHV4" s="2"/>
      <c r="HHW4" s="2"/>
      <c r="HHX4" s="2"/>
      <c r="HHY4" s="2"/>
      <c r="HHZ4" s="2"/>
      <c r="HIA4" s="2"/>
      <c r="HIB4" s="2"/>
      <c r="HIC4" s="2"/>
      <c r="HID4" s="2"/>
      <c r="HIE4" s="2"/>
      <c r="HIF4" s="2"/>
      <c r="HIG4" s="2"/>
      <c r="HIH4" s="2"/>
      <c r="HII4" s="2"/>
      <c r="HIJ4" s="2"/>
      <c r="HIK4" s="2"/>
      <c r="HIL4" s="2"/>
      <c r="HIM4" s="2"/>
      <c r="HIN4" s="2"/>
      <c r="HIO4" s="2"/>
      <c r="HIP4" s="2"/>
      <c r="HIQ4" s="2"/>
      <c r="HIR4" s="2"/>
      <c r="HIS4" s="2"/>
      <c r="HIT4" s="2"/>
      <c r="HIU4" s="2"/>
      <c r="HIV4" s="2"/>
      <c r="HIW4" s="2"/>
      <c r="HIX4" s="2"/>
      <c r="HIY4" s="2"/>
      <c r="HIZ4" s="2"/>
      <c r="HJA4" s="2"/>
      <c r="HJB4" s="2"/>
      <c r="HJC4" s="2"/>
      <c r="HJD4" s="2"/>
      <c r="HJE4" s="2"/>
      <c r="HJF4" s="2"/>
      <c r="HJG4" s="2"/>
      <c r="HJH4" s="2"/>
      <c r="HJI4" s="2"/>
      <c r="HJJ4" s="2"/>
      <c r="HJK4" s="2"/>
      <c r="HJL4" s="2"/>
      <c r="HJM4" s="2"/>
      <c r="HJN4" s="2"/>
      <c r="HJO4" s="2"/>
      <c r="HJP4" s="2"/>
      <c r="HJQ4" s="2"/>
      <c r="HJR4" s="2"/>
      <c r="HJS4" s="2"/>
      <c r="HJT4" s="2"/>
      <c r="HJU4" s="2"/>
      <c r="HJV4" s="2"/>
      <c r="HJW4" s="2"/>
      <c r="HJX4" s="2"/>
      <c r="HJY4" s="2"/>
      <c r="HJZ4" s="2"/>
      <c r="HKA4" s="2"/>
      <c r="HKB4" s="2"/>
      <c r="HKC4" s="2"/>
      <c r="HKD4" s="2"/>
      <c r="HKE4" s="2"/>
      <c r="HKF4" s="2"/>
      <c r="HKG4" s="2"/>
      <c r="HKH4" s="2"/>
      <c r="HKI4" s="2"/>
      <c r="HKJ4" s="2"/>
      <c r="HKK4" s="2"/>
      <c r="HKL4" s="2"/>
      <c r="HKM4" s="2"/>
      <c r="HKN4" s="2"/>
      <c r="HKO4" s="2"/>
      <c r="HKP4" s="2"/>
      <c r="HKQ4" s="2"/>
      <c r="HKR4" s="2"/>
      <c r="HKS4" s="2"/>
      <c r="HKT4" s="2"/>
      <c r="HKU4" s="2"/>
      <c r="HKV4" s="2"/>
      <c r="HKW4" s="2"/>
      <c r="HKX4" s="2"/>
      <c r="HKY4" s="2"/>
      <c r="HKZ4" s="2"/>
      <c r="HLA4" s="2"/>
      <c r="HLB4" s="2"/>
      <c r="HLC4" s="2"/>
      <c r="HLD4" s="2"/>
      <c r="HLE4" s="2"/>
      <c r="HLF4" s="2"/>
      <c r="HLG4" s="2"/>
      <c r="HLH4" s="2"/>
      <c r="HLI4" s="2"/>
      <c r="HLJ4" s="2"/>
      <c r="HLK4" s="2"/>
      <c r="HLL4" s="2"/>
      <c r="HLM4" s="2"/>
      <c r="HLN4" s="2"/>
      <c r="HLO4" s="2"/>
      <c r="HLP4" s="2"/>
      <c r="HLQ4" s="2"/>
      <c r="HLR4" s="2"/>
      <c r="HLS4" s="2"/>
      <c r="HLT4" s="2"/>
      <c r="HLU4" s="2"/>
      <c r="HLV4" s="2"/>
      <c r="HLW4" s="2"/>
      <c r="HLX4" s="2"/>
      <c r="HLY4" s="2"/>
      <c r="HLZ4" s="2"/>
      <c r="HMA4" s="2"/>
      <c r="HMB4" s="2"/>
      <c r="HMC4" s="2"/>
      <c r="HMD4" s="2"/>
      <c r="HME4" s="2"/>
      <c r="HMF4" s="2"/>
      <c r="HMG4" s="2"/>
      <c r="HMH4" s="2"/>
      <c r="HMI4" s="2"/>
      <c r="HMJ4" s="2"/>
      <c r="HMK4" s="2"/>
      <c r="HML4" s="2"/>
      <c r="HMM4" s="2"/>
      <c r="HMN4" s="2"/>
      <c r="HMO4" s="2"/>
      <c r="HMP4" s="2"/>
      <c r="HMQ4" s="2"/>
      <c r="HMR4" s="2"/>
      <c r="HMS4" s="2"/>
      <c r="HMT4" s="2"/>
      <c r="HMU4" s="2"/>
      <c r="HMV4" s="2"/>
      <c r="HMW4" s="2"/>
      <c r="HMX4" s="2"/>
      <c r="HMY4" s="2"/>
      <c r="HMZ4" s="2"/>
      <c r="HNA4" s="2"/>
      <c r="HNB4" s="2"/>
      <c r="HNC4" s="2"/>
      <c r="HND4" s="2"/>
      <c r="HNE4" s="2"/>
      <c r="HNF4" s="2"/>
      <c r="HNG4" s="2"/>
      <c r="HNH4" s="2"/>
      <c r="HNI4" s="2"/>
      <c r="HNJ4" s="2"/>
      <c r="HNK4" s="2"/>
      <c r="HNL4" s="2"/>
      <c r="HNM4" s="2"/>
      <c r="HNN4" s="2"/>
      <c r="HNO4" s="2"/>
      <c r="HNP4" s="2"/>
      <c r="HNQ4" s="2"/>
      <c r="HNR4" s="2"/>
      <c r="HNS4" s="2"/>
      <c r="HNT4" s="2"/>
      <c r="HNU4" s="2"/>
      <c r="HNV4" s="2"/>
      <c r="HNW4" s="2"/>
      <c r="HNX4" s="2"/>
      <c r="HNY4" s="2"/>
      <c r="HNZ4" s="2"/>
      <c r="HOA4" s="2"/>
      <c r="HOB4" s="2"/>
      <c r="HOC4" s="2"/>
      <c r="HOD4" s="2"/>
      <c r="HOE4" s="2"/>
      <c r="HOF4" s="2"/>
      <c r="HOG4" s="2"/>
      <c r="HOH4" s="2"/>
      <c r="HOI4" s="2"/>
      <c r="HOJ4" s="2"/>
      <c r="HOK4" s="2"/>
      <c r="HOL4" s="2"/>
      <c r="HOM4" s="2"/>
      <c r="HON4" s="2"/>
      <c r="HOO4" s="2"/>
      <c r="HOP4" s="2"/>
      <c r="HOQ4" s="2"/>
      <c r="HOR4" s="2"/>
      <c r="HOS4" s="2"/>
      <c r="HOT4" s="2"/>
      <c r="HOU4" s="2"/>
      <c r="HOV4" s="2"/>
      <c r="HOW4" s="2"/>
      <c r="HOX4" s="2"/>
      <c r="HOY4" s="2"/>
      <c r="HOZ4" s="2"/>
      <c r="HPA4" s="2"/>
      <c r="HPB4" s="2"/>
      <c r="HPC4" s="2"/>
      <c r="HPD4" s="2"/>
      <c r="HPE4" s="2"/>
      <c r="HPF4" s="2"/>
      <c r="HPG4" s="2"/>
      <c r="HPH4" s="2"/>
      <c r="HPI4" s="2"/>
      <c r="HPJ4" s="2"/>
      <c r="HPK4" s="2"/>
      <c r="HPL4" s="2"/>
      <c r="HPM4" s="2"/>
      <c r="HPN4" s="2"/>
      <c r="HPO4" s="2"/>
      <c r="HPP4" s="2"/>
      <c r="HPQ4" s="2"/>
      <c r="HPR4" s="2"/>
      <c r="HPS4" s="2"/>
      <c r="HPT4" s="2"/>
      <c r="HPU4" s="2"/>
      <c r="HPV4" s="2"/>
      <c r="HPW4" s="2"/>
      <c r="HPX4" s="2"/>
      <c r="HPY4" s="2"/>
      <c r="HPZ4" s="2"/>
      <c r="HQA4" s="2"/>
      <c r="HQB4" s="2"/>
      <c r="HQC4" s="2"/>
      <c r="HQD4" s="2"/>
      <c r="HQE4" s="2"/>
      <c r="HQF4" s="2"/>
      <c r="HQG4" s="2"/>
      <c r="HQH4" s="2"/>
      <c r="HQI4" s="2"/>
      <c r="HQJ4" s="2"/>
      <c r="HQK4" s="2"/>
      <c r="HQL4" s="2"/>
      <c r="HQM4" s="2"/>
      <c r="HQN4" s="2"/>
      <c r="HQO4" s="2"/>
      <c r="HQP4" s="2"/>
      <c r="HQQ4" s="2"/>
      <c r="HQR4" s="2"/>
      <c r="HQS4" s="2"/>
      <c r="HQT4" s="2"/>
      <c r="HQU4" s="2"/>
      <c r="HQV4" s="2"/>
      <c r="HQW4" s="2"/>
      <c r="HQX4" s="2"/>
      <c r="HQY4" s="2"/>
      <c r="HQZ4" s="2"/>
      <c r="HRA4" s="2"/>
      <c r="HRB4" s="2"/>
      <c r="HRC4" s="2"/>
      <c r="HRD4" s="2"/>
      <c r="HRE4" s="2"/>
      <c r="HRF4" s="2"/>
      <c r="HRG4" s="2"/>
      <c r="HRH4" s="2"/>
      <c r="HRI4" s="2"/>
      <c r="HRJ4" s="2"/>
      <c r="HRK4" s="2"/>
      <c r="HRL4" s="2"/>
      <c r="HRM4" s="2"/>
      <c r="HRN4" s="2"/>
      <c r="HRO4" s="2"/>
      <c r="HRP4" s="2"/>
      <c r="HRQ4" s="2"/>
      <c r="HRR4" s="2"/>
      <c r="HRS4" s="2"/>
      <c r="HRT4" s="2"/>
      <c r="HRU4" s="2"/>
      <c r="HRV4" s="2"/>
      <c r="HRW4" s="2"/>
      <c r="HRX4" s="2"/>
      <c r="HRY4" s="2"/>
      <c r="HRZ4" s="2"/>
      <c r="HSA4" s="2"/>
      <c r="HSB4" s="2"/>
      <c r="HSC4" s="2"/>
      <c r="HSD4" s="2"/>
      <c r="HSE4" s="2"/>
      <c r="HSF4" s="2"/>
      <c r="HSG4" s="2"/>
      <c r="HSH4" s="2"/>
      <c r="HSI4" s="2"/>
      <c r="HSJ4" s="2"/>
      <c r="HSK4" s="2"/>
      <c r="HSL4" s="2"/>
      <c r="HSM4" s="2"/>
      <c r="HSN4" s="2"/>
      <c r="HSO4" s="2"/>
      <c r="HSP4" s="2"/>
      <c r="HSQ4" s="2"/>
      <c r="HSR4" s="2"/>
      <c r="HSS4" s="2"/>
      <c r="HST4" s="2"/>
      <c r="HSU4" s="2"/>
      <c r="HSV4" s="2"/>
      <c r="HSW4" s="2"/>
      <c r="HSX4" s="2"/>
      <c r="HSY4" s="2"/>
      <c r="HSZ4" s="2"/>
      <c r="HTA4" s="2"/>
      <c r="HTB4" s="2"/>
      <c r="HTC4" s="2"/>
      <c r="HTD4" s="2"/>
      <c r="HTE4" s="2"/>
      <c r="HTF4" s="2"/>
      <c r="HTG4" s="2"/>
      <c r="HTH4" s="2"/>
      <c r="HTI4" s="2"/>
      <c r="HTJ4" s="2"/>
      <c r="HTK4" s="2"/>
      <c r="HTL4" s="2"/>
      <c r="HTM4" s="2"/>
      <c r="HTN4" s="2"/>
      <c r="HTO4" s="2"/>
      <c r="HTP4" s="2"/>
      <c r="HTQ4" s="2"/>
      <c r="HTR4" s="2"/>
      <c r="HTS4" s="2"/>
      <c r="HTT4" s="2"/>
      <c r="HTU4" s="2"/>
      <c r="HTV4" s="2"/>
      <c r="HTW4" s="2"/>
      <c r="HTX4" s="2"/>
      <c r="HTY4" s="2"/>
      <c r="HTZ4" s="2"/>
      <c r="HUA4" s="2"/>
      <c r="HUB4" s="2"/>
      <c r="HUC4" s="2"/>
      <c r="HUD4" s="2"/>
      <c r="HUE4" s="2"/>
      <c r="HUF4" s="2"/>
      <c r="HUG4" s="2"/>
      <c r="HUH4" s="2"/>
      <c r="HUI4" s="2"/>
      <c r="HUJ4" s="2"/>
      <c r="HUK4" s="2"/>
      <c r="HUL4" s="2"/>
      <c r="HUM4" s="2"/>
      <c r="HUN4" s="2"/>
      <c r="HUO4" s="2"/>
      <c r="HUP4" s="2"/>
      <c r="HUQ4" s="2"/>
      <c r="HUR4" s="2"/>
      <c r="HUS4" s="2"/>
      <c r="HUT4" s="2"/>
      <c r="HUU4" s="2"/>
      <c r="HUV4" s="2"/>
      <c r="HUW4" s="2"/>
      <c r="HUX4" s="2"/>
      <c r="HUY4" s="2"/>
      <c r="HUZ4" s="2"/>
      <c r="HVA4" s="2"/>
      <c r="HVB4" s="2"/>
      <c r="HVC4" s="2"/>
      <c r="HVD4" s="2"/>
      <c r="HVE4" s="2"/>
      <c r="HVF4" s="2"/>
      <c r="HVG4" s="2"/>
      <c r="HVH4" s="2"/>
      <c r="HVI4" s="2"/>
      <c r="HVJ4" s="2"/>
      <c r="HVK4" s="2"/>
      <c r="HVL4" s="2"/>
      <c r="HVM4" s="2"/>
      <c r="HVN4" s="2"/>
      <c r="HVO4" s="2"/>
      <c r="HVP4" s="2"/>
      <c r="HVQ4" s="2"/>
      <c r="HVR4" s="2"/>
      <c r="HVS4" s="2"/>
      <c r="HVT4" s="2"/>
      <c r="HVU4" s="2"/>
      <c r="HVV4" s="2"/>
      <c r="HVW4" s="2"/>
      <c r="HVX4" s="2"/>
      <c r="HVY4" s="2"/>
      <c r="HVZ4" s="2"/>
      <c r="HWA4" s="2"/>
      <c r="HWB4" s="2"/>
      <c r="HWC4" s="2"/>
      <c r="HWD4" s="2"/>
      <c r="HWE4" s="2"/>
      <c r="HWF4" s="2"/>
      <c r="HWG4" s="2"/>
      <c r="HWH4" s="2"/>
      <c r="HWI4" s="2"/>
      <c r="HWJ4" s="2"/>
      <c r="HWK4" s="2"/>
      <c r="HWL4" s="2"/>
      <c r="HWM4" s="2"/>
      <c r="HWN4" s="2"/>
      <c r="HWO4" s="2"/>
      <c r="HWP4" s="2"/>
      <c r="HWQ4" s="2"/>
      <c r="HWR4" s="2"/>
      <c r="HWS4" s="2"/>
      <c r="HWT4" s="2"/>
      <c r="HWU4" s="2"/>
      <c r="HWV4" s="2"/>
      <c r="HWW4" s="2"/>
      <c r="HWX4" s="2"/>
      <c r="HWY4" s="2"/>
      <c r="HWZ4" s="2"/>
      <c r="HXA4" s="2"/>
      <c r="HXB4" s="2"/>
      <c r="HXC4" s="2"/>
      <c r="HXD4" s="2"/>
      <c r="HXE4" s="2"/>
      <c r="HXF4" s="2"/>
      <c r="HXG4" s="2"/>
      <c r="HXH4" s="2"/>
      <c r="HXI4" s="2"/>
      <c r="HXJ4" s="2"/>
      <c r="HXK4" s="2"/>
      <c r="HXL4" s="2"/>
      <c r="HXM4" s="2"/>
      <c r="HXN4" s="2"/>
      <c r="HXO4" s="2"/>
      <c r="HXP4" s="2"/>
      <c r="HXQ4" s="2"/>
      <c r="HXR4" s="2"/>
      <c r="HXS4" s="2"/>
      <c r="HXT4" s="2"/>
      <c r="HXU4" s="2"/>
      <c r="HXV4" s="2"/>
      <c r="HXW4" s="2"/>
      <c r="HXX4" s="2"/>
      <c r="HXY4" s="2"/>
      <c r="HXZ4" s="2"/>
      <c r="HYA4" s="2"/>
      <c r="HYB4" s="2"/>
      <c r="HYC4" s="2"/>
      <c r="HYD4" s="2"/>
      <c r="HYE4" s="2"/>
      <c r="HYF4" s="2"/>
      <c r="HYG4" s="2"/>
      <c r="HYH4" s="2"/>
      <c r="HYI4" s="2"/>
      <c r="HYJ4" s="2"/>
      <c r="HYK4" s="2"/>
      <c r="HYL4" s="2"/>
      <c r="HYM4" s="2"/>
      <c r="HYN4" s="2"/>
      <c r="HYO4" s="2"/>
      <c r="HYP4" s="2"/>
      <c r="HYQ4" s="2"/>
      <c r="HYR4" s="2"/>
      <c r="HYS4" s="2"/>
      <c r="HYT4" s="2"/>
      <c r="HYU4" s="2"/>
      <c r="HYV4" s="2"/>
      <c r="HYW4" s="2"/>
      <c r="HYX4" s="2"/>
      <c r="HYY4" s="2"/>
      <c r="HYZ4" s="2"/>
      <c r="HZA4" s="2"/>
      <c r="HZB4" s="2"/>
      <c r="HZC4" s="2"/>
      <c r="HZD4" s="2"/>
      <c r="HZE4" s="2"/>
      <c r="HZF4" s="2"/>
      <c r="HZG4" s="2"/>
      <c r="HZH4" s="2"/>
      <c r="HZI4" s="2"/>
      <c r="HZJ4" s="2"/>
      <c r="HZK4" s="2"/>
      <c r="HZL4" s="2"/>
      <c r="HZM4" s="2"/>
      <c r="HZN4" s="2"/>
      <c r="HZO4" s="2"/>
      <c r="HZP4" s="2"/>
      <c r="HZQ4" s="2"/>
      <c r="HZR4" s="2"/>
      <c r="HZS4" s="2"/>
      <c r="HZT4" s="2"/>
      <c r="HZU4" s="2"/>
      <c r="HZV4" s="2"/>
      <c r="HZW4" s="2"/>
      <c r="HZX4" s="2"/>
      <c r="HZY4" s="2"/>
      <c r="HZZ4" s="2"/>
      <c r="IAA4" s="2"/>
      <c r="IAB4" s="2"/>
      <c r="IAC4" s="2"/>
      <c r="IAD4" s="2"/>
      <c r="IAE4" s="2"/>
      <c r="IAF4" s="2"/>
      <c r="IAG4" s="2"/>
      <c r="IAH4" s="2"/>
      <c r="IAI4" s="2"/>
      <c r="IAJ4" s="2"/>
      <c r="IAK4" s="2"/>
      <c r="IAL4" s="2"/>
      <c r="IAM4" s="2"/>
      <c r="IAN4" s="2"/>
      <c r="IAO4" s="2"/>
      <c r="IAP4" s="2"/>
      <c r="IAQ4" s="2"/>
      <c r="IAR4" s="2"/>
      <c r="IAS4" s="2"/>
      <c r="IAT4" s="2"/>
      <c r="IAU4" s="2"/>
      <c r="IAV4" s="2"/>
      <c r="IAW4" s="2"/>
      <c r="IAX4" s="2"/>
      <c r="IAY4" s="2"/>
      <c r="IAZ4" s="2"/>
      <c r="IBA4" s="2"/>
      <c r="IBB4" s="2"/>
      <c r="IBC4" s="2"/>
      <c r="IBD4" s="2"/>
      <c r="IBE4" s="2"/>
      <c r="IBF4" s="2"/>
      <c r="IBG4" s="2"/>
      <c r="IBH4" s="2"/>
      <c r="IBI4" s="2"/>
      <c r="IBJ4" s="2"/>
      <c r="IBK4" s="2"/>
      <c r="IBL4" s="2"/>
      <c r="IBM4" s="2"/>
      <c r="IBN4" s="2"/>
      <c r="IBO4" s="2"/>
      <c r="IBP4" s="2"/>
      <c r="IBQ4" s="2"/>
      <c r="IBR4" s="2"/>
      <c r="IBS4" s="2"/>
      <c r="IBT4" s="2"/>
      <c r="IBU4" s="2"/>
      <c r="IBV4" s="2"/>
      <c r="IBW4" s="2"/>
      <c r="IBX4" s="2"/>
      <c r="IBY4" s="2"/>
      <c r="IBZ4" s="2"/>
      <c r="ICA4" s="2"/>
      <c r="ICB4" s="2"/>
      <c r="ICC4" s="2"/>
      <c r="ICD4" s="2"/>
      <c r="ICE4" s="2"/>
      <c r="ICF4" s="2"/>
      <c r="ICG4" s="2"/>
      <c r="ICH4" s="2"/>
      <c r="ICI4" s="2"/>
      <c r="ICJ4" s="2"/>
      <c r="ICK4" s="2"/>
      <c r="ICL4" s="2"/>
      <c r="ICM4" s="2"/>
      <c r="ICN4" s="2"/>
      <c r="ICO4" s="2"/>
      <c r="ICP4" s="2"/>
      <c r="ICQ4" s="2"/>
      <c r="ICR4" s="2"/>
      <c r="ICS4" s="2"/>
      <c r="ICT4" s="2"/>
      <c r="ICU4" s="2"/>
      <c r="ICV4" s="2"/>
      <c r="ICW4" s="2"/>
      <c r="ICX4" s="2"/>
      <c r="ICY4" s="2"/>
      <c r="ICZ4" s="2"/>
      <c r="IDA4" s="2"/>
      <c r="IDB4" s="2"/>
      <c r="IDC4" s="2"/>
      <c r="IDD4" s="2"/>
      <c r="IDE4" s="2"/>
      <c r="IDF4" s="2"/>
      <c r="IDG4" s="2"/>
      <c r="IDH4" s="2"/>
      <c r="IDI4" s="2"/>
      <c r="IDJ4" s="2"/>
      <c r="IDK4" s="2"/>
      <c r="IDL4" s="2"/>
      <c r="IDM4" s="2"/>
      <c r="IDN4" s="2"/>
      <c r="IDO4" s="2"/>
      <c r="IDP4" s="2"/>
      <c r="IDQ4" s="2"/>
      <c r="IDR4" s="2"/>
      <c r="IDS4" s="2"/>
      <c r="IDT4" s="2"/>
      <c r="IDU4" s="2"/>
      <c r="IDV4" s="2"/>
      <c r="IDW4" s="2"/>
      <c r="IDX4" s="2"/>
      <c r="IDY4" s="2"/>
      <c r="IDZ4" s="2"/>
      <c r="IEA4" s="2"/>
      <c r="IEB4" s="2"/>
      <c r="IEC4" s="2"/>
      <c r="IED4" s="2"/>
      <c r="IEE4" s="2"/>
      <c r="IEF4" s="2"/>
      <c r="IEG4" s="2"/>
      <c r="IEH4" s="2"/>
      <c r="IEI4" s="2"/>
      <c r="IEJ4" s="2"/>
      <c r="IEK4" s="2"/>
      <c r="IEL4" s="2"/>
      <c r="IEM4" s="2"/>
      <c r="IEN4" s="2"/>
      <c r="IEO4" s="2"/>
      <c r="IEP4" s="2"/>
      <c r="IEQ4" s="2"/>
      <c r="IER4" s="2"/>
      <c r="IES4" s="2"/>
      <c r="IET4" s="2"/>
      <c r="IEU4" s="2"/>
      <c r="IEV4" s="2"/>
      <c r="IEW4" s="2"/>
      <c r="IEX4" s="2"/>
      <c r="IEY4" s="2"/>
      <c r="IEZ4" s="2"/>
      <c r="IFA4" s="2"/>
      <c r="IFB4" s="2"/>
      <c r="IFC4" s="2"/>
      <c r="IFD4" s="2"/>
      <c r="IFE4" s="2"/>
      <c r="IFF4" s="2"/>
      <c r="IFG4" s="2"/>
      <c r="IFH4" s="2"/>
      <c r="IFI4" s="2"/>
      <c r="IFJ4" s="2"/>
      <c r="IFK4" s="2"/>
      <c r="IFL4" s="2"/>
      <c r="IFM4" s="2"/>
      <c r="IFN4" s="2"/>
      <c r="IFO4" s="2"/>
      <c r="IFP4" s="2"/>
      <c r="IFQ4" s="2"/>
      <c r="IFR4" s="2"/>
      <c r="IFS4" s="2"/>
      <c r="IFT4" s="2"/>
      <c r="IFU4" s="2"/>
      <c r="IFV4" s="2"/>
      <c r="IFW4" s="2"/>
      <c r="IFX4" s="2"/>
      <c r="IFY4" s="2"/>
      <c r="IFZ4" s="2"/>
      <c r="IGA4" s="2"/>
      <c r="IGB4" s="2"/>
      <c r="IGC4" s="2"/>
      <c r="IGD4" s="2"/>
      <c r="IGE4" s="2"/>
      <c r="IGF4" s="2"/>
      <c r="IGG4" s="2"/>
      <c r="IGH4" s="2"/>
      <c r="IGI4" s="2"/>
      <c r="IGJ4" s="2"/>
      <c r="IGK4" s="2"/>
      <c r="IGL4" s="2"/>
      <c r="IGM4" s="2"/>
      <c r="IGN4" s="2"/>
      <c r="IGO4" s="2"/>
      <c r="IGP4" s="2"/>
      <c r="IGQ4" s="2"/>
      <c r="IGR4" s="2"/>
      <c r="IGS4" s="2"/>
      <c r="IGT4" s="2"/>
      <c r="IGU4" s="2"/>
      <c r="IGV4" s="2"/>
      <c r="IGW4" s="2"/>
      <c r="IGX4" s="2"/>
      <c r="IGY4" s="2"/>
      <c r="IGZ4" s="2"/>
      <c r="IHA4" s="2"/>
      <c r="IHB4" s="2"/>
      <c r="IHC4" s="2"/>
      <c r="IHD4" s="2"/>
      <c r="IHE4" s="2"/>
      <c r="IHF4" s="2"/>
      <c r="IHG4" s="2"/>
      <c r="IHH4" s="2"/>
      <c r="IHI4" s="2"/>
      <c r="IHJ4" s="2"/>
      <c r="IHK4" s="2"/>
      <c r="IHL4" s="2"/>
      <c r="IHM4" s="2"/>
      <c r="IHN4" s="2"/>
      <c r="IHO4" s="2"/>
      <c r="IHP4" s="2"/>
      <c r="IHQ4" s="2"/>
      <c r="IHR4" s="2"/>
      <c r="IHS4" s="2"/>
      <c r="IHT4" s="2"/>
      <c r="IHU4" s="2"/>
      <c r="IHV4" s="2"/>
      <c r="IHW4" s="2"/>
      <c r="IHX4" s="2"/>
      <c r="IHY4" s="2"/>
      <c r="IHZ4" s="2"/>
      <c r="IIA4" s="2"/>
      <c r="IIB4" s="2"/>
      <c r="IIC4" s="2"/>
      <c r="IID4" s="2"/>
      <c r="IIE4" s="2"/>
      <c r="IIF4" s="2"/>
      <c r="IIG4" s="2"/>
      <c r="IIH4" s="2"/>
      <c r="III4" s="2"/>
      <c r="IIJ4" s="2"/>
      <c r="IIK4" s="2"/>
      <c r="IIL4" s="2"/>
      <c r="IIM4" s="2"/>
      <c r="IIN4" s="2"/>
      <c r="IIO4" s="2"/>
      <c r="IIP4" s="2"/>
      <c r="IIQ4" s="2"/>
      <c r="IIR4" s="2"/>
      <c r="IIS4" s="2"/>
      <c r="IIT4" s="2"/>
      <c r="IIU4" s="2"/>
      <c r="IIV4" s="2"/>
      <c r="IIW4" s="2"/>
      <c r="IIX4" s="2"/>
      <c r="IIY4" s="2"/>
      <c r="IIZ4" s="2"/>
      <c r="IJA4" s="2"/>
      <c r="IJB4" s="2"/>
      <c r="IJC4" s="2"/>
      <c r="IJD4" s="2"/>
      <c r="IJE4" s="2"/>
      <c r="IJF4" s="2"/>
      <c r="IJG4" s="2"/>
      <c r="IJH4" s="2"/>
      <c r="IJI4" s="2"/>
      <c r="IJJ4" s="2"/>
      <c r="IJK4" s="2"/>
      <c r="IJL4" s="2"/>
      <c r="IJM4" s="2"/>
      <c r="IJN4" s="2"/>
      <c r="IJO4" s="2"/>
      <c r="IJP4" s="2"/>
      <c r="IJQ4" s="2"/>
      <c r="IJR4" s="2"/>
      <c r="IJS4" s="2"/>
      <c r="IJT4" s="2"/>
      <c r="IJU4" s="2"/>
      <c r="IJV4" s="2"/>
      <c r="IJW4" s="2"/>
      <c r="IJX4" s="2"/>
      <c r="IJY4" s="2"/>
      <c r="IJZ4" s="2"/>
      <c r="IKA4" s="2"/>
      <c r="IKB4" s="2"/>
      <c r="IKC4" s="2"/>
      <c r="IKD4" s="2"/>
      <c r="IKE4" s="2"/>
      <c r="IKF4" s="2"/>
      <c r="IKG4" s="2"/>
      <c r="IKH4" s="2"/>
      <c r="IKI4" s="2"/>
      <c r="IKJ4" s="2"/>
      <c r="IKK4" s="2"/>
      <c r="IKL4" s="2"/>
      <c r="IKM4" s="2"/>
      <c r="IKN4" s="2"/>
      <c r="IKO4" s="2"/>
      <c r="IKP4" s="2"/>
      <c r="IKQ4" s="2"/>
      <c r="IKR4" s="2"/>
      <c r="IKS4" s="2"/>
      <c r="IKT4" s="2"/>
      <c r="IKU4" s="2"/>
      <c r="IKV4" s="2"/>
      <c r="IKW4" s="2"/>
      <c r="IKX4" s="2"/>
      <c r="IKY4" s="2"/>
      <c r="IKZ4" s="2"/>
      <c r="ILA4" s="2"/>
      <c r="ILB4" s="2"/>
      <c r="ILC4" s="2"/>
      <c r="ILD4" s="2"/>
      <c r="ILE4" s="2"/>
      <c r="ILF4" s="2"/>
      <c r="ILG4" s="2"/>
      <c r="ILH4" s="2"/>
      <c r="ILI4" s="2"/>
      <c r="ILJ4" s="2"/>
      <c r="ILK4" s="2"/>
      <c r="ILL4" s="2"/>
      <c r="ILM4" s="2"/>
      <c r="ILN4" s="2"/>
      <c r="ILO4" s="2"/>
      <c r="ILP4" s="2"/>
      <c r="ILQ4" s="2"/>
      <c r="ILR4" s="2"/>
      <c r="ILS4" s="2"/>
      <c r="ILT4" s="2"/>
      <c r="ILU4" s="2"/>
      <c r="ILV4" s="2"/>
      <c r="ILW4" s="2"/>
      <c r="ILX4" s="2"/>
      <c r="ILY4" s="2"/>
      <c r="ILZ4" s="2"/>
      <c r="IMA4" s="2"/>
      <c r="IMB4" s="2"/>
      <c r="IMC4" s="2"/>
      <c r="IMD4" s="2"/>
      <c r="IME4" s="2"/>
      <c r="IMF4" s="2"/>
      <c r="IMG4" s="2"/>
      <c r="IMH4" s="2"/>
      <c r="IMI4" s="2"/>
      <c r="IMJ4" s="2"/>
      <c r="IMK4" s="2"/>
      <c r="IML4" s="2"/>
      <c r="IMM4" s="2"/>
      <c r="IMN4" s="2"/>
      <c r="IMO4" s="2"/>
      <c r="IMP4" s="2"/>
      <c r="IMQ4" s="2"/>
      <c r="IMR4" s="2"/>
      <c r="IMS4" s="2"/>
      <c r="IMT4" s="2"/>
      <c r="IMU4" s="2"/>
      <c r="IMV4" s="2"/>
      <c r="IMW4" s="2"/>
      <c r="IMX4" s="2"/>
      <c r="IMY4" s="2"/>
      <c r="IMZ4" s="2"/>
      <c r="INA4" s="2"/>
      <c r="INB4" s="2"/>
      <c r="INC4" s="2"/>
      <c r="IND4" s="2"/>
      <c r="INE4" s="2"/>
      <c r="INF4" s="2"/>
      <c r="ING4" s="2"/>
      <c r="INH4" s="2"/>
      <c r="INI4" s="2"/>
      <c r="INJ4" s="2"/>
      <c r="INK4" s="2"/>
      <c r="INL4" s="2"/>
      <c r="INM4" s="2"/>
      <c r="INN4" s="2"/>
      <c r="INO4" s="2"/>
      <c r="INP4" s="2"/>
      <c r="INQ4" s="2"/>
      <c r="INR4" s="2"/>
      <c r="INS4" s="2"/>
      <c r="INT4" s="2"/>
      <c r="INU4" s="2"/>
      <c r="INV4" s="2"/>
      <c r="INW4" s="2"/>
      <c r="INX4" s="2"/>
      <c r="INY4" s="2"/>
      <c r="INZ4" s="2"/>
      <c r="IOA4" s="2"/>
      <c r="IOB4" s="2"/>
      <c r="IOC4" s="2"/>
      <c r="IOD4" s="2"/>
      <c r="IOE4" s="2"/>
      <c r="IOF4" s="2"/>
      <c r="IOG4" s="2"/>
      <c r="IOH4" s="2"/>
      <c r="IOI4" s="2"/>
      <c r="IOJ4" s="2"/>
      <c r="IOK4" s="2"/>
      <c r="IOL4" s="2"/>
      <c r="IOM4" s="2"/>
      <c r="ION4" s="2"/>
      <c r="IOO4" s="2"/>
      <c r="IOP4" s="2"/>
      <c r="IOQ4" s="2"/>
      <c r="IOR4" s="2"/>
      <c r="IOS4" s="2"/>
      <c r="IOT4" s="2"/>
      <c r="IOU4" s="2"/>
      <c r="IOV4" s="2"/>
      <c r="IOW4" s="2"/>
      <c r="IOX4" s="2"/>
      <c r="IOY4" s="2"/>
      <c r="IOZ4" s="2"/>
      <c r="IPA4" s="2"/>
      <c r="IPB4" s="2"/>
      <c r="IPC4" s="2"/>
      <c r="IPD4" s="2"/>
      <c r="IPE4" s="2"/>
      <c r="IPF4" s="2"/>
      <c r="IPG4" s="2"/>
      <c r="IPH4" s="2"/>
      <c r="IPI4" s="2"/>
      <c r="IPJ4" s="2"/>
      <c r="IPK4" s="2"/>
      <c r="IPL4" s="2"/>
      <c r="IPM4" s="2"/>
      <c r="IPN4" s="2"/>
      <c r="IPO4" s="2"/>
      <c r="IPP4" s="2"/>
      <c r="IPQ4" s="2"/>
      <c r="IPR4" s="2"/>
      <c r="IPS4" s="2"/>
      <c r="IPT4" s="2"/>
      <c r="IPU4" s="2"/>
      <c r="IPV4" s="2"/>
      <c r="IPW4" s="2"/>
      <c r="IPX4" s="2"/>
      <c r="IPY4" s="2"/>
      <c r="IPZ4" s="2"/>
      <c r="IQA4" s="2"/>
      <c r="IQB4" s="2"/>
      <c r="IQC4" s="2"/>
      <c r="IQD4" s="2"/>
      <c r="IQE4" s="2"/>
      <c r="IQF4" s="2"/>
      <c r="IQG4" s="2"/>
      <c r="IQH4" s="2"/>
      <c r="IQI4" s="2"/>
      <c r="IQJ4" s="2"/>
      <c r="IQK4" s="2"/>
      <c r="IQL4" s="2"/>
      <c r="IQM4" s="2"/>
      <c r="IQN4" s="2"/>
      <c r="IQO4" s="2"/>
      <c r="IQP4" s="2"/>
      <c r="IQQ4" s="2"/>
      <c r="IQR4" s="2"/>
      <c r="IQS4" s="2"/>
      <c r="IQT4" s="2"/>
      <c r="IQU4" s="2"/>
      <c r="IQV4" s="2"/>
      <c r="IQW4" s="2"/>
      <c r="IQX4" s="2"/>
      <c r="IQY4" s="2"/>
      <c r="IQZ4" s="2"/>
      <c r="IRA4" s="2"/>
      <c r="IRB4" s="2"/>
      <c r="IRC4" s="2"/>
      <c r="IRD4" s="2"/>
      <c r="IRE4" s="2"/>
      <c r="IRF4" s="2"/>
      <c r="IRG4" s="2"/>
      <c r="IRH4" s="2"/>
      <c r="IRI4" s="2"/>
      <c r="IRJ4" s="2"/>
      <c r="IRK4" s="2"/>
      <c r="IRL4" s="2"/>
      <c r="IRM4" s="2"/>
      <c r="IRN4" s="2"/>
      <c r="IRO4" s="2"/>
      <c r="IRP4" s="2"/>
      <c r="IRQ4" s="2"/>
      <c r="IRR4" s="2"/>
      <c r="IRS4" s="2"/>
      <c r="IRT4" s="2"/>
      <c r="IRU4" s="2"/>
      <c r="IRV4" s="2"/>
      <c r="IRW4" s="2"/>
      <c r="IRX4" s="2"/>
      <c r="IRY4" s="2"/>
      <c r="IRZ4" s="2"/>
      <c r="ISA4" s="2"/>
      <c r="ISB4" s="2"/>
      <c r="ISC4" s="2"/>
      <c r="ISD4" s="2"/>
      <c r="ISE4" s="2"/>
      <c r="ISF4" s="2"/>
      <c r="ISG4" s="2"/>
      <c r="ISH4" s="2"/>
      <c r="ISI4" s="2"/>
      <c r="ISJ4" s="2"/>
      <c r="ISK4" s="2"/>
      <c r="ISL4" s="2"/>
      <c r="ISM4" s="2"/>
      <c r="ISN4" s="2"/>
      <c r="ISO4" s="2"/>
      <c r="ISP4" s="2"/>
      <c r="ISQ4" s="2"/>
      <c r="ISR4" s="2"/>
      <c r="ISS4" s="2"/>
      <c r="IST4" s="2"/>
      <c r="ISU4" s="2"/>
      <c r="ISV4" s="2"/>
      <c r="ISW4" s="2"/>
      <c r="ISX4" s="2"/>
      <c r="ISY4" s="2"/>
      <c r="ISZ4" s="2"/>
      <c r="ITA4" s="2"/>
      <c r="ITB4" s="2"/>
      <c r="ITC4" s="2"/>
      <c r="ITD4" s="2"/>
      <c r="ITE4" s="2"/>
      <c r="ITF4" s="2"/>
      <c r="ITG4" s="2"/>
      <c r="ITH4" s="2"/>
      <c r="ITI4" s="2"/>
      <c r="ITJ4" s="2"/>
      <c r="ITK4" s="2"/>
      <c r="ITL4" s="2"/>
      <c r="ITM4" s="2"/>
      <c r="ITN4" s="2"/>
      <c r="ITO4" s="2"/>
      <c r="ITP4" s="2"/>
      <c r="ITQ4" s="2"/>
      <c r="ITR4" s="2"/>
      <c r="ITS4" s="2"/>
      <c r="ITT4" s="2"/>
      <c r="ITU4" s="2"/>
      <c r="ITV4" s="2"/>
      <c r="ITW4" s="2"/>
      <c r="ITX4" s="2"/>
      <c r="ITY4" s="2"/>
      <c r="ITZ4" s="2"/>
      <c r="IUA4" s="2"/>
      <c r="IUB4" s="2"/>
      <c r="IUC4" s="2"/>
      <c r="IUD4" s="2"/>
      <c r="IUE4" s="2"/>
      <c r="IUF4" s="2"/>
      <c r="IUG4" s="2"/>
      <c r="IUH4" s="2"/>
      <c r="IUI4" s="2"/>
      <c r="IUJ4" s="2"/>
      <c r="IUK4" s="2"/>
      <c r="IUL4" s="2"/>
      <c r="IUM4" s="2"/>
      <c r="IUN4" s="2"/>
      <c r="IUO4" s="2"/>
      <c r="IUP4" s="2"/>
      <c r="IUQ4" s="2"/>
      <c r="IUR4" s="2"/>
      <c r="IUS4" s="2"/>
      <c r="IUT4" s="2"/>
      <c r="IUU4" s="2"/>
      <c r="IUV4" s="2"/>
      <c r="IUW4" s="2"/>
      <c r="IUX4" s="2"/>
      <c r="IUY4" s="2"/>
      <c r="IUZ4" s="2"/>
      <c r="IVA4" s="2"/>
      <c r="IVB4" s="2"/>
      <c r="IVC4" s="2"/>
      <c r="IVD4" s="2"/>
      <c r="IVE4" s="2"/>
      <c r="IVF4" s="2"/>
      <c r="IVG4" s="2"/>
      <c r="IVH4" s="2"/>
      <c r="IVI4" s="2"/>
      <c r="IVJ4" s="2"/>
      <c r="IVK4" s="2"/>
      <c r="IVL4" s="2"/>
      <c r="IVM4" s="2"/>
      <c r="IVN4" s="2"/>
      <c r="IVO4" s="2"/>
      <c r="IVP4" s="2"/>
      <c r="IVQ4" s="2"/>
      <c r="IVR4" s="2"/>
      <c r="IVS4" s="2"/>
      <c r="IVT4" s="2"/>
      <c r="IVU4" s="2"/>
      <c r="IVV4" s="2"/>
      <c r="IVW4" s="2"/>
      <c r="IVX4" s="2"/>
      <c r="IVY4" s="2"/>
      <c r="IVZ4" s="2"/>
      <c r="IWA4" s="2"/>
      <c r="IWB4" s="2"/>
      <c r="IWC4" s="2"/>
      <c r="IWD4" s="2"/>
      <c r="IWE4" s="2"/>
      <c r="IWF4" s="2"/>
      <c r="IWG4" s="2"/>
      <c r="IWH4" s="2"/>
      <c r="IWI4" s="2"/>
      <c r="IWJ4" s="2"/>
      <c r="IWK4" s="2"/>
      <c r="IWL4" s="2"/>
      <c r="IWM4" s="2"/>
      <c r="IWN4" s="2"/>
      <c r="IWO4" s="2"/>
      <c r="IWP4" s="2"/>
      <c r="IWQ4" s="2"/>
      <c r="IWR4" s="2"/>
      <c r="IWS4" s="2"/>
      <c r="IWT4" s="2"/>
      <c r="IWU4" s="2"/>
      <c r="IWV4" s="2"/>
      <c r="IWW4" s="2"/>
      <c r="IWX4" s="2"/>
      <c r="IWY4" s="2"/>
      <c r="IWZ4" s="2"/>
      <c r="IXA4" s="2"/>
      <c r="IXB4" s="2"/>
      <c r="IXC4" s="2"/>
      <c r="IXD4" s="2"/>
      <c r="IXE4" s="2"/>
      <c r="IXF4" s="2"/>
      <c r="IXG4" s="2"/>
      <c r="IXH4" s="2"/>
      <c r="IXI4" s="2"/>
      <c r="IXJ4" s="2"/>
      <c r="IXK4" s="2"/>
      <c r="IXL4" s="2"/>
      <c r="IXM4" s="2"/>
      <c r="IXN4" s="2"/>
      <c r="IXO4" s="2"/>
      <c r="IXP4" s="2"/>
      <c r="IXQ4" s="2"/>
      <c r="IXR4" s="2"/>
      <c r="IXS4" s="2"/>
      <c r="IXT4" s="2"/>
      <c r="IXU4" s="2"/>
      <c r="IXV4" s="2"/>
      <c r="IXW4" s="2"/>
      <c r="IXX4" s="2"/>
      <c r="IXY4" s="2"/>
      <c r="IXZ4" s="2"/>
      <c r="IYA4" s="2"/>
      <c r="IYB4" s="2"/>
      <c r="IYC4" s="2"/>
      <c r="IYD4" s="2"/>
      <c r="IYE4" s="2"/>
      <c r="IYF4" s="2"/>
      <c r="IYG4" s="2"/>
      <c r="IYH4" s="2"/>
      <c r="IYI4" s="2"/>
      <c r="IYJ4" s="2"/>
      <c r="IYK4" s="2"/>
      <c r="IYL4" s="2"/>
      <c r="IYM4" s="2"/>
      <c r="IYN4" s="2"/>
      <c r="IYO4" s="2"/>
      <c r="IYP4" s="2"/>
      <c r="IYQ4" s="2"/>
      <c r="IYR4" s="2"/>
      <c r="IYS4" s="2"/>
      <c r="IYT4" s="2"/>
      <c r="IYU4" s="2"/>
      <c r="IYV4" s="2"/>
      <c r="IYW4" s="2"/>
      <c r="IYX4" s="2"/>
      <c r="IYY4" s="2"/>
      <c r="IYZ4" s="2"/>
      <c r="IZA4" s="2"/>
      <c r="IZB4" s="2"/>
      <c r="IZC4" s="2"/>
      <c r="IZD4" s="2"/>
      <c r="IZE4" s="2"/>
      <c r="IZF4" s="2"/>
      <c r="IZG4" s="2"/>
      <c r="IZH4" s="2"/>
      <c r="IZI4" s="2"/>
      <c r="IZJ4" s="2"/>
      <c r="IZK4" s="2"/>
      <c r="IZL4" s="2"/>
      <c r="IZM4" s="2"/>
      <c r="IZN4" s="2"/>
      <c r="IZO4" s="2"/>
      <c r="IZP4" s="2"/>
      <c r="IZQ4" s="2"/>
      <c r="IZR4" s="2"/>
      <c r="IZS4" s="2"/>
      <c r="IZT4" s="2"/>
      <c r="IZU4" s="2"/>
      <c r="IZV4" s="2"/>
      <c r="IZW4" s="2"/>
      <c r="IZX4" s="2"/>
      <c r="IZY4" s="2"/>
      <c r="IZZ4" s="2"/>
      <c r="JAA4" s="2"/>
      <c r="JAB4" s="2"/>
      <c r="JAC4" s="2"/>
      <c r="JAD4" s="2"/>
      <c r="JAE4" s="2"/>
      <c r="JAF4" s="2"/>
      <c r="JAG4" s="2"/>
      <c r="JAH4" s="2"/>
      <c r="JAI4" s="2"/>
      <c r="JAJ4" s="2"/>
      <c r="JAK4" s="2"/>
      <c r="JAL4" s="2"/>
      <c r="JAM4" s="2"/>
      <c r="JAN4" s="2"/>
      <c r="JAO4" s="2"/>
      <c r="JAP4" s="2"/>
      <c r="JAQ4" s="2"/>
      <c r="JAR4" s="2"/>
      <c r="JAS4" s="2"/>
      <c r="JAT4" s="2"/>
      <c r="JAU4" s="2"/>
      <c r="JAV4" s="2"/>
      <c r="JAW4" s="2"/>
      <c r="JAX4" s="2"/>
      <c r="JAY4" s="2"/>
      <c r="JAZ4" s="2"/>
      <c r="JBA4" s="2"/>
      <c r="JBB4" s="2"/>
      <c r="JBC4" s="2"/>
      <c r="JBD4" s="2"/>
      <c r="JBE4" s="2"/>
      <c r="JBF4" s="2"/>
      <c r="JBG4" s="2"/>
      <c r="JBH4" s="2"/>
      <c r="JBI4" s="2"/>
      <c r="JBJ4" s="2"/>
      <c r="JBK4" s="2"/>
      <c r="JBL4" s="2"/>
      <c r="JBM4" s="2"/>
      <c r="JBN4" s="2"/>
      <c r="JBO4" s="2"/>
      <c r="JBP4" s="2"/>
      <c r="JBQ4" s="2"/>
      <c r="JBR4" s="2"/>
      <c r="JBS4" s="2"/>
      <c r="JBT4" s="2"/>
      <c r="JBU4" s="2"/>
      <c r="JBV4" s="2"/>
      <c r="JBW4" s="2"/>
      <c r="JBX4" s="2"/>
      <c r="JBY4" s="2"/>
      <c r="JBZ4" s="2"/>
      <c r="JCA4" s="2"/>
      <c r="JCB4" s="2"/>
      <c r="JCC4" s="2"/>
      <c r="JCD4" s="2"/>
      <c r="JCE4" s="2"/>
      <c r="JCF4" s="2"/>
      <c r="JCG4" s="2"/>
      <c r="JCH4" s="2"/>
      <c r="JCI4" s="2"/>
      <c r="JCJ4" s="2"/>
      <c r="JCK4" s="2"/>
      <c r="JCL4" s="2"/>
      <c r="JCM4" s="2"/>
      <c r="JCN4" s="2"/>
      <c r="JCO4" s="2"/>
      <c r="JCP4" s="2"/>
      <c r="JCQ4" s="2"/>
      <c r="JCR4" s="2"/>
      <c r="JCS4" s="2"/>
      <c r="JCT4" s="2"/>
      <c r="JCU4" s="2"/>
      <c r="JCV4" s="2"/>
      <c r="JCW4" s="2"/>
      <c r="JCX4" s="2"/>
      <c r="JCY4" s="2"/>
      <c r="JCZ4" s="2"/>
      <c r="JDA4" s="2"/>
      <c r="JDB4" s="2"/>
      <c r="JDC4" s="2"/>
      <c r="JDD4" s="2"/>
      <c r="JDE4" s="2"/>
      <c r="JDF4" s="2"/>
      <c r="JDG4" s="2"/>
      <c r="JDH4" s="2"/>
      <c r="JDI4" s="2"/>
      <c r="JDJ4" s="2"/>
      <c r="JDK4" s="2"/>
      <c r="JDL4" s="2"/>
      <c r="JDM4" s="2"/>
      <c r="JDN4" s="2"/>
      <c r="JDO4" s="2"/>
      <c r="JDP4" s="2"/>
      <c r="JDQ4" s="2"/>
      <c r="JDR4" s="2"/>
      <c r="JDS4" s="2"/>
      <c r="JDT4" s="2"/>
      <c r="JDU4" s="2"/>
      <c r="JDV4" s="2"/>
      <c r="JDW4" s="2"/>
      <c r="JDX4" s="2"/>
      <c r="JDY4" s="2"/>
      <c r="JDZ4" s="2"/>
      <c r="JEA4" s="2"/>
      <c r="JEB4" s="2"/>
      <c r="JEC4" s="2"/>
      <c r="JED4" s="2"/>
      <c r="JEE4" s="2"/>
      <c r="JEF4" s="2"/>
      <c r="JEG4" s="2"/>
      <c r="JEH4" s="2"/>
      <c r="JEI4" s="2"/>
      <c r="JEJ4" s="2"/>
      <c r="JEK4" s="2"/>
      <c r="JEL4" s="2"/>
      <c r="JEM4" s="2"/>
      <c r="JEN4" s="2"/>
      <c r="JEO4" s="2"/>
      <c r="JEP4" s="2"/>
      <c r="JEQ4" s="2"/>
      <c r="JER4" s="2"/>
      <c r="JES4" s="2"/>
      <c r="JET4" s="2"/>
      <c r="JEU4" s="2"/>
      <c r="JEV4" s="2"/>
      <c r="JEW4" s="2"/>
      <c r="JEX4" s="2"/>
      <c r="JEY4" s="2"/>
      <c r="JEZ4" s="2"/>
      <c r="JFA4" s="2"/>
      <c r="JFB4" s="2"/>
      <c r="JFC4" s="2"/>
      <c r="JFD4" s="2"/>
      <c r="JFE4" s="2"/>
      <c r="JFF4" s="2"/>
      <c r="JFG4" s="2"/>
      <c r="JFH4" s="2"/>
      <c r="JFI4" s="2"/>
      <c r="JFJ4" s="2"/>
      <c r="JFK4" s="2"/>
      <c r="JFL4" s="2"/>
      <c r="JFM4" s="2"/>
      <c r="JFN4" s="2"/>
      <c r="JFO4" s="2"/>
      <c r="JFP4" s="2"/>
      <c r="JFQ4" s="2"/>
      <c r="JFR4" s="2"/>
      <c r="JFS4" s="2"/>
      <c r="JFT4" s="2"/>
      <c r="JFU4" s="2"/>
      <c r="JFV4" s="2"/>
      <c r="JFW4" s="2"/>
      <c r="JFX4" s="2"/>
      <c r="JFY4" s="2"/>
      <c r="JFZ4" s="2"/>
      <c r="JGA4" s="2"/>
      <c r="JGB4" s="2"/>
      <c r="JGC4" s="2"/>
      <c r="JGD4" s="2"/>
      <c r="JGE4" s="2"/>
      <c r="JGF4" s="2"/>
      <c r="JGG4" s="2"/>
      <c r="JGH4" s="2"/>
      <c r="JGI4" s="2"/>
      <c r="JGJ4" s="2"/>
      <c r="JGK4" s="2"/>
      <c r="JGL4" s="2"/>
      <c r="JGM4" s="2"/>
      <c r="JGN4" s="2"/>
      <c r="JGO4" s="2"/>
      <c r="JGP4" s="2"/>
      <c r="JGQ4" s="2"/>
      <c r="JGR4" s="2"/>
      <c r="JGS4" s="2"/>
      <c r="JGT4" s="2"/>
      <c r="JGU4" s="2"/>
      <c r="JGV4" s="2"/>
      <c r="JGW4" s="2"/>
      <c r="JGX4" s="2"/>
      <c r="JGY4" s="2"/>
      <c r="JGZ4" s="2"/>
      <c r="JHA4" s="2"/>
      <c r="JHB4" s="2"/>
      <c r="JHC4" s="2"/>
      <c r="JHD4" s="2"/>
      <c r="JHE4" s="2"/>
      <c r="JHF4" s="2"/>
      <c r="JHG4" s="2"/>
      <c r="JHH4" s="2"/>
      <c r="JHI4" s="2"/>
      <c r="JHJ4" s="2"/>
      <c r="JHK4" s="2"/>
      <c r="JHL4" s="2"/>
      <c r="JHM4" s="2"/>
      <c r="JHN4" s="2"/>
      <c r="JHO4" s="2"/>
      <c r="JHP4" s="2"/>
      <c r="JHQ4" s="2"/>
      <c r="JHR4" s="2"/>
      <c r="JHS4" s="2"/>
      <c r="JHT4" s="2"/>
      <c r="JHU4" s="2"/>
      <c r="JHV4" s="2"/>
      <c r="JHW4" s="2"/>
      <c r="JHX4" s="2"/>
      <c r="JHY4" s="2"/>
      <c r="JHZ4" s="2"/>
      <c r="JIA4" s="2"/>
      <c r="JIB4" s="2"/>
      <c r="JIC4" s="2"/>
      <c r="JID4" s="2"/>
      <c r="JIE4" s="2"/>
      <c r="JIF4" s="2"/>
      <c r="JIG4" s="2"/>
      <c r="JIH4" s="2"/>
      <c r="JII4" s="2"/>
      <c r="JIJ4" s="2"/>
      <c r="JIK4" s="2"/>
      <c r="JIL4" s="2"/>
      <c r="JIM4" s="2"/>
      <c r="JIN4" s="2"/>
      <c r="JIO4" s="2"/>
      <c r="JIP4" s="2"/>
      <c r="JIQ4" s="2"/>
      <c r="JIR4" s="2"/>
      <c r="JIS4" s="2"/>
      <c r="JIT4" s="2"/>
      <c r="JIU4" s="2"/>
      <c r="JIV4" s="2"/>
      <c r="JIW4" s="2"/>
      <c r="JIX4" s="2"/>
      <c r="JIY4" s="2"/>
      <c r="JIZ4" s="2"/>
      <c r="JJA4" s="2"/>
      <c r="JJB4" s="2"/>
      <c r="JJC4" s="2"/>
      <c r="JJD4" s="2"/>
      <c r="JJE4" s="2"/>
      <c r="JJF4" s="2"/>
      <c r="JJG4" s="2"/>
      <c r="JJH4" s="2"/>
      <c r="JJI4" s="2"/>
      <c r="JJJ4" s="2"/>
      <c r="JJK4" s="2"/>
      <c r="JJL4" s="2"/>
      <c r="JJM4" s="2"/>
      <c r="JJN4" s="2"/>
      <c r="JJO4" s="2"/>
      <c r="JJP4" s="2"/>
      <c r="JJQ4" s="2"/>
      <c r="JJR4" s="2"/>
      <c r="JJS4" s="2"/>
      <c r="JJT4" s="2"/>
      <c r="JJU4" s="2"/>
      <c r="JJV4" s="2"/>
      <c r="JJW4" s="2"/>
      <c r="JJX4" s="2"/>
      <c r="JJY4" s="2"/>
      <c r="JJZ4" s="2"/>
      <c r="JKA4" s="2"/>
      <c r="JKB4" s="2"/>
      <c r="JKC4" s="2"/>
      <c r="JKD4" s="2"/>
      <c r="JKE4" s="2"/>
      <c r="JKF4" s="2"/>
      <c r="JKG4" s="2"/>
      <c r="JKH4" s="2"/>
      <c r="JKI4" s="2"/>
      <c r="JKJ4" s="2"/>
      <c r="JKK4" s="2"/>
      <c r="JKL4" s="2"/>
      <c r="JKM4" s="2"/>
      <c r="JKN4" s="2"/>
      <c r="JKO4" s="2"/>
      <c r="JKP4" s="2"/>
      <c r="JKQ4" s="2"/>
      <c r="JKR4" s="2"/>
      <c r="JKS4" s="2"/>
      <c r="JKT4" s="2"/>
      <c r="JKU4" s="2"/>
      <c r="JKV4" s="2"/>
      <c r="JKW4" s="2"/>
      <c r="JKX4" s="2"/>
      <c r="JKY4" s="2"/>
      <c r="JKZ4" s="2"/>
      <c r="JLA4" s="2"/>
      <c r="JLB4" s="2"/>
      <c r="JLC4" s="2"/>
      <c r="JLD4" s="2"/>
      <c r="JLE4" s="2"/>
      <c r="JLF4" s="2"/>
      <c r="JLG4" s="2"/>
      <c r="JLH4" s="2"/>
      <c r="JLI4" s="2"/>
      <c r="JLJ4" s="2"/>
      <c r="JLK4" s="2"/>
      <c r="JLL4" s="2"/>
      <c r="JLM4" s="2"/>
      <c r="JLN4" s="2"/>
      <c r="JLO4" s="2"/>
      <c r="JLP4" s="2"/>
      <c r="JLQ4" s="2"/>
      <c r="JLR4" s="2"/>
      <c r="JLS4" s="2"/>
      <c r="JLT4" s="2"/>
      <c r="JLU4" s="2"/>
      <c r="JLV4" s="2"/>
      <c r="JLW4" s="2"/>
      <c r="JLX4" s="2"/>
      <c r="JLY4" s="2"/>
      <c r="JLZ4" s="2"/>
      <c r="JMA4" s="2"/>
      <c r="JMB4" s="2"/>
      <c r="JMC4" s="2"/>
      <c r="JMD4" s="2"/>
      <c r="JME4" s="2"/>
      <c r="JMF4" s="2"/>
      <c r="JMG4" s="2"/>
      <c r="JMH4" s="2"/>
      <c r="JMI4" s="2"/>
      <c r="JMJ4" s="2"/>
      <c r="JMK4" s="2"/>
      <c r="JML4" s="2"/>
      <c r="JMM4" s="2"/>
      <c r="JMN4" s="2"/>
      <c r="JMO4" s="2"/>
      <c r="JMP4" s="2"/>
      <c r="JMQ4" s="2"/>
      <c r="JMR4" s="2"/>
      <c r="JMS4" s="2"/>
      <c r="JMT4" s="2"/>
      <c r="JMU4" s="2"/>
      <c r="JMV4" s="2"/>
      <c r="JMW4" s="2"/>
      <c r="JMX4" s="2"/>
      <c r="JMY4" s="2"/>
      <c r="JMZ4" s="2"/>
      <c r="JNA4" s="2"/>
      <c r="JNB4" s="2"/>
      <c r="JNC4" s="2"/>
      <c r="JND4" s="2"/>
      <c r="JNE4" s="2"/>
      <c r="JNF4" s="2"/>
      <c r="JNG4" s="2"/>
      <c r="JNH4" s="2"/>
      <c r="JNI4" s="2"/>
      <c r="JNJ4" s="2"/>
      <c r="JNK4" s="2"/>
      <c r="JNL4" s="2"/>
      <c r="JNM4" s="2"/>
      <c r="JNN4" s="2"/>
      <c r="JNO4" s="2"/>
      <c r="JNP4" s="2"/>
      <c r="JNQ4" s="2"/>
      <c r="JNR4" s="2"/>
      <c r="JNS4" s="2"/>
      <c r="JNT4" s="2"/>
      <c r="JNU4" s="2"/>
      <c r="JNV4" s="2"/>
      <c r="JNW4" s="2"/>
      <c r="JNX4" s="2"/>
      <c r="JNY4" s="2"/>
      <c r="JNZ4" s="2"/>
      <c r="JOA4" s="2"/>
      <c r="JOB4" s="2"/>
      <c r="JOC4" s="2"/>
      <c r="JOD4" s="2"/>
      <c r="JOE4" s="2"/>
      <c r="JOF4" s="2"/>
      <c r="JOG4" s="2"/>
      <c r="JOH4" s="2"/>
      <c r="JOI4" s="2"/>
      <c r="JOJ4" s="2"/>
      <c r="JOK4" s="2"/>
      <c r="JOL4" s="2"/>
      <c r="JOM4" s="2"/>
      <c r="JON4" s="2"/>
      <c r="JOO4" s="2"/>
      <c r="JOP4" s="2"/>
      <c r="JOQ4" s="2"/>
      <c r="JOR4" s="2"/>
      <c r="JOS4" s="2"/>
      <c r="JOT4" s="2"/>
      <c r="JOU4" s="2"/>
      <c r="JOV4" s="2"/>
      <c r="JOW4" s="2"/>
      <c r="JOX4" s="2"/>
      <c r="JOY4" s="2"/>
      <c r="JOZ4" s="2"/>
      <c r="JPA4" s="2"/>
      <c r="JPB4" s="2"/>
      <c r="JPC4" s="2"/>
      <c r="JPD4" s="2"/>
      <c r="JPE4" s="2"/>
      <c r="JPF4" s="2"/>
      <c r="JPG4" s="2"/>
      <c r="JPH4" s="2"/>
      <c r="JPI4" s="2"/>
      <c r="JPJ4" s="2"/>
      <c r="JPK4" s="2"/>
      <c r="JPL4" s="2"/>
      <c r="JPM4" s="2"/>
      <c r="JPN4" s="2"/>
      <c r="JPO4" s="2"/>
      <c r="JPP4" s="2"/>
      <c r="JPQ4" s="2"/>
      <c r="JPR4" s="2"/>
      <c r="JPS4" s="2"/>
      <c r="JPT4" s="2"/>
      <c r="JPU4" s="2"/>
      <c r="JPV4" s="2"/>
      <c r="JPW4" s="2"/>
      <c r="JPX4" s="2"/>
      <c r="JPY4" s="2"/>
      <c r="JPZ4" s="2"/>
      <c r="JQA4" s="2"/>
      <c r="JQB4" s="2"/>
      <c r="JQC4" s="2"/>
      <c r="JQD4" s="2"/>
      <c r="JQE4" s="2"/>
      <c r="JQF4" s="2"/>
      <c r="JQG4" s="2"/>
      <c r="JQH4" s="2"/>
      <c r="JQI4" s="2"/>
      <c r="JQJ4" s="2"/>
      <c r="JQK4" s="2"/>
      <c r="JQL4" s="2"/>
      <c r="JQM4" s="2"/>
      <c r="JQN4" s="2"/>
      <c r="JQO4" s="2"/>
      <c r="JQP4" s="2"/>
      <c r="JQQ4" s="2"/>
      <c r="JQR4" s="2"/>
      <c r="JQS4" s="2"/>
      <c r="JQT4" s="2"/>
      <c r="JQU4" s="2"/>
      <c r="JQV4" s="2"/>
      <c r="JQW4" s="2"/>
      <c r="JQX4" s="2"/>
      <c r="JQY4" s="2"/>
      <c r="JQZ4" s="2"/>
      <c r="JRA4" s="2"/>
      <c r="JRB4" s="2"/>
      <c r="JRC4" s="2"/>
      <c r="JRD4" s="2"/>
      <c r="JRE4" s="2"/>
      <c r="JRF4" s="2"/>
      <c r="JRG4" s="2"/>
      <c r="JRH4" s="2"/>
      <c r="JRI4" s="2"/>
      <c r="JRJ4" s="2"/>
      <c r="JRK4" s="2"/>
      <c r="JRL4" s="2"/>
      <c r="JRM4" s="2"/>
      <c r="JRN4" s="2"/>
      <c r="JRO4" s="2"/>
      <c r="JRP4" s="2"/>
      <c r="JRQ4" s="2"/>
      <c r="JRR4" s="2"/>
      <c r="JRS4" s="2"/>
      <c r="JRT4" s="2"/>
      <c r="JRU4" s="2"/>
      <c r="JRV4" s="2"/>
      <c r="JRW4" s="2"/>
      <c r="JRX4" s="2"/>
      <c r="JRY4" s="2"/>
      <c r="JRZ4" s="2"/>
      <c r="JSA4" s="2"/>
      <c r="JSB4" s="2"/>
      <c r="JSC4" s="2"/>
      <c r="JSD4" s="2"/>
      <c r="JSE4" s="2"/>
      <c r="JSF4" s="2"/>
      <c r="JSG4" s="2"/>
      <c r="JSH4" s="2"/>
      <c r="JSI4" s="2"/>
      <c r="JSJ4" s="2"/>
      <c r="JSK4" s="2"/>
      <c r="JSL4" s="2"/>
      <c r="JSM4" s="2"/>
      <c r="JSN4" s="2"/>
      <c r="JSO4" s="2"/>
      <c r="JSP4" s="2"/>
      <c r="JSQ4" s="2"/>
      <c r="JSR4" s="2"/>
      <c r="JSS4" s="2"/>
      <c r="JST4" s="2"/>
      <c r="JSU4" s="2"/>
      <c r="JSV4" s="2"/>
      <c r="JSW4" s="2"/>
      <c r="JSX4" s="2"/>
      <c r="JSY4" s="2"/>
      <c r="JSZ4" s="2"/>
      <c r="JTA4" s="2"/>
      <c r="JTB4" s="2"/>
      <c r="JTC4" s="2"/>
      <c r="JTD4" s="2"/>
      <c r="JTE4" s="2"/>
      <c r="JTF4" s="2"/>
      <c r="JTG4" s="2"/>
      <c r="JTH4" s="2"/>
      <c r="JTI4" s="2"/>
      <c r="JTJ4" s="2"/>
      <c r="JTK4" s="2"/>
      <c r="JTL4" s="2"/>
      <c r="JTM4" s="2"/>
      <c r="JTN4" s="2"/>
      <c r="JTO4" s="2"/>
      <c r="JTP4" s="2"/>
      <c r="JTQ4" s="2"/>
      <c r="JTR4" s="2"/>
      <c r="JTS4" s="2"/>
      <c r="JTT4" s="2"/>
      <c r="JTU4" s="2"/>
      <c r="JTV4" s="2"/>
      <c r="JTW4" s="2"/>
      <c r="JTX4" s="2"/>
      <c r="JTY4" s="2"/>
      <c r="JTZ4" s="2"/>
      <c r="JUA4" s="2"/>
      <c r="JUB4" s="2"/>
      <c r="JUC4" s="2"/>
      <c r="JUD4" s="2"/>
      <c r="JUE4" s="2"/>
      <c r="JUF4" s="2"/>
      <c r="JUG4" s="2"/>
      <c r="JUH4" s="2"/>
      <c r="JUI4" s="2"/>
      <c r="JUJ4" s="2"/>
      <c r="JUK4" s="2"/>
      <c r="JUL4" s="2"/>
      <c r="JUM4" s="2"/>
      <c r="JUN4" s="2"/>
      <c r="JUO4" s="2"/>
      <c r="JUP4" s="2"/>
      <c r="JUQ4" s="2"/>
      <c r="JUR4" s="2"/>
      <c r="JUS4" s="2"/>
      <c r="JUT4" s="2"/>
      <c r="JUU4" s="2"/>
      <c r="JUV4" s="2"/>
      <c r="JUW4" s="2"/>
      <c r="JUX4" s="2"/>
      <c r="JUY4" s="2"/>
      <c r="JUZ4" s="2"/>
      <c r="JVA4" s="2"/>
      <c r="JVB4" s="2"/>
      <c r="JVC4" s="2"/>
      <c r="JVD4" s="2"/>
      <c r="JVE4" s="2"/>
      <c r="JVF4" s="2"/>
      <c r="JVG4" s="2"/>
      <c r="JVH4" s="2"/>
      <c r="JVI4" s="2"/>
      <c r="JVJ4" s="2"/>
      <c r="JVK4" s="2"/>
      <c r="JVL4" s="2"/>
      <c r="JVM4" s="2"/>
      <c r="JVN4" s="2"/>
      <c r="JVO4" s="2"/>
      <c r="JVP4" s="2"/>
      <c r="JVQ4" s="2"/>
      <c r="JVR4" s="2"/>
      <c r="JVS4" s="2"/>
      <c r="JVT4" s="2"/>
      <c r="JVU4" s="2"/>
      <c r="JVV4" s="2"/>
      <c r="JVW4" s="2"/>
      <c r="JVX4" s="2"/>
      <c r="JVY4" s="2"/>
      <c r="JVZ4" s="2"/>
      <c r="JWA4" s="2"/>
      <c r="JWB4" s="2"/>
      <c r="JWC4" s="2"/>
      <c r="JWD4" s="2"/>
      <c r="JWE4" s="2"/>
      <c r="JWF4" s="2"/>
      <c r="JWG4" s="2"/>
      <c r="JWH4" s="2"/>
      <c r="JWI4" s="2"/>
      <c r="JWJ4" s="2"/>
      <c r="JWK4" s="2"/>
      <c r="JWL4" s="2"/>
      <c r="JWM4" s="2"/>
      <c r="JWN4" s="2"/>
      <c r="JWO4" s="2"/>
      <c r="JWP4" s="2"/>
      <c r="JWQ4" s="2"/>
      <c r="JWR4" s="2"/>
      <c r="JWS4" s="2"/>
      <c r="JWT4" s="2"/>
      <c r="JWU4" s="2"/>
      <c r="JWV4" s="2"/>
      <c r="JWW4" s="2"/>
      <c r="JWX4" s="2"/>
      <c r="JWY4" s="2"/>
      <c r="JWZ4" s="2"/>
      <c r="JXA4" s="2"/>
      <c r="JXB4" s="2"/>
      <c r="JXC4" s="2"/>
      <c r="JXD4" s="2"/>
      <c r="JXE4" s="2"/>
      <c r="JXF4" s="2"/>
      <c r="JXG4" s="2"/>
      <c r="JXH4" s="2"/>
      <c r="JXI4" s="2"/>
      <c r="JXJ4" s="2"/>
      <c r="JXK4" s="2"/>
      <c r="JXL4" s="2"/>
      <c r="JXM4" s="2"/>
      <c r="JXN4" s="2"/>
      <c r="JXO4" s="2"/>
      <c r="JXP4" s="2"/>
      <c r="JXQ4" s="2"/>
      <c r="JXR4" s="2"/>
      <c r="JXS4" s="2"/>
      <c r="JXT4" s="2"/>
      <c r="JXU4" s="2"/>
      <c r="JXV4" s="2"/>
      <c r="JXW4" s="2"/>
      <c r="JXX4" s="2"/>
      <c r="JXY4" s="2"/>
      <c r="JXZ4" s="2"/>
      <c r="JYA4" s="2"/>
      <c r="JYB4" s="2"/>
      <c r="JYC4" s="2"/>
      <c r="JYD4" s="2"/>
      <c r="JYE4" s="2"/>
      <c r="JYF4" s="2"/>
      <c r="JYG4" s="2"/>
      <c r="JYH4" s="2"/>
      <c r="JYI4" s="2"/>
      <c r="JYJ4" s="2"/>
      <c r="JYK4" s="2"/>
      <c r="JYL4" s="2"/>
      <c r="JYM4" s="2"/>
      <c r="JYN4" s="2"/>
      <c r="JYO4" s="2"/>
      <c r="JYP4" s="2"/>
      <c r="JYQ4" s="2"/>
      <c r="JYR4" s="2"/>
      <c r="JYS4" s="2"/>
      <c r="JYT4" s="2"/>
      <c r="JYU4" s="2"/>
      <c r="JYV4" s="2"/>
      <c r="JYW4" s="2"/>
      <c r="JYX4" s="2"/>
      <c r="JYY4" s="2"/>
      <c r="JYZ4" s="2"/>
      <c r="JZA4" s="2"/>
      <c r="JZB4" s="2"/>
      <c r="JZC4" s="2"/>
      <c r="JZD4" s="2"/>
      <c r="JZE4" s="2"/>
      <c r="JZF4" s="2"/>
      <c r="JZG4" s="2"/>
      <c r="JZH4" s="2"/>
      <c r="JZI4" s="2"/>
      <c r="JZJ4" s="2"/>
      <c r="JZK4" s="2"/>
      <c r="JZL4" s="2"/>
      <c r="JZM4" s="2"/>
      <c r="JZN4" s="2"/>
      <c r="JZO4" s="2"/>
      <c r="JZP4" s="2"/>
      <c r="JZQ4" s="2"/>
      <c r="JZR4" s="2"/>
      <c r="JZS4" s="2"/>
      <c r="JZT4" s="2"/>
      <c r="JZU4" s="2"/>
      <c r="JZV4" s="2"/>
      <c r="JZW4" s="2"/>
      <c r="JZX4" s="2"/>
      <c r="JZY4" s="2"/>
      <c r="JZZ4" s="2"/>
      <c r="KAA4" s="2"/>
      <c r="KAB4" s="2"/>
      <c r="KAC4" s="2"/>
      <c r="KAD4" s="2"/>
      <c r="KAE4" s="2"/>
      <c r="KAF4" s="2"/>
      <c r="KAG4" s="2"/>
      <c r="KAH4" s="2"/>
      <c r="KAI4" s="2"/>
      <c r="KAJ4" s="2"/>
      <c r="KAK4" s="2"/>
      <c r="KAL4" s="2"/>
      <c r="KAM4" s="2"/>
      <c r="KAN4" s="2"/>
      <c r="KAO4" s="2"/>
      <c r="KAP4" s="2"/>
      <c r="KAQ4" s="2"/>
      <c r="KAR4" s="2"/>
      <c r="KAS4" s="2"/>
      <c r="KAT4" s="2"/>
      <c r="KAU4" s="2"/>
      <c r="KAV4" s="2"/>
      <c r="KAW4" s="2"/>
      <c r="KAX4" s="2"/>
      <c r="KAY4" s="2"/>
      <c r="KAZ4" s="2"/>
      <c r="KBA4" s="2"/>
      <c r="KBB4" s="2"/>
      <c r="KBC4" s="2"/>
      <c r="KBD4" s="2"/>
      <c r="KBE4" s="2"/>
      <c r="KBF4" s="2"/>
      <c r="KBG4" s="2"/>
      <c r="KBH4" s="2"/>
      <c r="KBI4" s="2"/>
      <c r="KBJ4" s="2"/>
      <c r="KBK4" s="2"/>
      <c r="KBL4" s="2"/>
      <c r="KBM4" s="2"/>
      <c r="KBN4" s="2"/>
      <c r="KBO4" s="2"/>
      <c r="KBP4" s="2"/>
      <c r="KBQ4" s="2"/>
      <c r="KBR4" s="2"/>
      <c r="KBS4" s="2"/>
      <c r="KBT4" s="2"/>
      <c r="KBU4" s="2"/>
      <c r="KBV4" s="2"/>
      <c r="KBW4" s="2"/>
      <c r="KBX4" s="2"/>
      <c r="KBY4" s="2"/>
      <c r="KBZ4" s="2"/>
      <c r="KCA4" s="2"/>
      <c r="KCB4" s="2"/>
      <c r="KCC4" s="2"/>
      <c r="KCD4" s="2"/>
      <c r="KCE4" s="2"/>
      <c r="KCF4" s="2"/>
      <c r="KCG4" s="2"/>
      <c r="KCH4" s="2"/>
      <c r="KCI4" s="2"/>
      <c r="KCJ4" s="2"/>
      <c r="KCK4" s="2"/>
      <c r="KCL4" s="2"/>
      <c r="KCM4" s="2"/>
      <c r="KCN4" s="2"/>
      <c r="KCO4" s="2"/>
      <c r="KCP4" s="2"/>
      <c r="KCQ4" s="2"/>
      <c r="KCR4" s="2"/>
      <c r="KCS4" s="2"/>
      <c r="KCT4" s="2"/>
      <c r="KCU4" s="2"/>
      <c r="KCV4" s="2"/>
      <c r="KCW4" s="2"/>
      <c r="KCX4" s="2"/>
      <c r="KCY4" s="2"/>
      <c r="KCZ4" s="2"/>
      <c r="KDA4" s="2"/>
      <c r="KDB4" s="2"/>
      <c r="KDC4" s="2"/>
      <c r="KDD4" s="2"/>
      <c r="KDE4" s="2"/>
      <c r="KDF4" s="2"/>
      <c r="KDG4" s="2"/>
      <c r="KDH4" s="2"/>
      <c r="KDI4" s="2"/>
      <c r="KDJ4" s="2"/>
      <c r="KDK4" s="2"/>
      <c r="KDL4" s="2"/>
      <c r="KDM4" s="2"/>
      <c r="KDN4" s="2"/>
      <c r="KDO4" s="2"/>
      <c r="KDP4" s="2"/>
      <c r="KDQ4" s="2"/>
      <c r="KDR4" s="2"/>
      <c r="KDS4" s="2"/>
      <c r="KDT4" s="2"/>
      <c r="KDU4" s="2"/>
      <c r="KDV4" s="2"/>
      <c r="KDW4" s="2"/>
      <c r="KDX4" s="2"/>
      <c r="KDY4" s="2"/>
      <c r="KDZ4" s="2"/>
      <c r="KEA4" s="2"/>
      <c r="KEB4" s="2"/>
      <c r="KEC4" s="2"/>
      <c r="KED4" s="2"/>
      <c r="KEE4" s="2"/>
      <c r="KEF4" s="2"/>
      <c r="KEG4" s="2"/>
      <c r="KEH4" s="2"/>
      <c r="KEI4" s="2"/>
      <c r="KEJ4" s="2"/>
      <c r="KEK4" s="2"/>
      <c r="KEL4" s="2"/>
      <c r="KEM4" s="2"/>
      <c r="KEN4" s="2"/>
      <c r="KEO4" s="2"/>
      <c r="KEP4" s="2"/>
      <c r="KEQ4" s="2"/>
      <c r="KER4" s="2"/>
      <c r="KES4" s="2"/>
      <c r="KET4" s="2"/>
      <c r="KEU4" s="2"/>
      <c r="KEV4" s="2"/>
      <c r="KEW4" s="2"/>
      <c r="KEX4" s="2"/>
      <c r="KEY4" s="2"/>
      <c r="KEZ4" s="2"/>
      <c r="KFA4" s="2"/>
      <c r="KFB4" s="2"/>
      <c r="KFC4" s="2"/>
      <c r="KFD4" s="2"/>
      <c r="KFE4" s="2"/>
      <c r="KFF4" s="2"/>
      <c r="KFG4" s="2"/>
      <c r="KFH4" s="2"/>
      <c r="KFI4" s="2"/>
      <c r="KFJ4" s="2"/>
      <c r="KFK4" s="2"/>
      <c r="KFL4" s="2"/>
      <c r="KFM4" s="2"/>
      <c r="KFN4" s="2"/>
      <c r="KFO4" s="2"/>
      <c r="KFP4" s="2"/>
      <c r="KFQ4" s="2"/>
      <c r="KFR4" s="2"/>
      <c r="KFS4" s="2"/>
      <c r="KFT4" s="2"/>
      <c r="KFU4" s="2"/>
      <c r="KFV4" s="2"/>
      <c r="KFW4" s="2"/>
      <c r="KFX4" s="2"/>
      <c r="KFY4" s="2"/>
      <c r="KFZ4" s="2"/>
      <c r="KGA4" s="2"/>
      <c r="KGB4" s="2"/>
      <c r="KGC4" s="2"/>
      <c r="KGD4" s="2"/>
      <c r="KGE4" s="2"/>
      <c r="KGF4" s="2"/>
      <c r="KGG4" s="2"/>
      <c r="KGH4" s="2"/>
      <c r="KGI4" s="2"/>
      <c r="KGJ4" s="2"/>
      <c r="KGK4" s="2"/>
      <c r="KGL4" s="2"/>
      <c r="KGM4" s="2"/>
      <c r="KGN4" s="2"/>
      <c r="KGO4" s="2"/>
      <c r="KGP4" s="2"/>
      <c r="KGQ4" s="2"/>
      <c r="KGR4" s="2"/>
      <c r="KGS4" s="2"/>
      <c r="KGT4" s="2"/>
      <c r="KGU4" s="2"/>
      <c r="KGV4" s="2"/>
      <c r="KGW4" s="2"/>
      <c r="KGX4" s="2"/>
      <c r="KGY4" s="2"/>
      <c r="KGZ4" s="2"/>
      <c r="KHA4" s="2"/>
      <c r="KHB4" s="2"/>
      <c r="KHC4" s="2"/>
      <c r="KHD4" s="2"/>
      <c r="KHE4" s="2"/>
      <c r="KHF4" s="2"/>
      <c r="KHG4" s="2"/>
      <c r="KHH4" s="2"/>
      <c r="KHI4" s="2"/>
      <c r="KHJ4" s="2"/>
      <c r="KHK4" s="2"/>
      <c r="KHL4" s="2"/>
      <c r="KHM4" s="2"/>
      <c r="KHN4" s="2"/>
      <c r="KHO4" s="2"/>
      <c r="KHP4" s="2"/>
      <c r="KHQ4" s="2"/>
      <c r="KHR4" s="2"/>
      <c r="KHS4" s="2"/>
      <c r="KHT4" s="2"/>
      <c r="KHU4" s="2"/>
      <c r="KHV4" s="2"/>
      <c r="KHW4" s="2"/>
      <c r="KHX4" s="2"/>
      <c r="KHY4" s="2"/>
      <c r="KHZ4" s="2"/>
      <c r="KIA4" s="2"/>
      <c r="KIB4" s="2"/>
      <c r="KIC4" s="2"/>
      <c r="KID4" s="2"/>
      <c r="KIE4" s="2"/>
      <c r="KIF4" s="2"/>
      <c r="KIG4" s="2"/>
      <c r="KIH4" s="2"/>
      <c r="KII4" s="2"/>
      <c r="KIJ4" s="2"/>
      <c r="KIK4" s="2"/>
      <c r="KIL4" s="2"/>
      <c r="KIM4" s="2"/>
      <c r="KIN4" s="2"/>
      <c r="KIO4" s="2"/>
      <c r="KIP4" s="2"/>
      <c r="KIQ4" s="2"/>
      <c r="KIR4" s="2"/>
      <c r="KIS4" s="2"/>
      <c r="KIT4" s="2"/>
      <c r="KIU4" s="2"/>
      <c r="KIV4" s="2"/>
      <c r="KIW4" s="2"/>
      <c r="KIX4" s="2"/>
      <c r="KIY4" s="2"/>
      <c r="KIZ4" s="2"/>
      <c r="KJA4" s="2"/>
      <c r="KJB4" s="2"/>
      <c r="KJC4" s="2"/>
      <c r="KJD4" s="2"/>
      <c r="KJE4" s="2"/>
      <c r="KJF4" s="2"/>
      <c r="KJG4" s="2"/>
      <c r="KJH4" s="2"/>
      <c r="KJI4" s="2"/>
      <c r="KJJ4" s="2"/>
      <c r="KJK4" s="2"/>
      <c r="KJL4" s="2"/>
      <c r="KJM4" s="2"/>
      <c r="KJN4" s="2"/>
      <c r="KJO4" s="2"/>
      <c r="KJP4" s="2"/>
      <c r="KJQ4" s="2"/>
      <c r="KJR4" s="2"/>
      <c r="KJS4" s="2"/>
      <c r="KJT4" s="2"/>
      <c r="KJU4" s="2"/>
      <c r="KJV4" s="2"/>
      <c r="KJW4" s="2"/>
      <c r="KJX4" s="2"/>
      <c r="KJY4" s="2"/>
      <c r="KJZ4" s="2"/>
      <c r="KKA4" s="2"/>
      <c r="KKB4" s="2"/>
      <c r="KKC4" s="2"/>
      <c r="KKD4" s="2"/>
      <c r="KKE4" s="2"/>
      <c r="KKF4" s="2"/>
      <c r="KKG4" s="2"/>
      <c r="KKH4" s="2"/>
      <c r="KKI4" s="2"/>
      <c r="KKJ4" s="2"/>
      <c r="KKK4" s="2"/>
      <c r="KKL4" s="2"/>
      <c r="KKM4" s="2"/>
      <c r="KKN4" s="2"/>
      <c r="KKO4" s="2"/>
      <c r="KKP4" s="2"/>
      <c r="KKQ4" s="2"/>
      <c r="KKR4" s="2"/>
      <c r="KKS4" s="2"/>
      <c r="KKT4" s="2"/>
      <c r="KKU4" s="2"/>
      <c r="KKV4" s="2"/>
      <c r="KKW4" s="2"/>
      <c r="KKX4" s="2"/>
      <c r="KKY4" s="2"/>
      <c r="KKZ4" s="2"/>
      <c r="KLA4" s="2"/>
      <c r="KLB4" s="2"/>
      <c r="KLC4" s="2"/>
      <c r="KLD4" s="2"/>
      <c r="KLE4" s="2"/>
      <c r="KLF4" s="2"/>
      <c r="KLG4" s="2"/>
      <c r="KLH4" s="2"/>
      <c r="KLI4" s="2"/>
      <c r="KLJ4" s="2"/>
      <c r="KLK4" s="2"/>
      <c r="KLL4" s="2"/>
      <c r="KLM4" s="2"/>
      <c r="KLN4" s="2"/>
      <c r="KLO4" s="2"/>
      <c r="KLP4" s="2"/>
      <c r="KLQ4" s="2"/>
      <c r="KLR4" s="2"/>
      <c r="KLS4" s="2"/>
      <c r="KLT4" s="2"/>
      <c r="KLU4" s="2"/>
      <c r="KLV4" s="2"/>
      <c r="KLW4" s="2"/>
      <c r="KLX4" s="2"/>
      <c r="KLY4" s="2"/>
      <c r="KLZ4" s="2"/>
      <c r="KMA4" s="2"/>
      <c r="KMB4" s="2"/>
      <c r="KMC4" s="2"/>
      <c r="KMD4" s="2"/>
      <c r="KME4" s="2"/>
      <c r="KMF4" s="2"/>
      <c r="KMG4" s="2"/>
      <c r="KMH4" s="2"/>
      <c r="KMI4" s="2"/>
      <c r="KMJ4" s="2"/>
      <c r="KMK4" s="2"/>
      <c r="KML4" s="2"/>
      <c r="KMM4" s="2"/>
      <c r="KMN4" s="2"/>
      <c r="KMO4" s="2"/>
      <c r="KMP4" s="2"/>
      <c r="KMQ4" s="2"/>
      <c r="KMR4" s="2"/>
      <c r="KMS4" s="2"/>
      <c r="KMT4" s="2"/>
      <c r="KMU4" s="2"/>
      <c r="KMV4" s="2"/>
      <c r="KMW4" s="2"/>
      <c r="KMX4" s="2"/>
      <c r="KMY4" s="2"/>
      <c r="KMZ4" s="2"/>
      <c r="KNA4" s="2"/>
      <c r="KNB4" s="2"/>
      <c r="KNC4" s="2"/>
      <c r="KND4" s="2"/>
      <c r="KNE4" s="2"/>
      <c r="KNF4" s="2"/>
      <c r="KNG4" s="2"/>
      <c r="KNH4" s="2"/>
      <c r="KNI4" s="2"/>
      <c r="KNJ4" s="2"/>
      <c r="KNK4" s="2"/>
      <c r="KNL4" s="2"/>
      <c r="KNM4" s="2"/>
      <c r="KNN4" s="2"/>
      <c r="KNO4" s="2"/>
      <c r="KNP4" s="2"/>
      <c r="KNQ4" s="2"/>
      <c r="KNR4" s="2"/>
      <c r="KNS4" s="2"/>
      <c r="KNT4" s="2"/>
      <c r="KNU4" s="2"/>
      <c r="KNV4" s="2"/>
      <c r="KNW4" s="2"/>
      <c r="KNX4" s="2"/>
      <c r="KNY4" s="2"/>
      <c r="KNZ4" s="2"/>
      <c r="KOA4" s="2"/>
      <c r="KOB4" s="2"/>
      <c r="KOC4" s="2"/>
      <c r="KOD4" s="2"/>
      <c r="KOE4" s="2"/>
      <c r="KOF4" s="2"/>
      <c r="KOG4" s="2"/>
      <c r="KOH4" s="2"/>
      <c r="KOI4" s="2"/>
      <c r="KOJ4" s="2"/>
      <c r="KOK4" s="2"/>
      <c r="KOL4" s="2"/>
      <c r="KOM4" s="2"/>
      <c r="KON4" s="2"/>
      <c r="KOO4" s="2"/>
      <c r="KOP4" s="2"/>
      <c r="KOQ4" s="2"/>
      <c r="KOR4" s="2"/>
      <c r="KOS4" s="2"/>
      <c r="KOT4" s="2"/>
      <c r="KOU4" s="2"/>
      <c r="KOV4" s="2"/>
      <c r="KOW4" s="2"/>
      <c r="KOX4" s="2"/>
      <c r="KOY4" s="2"/>
      <c r="KOZ4" s="2"/>
      <c r="KPA4" s="2"/>
      <c r="KPB4" s="2"/>
      <c r="KPC4" s="2"/>
      <c r="KPD4" s="2"/>
      <c r="KPE4" s="2"/>
      <c r="KPF4" s="2"/>
      <c r="KPG4" s="2"/>
      <c r="KPH4" s="2"/>
      <c r="KPI4" s="2"/>
      <c r="KPJ4" s="2"/>
      <c r="KPK4" s="2"/>
      <c r="KPL4" s="2"/>
      <c r="KPM4" s="2"/>
      <c r="KPN4" s="2"/>
      <c r="KPO4" s="2"/>
      <c r="KPP4" s="2"/>
      <c r="KPQ4" s="2"/>
      <c r="KPR4" s="2"/>
      <c r="KPS4" s="2"/>
      <c r="KPT4" s="2"/>
      <c r="KPU4" s="2"/>
      <c r="KPV4" s="2"/>
      <c r="KPW4" s="2"/>
      <c r="KPX4" s="2"/>
      <c r="KPY4" s="2"/>
      <c r="KPZ4" s="2"/>
      <c r="KQA4" s="2"/>
      <c r="KQB4" s="2"/>
      <c r="KQC4" s="2"/>
      <c r="KQD4" s="2"/>
      <c r="KQE4" s="2"/>
      <c r="KQF4" s="2"/>
      <c r="KQG4" s="2"/>
      <c r="KQH4" s="2"/>
      <c r="KQI4" s="2"/>
      <c r="KQJ4" s="2"/>
      <c r="KQK4" s="2"/>
      <c r="KQL4" s="2"/>
      <c r="KQM4" s="2"/>
      <c r="KQN4" s="2"/>
      <c r="KQO4" s="2"/>
      <c r="KQP4" s="2"/>
      <c r="KQQ4" s="2"/>
      <c r="KQR4" s="2"/>
      <c r="KQS4" s="2"/>
      <c r="KQT4" s="2"/>
      <c r="KQU4" s="2"/>
      <c r="KQV4" s="2"/>
      <c r="KQW4" s="2"/>
      <c r="KQX4" s="2"/>
      <c r="KQY4" s="2"/>
      <c r="KQZ4" s="2"/>
      <c r="KRA4" s="2"/>
      <c r="KRB4" s="2"/>
      <c r="KRC4" s="2"/>
      <c r="KRD4" s="2"/>
      <c r="KRE4" s="2"/>
      <c r="KRF4" s="2"/>
      <c r="KRG4" s="2"/>
      <c r="KRH4" s="2"/>
      <c r="KRI4" s="2"/>
      <c r="KRJ4" s="2"/>
      <c r="KRK4" s="2"/>
      <c r="KRL4" s="2"/>
      <c r="KRM4" s="2"/>
      <c r="KRN4" s="2"/>
      <c r="KRO4" s="2"/>
      <c r="KRP4" s="2"/>
      <c r="KRQ4" s="2"/>
      <c r="KRR4" s="2"/>
      <c r="KRS4" s="2"/>
      <c r="KRT4" s="2"/>
      <c r="KRU4" s="2"/>
      <c r="KRV4" s="2"/>
      <c r="KRW4" s="2"/>
      <c r="KRX4" s="2"/>
      <c r="KRY4" s="2"/>
      <c r="KRZ4" s="2"/>
      <c r="KSA4" s="2"/>
      <c r="KSB4" s="2"/>
      <c r="KSC4" s="2"/>
      <c r="KSD4" s="2"/>
      <c r="KSE4" s="2"/>
      <c r="KSF4" s="2"/>
      <c r="KSG4" s="2"/>
      <c r="KSH4" s="2"/>
      <c r="KSI4" s="2"/>
      <c r="KSJ4" s="2"/>
      <c r="KSK4" s="2"/>
      <c r="KSL4" s="2"/>
      <c r="KSM4" s="2"/>
      <c r="KSN4" s="2"/>
      <c r="KSO4" s="2"/>
      <c r="KSP4" s="2"/>
      <c r="KSQ4" s="2"/>
      <c r="KSR4" s="2"/>
      <c r="KSS4" s="2"/>
      <c r="KST4" s="2"/>
      <c r="KSU4" s="2"/>
      <c r="KSV4" s="2"/>
      <c r="KSW4" s="2"/>
      <c r="KSX4" s="2"/>
      <c r="KSY4" s="2"/>
      <c r="KSZ4" s="2"/>
      <c r="KTA4" s="2"/>
      <c r="KTB4" s="2"/>
      <c r="KTC4" s="2"/>
      <c r="KTD4" s="2"/>
      <c r="KTE4" s="2"/>
      <c r="KTF4" s="2"/>
      <c r="KTG4" s="2"/>
      <c r="KTH4" s="2"/>
      <c r="KTI4" s="2"/>
      <c r="KTJ4" s="2"/>
      <c r="KTK4" s="2"/>
      <c r="KTL4" s="2"/>
      <c r="KTM4" s="2"/>
      <c r="KTN4" s="2"/>
      <c r="KTO4" s="2"/>
      <c r="KTP4" s="2"/>
      <c r="KTQ4" s="2"/>
      <c r="KTR4" s="2"/>
      <c r="KTS4" s="2"/>
      <c r="KTT4" s="2"/>
      <c r="KTU4" s="2"/>
      <c r="KTV4" s="2"/>
      <c r="KTW4" s="2"/>
      <c r="KTX4" s="2"/>
      <c r="KTY4" s="2"/>
      <c r="KTZ4" s="2"/>
      <c r="KUA4" s="2"/>
      <c r="KUB4" s="2"/>
      <c r="KUC4" s="2"/>
      <c r="KUD4" s="2"/>
      <c r="KUE4" s="2"/>
      <c r="KUF4" s="2"/>
      <c r="KUG4" s="2"/>
      <c r="KUH4" s="2"/>
      <c r="KUI4" s="2"/>
      <c r="KUJ4" s="2"/>
      <c r="KUK4" s="2"/>
      <c r="KUL4" s="2"/>
      <c r="KUM4" s="2"/>
      <c r="KUN4" s="2"/>
      <c r="KUO4" s="2"/>
      <c r="KUP4" s="2"/>
      <c r="KUQ4" s="2"/>
      <c r="KUR4" s="2"/>
      <c r="KUS4" s="2"/>
      <c r="KUT4" s="2"/>
      <c r="KUU4" s="2"/>
      <c r="KUV4" s="2"/>
      <c r="KUW4" s="2"/>
      <c r="KUX4" s="2"/>
      <c r="KUY4" s="2"/>
      <c r="KUZ4" s="2"/>
      <c r="KVA4" s="2"/>
      <c r="KVB4" s="2"/>
      <c r="KVC4" s="2"/>
      <c r="KVD4" s="2"/>
      <c r="KVE4" s="2"/>
      <c r="KVF4" s="2"/>
      <c r="KVG4" s="2"/>
      <c r="KVH4" s="2"/>
      <c r="KVI4" s="2"/>
      <c r="KVJ4" s="2"/>
      <c r="KVK4" s="2"/>
      <c r="KVL4" s="2"/>
      <c r="KVM4" s="2"/>
      <c r="KVN4" s="2"/>
      <c r="KVO4" s="2"/>
      <c r="KVP4" s="2"/>
      <c r="KVQ4" s="2"/>
      <c r="KVR4" s="2"/>
      <c r="KVS4" s="2"/>
      <c r="KVT4" s="2"/>
      <c r="KVU4" s="2"/>
      <c r="KVV4" s="2"/>
      <c r="KVW4" s="2"/>
      <c r="KVX4" s="2"/>
      <c r="KVY4" s="2"/>
      <c r="KVZ4" s="2"/>
      <c r="KWA4" s="2"/>
      <c r="KWB4" s="2"/>
      <c r="KWC4" s="2"/>
      <c r="KWD4" s="2"/>
      <c r="KWE4" s="2"/>
      <c r="KWF4" s="2"/>
      <c r="KWG4" s="2"/>
      <c r="KWH4" s="2"/>
      <c r="KWI4" s="2"/>
      <c r="KWJ4" s="2"/>
      <c r="KWK4" s="2"/>
      <c r="KWL4" s="2"/>
      <c r="KWM4" s="2"/>
      <c r="KWN4" s="2"/>
      <c r="KWO4" s="2"/>
      <c r="KWP4" s="2"/>
      <c r="KWQ4" s="2"/>
      <c r="KWR4" s="2"/>
      <c r="KWS4" s="2"/>
      <c r="KWT4" s="2"/>
      <c r="KWU4" s="2"/>
      <c r="KWV4" s="2"/>
      <c r="KWW4" s="2"/>
      <c r="KWX4" s="2"/>
      <c r="KWY4" s="2"/>
      <c r="KWZ4" s="2"/>
      <c r="KXA4" s="2"/>
      <c r="KXB4" s="2"/>
      <c r="KXC4" s="2"/>
      <c r="KXD4" s="2"/>
      <c r="KXE4" s="2"/>
      <c r="KXF4" s="2"/>
      <c r="KXG4" s="2"/>
      <c r="KXH4" s="2"/>
      <c r="KXI4" s="2"/>
      <c r="KXJ4" s="2"/>
      <c r="KXK4" s="2"/>
      <c r="KXL4" s="2"/>
      <c r="KXM4" s="2"/>
      <c r="KXN4" s="2"/>
      <c r="KXO4" s="2"/>
      <c r="KXP4" s="2"/>
      <c r="KXQ4" s="2"/>
      <c r="KXR4" s="2"/>
      <c r="KXS4" s="2"/>
      <c r="KXT4" s="2"/>
      <c r="KXU4" s="2"/>
      <c r="KXV4" s="2"/>
      <c r="KXW4" s="2"/>
      <c r="KXX4" s="2"/>
      <c r="KXY4" s="2"/>
      <c r="KXZ4" s="2"/>
      <c r="KYA4" s="2"/>
      <c r="KYB4" s="2"/>
      <c r="KYC4" s="2"/>
      <c r="KYD4" s="2"/>
      <c r="KYE4" s="2"/>
      <c r="KYF4" s="2"/>
      <c r="KYG4" s="2"/>
      <c r="KYH4" s="2"/>
      <c r="KYI4" s="2"/>
      <c r="KYJ4" s="2"/>
      <c r="KYK4" s="2"/>
      <c r="KYL4" s="2"/>
      <c r="KYM4" s="2"/>
      <c r="KYN4" s="2"/>
      <c r="KYO4" s="2"/>
      <c r="KYP4" s="2"/>
      <c r="KYQ4" s="2"/>
      <c r="KYR4" s="2"/>
      <c r="KYS4" s="2"/>
      <c r="KYT4" s="2"/>
      <c r="KYU4" s="2"/>
      <c r="KYV4" s="2"/>
      <c r="KYW4" s="2"/>
      <c r="KYX4" s="2"/>
      <c r="KYY4" s="2"/>
      <c r="KYZ4" s="2"/>
      <c r="KZA4" s="2"/>
      <c r="KZB4" s="2"/>
      <c r="KZC4" s="2"/>
      <c r="KZD4" s="2"/>
      <c r="KZE4" s="2"/>
      <c r="KZF4" s="2"/>
      <c r="KZG4" s="2"/>
      <c r="KZH4" s="2"/>
      <c r="KZI4" s="2"/>
      <c r="KZJ4" s="2"/>
      <c r="KZK4" s="2"/>
      <c r="KZL4" s="2"/>
      <c r="KZM4" s="2"/>
      <c r="KZN4" s="2"/>
      <c r="KZO4" s="2"/>
      <c r="KZP4" s="2"/>
      <c r="KZQ4" s="2"/>
      <c r="KZR4" s="2"/>
      <c r="KZS4" s="2"/>
      <c r="KZT4" s="2"/>
      <c r="KZU4" s="2"/>
      <c r="KZV4" s="2"/>
      <c r="KZW4" s="2"/>
      <c r="KZX4" s="2"/>
      <c r="KZY4" s="2"/>
      <c r="KZZ4" s="2"/>
      <c r="LAA4" s="2"/>
      <c r="LAB4" s="2"/>
      <c r="LAC4" s="2"/>
      <c r="LAD4" s="2"/>
      <c r="LAE4" s="2"/>
      <c r="LAF4" s="2"/>
      <c r="LAG4" s="2"/>
      <c r="LAH4" s="2"/>
      <c r="LAI4" s="2"/>
      <c r="LAJ4" s="2"/>
      <c r="LAK4" s="2"/>
      <c r="LAL4" s="2"/>
      <c r="LAM4" s="2"/>
      <c r="LAN4" s="2"/>
      <c r="LAO4" s="2"/>
      <c r="LAP4" s="2"/>
      <c r="LAQ4" s="2"/>
      <c r="LAR4" s="2"/>
      <c r="LAS4" s="2"/>
      <c r="LAT4" s="2"/>
      <c r="LAU4" s="2"/>
      <c r="LAV4" s="2"/>
      <c r="LAW4" s="2"/>
      <c r="LAX4" s="2"/>
      <c r="LAY4" s="2"/>
      <c r="LAZ4" s="2"/>
      <c r="LBA4" s="2"/>
      <c r="LBB4" s="2"/>
      <c r="LBC4" s="2"/>
      <c r="LBD4" s="2"/>
      <c r="LBE4" s="2"/>
      <c r="LBF4" s="2"/>
      <c r="LBG4" s="2"/>
      <c r="LBH4" s="2"/>
      <c r="LBI4" s="2"/>
      <c r="LBJ4" s="2"/>
      <c r="LBK4" s="2"/>
      <c r="LBL4" s="2"/>
      <c r="LBM4" s="2"/>
      <c r="LBN4" s="2"/>
      <c r="LBO4" s="2"/>
      <c r="LBP4" s="2"/>
      <c r="LBQ4" s="2"/>
      <c r="LBR4" s="2"/>
      <c r="LBS4" s="2"/>
      <c r="LBT4" s="2"/>
      <c r="LBU4" s="2"/>
      <c r="LBV4" s="2"/>
      <c r="LBW4" s="2"/>
      <c r="LBX4" s="2"/>
      <c r="LBY4" s="2"/>
      <c r="LBZ4" s="2"/>
      <c r="LCA4" s="2"/>
      <c r="LCB4" s="2"/>
      <c r="LCC4" s="2"/>
      <c r="LCD4" s="2"/>
      <c r="LCE4" s="2"/>
      <c r="LCF4" s="2"/>
      <c r="LCG4" s="2"/>
      <c r="LCH4" s="2"/>
      <c r="LCI4" s="2"/>
      <c r="LCJ4" s="2"/>
      <c r="LCK4" s="2"/>
      <c r="LCL4" s="2"/>
      <c r="LCM4" s="2"/>
      <c r="LCN4" s="2"/>
      <c r="LCO4" s="2"/>
      <c r="LCP4" s="2"/>
      <c r="LCQ4" s="2"/>
      <c r="LCR4" s="2"/>
      <c r="LCS4" s="2"/>
      <c r="LCT4" s="2"/>
      <c r="LCU4" s="2"/>
      <c r="LCV4" s="2"/>
      <c r="LCW4" s="2"/>
      <c r="LCX4" s="2"/>
      <c r="LCY4" s="2"/>
      <c r="LCZ4" s="2"/>
      <c r="LDA4" s="2"/>
      <c r="LDB4" s="2"/>
      <c r="LDC4" s="2"/>
      <c r="LDD4" s="2"/>
      <c r="LDE4" s="2"/>
      <c r="LDF4" s="2"/>
      <c r="LDG4" s="2"/>
      <c r="LDH4" s="2"/>
      <c r="LDI4" s="2"/>
      <c r="LDJ4" s="2"/>
      <c r="LDK4" s="2"/>
      <c r="LDL4" s="2"/>
      <c r="LDM4" s="2"/>
      <c r="LDN4" s="2"/>
      <c r="LDO4" s="2"/>
      <c r="LDP4" s="2"/>
      <c r="LDQ4" s="2"/>
      <c r="LDR4" s="2"/>
      <c r="LDS4" s="2"/>
      <c r="LDT4" s="2"/>
      <c r="LDU4" s="2"/>
      <c r="LDV4" s="2"/>
      <c r="LDW4" s="2"/>
      <c r="LDX4" s="2"/>
      <c r="LDY4" s="2"/>
      <c r="LDZ4" s="2"/>
      <c r="LEA4" s="2"/>
      <c r="LEB4" s="2"/>
      <c r="LEC4" s="2"/>
      <c r="LED4" s="2"/>
      <c r="LEE4" s="2"/>
      <c r="LEF4" s="2"/>
      <c r="LEG4" s="2"/>
      <c r="LEH4" s="2"/>
      <c r="LEI4" s="2"/>
      <c r="LEJ4" s="2"/>
      <c r="LEK4" s="2"/>
      <c r="LEL4" s="2"/>
      <c r="LEM4" s="2"/>
      <c r="LEN4" s="2"/>
      <c r="LEO4" s="2"/>
      <c r="LEP4" s="2"/>
      <c r="LEQ4" s="2"/>
      <c r="LER4" s="2"/>
      <c r="LES4" s="2"/>
      <c r="LET4" s="2"/>
      <c r="LEU4" s="2"/>
      <c r="LEV4" s="2"/>
      <c r="LEW4" s="2"/>
      <c r="LEX4" s="2"/>
      <c r="LEY4" s="2"/>
      <c r="LEZ4" s="2"/>
      <c r="LFA4" s="2"/>
      <c r="LFB4" s="2"/>
      <c r="LFC4" s="2"/>
      <c r="LFD4" s="2"/>
      <c r="LFE4" s="2"/>
      <c r="LFF4" s="2"/>
      <c r="LFG4" s="2"/>
      <c r="LFH4" s="2"/>
      <c r="LFI4" s="2"/>
      <c r="LFJ4" s="2"/>
      <c r="LFK4" s="2"/>
      <c r="LFL4" s="2"/>
      <c r="LFM4" s="2"/>
      <c r="LFN4" s="2"/>
      <c r="LFO4" s="2"/>
      <c r="LFP4" s="2"/>
      <c r="LFQ4" s="2"/>
      <c r="LFR4" s="2"/>
      <c r="LFS4" s="2"/>
      <c r="LFT4" s="2"/>
      <c r="LFU4" s="2"/>
      <c r="LFV4" s="2"/>
      <c r="LFW4" s="2"/>
      <c r="LFX4" s="2"/>
      <c r="LFY4" s="2"/>
      <c r="LFZ4" s="2"/>
      <c r="LGA4" s="2"/>
      <c r="LGB4" s="2"/>
      <c r="LGC4" s="2"/>
      <c r="LGD4" s="2"/>
      <c r="LGE4" s="2"/>
      <c r="LGF4" s="2"/>
      <c r="LGG4" s="2"/>
      <c r="LGH4" s="2"/>
      <c r="LGI4" s="2"/>
      <c r="LGJ4" s="2"/>
      <c r="LGK4" s="2"/>
      <c r="LGL4" s="2"/>
      <c r="LGM4" s="2"/>
      <c r="LGN4" s="2"/>
      <c r="LGO4" s="2"/>
      <c r="LGP4" s="2"/>
      <c r="LGQ4" s="2"/>
      <c r="LGR4" s="2"/>
      <c r="LGS4" s="2"/>
      <c r="LGT4" s="2"/>
      <c r="LGU4" s="2"/>
      <c r="LGV4" s="2"/>
      <c r="LGW4" s="2"/>
      <c r="LGX4" s="2"/>
      <c r="LGY4" s="2"/>
      <c r="LGZ4" s="2"/>
      <c r="LHA4" s="2"/>
      <c r="LHB4" s="2"/>
      <c r="LHC4" s="2"/>
      <c r="LHD4" s="2"/>
      <c r="LHE4" s="2"/>
      <c r="LHF4" s="2"/>
      <c r="LHG4" s="2"/>
      <c r="LHH4" s="2"/>
      <c r="LHI4" s="2"/>
      <c r="LHJ4" s="2"/>
      <c r="LHK4" s="2"/>
      <c r="LHL4" s="2"/>
      <c r="LHM4" s="2"/>
      <c r="LHN4" s="2"/>
      <c r="LHO4" s="2"/>
      <c r="LHP4" s="2"/>
      <c r="LHQ4" s="2"/>
      <c r="LHR4" s="2"/>
      <c r="LHS4" s="2"/>
      <c r="LHT4" s="2"/>
      <c r="LHU4" s="2"/>
      <c r="LHV4" s="2"/>
      <c r="LHW4" s="2"/>
      <c r="LHX4" s="2"/>
      <c r="LHY4" s="2"/>
      <c r="LHZ4" s="2"/>
      <c r="LIA4" s="2"/>
      <c r="LIB4" s="2"/>
      <c r="LIC4" s="2"/>
      <c r="LID4" s="2"/>
      <c r="LIE4" s="2"/>
      <c r="LIF4" s="2"/>
      <c r="LIG4" s="2"/>
      <c r="LIH4" s="2"/>
      <c r="LII4" s="2"/>
      <c r="LIJ4" s="2"/>
      <c r="LIK4" s="2"/>
      <c r="LIL4" s="2"/>
      <c r="LIM4" s="2"/>
      <c r="LIN4" s="2"/>
      <c r="LIO4" s="2"/>
      <c r="LIP4" s="2"/>
      <c r="LIQ4" s="2"/>
      <c r="LIR4" s="2"/>
      <c r="LIS4" s="2"/>
      <c r="LIT4" s="2"/>
      <c r="LIU4" s="2"/>
      <c r="LIV4" s="2"/>
      <c r="LIW4" s="2"/>
      <c r="LIX4" s="2"/>
      <c r="LIY4" s="2"/>
      <c r="LIZ4" s="2"/>
      <c r="LJA4" s="2"/>
      <c r="LJB4" s="2"/>
      <c r="LJC4" s="2"/>
      <c r="LJD4" s="2"/>
      <c r="LJE4" s="2"/>
      <c r="LJF4" s="2"/>
      <c r="LJG4" s="2"/>
      <c r="LJH4" s="2"/>
      <c r="LJI4" s="2"/>
      <c r="LJJ4" s="2"/>
      <c r="LJK4" s="2"/>
      <c r="LJL4" s="2"/>
      <c r="LJM4" s="2"/>
      <c r="LJN4" s="2"/>
      <c r="LJO4" s="2"/>
      <c r="LJP4" s="2"/>
      <c r="LJQ4" s="2"/>
      <c r="LJR4" s="2"/>
      <c r="LJS4" s="2"/>
      <c r="LJT4" s="2"/>
      <c r="LJU4" s="2"/>
      <c r="LJV4" s="2"/>
      <c r="LJW4" s="2"/>
      <c r="LJX4" s="2"/>
      <c r="LJY4" s="2"/>
      <c r="LJZ4" s="2"/>
      <c r="LKA4" s="2"/>
      <c r="LKB4" s="2"/>
      <c r="LKC4" s="2"/>
      <c r="LKD4" s="2"/>
      <c r="LKE4" s="2"/>
      <c r="LKF4" s="2"/>
      <c r="LKG4" s="2"/>
      <c r="LKH4" s="2"/>
      <c r="LKI4" s="2"/>
      <c r="LKJ4" s="2"/>
      <c r="LKK4" s="2"/>
      <c r="LKL4" s="2"/>
      <c r="LKM4" s="2"/>
      <c r="LKN4" s="2"/>
      <c r="LKO4" s="2"/>
      <c r="LKP4" s="2"/>
      <c r="LKQ4" s="2"/>
      <c r="LKR4" s="2"/>
      <c r="LKS4" s="2"/>
      <c r="LKT4" s="2"/>
      <c r="LKU4" s="2"/>
      <c r="LKV4" s="2"/>
      <c r="LKW4" s="2"/>
      <c r="LKX4" s="2"/>
      <c r="LKY4" s="2"/>
      <c r="LKZ4" s="2"/>
      <c r="LLA4" s="2"/>
      <c r="LLB4" s="2"/>
      <c r="LLC4" s="2"/>
      <c r="LLD4" s="2"/>
      <c r="LLE4" s="2"/>
      <c r="LLF4" s="2"/>
      <c r="LLG4" s="2"/>
      <c r="LLH4" s="2"/>
      <c r="LLI4" s="2"/>
      <c r="LLJ4" s="2"/>
      <c r="LLK4" s="2"/>
      <c r="LLL4" s="2"/>
      <c r="LLM4" s="2"/>
      <c r="LLN4" s="2"/>
      <c r="LLO4" s="2"/>
      <c r="LLP4" s="2"/>
      <c r="LLQ4" s="2"/>
      <c r="LLR4" s="2"/>
      <c r="LLS4" s="2"/>
      <c r="LLT4" s="2"/>
      <c r="LLU4" s="2"/>
      <c r="LLV4" s="2"/>
      <c r="LLW4" s="2"/>
      <c r="LLX4" s="2"/>
      <c r="LLY4" s="2"/>
      <c r="LLZ4" s="2"/>
      <c r="LMA4" s="2"/>
      <c r="LMB4" s="2"/>
      <c r="LMC4" s="2"/>
      <c r="LMD4" s="2"/>
      <c r="LME4" s="2"/>
      <c r="LMF4" s="2"/>
      <c r="LMG4" s="2"/>
      <c r="LMH4" s="2"/>
      <c r="LMI4" s="2"/>
      <c r="LMJ4" s="2"/>
      <c r="LMK4" s="2"/>
      <c r="LML4" s="2"/>
      <c r="LMM4" s="2"/>
      <c r="LMN4" s="2"/>
      <c r="LMO4" s="2"/>
      <c r="LMP4" s="2"/>
      <c r="LMQ4" s="2"/>
      <c r="LMR4" s="2"/>
      <c r="LMS4" s="2"/>
      <c r="LMT4" s="2"/>
      <c r="LMU4" s="2"/>
      <c r="LMV4" s="2"/>
      <c r="LMW4" s="2"/>
      <c r="LMX4" s="2"/>
      <c r="LMY4" s="2"/>
      <c r="LMZ4" s="2"/>
      <c r="LNA4" s="2"/>
      <c r="LNB4" s="2"/>
      <c r="LNC4" s="2"/>
      <c r="LND4" s="2"/>
      <c r="LNE4" s="2"/>
      <c r="LNF4" s="2"/>
      <c r="LNG4" s="2"/>
      <c r="LNH4" s="2"/>
      <c r="LNI4" s="2"/>
      <c r="LNJ4" s="2"/>
      <c r="LNK4" s="2"/>
      <c r="LNL4" s="2"/>
      <c r="LNM4" s="2"/>
      <c r="LNN4" s="2"/>
      <c r="LNO4" s="2"/>
      <c r="LNP4" s="2"/>
      <c r="LNQ4" s="2"/>
      <c r="LNR4" s="2"/>
      <c r="LNS4" s="2"/>
      <c r="LNT4" s="2"/>
      <c r="LNU4" s="2"/>
      <c r="LNV4" s="2"/>
      <c r="LNW4" s="2"/>
      <c r="LNX4" s="2"/>
      <c r="LNY4" s="2"/>
      <c r="LNZ4" s="2"/>
      <c r="LOA4" s="2"/>
      <c r="LOB4" s="2"/>
      <c r="LOC4" s="2"/>
      <c r="LOD4" s="2"/>
      <c r="LOE4" s="2"/>
      <c r="LOF4" s="2"/>
      <c r="LOG4" s="2"/>
      <c r="LOH4" s="2"/>
      <c r="LOI4" s="2"/>
      <c r="LOJ4" s="2"/>
      <c r="LOK4" s="2"/>
      <c r="LOL4" s="2"/>
      <c r="LOM4" s="2"/>
      <c r="LON4" s="2"/>
      <c r="LOO4" s="2"/>
      <c r="LOP4" s="2"/>
      <c r="LOQ4" s="2"/>
      <c r="LOR4" s="2"/>
      <c r="LOS4" s="2"/>
      <c r="LOT4" s="2"/>
      <c r="LOU4" s="2"/>
      <c r="LOV4" s="2"/>
      <c r="LOW4" s="2"/>
      <c r="LOX4" s="2"/>
      <c r="LOY4" s="2"/>
      <c r="LOZ4" s="2"/>
      <c r="LPA4" s="2"/>
      <c r="LPB4" s="2"/>
      <c r="LPC4" s="2"/>
      <c r="LPD4" s="2"/>
      <c r="LPE4" s="2"/>
      <c r="LPF4" s="2"/>
      <c r="LPG4" s="2"/>
      <c r="LPH4" s="2"/>
      <c r="LPI4" s="2"/>
      <c r="LPJ4" s="2"/>
      <c r="LPK4" s="2"/>
      <c r="LPL4" s="2"/>
      <c r="LPM4" s="2"/>
      <c r="LPN4" s="2"/>
      <c r="LPO4" s="2"/>
      <c r="LPP4" s="2"/>
      <c r="LPQ4" s="2"/>
      <c r="LPR4" s="2"/>
      <c r="LPS4" s="2"/>
      <c r="LPT4" s="2"/>
      <c r="LPU4" s="2"/>
      <c r="LPV4" s="2"/>
      <c r="LPW4" s="2"/>
      <c r="LPX4" s="2"/>
      <c r="LPY4" s="2"/>
      <c r="LPZ4" s="2"/>
      <c r="LQA4" s="2"/>
      <c r="LQB4" s="2"/>
      <c r="LQC4" s="2"/>
      <c r="LQD4" s="2"/>
      <c r="LQE4" s="2"/>
      <c r="LQF4" s="2"/>
      <c r="LQG4" s="2"/>
      <c r="LQH4" s="2"/>
      <c r="LQI4" s="2"/>
      <c r="LQJ4" s="2"/>
      <c r="LQK4" s="2"/>
      <c r="LQL4" s="2"/>
      <c r="LQM4" s="2"/>
      <c r="LQN4" s="2"/>
      <c r="LQO4" s="2"/>
      <c r="LQP4" s="2"/>
      <c r="LQQ4" s="2"/>
      <c r="LQR4" s="2"/>
      <c r="LQS4" s="2"/>
      <c r="LQT4" s="2"/>
      <c r="LQU4" s="2"/>
      <c r="LQV4" s="2"/>
      <c r="LQW4" s="2"/>
      <c r="LQX4" s="2"/>
      <c r="LQY4" s="2"/>
      <c r="LQZ4" s="2"/>
      <c r="LRA4" s="2"/>
      <c r="LRB4" s="2"/>
      <c r="LRC4" s="2"/>
      <c r="LRD4" s="2"/>
      <c r="LRE4" s="2"/>
      <c r="LRF4" s="2"/>
      <c r="LRG4" s="2"/>
      <c r="LRH4" s="2"/>
      <c r="LRI4" s="2"/>
      <c r="LRJ4" s="2"/>
      <c r="LRK4" s="2"/>
      <c r="LRL4" s="2"/>
      <c r="LRM4" s="2"/>
      <c r="LRN4" s="2"/>
      <c r="LRO4" s="2"/>
      <c r="LRP4" s="2"/>
      <c r="LRQ4" s="2"/>
      <c r="LRR4" s="2"/>
      <c r="LRS4" s="2"/>
      <c r="LRT4" s="2"/>
      <c r="LRU4" s="2"/>
      <c r="LRV4" s="2"/>
      <c r="LRW4" s="2"/>
      <c r="LRX4" s="2"/>
      <c r="LRY4" s="2"/>
      <c r="LRZ4" s="2"/>
      <c r="LSA4" s="2"/>
      <c r="LSB4" s="2"/>
      <c r="LSC4" s="2"/>
      <c r="LSD4" s="2"/>
      <c r="LSE4" s="2"/>
      <c r="LSF4" s="2"/>
      <c r="LSG4" s="2"/>
      <c r="LSH4" s="2"/>
      <c r="LSI4" s="2"/>
      <c r="LSJ4" s="2"/>
      <c r="LSK4" s="2"/>
      <c r="LSL4" s="2"/>
      <c r="LSM4" s="2"/>
      <c r="LSN4" s="2"/>
      <c r="LSO4" s="2"/>
      <c r="LSP4" s="2"/>
      <c r="LSQ4" s="2"/>
      <c r="LSR4" s="2"/>
      <c r="LSS4" s="2"/>
      <c r="LST4" s="2"/>
      <c r="LSU4" s="2"/>
      <c r="LSV4" s="2"/>
      <c r="LSW4" s="2"/>
      <c r="LSX4" s="2"/>
      <c r="LSY4" s="2"/>
      <c r="LSZ4" s="2"/>
      <c r="LTA4" s="2"/>
      <c r="LTB4" s="2"/>
      <c r="LTC4" s="2"/>
      <c r="LTD4" s="2"/>
      <c r="LTE4" s="2"/>
      <c r="LTF4" s="2"/>
      <c r="LTG4" s="2"/>
      <c r="LTH4" s="2"/>
      <c r="LTI4" s="2"/>
      <c r="LTJ4" s="2"/>
      <c r="LTK4" s="2"/>
      <c r="LTL4" s="2"/>
      <c r="LTM4" s="2"/>
      <c r="LTN4" s="2"/>
      <c r="LTO4" s="2"/>
      <c r="LTP4" s="2"/>
      <c r="LTQ4" s="2"/>
      <c r="LTR4" s="2"/>
      <c r="LTS4" s="2"/>
      <c r="LTT4" s="2"/>
      <c r="LTU4" s="2"/>
      <c r="LTV4" s="2"/>
      <c r="LTW4" s="2"/>
      <c r="LTX4" s="2"/>
      <c r="LTY4" s="2"/>
      <c r="LTZ4" s="2"/>
      <c r="LUA4" s="2"/>
      <c r="LUB4" s="2"/>
      <c r="LUC4" s="2"/>
      <c r="LUD4" s="2"/>
      <c r="LUE4" s="2"/>
      <c r="LUF4" s="2"/>
      <c r="LUG4" s="2"/>
      <c r="LUH4" s="2"/>
      <c r="LUI4" s="2"/>
      <c r="LUJ4" s="2"/>
      <c r="LUK4" s="2"/>
      <c r="LUL4" s="2"/>
      <c r="LUM4" s="2"/>
      <c r="LUN4" s="2"/>
      <c r="LUO4" s="2"/>
      <c r="LUP4" s="2"/>
      <c r="LUQ4" s="2"/>
      <c r="LUR4" s="2"/>
      <c r="LUS4" s="2"/>
      <c r="LUT4" s="2"/>
      <c r="LUU4" s="2"/>
      <c r="LUV4" s="2"/>
      <c r="LUW4" s="2"/>
      <c r="LUX4" s="2"/>
      <c r="LUY4" s="2"/>
      <c r="LUZ4" s="2"/>
      <c r="LVA4" s="2"/>
      <c r="LVB4" s="2"/>
      <c r="LVC4" s="2"/>
      <c r="LVD4" s="2"/>
      <c r="LVE4" s="2"/>
      <c r="LVF4" s="2"/>
      <c r="LVG4" s="2"/>
      <c r="LVH4" s="2"/>
      <c r="LVI4" s="2"/>
      <c r="LVJ4" s="2"/>
      <c r="LVK4" s="2"/>
      <c r="LVL4" s="2"/>
      <c r="LVM4" s="2"/>
      <c r="LVN4" s="2"/>
      <c r="LVO4" s="2"/>
      <c r="LVP4" s="2"/>
      <c r="LVQ4" s="2"/>
      <c r="LVR4" s="2"/>
      <c r="LVS4" s="2"/>
      <c r="LVT4" s="2"/>
      <c r="LVU4" s="2"/>
      <c r="LVV4" s="2"/>
      <c r="LVW4" s="2"/>
      <c r="LVX4" s="2"/>
      <c r="LVY4" s="2"/>
      <c r="LVZ4" s="2"/>
      <c r="LWA4" s="2"/>
      <c r="LWB4" s="2"/>
      <c r="LWC4" s="2"/>
      <c r="LWD4" s="2"/>
      <c r="LWE4" s="2"/>
      <c r="LWF4" s="2"/>
      <c r="LWG4" s="2"/>
      <c r="LWH4" s="2"/>
      <c r="LWI4" s="2"/>
      <c r="LWJ4" s="2"/>
      <c r="LWK4" s="2"/>
      <c r="LWL4" s="2"/>
      <c r="LWM4" s="2"/>
      <c r="LWN4" s="2"/>
      <c r="LWO4" s="2"/>
      <c r="LWP4" s="2"/>
      <c r="LWQ4" s="2"/>
      <c r="LWR4" s="2"/>
      <c r="LWS4" s="2"/>
      <c r="LWT4" s="2"/>
      <c r="LWU4" s="2"/>
      <c r="LWV4" s="2"/>
      <c r="LWW4" s="2"/>
      <c r="LWX4" s="2"/>
      <c r="LWY4" s="2"/>
      <c r="LWZ4" s="2"/>
      <c r="LXA4" s="2"/>
      <c r="LXB4" s="2"/>
      <c r="LXC4" s="2"/>
      <c r="LXD4" s="2"/>
      <c r="LXE4" s="2"/>
      <c r="LXF4" s="2"/>
      <c r="LXG4" s="2"/>
      <c r="LXH4" s="2"/>
      <c r="LXI4" s="2"/>
      <c r="LXJ4" s="2"/>
      <c r="LXK4" s="2"/>
      <c r="LXL4" s="2"/>
      <c r="LXM4" s="2"/>
      <c r="LXN4" s="2"/>
      <c r="LXO4" s="2"/>
      <c r="LXP4" s="2"/>
      <c r="LXQ4" s="2"/>
      <c r="LXR4" s="2"/>
      <c r="LXS4" s="2"/>
      <c r="LXT4" s="2"/>
      <c r="LXU4" s="2"/>
      <c r="LXV4" s="2"/>
      <c r="LXW4" s="2"/>
      <c r="LXX4" s="2"/>
      <c r="LXY4" s="2"/>
      <c r="LXZ4" s="2"/>
      <c r="LYA4" s="2"/>
      <c r="LYB4" s="2"/>
      <c r="LYC4" s="2"/>
      <c r="LYD4" s="2"/>
      <c r="LYE4" s="2"/>
      <c r="LYF4" s="2"/>
      <c r="LYG4" s="2"/>
      <c r="LYH4" s="2"/>
      <c r="LYI4" s="2"/>
      <c r="LYJ4" s="2"/>
      <c r="LYK4" s="2"/>
      <c r="LYL4" s="2"/>
      <c r="LYM4" s="2"/>
      <c r="LYN4" s="2"/>
      <c r="LYO4" s="2"/>
      <c r="LYP4" s="2"/>
      <c r="LYQ4" s="2"/>
      <c r="LYR4" s="2"/>
      <c r="LYS4" s="2"/>
      <c r="LYT4" s="2"/>
      <c r="LYU4" s="2"/>
      <c r="LYV4" s="2"/>
      <c r="LYW4" s="2"/>
      <c r="LYX4" s="2"/>
      <c r="LYY4" s="2"/>
      <c r="LYZ4" s="2"/>
      <c r="LZA4" s="2"/>
      <c r="LZB4" s="2"/>
      <c r="LZC4" s="2"/>
      <c r="LZD4" s="2"/>
      <c r="LZE4" s="2"/>
      <c r="LZF4" s="2"/>
      <c r="LZG4" s="2"/>
      <c r="LZH4" s="2"/>
      <c r="LZI4" s="2"/>
      <c r="LZJ4" s="2"/>
      <c r="LZK4" s="2"/>
      <c r="LZL4" s="2"/>
      <c r="LZM4" s="2"/>
      <c r="LZN4" s="2"/>
      <c r="LZO4" s="2"/>
      <c r="LZP4" s="2"/>
      <c r="LZQ4" s="2"/>
      <c r="LZR4" s="2"/>
      <c r="LZS4" s="2"/>
      <c r="LZT4" s="2"/>
      <c r="LZU4" s="2"/>
      <c r="LZV4" s="2"/>
      <c r="LZW4" s="2"/>
      <c r="LZX4" s="2"/>
      <c r="LZY4" s="2"/>
      <c r="LZZ4" s="2"/>
      <c r="MAA4" s="2"/>
      <c r="MAB4" s="2"/>
      <c r="MAC4" s="2"/>
      <c r="MAD4" s="2"/>
      <c r="MAE4" s="2"/>
      <c r="MAF4" s="2"/>
      <c r="MAG4" s="2"/>
      <c r="MAH4" s="2"/>
      <c r="MAI4" s="2"/>
      <c r="MAJ4" s="2"/>
      <c r="MAK4" s="2"/>
      <c r="MAL4" s="2"/>
      <c r="MAM4" s="2"/>
      <c r="MAN4" s="2"/>
      <c r="MAO4" s="2"/>
      <c r="MAP4" s="2"/>
      <c r="MAQ4" s="2"/>
      <c r="MAR4" s="2"/>
      <c r="MAS4" s="2"/>
      <c r="MAT4" s="2"/>
      <c r="MAU4" s="2"/>
      <c r="MAV4" s="2"/>
      <c r="MAW4" s="2"/>
      <c r="MAX4" s="2"/>
      <c r="MAY4" s="2"/>
      <c r="MAZ4" s="2"/>
      <c r="MBA4" s="2"/>
      <c r="MBB4" s="2"/>
      <c r="MBC4" s="2"/>
      <c r="MBD4" s="2"/>
      <c r="MBE4" s="2"/>
      <c r="MBF4" s="2"/>
      <c r="MBG4" s="2"/>
      <c r="MBH4" s="2"/>
      <c r="MBI4" s="2"/>
      <c r="MBJ4" s="2"/>
      <c r="MBK4" s="2"/>
      <c r="MBL4" s="2"/>
      <c r="MBM4" s="2"/>
      <c r="MBN4" s="2"/>
      <c r="MBO4" s="2"/>
      <c r="MBP4" s="2"/>
      <c r="MBQ4" s="2"/>
      <c r="MBR4" s="2"/>
      <c r="MBS4" s="2"/>
      <c r="MBT4" s="2"/>
      <c r="MBU4" s="2"/>
      <c r="MBV4" s="2"/>
      <c r="MBW4" s="2"/>
      <c r="MBX4" s="2"/>
      <c r="MBY4" s="2"/>
      <c r="MBZ4" s="2"/>
      <c r="MCA4" s="2"/>
      <c r="MCB4" s="2"/>
      <c r="MCC4" s="2"/>
      <c r="MCD4" s="2"/>
      <c r="MCE4" s="2"/>
      <c r="MCF4" s="2"/>
      <c r="MCG4" s="2"/>
      <c r="MCH4" s="2"/>
      <c r="MCI4" s="2"/>
      <c r="MCJ4" s="2"/>
      <c r="MCK4" s="2"/>
      <c r="MCL4" s="2"/>
      <c r="MCM4" s="2"/>
      <c r="MCN4" s="2"/>
      <c r="MCO4" s="2"/>
      <c r="MCP4" s="2"/>
      <c r="MCQ4" s="2"/>
      <c r="MCR4" s="2"/>
      <c r="MCS4" s="2"/>
      <c r="MCT4" s="2"/>
      <c r="MCU4" s="2"/>
      <c r="MCV4" s="2"/>
      <c r="MCW4" s="2"/>
      <c r="MCX4" s="2"/>
      <c r="MCY4" s="2"/>
      <c r="MCZ4" s="2"/>
      <c r="MDA4" s="2"/>
      <c r="MDB4" s="2"/>
      <c r="MDC4" s="2"/>
      <c r="MDD4" s="2"/>
      <c r="MDE4" s="2"/>
      <c r="MDF4" s="2"/>
      <c r="MDG4" s="2"/>
      <c r="MDH4" s="2"/>
      <c r="MDI4" s="2"/>
      <c r="MDJ4" s="2"/>
      <c r="MDK4" s="2"/>
      <c r="MDL4" s="2"/>
      <c r="MDM4" s="2"/>
      <c r="MDN4" s="2"/>
      <c r="MDO4" s="2"/>
      <c r="MDP4" s="2"/>
      <c r="MDQ4" s="2"/>
      <c r="MDR4" s="2"/>
      <c r="MDS4" s="2"/>
      <c r="MDT4" s="2"/>
      <c r="MDU4" s="2"/>
      <c r="MDV4" s="2"/>
      <c r="MDW4" s="2"/>
      <c r="MDX4" s="2"/>
      <c r="MDY4" s="2"/>
      <c r="MDZ4" s="2"/>
      <c r="MEA4" s="2"/>
      <c r="MEB4" s="2"/>
      <c r="MEC4" s="2"/>
      <c r="MED4" s="2"/>
      <c r="MEE4" s="2"/>
      <c r="MEF4" s="2"/>
      <c r="MEG4" s="2"/>
      <c r="MEH4" s="2"/>
      <c r="MEI4" s="2"/>
      <c r="MEJ4" s="2"/>
      <c r="MEK4" s="2"/>
      <c r="MEL4" s="2"/>
      <c r="MEM4" s="2"/>
      <c r="MEN4" s="2"/>
      <c r="MEO4" s="2"/>
      <c r="MEP4" s="2"/>
      <c r="MEQ4" s="2"/>
      <c r="MER4" s="2"/>
      <c r="MES4" s="2"/>
      <c r="MET4" s="2"/>
      <c r="MEU4" s="2"/>
      <c r="MEV4" s="2"/>
      <c r="MEW4" s="2"/>
      <c r="MEX4" s="2"/>
      <c r="MEY4" s="2"/>
      <c r="MEZ4" s="2"/>
      <c r="MFA4" s="2"/>
      <c r="MFB4" s="2"/>
      <c r="MFC4" s="2"/>
      <c r="MFD4" s="2"/>
      <c r="MFE4" s="2"/>
      <c r="MFF4" s="2"/>
      <c r="MFG4" s="2"/>
      <c r="MFH4" s="2"/>
      <c r="MFI4" s="2"/>
      <c r="MFJ4" s="2"/>
      <c r="MFK4" s="2"/>
      <c r="MFL4" s="2"/>
      <c r="MFM4" s="2"/>
      <c r="MFN4" s="2"/>
      <c r="MFO4" s="2"/>
      <c r="MFP4" s="2"/>
      <c r="MFQ4" s="2"/>
      <c r="MFR4" s="2"/>
      <c r="MFS4" s="2"/>
      <c r="MFT4" s="2"/>
      <c r="MFU4" s="2"/>
      <c r="MFV4" s="2"/>
      <c r="MFW4" s="2"/>
      <c r="MFX4" s="2"/>
      <c r="MFY4" s="2"/>
      <c r="MFZ4" s="2"/>
      <c r="MGA4" s="2"/>
      <c r="MGB4" s="2"/>
      <c r="MGC4" s="2"/>
      <c r="MGD4" s="2"/>
      <c r="MGE4" s="2"/>
      <c r="MGF4" s="2"/>
      <c r="MGG4" s="2"/>
      <c r="MGH4" s="2"/>
      <c r="MGI4" s="2"/>
      <c r="MGJ4" s="2"/>
      <c r="MGK4" s="2"/>
      <c r="MGL4" s="2"/>
      <c r="MGM4" s="2"/>
      <c r="MGN4" s="2"/>
      <c r="MGO4" s="2"/>
      <c r="MGP4" s="2"/>
      <c r="MGQ4" s="2"/>
      <c r="MGR4" s="2"/>
      <c r="MGS4" s="2"/>
      <c r="MGT4" s="2"/>
      <c r="MGU4" s="2"/>
      <c r="MGV4" s="2"/>
      <c r="MGW4" s="2"/>
      <c r="MGX4" s="2"/>
      <c r="MGY4" s="2"/>
      <c r="MGZ4" s="2"/>
      <c r="MHA4" s="2"/>
      <c r="MHB4" s="2"/>
      <c r="MHC4" s="2"/>
      <c r="MHD4" s="2"/>
      <c r="MHE4" s="2"/>
      <c r="MHF4" s="2"/>
      <c r="MHG4" s="2"/>
      <c r="MHH4" s="2"/>
      <c r="MHI4" s="2"/>
      <c r="MHJ4" s="2"/>
      <c r="MHK4" s="2"/>
      <c r="MHL4" s="2"/>
      <c r="MHM4" s="2"/>
      <c r="MHN4" s="2"/>
      <c r="MHO4" s="2"/>
      <c r="MHP4" s="2"/>
      <c r="MHQ4" s="2"/>
      <c r="MHR4" s="2"/>
      <c r="MHS4" s="2"/>
      <c r="MHT4" s="2"/>
      <c r="MHU4" s="2"/>
      <c r="MHV4" s="2"/>
      <c r="MHW4" s="2"/>
      <c r="MHX4" s="2"/>
      <c r="MHY4" s="2"/>
      <c r="MHZ4" s="2"/>
      <c r="MIA4" s="2"/>
      <c r="MIB4" s="2"/>
      <c r="MIC4" s="2"/>
      <c r="MID4" s="2"/>
      <c r="MIE4" s="2"/>
      <c r="MIF4" s="2"/>
      <c r="MIG4" s="2"/>
      <c r="MIH4" s="2"/>
      <c r="MII4" s="2"/>
      <c r="MIJ4" s="2"/>
      <c r="MIK4" s="2"/>
      <c r="MIL4" s="2"/>
      <c r="MIM4" s="2"/>
      <c r="MIN4" s="2"/>
      <c r="MIO4" s="2"/>
      <c r="MIP4" s="2"/>
      <c r="MIQ4" s="2"/>
      <c r="MIR4" s="2"/>
      <c r="MIS4" s="2"/>
      <c r="MIT4" s="2"/>
      <c r="MIU4" s="2"/>
      <c r="MIV4" s="2"/>
      <c r="MIW4" s="2"/>
      <c r="MIX4" s="2"/>
      <c r="MIY4" s="2"/>
      <c r="MIZ4" s="2"/>
      <c r="MJA4" s="2"/>
      <c r="MJB4" s="2"/>
      <c r="MJC4" s="2"/>
      <c r="MJD4" s="2"/>
      <c r="MJE4" s="2"/>
      <c r="MJF4" s="2"/>
      <c r="MJG4" s="2"/>
      <c r="MJH4" s="2"/>
      <c r="MJI4" s="2"/>
      <c r="MJJ4" s="2"/>
      <c r="MJK4" s="2"/>
      <c r="MJL4" s="2"/>
      <c r="MJM4" s="2"/>
      <c r="MJN4" s="2"/>
      <c r="MJO4" s="2"/>
      <c r="MJP4" s="2"/>
      <c r="MJQ4" s="2"/>
      <c r="MJR4" s="2"/>
      <c r="MJS4" s="2"/>
      <c r="MJT4" s="2"/>
      <c r="MJU4" s="2"/>
      <c r="MJV4" s="2"/>
      <c r="MJW4" s="2"/>
      <c r="MJX4" s="2"/>
      <c r="MJY4" s="2"/>
      <c r="MJZ4" s="2"/>
      <c r="MKA4" s="2"/>
      <c r="MKB4" s="2"/>
      <c r="MKC4" s="2"/>
      <c r="MKD4" s="2"/>
      <c r="MKE4" s="2"/>
      <c r="MKF4" s="2"/>
      <c r="MKG4" s="2"/>
      <c r="MKH4" s="2"/>
      <c r="MKI4" s="2"/>
      <c r="MKJ4" s="2"/>
      <c r="MKK4" s="2"/>
      <c r="MKL4" s="2"/>
      <c r="MKM4" s="2"/>
      <c r="MKN4" s="2"/>
      <c r="MKO4" s="2"/>
      <c r="MKP4" s="2"/>
      <c r="MKQ4" s="2"/>
      <c r="MKR4" s="2"/>
      <c r="MKS4" s="2"/>
      <c r="MKT4" s="2"/>
      <c r="MKU4" s="2"/>
      <c r="MKV4" s="2"/>
      <c r="MKW4" s="2"/>
      <c r="MKX4" s="2"/>
      <c r="MKY4" s="2"/>
      <c r="MKZ4" s="2"/>
      <c r="MLA4" s="2"/>
      <c r="MLB4" s="2"/>
      <c r="MLC4" s="2"/>
      <c r="MLD4" s="2"/>
      <c r="MLE4" s="2"/>
      <c r="MLF4" s="2"/>
      <c r="MLG4" s="2"/>
      <c r="MLH4" s="2"/>
      <c r="MLI4" s="2"/>
      <c r="MLJ4" s="2"/>
      <c r="MLK4" s="2"/>
      <c r="MLL4" s="2"/>
      <c r="MLM4" s="2"/>
      <c r="MLN4" s="2"/>
      <c r="MLO4" s="2"/>
      <c r="MLP4" s="2"/>
      <c r="MLQ4" s="2"/>
      <c r="MLR4" s="2"/>
      <c r="MLS4" s="2"/>
      <c r="MLT4" s="2"/>
      <c r="MLU4" s="2"/>
      <c r="MLV4" s="2"/>
      <c r="MLW4" s="2"/>
      <c r="MLX4" s="2"/>
      <c r="MLY4" s="2"/>
      <c r="MLZ4" s="2"/>
      <c r="MMA4" s="2"/>
      <c r="MMB4" s="2"/>
      <c r="MMC4" s="2"/>
      <c r="MMD4" s="2"/>
      <c r="MME4" s="2"/>
      <c r="MMF4" s="2"/>
      <c r="MMG4" s="2"/>
      <c r="MMH4" s="2"/>
      <c r="MMI4" s="2"/>
      <c r="MMJ4" s="2"/>
      <c r="MMK4" s="2"/>
      <c r="MML4" s="2"/>
      <c r="MMM4" s="2"/>
      <c r="MMN4" s="2"/>
      <c r="MMO4" s="2"/>
      <c r="MMP4" s="2"/>
      <c r="MMQ4" s="2"/>
      <c r="MMR4" s="2"/>
      <c r="MMS4" s="2"/>
      <c r="MMT4" s="2"/>
      <c r="MMU4" s="2"/>
      <c r="MMV4" s="2"/>
      <c r="MMW4" s="2"/>
      <c r="MMX4" s="2"/>
      <c r="MMY4" s="2"/>
      <c r="MMZ4" s="2"/>
      <c r="MNA4" s="2"/>
      <c r="MNB4" s="2"/>
      <c r="MNC4" s="2"/>
      <c r="MND4" s="2"/>
      <c r="MNE4" s="2"/>
      <c r="MNF4" s="2"/>
      <c r="MNG4" s="2"/>
      <c r="MNH4" s="2"/>
      <c r="MNI4" s="2"/>
      <c r="MNJ4" s="2"/>
      <c r="MNK4" s="2"/>
      <c r="MNL4" s="2"/>
      <c r="MNM4" s="2"/>
      <c r="MNN4" s="2"/>
      <c r="MNO4" s="2"/>
      <c r="MNP4" s="2"/>
      <c r="MNQ4" s="2"/>
      <c r="MNR4" s="2"/>
      <c r="MNS4" s="2"/>
      <c r="MNT4" s="2"/>
      <c r="MNU4" s="2"/>
      <c r="MNV4" s="2"/>
      <c r="MNW4" s="2"/>
      <c r="MNX4" s="2"/>
      <c r="MNY4" s="2"/>
      <c r="MNZ4" s="2"/>
      <c r="MOA4" s="2"/>
      <c r="MOB4" s="2"/>
      <c r="MOC4" s="2"/>
      <c r="MOD4" s="2"/>
      <c r="MOE4" s="2"/>
      <c r="MOF4" s="2"/>
      <c r="MOG4" s="2"/>
      <c r="MOH4" s="2"/>
      <c r="MOI4" s="2"/>
      <c r="MOJ4" s="2"/>
      <c r="MOK4" s="2"/>
      <c r="MOL4" s="2"/>
      <c r="MOM4" s="2"/>
      <c r="MON4" s="2"/>
      <c r="MOO4" s="2"/>
      <c r="MOP4" s="2"/>
      <c r="MOQ4" s="2"/>
      <c r="MOR4" s="2"/>
      <c r="MOS4" s="2"/>
      <c r="MOT4" s="2"/>
      <c r="MOU4" s="2"/>
      <c r="MOV4" s="2"/>
      <c r="MOW4" s="2"/>
      <c r="MOX4" s="2"/>
      <c r="MOY4" s="2"/>
      <c r="MOZ4" s="2"/>
      <c r="MPA4" s="2"/>
      <c r="MPB4" s="2"/>
      <c r="MPC4" s="2"/>
      <c r="MPD4" s="2"/>
      <c r="MPE4" s="2"/>
      <c r="MPF4" s="2"/>
      <c r="MPG4" s="2"/>
      <c r="MPH4" s="2"/>
      <c r="MPI4" s="2"/>
      <c r="MPJ4" s="2"/>
      <c r="MPK4" s="2"/>
      <c r="MPL4" s="2"/>
      <c r="MPM4" s="2"/>
      <c r="MPN4" s="2"/>
      <c r="MPO4" s="2"/>
      <c r="MPP4" s="2"/>
      <c r="MPQ4" s="2"/>
      <c r="MPR4" s="2"/>
      <c r="MPS4" s="2"/>
      <c r="MPT4" s="2"/>
      <c r="MPU4" s="2"/>
      <c r="MPV4" s="2"/>
      <c r="MPW4" s="2"/>
      <c r="MPX4" s="2"/>
      <c r="MPY4" s="2"/>
      <c r="MPZ4" s="2"/>
      <c r="MQA4" s="2"/>
      <c r="MQB4" s="2"/>
      <c r="MQC4" s="2"/>
      <c r="MQD4" s="2"/>
      <c r="MQE4" s="2"/>
      <c r="MQF4" s="2"/>
      <c r="MQG4" s="2"/>
      <c r="MQH4" s="2"/>
      <c r="MQI4" s="2"/>
      <c r="MQJ4" s="2"/>
      <c r="MQK4" s="2"/>
      <c r="MQL4" s="2"/>
      <c r="MQM4" s="2"/>
      <c r="MQN4" s="2"/>
      <c r="MQO4" s="2"/>
      <c r="MQP4" s="2"/>
      <c r="MQQ4" s="2"/>
      <c r="MQR4" s="2"/>
      <c r="MQS4" s="2"/>
      <c r="MQT4" s="2"/>
      <c r="MQU4" s="2"/>
      <c r="MQV4" s="2"/>
      <c r="MQW4" s="2"/>
      <c r="MQX4" s="2"/>
      <c r="MQY4" s="2"/>
      <c r="MQZ4" s="2"/>
      <c r="MRA4" s="2"/>
      <c r="MRB4" s="2"/>
      <c r="MRC4" s="2"/>
      <c r="MRD4" s="2"/>
      <c r="MRE4" s="2"/>
      <c r="MRF4" s="2"/>
      <c r="MRG4" s="2"/>
      <c r="MRH4" s="2"/>
      <c r="MRI4" s="2"/>
      <c r="MRJ4" s="2"/>
      <c r="MRK4" s="2"/>
      <c r="MRL4" s="2"/>
      <c r="MRM4" s="2"/>
      <c r="MRN4" s="2"/>
      <c r="MRO4" s="2"/>
      <c r="MRP4" s="2"/>
      <c r="MRQ4" s="2"/>
      <c r="MRR4" s="2"/>
      <c r="MRS4" s="2"/>
      <c r="MRT4" s="2"/>
      <c r="MRU4" s="2"/>
      <c r="MRV4" s="2"/>
      <c r="MRW4" s="2"/>
      <c r="MRX4" s="2"/>
      <c r="MRY4" s="2"/>
      <c r="MRZ4" s="2"/>
      <c r="MSA4" s="2"/>
      <c r="MSB4" s="2"/>
      <c r="MSC4" s="2"/>
      <c r="MSD4" s="2"/>
      <c r="MSE4" s="2"/>
      <c r="MSF4" s="2"/>
      <c r="MSG4" s="2"/>
      <c r="MSH4" s="2"/>
      <c r="MSI4" s="2"/>
      <c r="MSJ4" s="2"/>
      <c r="MSK4" s="2"/>
      <c r="MSL4" s="2"/>
      <c r="MSM4" s="2"/>
      <c r="MSN4" s="2"/>
      <c r="MSO4" s="2"/>
      <c r="MSP4" s="2"/>
      <c r="MSQ4" s="2"/>
      <c r="MSR4" s="2"/>
      <c r="MSS4" s="2"/>
      <c r="MST4" s="2"/>
      <c r="MSU4" s="2"/>
      <c r="MSV4" s="2"/>
      <c r="MSW4" s="2"/>
      <c r="MSX4" s="2"/>
      <c r="MSY4" s="2"/>
      <c r="MSZ4" s="2"/>
      <c r="MTA4" s="2"/>
      <c r="MTB4" s="2"/>
      <c r="MTC4" s="2"/>
      <c r="MTD4" s="2"/>
      <c r="MTE4" s="2"/>
      <c r="MTF4" s="2"/>
      <c r="MTG4" s="2"/>
      <c r="MTH4" s="2"/>
      <c r="MTI4" s="2"/>
      <c r="MTJ4" s="2"/>
      <c r="MTK4" s="2"/>
      <c r="MTL4" s="2"/>
      <c r="MTM4" s="2"/>
      <c r="MTN4" s="2"/>
      <c r="MTO4" s="2"/>
      <c r="MTP4" s="2"/>
      <c r="MTQ4" s="2"/>
      <c r="MTR4" s="2"/>
      <c r="MTS4" s="2"/>
      <c r="MTT4" s="2"/>
      <c r="MTU4" s="2"/>
      <c r="MTV4" s="2"/>
      <c r="MTW4" s="2"/>
      <c r="MTX4" s="2"/>
      <c r="MTY4" s="2"/>
      <c r="MTZ4" s="2"/>
      <c r="MUA4" s="2"/>
      <c r="MUB4" s="2"/>
      <c r="MUC4" s="2"/>
      <c r="MUD4" s="2"/>
      <c r="MUE4" s="2"/>
      <c r="MUF4" s="2"/>
      <c r="MUG4" s="2"/>
      <c r="MUH4" s="2"/>
      <c r="MUI4" s="2"/>
      <c r="MUJ4" s="2"/>
      <c r="MUK4" s="2"/>
      <c r="MUL4" s="2"/>
      <c r="MUM4" s="2"/>
      <c r="MUN4" s="2"/>
      <c r="MUO4" s="2"/>
      <c r="MUP4" s="2"/>
      <c r="MUQ4" s="2"/>
      <c r="MUR4" s="2"/>
      <c r="MUS4" s="2"/>
      <c r="MUT4" s="2"/>
      <c r="MUU4" s="2"/>
      <c r="MUV4" s="2"/>
      <c r="MUW4" s="2"/>
      <c r="MUX4" s="2"/>
      <c r="MUY4" s="2"/>
      <c r="MUZ4" s="2"/>
      <c r="MVA4" s="2"/>
      <c r="MVB4" s="2"/>
      <c r="MVC4" s="2"/>
      <c r="MVD4" s="2"/>
      <c r="MVE4" s="2"/>
      <c r="MVF4" s="2"/>
      <c r="MVG4" s="2"/>
      <c r="MVH4" s="2"/>
      <c r="MVI4" s="2"/>
      <c r="MVJ4" s="2"/>
      <c r="MVK4" s="2"/>
      <c r="MVL4" s="2"/>
      <c r="MVM4" s="2"/>
      <c r="MVN4" s="2"/>
      <c r="MVO4" s="2"/>
      <c r="MVP4" s="2"/>
      <c r="MVQ4" s="2"/>
      <c r="MVR4" s="2"/>
      <c r="MVS4" s="2"/>
      <c r="MVT4" s="2"/>
      <c r="MVU4" s="2"/>
      <c r="MVV4" s="2"/>
      <c r="MVW4" s="2"/>
      <c r="MVX4" s="2"/>
      <c r="MVY4" s="2"/>
      <c r="MVZ4" s="2"/>
      <c r="MWA4" s="2"/>
      <c r="MWB4" s="2"/>
      <c r="MWC4" s="2"/>
      <c r="MWD4" s="2"/>
      <c r="MWE4" s="2"/>
      <c r="MWF4" s="2"/>
      <c r="MWG4" s="2"/>
      <c r="MWH4" s="2"/>
      <c r="MWI4" s="2"/>
      <c r="MWJ4" s="2"/>
      <c r="MWK4" s="2"/>
      <c r="MWL4" s="2"/>
      <c r="MWM4" s="2"/>
      <c r="MWN4" s="2"/>
      <c r="MWO4" s="2"/>
      <c r="MWP4" s="2"/>
      <c r="MWQ4" s="2"/>
      <c r="MWR4" s="2"/>
      <c r="MWS4" s="2"/>
      <c r="MWT4" s="2"/>
      <c r="MWU4" s="2"/>
      <c r="MWV4" s="2"/>
      <c r="MWW4" s="2"/>
      <c r="MWX4" s="2"/>
      <c r="MWY4" s="2"/>
      <c r="MWZ4" s="2"/>
      <c r="MXA4" s="2"/>
      <c r="MXB4" s="2"/>
      <c r="MXC4" s="2"/>
      <c r="MXD4" s="2"/>
      <c r="MXE4" s="2"/>
      <c r="MXF4" s="2"/>
      <c r="MXG4" s="2"/>
      <c r="MXH4" s="2"/>
      <c r="MXI4" s="2"/>
      <c r="MXJ4" s="2"/>
      <c r="MXK4" s="2"/>
      <c r="MXL4" s="2"/>
      <c r="MXM4" s="2"/>
      <c r="MXN4" s="2"/>
      <c r="MXO4" s="2"/>
      <c r="MXP4" s="2"/>
      <c r="MXQ4" s="2"/>
      <c r="MXR4" s="2"/>
      <c r="MXS4" s="2"/>
      <c r="MXT4" s="2"/>
      <c r="MXU4" s="2"/>
      <c r="MXV4" s="2"/>
      <c r="MXW4" s="2"/>
      <c r="MXX4" s="2"/>
      <c r="MXY4" s="2"/>
      <c r="MXZ4" s="2"/>
      <c r="MYA4" s="2"/>
      <c r="MYB4" s="2"/>
      <c r="MYC4" s="2"/>
      <c r="MYD4" s="2"/>
      <c r="MYE4" s="2"/>
      <c r="MYF4" s="2"/>
      <c r="MYG4" s="2"/>
      <c r="MYH4" s="2"/>
      <c r="MYI4" s="2"/>
      <c r="MYJ4" s="2"/>
      <c r="MYK4" s="2"/>
      <c r="MYL4" s="2"/>
      <c r="MYM4" s="2"/>
      <c r="MYN4" s="2"/>
      <c r="MYO4" s="2"/>
      <c r="MYP4" s="2"/>
      <c r="MYQ4" s="2"/>
      <c r="MYR4" s="2"/>
      <c r="MYS4" s="2"/>
      <c r="MYT4" s="2"/>
      <c r="MYU4" s="2"/>
      <c r="MYV4" s="2"/>
      <c r="MYW4" s="2"/>
      <c r="MYX4" s="2"/>
      <c r="MYY4" s="2"/>
      <c r="MYZ4" s="2"/>
      <c r="MZA4" s="2"/>
      <c r="MZB4" s="2"/>
      <c r="MZC4" s="2"/>
      <c r="MZD4" s="2"/>
      <c r="MZE4" s="2"/>
      <c r="MZF4" s="2"/>
      <c r="MZG4" s="2"/>
      <c r="MZH4" s="2"/>
      <c r="MZI4" s="2"/>
      <c r="MZJ4" s="2"/>
      <c r="MZK4" s="2"/>
      <c r="MZL4" s="2"/>
      <c r="MZM4" s="2"/>
      <c r="MZN4" s="2"/>
      <c r="MZO4" s="2"/>
      <c r="MZP4" s="2"/>
      <c r="MZQ4" s="2"/>
      <c r="MZR4" s="2"/>
      <c r="MZS4" s="2"/>
      <c r="MZT4" s="2"/>
      <c r="MZU4" s="2"/>
      <c r="MZV4" s="2"/>
      <c r="MZW4" s="2"/>
      <c r="MZX4" s="2"/>
      <c r="MZY4" s="2"/>
      <c r="MZZ4" s="2"/>
      <c r="NAA4" s="2"/>
      <c r="NAB4" s="2"/>
      <c r="NAC4" s="2"/>
      <c r="NAD4" s="2"/>
      <c r="NAE4" s="2"/>
      <c r="NAF4" s="2"/>
      <c r="NAG4" s="2"/>
      <c r="NAH4" s="2"/>
      <c r="NAI4" s="2"/>
      <c r="NAJ4" s="2"/>
      <c r="NAK4" s="2"/>
      <c r="NAL4" s="2"/>
      <c r="NAM4" s="2"/>
      <c r="NAN4" s="2"/>
      <c r="NAO4" s="2"/>
      <c r="NAP4" s="2"/>
      <c r="NAQ4" s="2"/>
      <c r="NAR4" s="2"/>
      <c r="NAS4" s="2"/>
      <c r="NAT4" s="2"/>
      <c r="NAU4" s="2"/>
      <c r="NAV4" s="2"/>
      <c r="NAW4" s="2"/>
      <c r="NAX4" s="2"/>
      <c r="NAY4" s="2"/>
      <c r="NAZ4" s="2"/>
      <c r="NBA4" s="2"/>
      <c r="NBB4" s="2"/>
      <c r="NBC4" s="2"/>
      <c r="NBD4" s="2"/>
      <c r="NBE4" s="2"/>
      <c r="NBF4" s="2"/>
      <c r="NBG4" s="2"/>
      <c r="NBH4" s="2"/>
      <c r="NBI4" s="2"/>
      <c r="NBJ4" s="2"/>
      <c r="NBK4" s="2"/>
      <c r="NBL4" s="2"/>
      <c r="NBM4" s="2"/>
      <c r="NBN4" s="2"/>
      <c r="NBO4" s="2"/>
      <c r="NBP4" s="2"/>
      <c r="NBQ4" s="2"/>
      <c r="NBR4" s="2"/>
      <c r="NBS4" s="2"/>
      <c r="NBT4" s="2"/>
      <c r="NBU4" s="2"/>
      <c r="NBV4" s="2"/>
      <c r="NBW4" s="2"/>
      <c r="NBX4" s="2"/>
      <c r="NBY4" s="2"/>
      <c r="NBZ4" s="2"/>
      <c r="NCA4" s="2"/>
      <c r="NCB4" s="2"/>
      <c r="NCC4" s="2"/>
      <c r="NCD4" s="2"/>
      <c r="NCE4" s="2"/>
      <c r="NCF4" s="2"/>
      <c r="NCG4" s="2"/>
      <c r="NCH4" s="2"/>
      <c r="NCI4" s="2"/>
      <c r="NCJ4" s="2"/>
      <c r="NCK4" s="2"/>
      <c r="NCL4" s="2"/>
      <c r="NCM4" s="2"/>
      <c r="NCN4" s="2"/>
      <c r="NCO4" s="2"/>
      <c r="NCP4" s="2"/>
      <c r="NCQ4" s="2"/>
      <c r="NCR4" s="2"/>
      <c r="NCS4" s="2"/>
      <c r="NCT4" s="2"/>
      <c r="NCU4" s="2"/>
      <c r="NCV4" s="2"/>
      <c r="NCW4" s="2"/>
      <c r="NCX4" s="2"/>
      <c r="NCY4" s="2"/>
      <c r="NCZ4" s="2"/>
      <c r="NDA4" s="2"/>
      <c r="NDB4" s="2"/>
      <c r="NDC4" s="2"/>
      <c r="NDD4" s="2"/>
      <c r="NDE4" s="2"/>
      <c r="NDF4" s="2"/>
      <c r="NDG4" s="2"/>
      <c r="NDH4" s="2"/>
      <c r="NDI4" s="2"/>
      <c r="NDJ4" s="2"/>
      <c r="NDK4" s="2"/>
      <c r="NDL4" s="2"/>
      <c r="NDM4" s="2"/>
      <c r="NDN4" s="2"/>
      <c r="NDO4" s="2"/>
      <c r="NDP4" s="2"/>
      <c r="NDQ4" s="2"/>
      <c r="NDR4" s="2"/>
      <c r="NDS4" s="2"/>
      <c r="NDT4" s="2"/>
      <c r="NDU4" s="2"/>
      <c r="NDV4" s="2"/>
      <c r="NDW4" s="2"/>
      <c r="NDX4" s="2"/>
      <c r="NDY4" s="2"/>
      <c r="NDZ4" s="2"/>
      <c r="NEA4" s="2"/>
      <c r="NEB4" s="2"/>
      <c r="NEC4" s="2"/>
      <c r="NED4" s="2"/>
      <c r="NEE4" s="2"/>
      <c r="NEF4" s="2"/>
      <c r="NEG4" s="2"/>
      <c r="NEH4" s="2"/>
      <c r="NEI4" s="2"/>
      <c r="NEJ4" s="2"/>
      <c r="NEK4" s="2"/>
      <c r="NEL4" s="2"/>
      <c r="NEM4" s="2"/>
      <c r="NEN4" s="2"/>
      <c r="NEO4" s="2"/>
      <c r="NEP4" s="2"/>
      <c r="NEQ4" s="2"/>
      <c r="NER4" s="2"/>
      <c r="NES4" s="2"/>
      <c r="NET4" s="2"/>
      <c r="NEU4" s="2"/>
      <c r="NEV4" s="2"/>
      <c r="NEW4" s="2"/>
      <c r="NEX4" s="2"/>
      <c r="NEY4" s="2"/>
      <c r="NEZ4" s="2"/>
      <c r="NFA4" s="2"/>
      <c r="NFB4" s="2"/>
      <c r="NFC4" s="2"/>
      <c r="NFD4" s="2"/>
      <c r="NFE4" s="2"/>
      <c r="NFF4" s="2"/>
      <c r="NFG4" s="2"/>
      <c r="NFH4" s="2"/>
      <c r="NFI4" s="2"/>
      <c r="NFJ4" s="2"/>
      <c r="NFK4" s="2"/>
      <c r="NFL4" s="2"/>
      <c r="NFM4" s="2"/>
      <c r="NFN4" s="2"/>
      <c r="NFO4" s="2"/>
      <c r="NFP4" s="2"/>
      <c r="NFQ4" s="2"/>
      <c r="NFR4" s="2"/>
      <c r="NFS4" s="2"/>
      <c r="NFT4" s="2"/>
      <c r="NFU4" s="2"/>
      <c r="NFV4" s="2"/>
      <c r="NFW4" s="2"/>
      <c r="NFX4" s="2"/>
      <c r="NFY4" s="2"/>
      <c r="NFZ4" s="2"/>
      <c r="NGA4" s="2"/>
      <c r="NGB4" s="2"/>
      <c r="NGC4" s="2"/>
      <c r="NGD4" s="2"/>
      <c r="NGE4" s="2"/>
      <c r="NGF4" s="2"/>
      <c r="NGG4" s="2"/>
      <c r="NGH4" s="2"/>
      <c r="NGI4" s="2"/>
      <c r="NGJ4" s="2"/>
      <c r="NGK4" s="2"/>
      <c r="NGL4" s="2"/>
      <c r="NGM4" s="2"/>
      <c r="NGN4" s="2"/>
      <c r="NGO4" s="2"/>
      <c r="NGP4" s="2"/>
      <c r="NGQ4" s="2"/>
      <c r="NGR4" s="2"/>
      <c r="NGS4" s="2"/>
      <c r="NGT4" s="2"/>
      <c r="NGU4" s="2"/>
      <c r="NGV4" s="2"/>
      <c r="NGW4" s="2"/>
      <c r="NGX4" s="2"/>
      <c r="NGY4" s="2"/>
      <c r="NGZ4" s="2"/>
      <c r="NHA4" s="2"/>
      <c r="NHB4" s="2"/>
      <c r="NHC4" s="2"/>
      <c r="NHD4" s="2"/>
      <c r="NHE4" s="2"/>
      <c r="NHF4" s="2"/>
      <c r="NHG4" s="2"/>
      <c r="NHH4" s="2"/>
      <c r="NHI4" s="2"/>
      <c r="NHJ4" s="2"/>
      <c r="NHK4" s="2"/>
      <c r="NHL4" s="2"/>
      <c r="NHM4" s="2"/>
      <c r="NHN4" s="2"/>
      <c r="NHO4" s="2"/>
      <c r="NHP4" s="2"/>
      <c r="NHQ4" s="2"/>
      <c r="NHR4" s="2"/>
      <c r="NHS4" s="2"/>
      <c r="NHT4" s="2"/>
      <c r="NHU4" s="2"/>
      <c r="NHV4" s="2"/>
      <c r="NHW4" s="2"/>
      <c r="NHX4" s="2"/>
      <c r="NHY4" s="2"/>
      <c r="NHZ4" s="2"/>
      <c r="NIA4" s="2"/>
      <c r="NIB4" s="2"/>
      <c r="NIC4" s="2"/>
      <c r="NID4" s="2"/>
      <c r="NIE4" s="2"/>
      <c r="NIF4" s="2"/>
      <c r="NIG4" s="2"/>
      <c r="NIH4" s="2"/>
      <c r="NII4" s="2"/>
      <c r="NIJ4" s="2"/>
      <c r="NIK4" s="2"/>
      <c r="NIL4" s="2"/>
      <c r="NIM4" s="2"/>
      <c r="NIN4" s="2"/>
      <c r="NIO4" s="2"/>
      <c r="NIP4" s="2"/>
      <c r="NIQ4" s="2"/>
      <c r="NIR4" s="2"/>
      <c r="NIS4" s="2"/>
      <c r="NIT4" s="2"/>
      <c r="NIU4" s="2"/>
      <c r="NIV4" s="2"/>
      <c r="NIW4" s="2"/>
      <c r="NIX4" s="2"/>
      <c r="NIY4" s="2"/>
      <c r="NIZ4" s="2"/>
      <c r="NJA4" s="2"/>
      <c r="NJB4" s="2"/>
      <c r="NJC4" s="2"/>
      <c r="NJD4" s="2"/>
      <c r="NJE4" s="2"/>
      <c r="NJF4" s="2"/>
      <c r="NJG4" s="2"/>
      <c r="NJH4" s="2"/>
      <c r="NJI4" s="2"/>
      <c r="NJJ4" s="2"/>
      <c r="NJK4" s="2"/>
      <c r="NJL4" s="2"/>
      <c r="NJM4" s="2"/>
      <c r="NJN4" s="2"/>
      <c r="NJO4" s="2"/>
      <c r="NJP4" s="2"/>
      <c r="NJQ4" s="2"/>
      <c r="NJR4" s="2"/>
      <c r="NJS4" s="2"/>
      <c r="NJT4" s="2"/>
      <c r="NJU4" s="2"/>
      <c r="NJV4" s="2"/>
      <c r="NJW4" s="2"/>
      <c r="NJX4" s="2"/>
      <c r="NJY4" s="2"/>
      <c r="NJZ4" s="2"/>
      <c r="NKA4" s="2"/>
      <c r="NKB4" s="2"/>
      <c r="NKC4" s="2"/>
      <c r="NKD4" s="2"/>
      <c r="NKE4" s="2"/>
      <c r="NKF4" s="2"/>
      <c r="NKG4" s="2"/>
      <c r="NKH4" s="2"/>
      <c r="NKI4" s="2"/>
      <c r="NKJ4" s="2"/>
      <c r="NKK4" s="2"/>
      <c r="NKL4" s="2"/>
      <c r="NKM4" s="2"/>
      <c r="NKN4" s="2"/>
      <c r="NKO4" s="2"/>
      <c r="NKP4" s="2"/>
      <c r="NKQ4" s="2"/>
      <c r="NKR4" s="2"/>
      <c r="NKS4" s="2"/>
      <c r="NKT4" s="2"/>
      <c r="NKU4" s="2"/>
      <c r="NKV4" s="2"/>
      <c r="NKW4" s="2"/>
      <c r="NKX4" s="2"/>
      <c r="NKY4" s="2"/>
      <c r="NKZ4" s="2"/>
      <c r="NLA4" s="2"/>
      <c r="NLB4" s="2"/>
      <c r="NLC4" s="2"/>
      <c r="NLD4" s="2"/>
      <c r="NLE4" s="2"/>
      <c r="NLF4" s="2"/>
      <c r="NLG4" s="2"/>
      <c r="NLH4" s="2"/>
      <c r="NLI4" s="2"/>
      <c r="NLJ4" s="2"/>
      <c r="NLK4" s="2"/>
      <c r="NLL4" s="2"/>
      <c r="NLM4" s="2"/>
      <c r="NLN4" s="2"/>
      <c r="NLO4" s="2"/>
      <c r="NLP4" s="2"/>
      <c r="NLQ4" s="2"/>
      <c r="NLR4" s="2"/>
      <c r="NLS4" s="2"/>
      <c r="NLT4" s="2"/>
      <c r="NLU4" s="2"/>
      <c r="NLV4" s="2"/>
      <c r="NLW4" s="2"/>
      <c r="NLX4" s="2"/>
      <c r="NLY4" s="2"/>
      <c r="NLZ4" s="2"/>
      <c r="NMA4" s="2"/>
      <c r="NMB4" s="2"/>
      <c r="NMC4" s="2"/>
      <c r="NMD4" s="2"/>
      <c r="NME4" s="2"/>
      <c r="NMF4" s="2"/>
      <c r="NMG4" s="2"/>
      <c r="NMH4" s="2"/>
      <c r="NMI4" s="2"/>
      <c r="NMJ4" s="2"/>
      <c r="NMK4" s="2"/>
      <c r="NML4" s="2"/>
      <c r="NMM4" s="2"/>
      <c r="NMN4" s="2"/>
      <c r="NMO4" s="2"/>
      <c r="NMP4" s="2"/>
      <c r="NMQ4" s="2"/>
      <c r="NMR4" s="2"/>
      <c r="NMS4" s="2"/>
      <c r="NMT4" s="2"/>
      <c r="NMU4" s="2"/>
      <c r="NMV4" s="2"/>
      <c r="NMW4" s="2"/>
      <c r="NMX4" s="2"/>
      <c r="NMY4" s="2"/>
      <c r="NMZ4" s="2"/>
      <c r="NNA4" s="2"/>
      <c r="NNB4" s="2"/>
      <c r="NNC4" s="2"/>
      <c r="NND4" s="2"/>
      <c r="NNE4" s="2"/>
      <c r="NNF4" s="2"/>
      <c r="NNG4" s="2"/>
      <c r="NNH4" s="2"/>
      <c r="NNI4" s="2"/>
      <c r="NNJ4" s="2"/>
      <c r="NNK4" s="2"/>
      <c r="NNL4" s="2"/>
      <c r="NNM4" s="2"/>
      <c r="NNN4" s="2"/>
      <c r="NNO4" s="2"/>
      <c r="NNP4" s="2"/>
      <c r="NNQ4" s="2"/>
      <c r="NNR4" s="2"/>
      <c r="NNS4" s="2"/>
      <c r="NNT4" s="2"/>
      <c r="NNU4" s="2"/>
      <c r="NNV4" s="2"/>
      <c r="NNW4" s="2"/>
      <c r="NNX4" s="2"/>
      <c r="NNY4" s="2"/>
      <c r="NNZ4" s="2"/>
      <c r="NOA4" s="2"/>
      <c r="NOB4" s="2"/>
      <c r="NOC4" s="2"/>
      <c r="NOD4" s="2"/>
      <c r="NOE4" s="2"/>
      <c r="NOF4" s="2"/>
      <c r="NOG4" s="2"/>
      <c r="NOH4" s="2"/>
      <c r="NOI4" s="2"/>
      <c r="NOJ4" s="2"/>
      <c r="NOK4" s="2"/>
      <c r="NOL4" s="2"/>
      <c r="NOM4" s="2"/>
      <c r="NON4" s="2"/>
      <c r="NOO4" s="2"/>
      <c r="NOP4" s="2"/>
      <c r="NOQ4" s="2"/>
      <c r="NOR4" s="2"/>
      <c r="NOS4" s="2"/>
      <c r="NOT4" s="2"/>
      <c r="NOU4" s="2"/>
      <c r="NOV4" s="2"/>
      <c r="NOW4" s="2"/>
      <c r="NOX4" s="2"/>
      <c r="NOY4" s="2"/>
      <c r="NOZ4" s="2"/>
      <c r="NPA4" s="2"/>
      <c r="NPB4" s="2"/>
      <c r="NPC4" s="2"/>
      <c r="NPD4" s="2"/>
      <c r="NPE4" s="2"/>
      <c r="NPF4" s="2"/>
      <c r="NPG4" s="2"/>
      <c r="NPH4" s="2"/>
      <c r="NPI4" s="2"/>
      <c r="NPJ4" s="2"/>
      <c r="NPK4" s="2"/>
      <c r="NPL4" s="2"/>
      <c r="NPM4" s="2"/>
      <c r="NPN4" s="2"/>
      <c r="NPO4" s="2"/>
      <c r="NPP4" s="2"/>
      <c r="NPQ4" s="2"/>
      <c r="NPR4" s="2"/>
      <c r="NPS4" s="2"/>
      <c r="NPT4" s="2"/>
      <c r="NPU4" s="2"/>
      <c r="NPV4" s="2"/>
      <c r="NPW4" s="2"/>
      <c r="NPX4" s="2"/>
      <c r="NPY4" s="2"/>
      <c r="NPZ4" s="2"/>
      <c r="NQA4" s="2"/>
      <c r="NQB4" s="2"/>
      <c r="NQC4" s="2"/>
      <c r="NQD4" s="2"/>
      <c r="NQE4" s="2"/>
      <c r="NQF4" s="2"/>
      <c r="NQG4" s="2"/>
      <c r="NQH4" s="2"/>
      <c r="NQI4" s="2"/>
      <c r="NQJ4" s="2"/>
      <c r="NQK4" s="2"/>
      <c r="NQL4" s="2"/>
      <c r="NQM4" s="2"/>
      <c r="NQN4" s="2"/>
      <c r="NQO4" s="2"/>
      <c r="NQP4" s="2"/>
      <c r="NQQ4" s="2"/>
      <c r="NQR4" s="2"/>
      <c r="NQS4" s="2"/>
      <c r="NQT4" s="2"/>
      <c r="NQU4" s="2"/>
      <c r="NQV4" s="2"/>
      <c r="NQW4" s="2"/>
      <c r="NQX4" s="2"/>
      <c r="NQY4" s="2"/>
      <c r="NQZ4" s="2"/>
      <c r="NRA4" s="2"/>
      <c r="NRB4" s="2"/>
      <c r="NRC4" s="2"/>
      <c r="NRD4" s="2"/>
      <c r="NRE4" s="2"/>
      <c r="NRF4" s="2"/>
      <c r="NRG4" s="2"/>
      <c r="NRH4" s="2"/>
      <c r="NRI4" s="2"/>
      <c r="NRJ4" s="2"/>
      <c r="NRK4" s="2"/>
      <c r="NRL4" s="2"/>
      <c r="NRM4" s="2"/>
      <c r="NRN4" s="2"/>
      <c r="NRO4" s="2"/>
      <c r="NRP4" s="2"/>
      <c r="NRQ4" s="2"/>
      <c r="NRR4" s="2"/>
      <c r="NRS4" s="2"/>
      <c r="NRT4" s="2"/>
      <c r="NRU4" s="2"/>
      <c r="NRV4" s="2"/>
      <c r="NRW4" s="2"/>
      <c r="NRX4" s="2"/>
      <c r="NRY4" s="2"/>
      <c r="NRZ4" s="2"/>
      <c r="NSA4" s="2"/>
      <c r="NSB4" s="2"/>
      <c r="NSC4" s="2"/>
      <c r="NSD4" s="2"/>
      <c r="NSE4" s="2"/>
      <c r="NSF4" s="2"/>
      <c r="NSG4" s="2"/>
      <c r="NSH4" s="2"/>
      <c r="NSI4" s="2"/>
      <c r="NSJ4" s="2"/>
      <c r="NSK4" s="2"/>
      <c r="NSL4" s="2"/>
      <c r="NSM4" s="2"/>
      <c r="NSN4" s="2"/>
      <c r="NSO4" s="2"/>
      <c r="NSP4" s="2"/>
      <c r="NSQ4" s="2"/>
      <c r="NSR4" s="2"/>
      <c r="NSS4" s="2"/>
      <c r="NST4" s="2"/>
      <c r="NSU4" s="2"/>
      <c r="NSV4" s="2"/>
      <c r="NSW4" s="2"/>
      <c r="NSX4" s="2"/>
      <c r="NSY4" s="2"/>
      <c r="NSZ4" s="2"/>
      <c r="NTA4" s="2"/>
      <c r="NTB4" s="2"/>
      <c r="NTC4" s="2"/>
      <c r="NTD4" s="2"/>
      <c r="NTE4" s="2"/>
      <c r="NTF4" s="2"/>
      <c r="NTG4" s="2"/>
      <c r="NTH4" s="2"/>
      <c r="NTI4" s="2"/>
      <c r="NTJ4" s="2"/>
      <c r="NTK4" s="2"/>
      <c r="NTL4" s="2"/>
      <c r="NTM4" s="2"/>
      <c r="NTN4" s="2"/>
      <c r="NTO4" s="2"/>
      <c r="NTP4" s="2"/>
      <c r="NTQ4" s="2"/>
      <c r="NTR4" s="2"/>
      <c r="NTS4" s="2"/>
      <c r="NTT4" s="2"/>
      <c r="NTU4" s="2"/>
      <c r="NTV4" s="2"/>
      <c r="NTW4" s="2"/>
      <c r="NTX4" s="2"/>
      <c r="NTY4" s="2"/>
      <c r="NTZ4" s="2"/>
      <c r="NUA4" s="2"/>
      <c r="NUB4" s="2"/>
      <c r="NUC4" s="2"/>
      <c r="NUD4" s="2"/>
      <c r="NUE4" s="2"/>
      <c r="NUF4" s="2"/>
      <c r="NUG4" s="2"/>
      <c r="NUH4" s="2"/>
      <c r="NUI4" s="2"/>
      <c r="NUJ4" s="2"/>
      <c r="NUK4" s="2"/>
      <c r="NUL4" s="2"/>
      <c r="NUM4" s="2"/>
      <c r="NUN4" s="2"/>
      <c r="NUO4" s="2"/>
      <c r="NUP4" s="2"/>
      <c r="NUQ4" s="2"/>
      <c r="NUR4" s="2"/>
      <c r="NUS4" s="2"/>
      <c r="NUT4" s="2"/>
      <c r="NUU4" s="2"/>
      <c r="NUV4" s="2"/>
      <c r="NUW4" s="2"/>
      <c r="NUX4" s="2"/>
      <c r="NUY4" s="2"/>
      <c r="NUZ4" s="2"/>
      <c r="NVA4" s="2"/>
      <c r="NVB4" s="2"/>
      <c r="NVC4" s="2"/>
      <c r="NVD4" s="2"/>
      <c r="NVE4" s="2"/>
      <c r="NVF4" s="2"/>
      <c r="NVG4" s="2"/>
      <c r="NVH4" s="2"/>
      <c r="NVI4" s="2"/>
      <c r="NVJ4" s="2"/>
      <c r="NVK4" s="2"/>
      <c r="NVL4" s="2"/>
      <c r="NVM4" s="2"/>
      <c r="NVN4" s="2"/>
      <c r="NVO4" s="2"/>
      <c r="NVP4" s="2"/>
      <c r="NVQ4" s="2"/>
      <c r="NVR4" s="2"/>
      <c r="NVS4" s="2"/>
      <c r="NVT4" s="2"/>
      <c r="NVU4" s="2"/>
      <c r="NVV4" s="2"/>
      <c r="NVW4" s="2"/>
      <c r="NVX4" s="2"/>
      <c r="NVY4" s="2"/>
      <c r="NVZ4" s="2"/>
      <c r="NWA4" s="2"/>
      <c r="NWB4" s="2"/>
      <c r="NWC4" s="2"/>
      <c r="NWD4" s="2"/>
      <c r="NWE4" s="2"/>
      <c r="NWF4" s="2"/>
      <c r="NWG4" s="2"/>
      <c r="NWH4" s="2"/>
      <c r="NWI4" s="2"/>
      <c r="NWJ4" s="2"/>
      <c r="NWK4" s="2"/>
      <c r="NWL4" s="2"/>
      <c r="NWM4" s="2"/>
      <c r="NWN4" s="2"/>
      <c r="NWO4" s="2"/>
      <c r="NWP4" s="2"/>
      <c r="NWQ4" s="2"/>
      <c r="NWR4" s="2"/>
      <c r="NWS4" s="2"/>
      <c r="NWT4" s="2"/>
      <c r="NWU4" s="2"/>
      <c r="NWV4" s="2"/>
      <c r="NWW4" s="2"/>
      <c r="NWX4" s="2"/>
      <c r="NWY4" s="2"/>
      <c r="NWZ4" s="2"/>
      <c r="NXA4" s="2"/>
      <c r="NXB4" s="2"/>
      <c r="NXC4" s="2"/>
      <c r="NXD4" s="2"/>
      <c r="NXE4" s="2"/>
      <c r="NXF4" s="2"/>
      <c r="NXG4" s="2"/>
      <c r="NXH4" s="2"/>
      <c r="NXI4" s="2"/>
      <c r="NXJ4" s="2"/>
      <c r="NXK4" s="2"/>
      <c r="NXL4" s="2"/>
      <c r="NXM4" s="2"/>
      <c r="NXN4" s="2"/>
      <c r="NXO4" s="2"/>
      <c r="NXP4" s="2"/>
      <c r="NXQ4" s="2"/>
      <c r="NXR4" s="2"/>
      <c r="NXS4" s="2"/>
      <c r="NXT4" s="2"/>
      <c r="NXU4" s="2"/>
      <c r="NXV4" s="2"/>
      <c r="NXW4" s="2"/>
      <c r="NXX4" s="2"/>
      <c r="NXY4" s="2"/>
      <c r="NXZ4" s="2"/>
      <c r="NYA4" s="2"/>
      <c r="NYB4" s="2"/>
      <c r="NYC4" s="2"/>
      <c r="NYD4" s="2"/>
      <c r="NYE4" s="2"/>
      <c r="NYF4" s="2"/>
      <c r="NYG4" s="2"/>
      <c r="NYH4" s="2"/>
      <c r="NYI4" s="2"/>
      <c r="NYJ4" s="2"/>
      <c r="NYK4" s="2"/>
      <c r="NYL4" s="2"/>
      <c r="NYM4" s="2"/>
      <c r="NYN4" s="2"/>
      <c r="NYO4" s="2"/>
      <c r="NYP4" s="2"/>
      <c r="NYQ4" s="2"/>
      <c r="NYR4" s="2"/>
      <c r="NYS4" s="2"/>
      <c r="NYT4" s="2"/>
      <c r="NYU4" s="2"/>
      <c r="NYV4" s="2"/>
      <c r="NYW4" s="2"/>
      <c r="NYX4" s="2"/>
      <c r="NYY4" s="2"/>
      <c r="NYZ4" s="2"/>
      <c r="NZA4" s="2"/>
      <c r="NZB4" s="2"/>
      <c r="NZC4" s="2"/>
      <c r="NZD4" s="2"/>
      <c r="NZE4" s="2"/>
      <c r="NZF4" s="2"/>
      <c r="NZG4" s="2"/>
      <c r="NZH4" s="2"/>
      <c r="NZI4" s="2"/>
      <c r="NZJ4" s="2"/>
      <c r="NZK4" s="2"/>
      <c r="NZL4" s="2"/>
      <c r="NZM4" s="2"/>
      <c r="NZN4" s="2"/>
      <c r="NZO4" s="2"/>
      <c r="NZP4" s="2"/>
      <c r="NZQ4" s="2"/>
      <c r="NZR4" s="2"/>
      <c r="NZS4" s="2"/>
      <c r="NZT4" s="2"/>
      <c r="NZU4" s="2"/>
      <c r="NZV4" s="2"/>
      <c r="NZW4" s="2"/>
      <c r="NZX4" s="2"/>
      <c r="NZY4" s="2"/>
      <c r="NZZ4" s="2"/>
      <c r="OAA4" s="2"/>
      <c r="OAB4" s="2"/>
      <c r="OAC4" s="2"/>
      <c r="OAD4" s="2"/>
      <c r="OAE4" s="2"/>
      <c r="OAF4" s="2"/>
      <c r="OAG4" s="2"/>
      <c r="OAH4" s="2"/>
      <c r="OAI4" s="2"/>
      <c r="OAJ4" s="2"/>
      <c r="OAK4" s="2"/>
      <c r="OAL4" s="2"/>
      <c r="OAM4" s="2"/>
      <c r="OAN4" s="2"/>
      <c r="OAO4" s="2"/>
      <c r="OAP4" s="2"/>
      <c r="OAQ4" s="2"/>
      <c r="OAR4" s="2"/>
      <c r="OAS4" s="2"/>
      <c r="OAT4" s="2"/>
      <c r="OAU4" s="2"/>
      <c r="OAV4" s="2"/>
      <c r="OAW4" s="2"/>
      <c r="OAX4" s="2"/>
      <c r="OAY4" s="2"/>
      <c r="OAZ4" s="2"/>
      <c r="OBA4" s="2"/>
      <c r="OBB4" s="2"/>
      <c r="OBC4" s="2"/>
      <c r="OBD4" s="2"/>
      <c r="OBE4" s="2"/>
      <c r="OBF4" s="2"/>
      <c r="OBG4" s="2"/>
      <c r="OBH4" s="2"/>
      <c r="OBI4" s="2"/>
      <c r="OBJ4" s="2"/>
      <c r="OBK4" s="2"/>
      <c r="OBL4" s="2"/>
      <c r="OBM4" s="2"/>
      <c r="OBN4" s="2"/>
      <c r="OBO4" s="2"/>
      <c r="OBP4" s="2"/>
      <c r="OBQ4" s="2"/>
      <c r="OBR4" s="2"/>
      <c r="OBS4" s="2"/>
      <c r="OBT4" s="2"/>
      <c r="OBU4" s="2"/>
      <c r="OBV4" s="2"/>
      <c r="OBW4" s="2"/>
      <c r="OBX4" s="2"/>
      <c r="OBY4" s="2"/>
      <c r="OBZ4" s="2"/>
      <c r="OCA4" s="2"/>
      <c r="OCB4" s="2"/>
      <c r="OCC4" s="2"/>
      <c r="OCD4" s="2"/>
      <c r="OCE4" s="2"/>
      <c r="OCF4" s="2"/>
      <c r="OCG4" s="2"/>
      <c r="OCH4" s="2"/>
      <c r="OCI4" s="2"/>
      <c r="OCJ4" s="2"/>
      <c r="OCK4" s="2"/>
      <c r="OCL4" s="2"/>
      <c r="OCM4" s="2"/>
      <c r="OCN4" s="2"/>
      <c r="OCO4" s="2"/>
      <c r="OCP4" s="2"/>
      <c r="OCQ4" s="2"/>
      <c r="OCR4" s="2"/>
      <c r="OCS4" s="2"/>
      <c r="OCT4" s="2"/>
      <c r="OCU4" s="2"/>
      <c r="OCV4" s="2"/>
      <c r="OCW4" s="2"/>
      <c r="OCX4" s="2"/>
      <c r="OCY4" s="2"/>
      <c r="OCZ4" s="2"/>
      <c r="ODA4" s="2"/>
      <c r="ODB4" s="2"/>
      <c r="ODC4" s="2"/>
      <c r="ODD4" s="2"/>
      <c r="ODE4" s="2"/>
      <c r="ODF4" s="2"/>
      <c r="ODG4" s="2"/>
      <c r="ODH4" s="2"/>
      <c r="ODI4" s="2"/>
      <c r="ODJ4" s="2"/>
      <c r="ODK4" s="2"/>
      <c r="ODL4" s="2"/>
      <c r="ODM4" s="2"/>
      <c r="ODN4" s="2"/>
      <c r="ODO4" s="2"/>
      <c r="ODP4" s="2"/>
      <c r="ODQ4" s="2"/>
      <c r="ODR4" s="2"/>
      <c r="ODS4" s="2"/>
      <c r="ODT4" s="2"/>
      <c r="ODU4" s="2"/>
      <c r="ODV4" s="2"/>
      <c r="ODW4" s="2"/>
      <c r="ODX4" s="2"/>
      <c r="ODY4" s="2"/>
      <c r="ODZ4" s="2"/>
      <c r="OEA4" s="2"/>
      <c r="OEB4" s="2"/>
      <c r="OEC4" s="2"/>
      <c r="OED4" s="2"/>
      <c r="OEE4" s="2"/>
      <c r="OEF4" s="2"/>
      <c r="OEG4" s="2"/>
      <c r="OEH4" s="2"/>
      <c r="OEI4" s="2"/>
      <c r="OEJ4" s="2"/>
      <c r="OEK4" s="2"/>
      <c r="OEL4" s="2"/>
      <c r="OEM4" s="2"/>
      <c r="OEN4" s="2"/>
      <c r="OEO4" s="2"/>
      <c r="OEP4" s="2"/>
      <c r="OEQ4" s="2"/>
      <c r="OER4" s="2"/>
      <c r="OES4" s="2"/>
      <c r="OET4" s="2"/>
      <c r="OEU4" s="2"/>
      <c r="OEV4" s="2"/>
      <c r="OEW4" s="2"/>
      <c r="OEX4" s="2"/>
      <c r="OEY4" s="2"/>
      <c r="OEZ4" s="2"/>
      <c r="OFA4" s="2"/>
      <c r="OFB4" s="2"/>
      <c r="OFC4" s="2"/>
      <c r="OFD4" s="2"/>
      <c r="OFE4" s="2"/>
      <c r="OFF4" s="2"/>
      <c r="OFG4" s="2"/>
      <c r="OFH4" s="2"/>
      <c r="OFI4" s="2"/>
      <c r="OFJ4" s="2"/>
      <c r="OFK4" s="2"/>
      <c r="OFL4" s="2"/>
      <c r="OFM4" s="2"/>
      <c r="OFN4" s="2"/>
      <c r="OFO4" s="2"/>
      <c r="OFP4" s="2"/>
      <c r="OFQ4" s="2"/>
      <c r="OFR4" s="2"/>
      <c r="OFS4" s="2"/>
      <c r="OFT4" s="2"/>
      <c r="OFU4" s="2"/>
      <c r="OFV4" s="2"/>
      <c r="OFW4" s="2"/>
      <c r="OFX4" s="2"/>
      <c r="OFY4" s="2"/>
      <c r="OFZ4" s="2"/>
      <c r="OGA4" s="2"/>
      <c r="OGB4" s="2"/>
      <c r="OGC4" s="2"/>
      <c r="OGD4" s="2"/>
      <c r="OGE4" s="2"/>
      <c r="OGF4" s="2"/>
      <c r="OGG4" s="2"/>
      <c r="OGH4" s="2"/>
      <c r="OGI4" s="2"/>
      <c r="OGJ4" s="2"/>
      <c r="OGK4" s="2"/>
      <c r="OGL4" s="2"/>
      <c r="OGM4" s="2"/>
      <c r="OGN4" s="2"/>
      <c r="OGO4" s="2"/>
      <c r="OGP4" s="2"/>
      <c r="OGQ4" s="2"/>
      <c r="OGR4" s="2"/>
      <c r="OGS4" s="2"/>
      <c r="OGT4" s="2"/>
      <c r="OGU4" s="2"/>
      <c r="OGV4" s="2"/>
      <c r="OGW4" s="2"/>
      <c r="OGX4" s="2"/>
      <c r="OGY4" s="2"/>
      <c r="OGZ4" s="2"/>
      <c r="OHA4" s="2"/>
      <c r="OHB4" s="2"/>
      <c r="OHC4" s="2"/>
      <c r="OHD4" s="2"/>
      <c r="OHE4" s="2"/>
      <c r="OHF4" s="2"/>
      <c r="OHG4" s="2"/>
      <c r="OHH4" s="2"/>
      <c r="OHI4" s="2"/>
      <c r="OHJ4" s="2"/>
      <c r="OHK4" s="2"/>
      <c r="OHL4" s="2"/>
      <c r="OHM4" s="2"/>
      <c r="OHN4" s="2"/>
      <c r="OHO4" s="2"/>
      <c r="OHP4" s="2"/>
      <c r="OHQ4" s="2"/>
      <c r="OHR4" s="2"/>
      <c r="OHS4" s="2"/>
      <c r="OHT4" s="2"/>
      <c r="OHU4" s="2"/>
      <c r="OHV4" s="2"/>
      <c r="OHW4" s="2"/>
      <c r="OHX4" s="2"/>
      <c r="OHY4" s="2"/>
      <c r="OHZ4" s="2"/>
      <c r="OIA4" s="2"/>
      <c r="OIB4" s="2"/>
      <c r="OIC4" s="2"/>
      <c r="OID4" s="2"/>
      <c r="OIE4" s="2"/>
      <c r="OIF4" s="2"/>
      <c r="OIG4" s="2"/>
      <c r="OIH4" s="2"/>
      <c r="OII4" s="2"/>
      <c r="OIJ4" s="2"/>
      <c r="OIK4" s="2"/>
      <c r="OIL4" s="2"/>
      <c r="OIM4" s="2"/>
      <c r="OIN4" s="2"/>
      <c r="OIO4" s="2"/>
      <c r="OIP4" s="2"/>
      <c r="OIQ4" s="2"/>
      <c r="OIR4" s="2"/>
      <c r="OIS4" s="2"/>
      <c r="OIT4" s="2"/>
      <c r="OIU4" s="2"/>
      <c r="OIV4" s="2"/>
      <c r="OIW4" s="2"/>
      <c r="OIX4" s="2"/>
      <c r="OIY4" s="2"/>
      <c r="OIZ4" s="2"/>
      <c r="OJA4" s="2"/>
      <c r="OJB4" s="2"/>
      <c r="OJC4" s="2"/>
      <c r="OJD4" s="2"/>
      <c r="OJE4" s="2"/>
      <c r="OJF4" s="2"/>
      <c r="OJG4" s="2"/>
      <c r="OJH4" s="2"/>
      <c r="OJI4" s="2"/>
      <c r="OJJ4" s="2"/>
      <c r="OJK4" s="2"/>
      <c r="OJL4" s="2"/>
      <c r="OJM4" s="2"/>
      <c r="OJN4" s="2"/>
      <c r="OJO4" s="2"/>
      <c r="OJP4" s="2"/>
      <c r="OJQ4" s="2"/>
      <c r="OJR4" s="2"/>
      <c r="OJS4" s="2"/>
      <c r="OJT4" s="2"/>
      <c r="OJU4" s="2"/>
      <c r="OJV4" s="2"/>
      <c r="OJW4" s="2"/>
      <c r="OJX4" s="2"/>
      <c r="OJY4" s="2"/>
      <c r="OJZ4" s="2"/>
      <c r="OKA4" s="2"/>
      <c r="OKB4" s="2"/>
      <c r="OKC4" s="2"/>
      <c r="OKD4" s="2"/>
      <c r="OKE4" s="2"/>
      <c r="OKF4" s="2"/>
      <c r="OKG4" s="2"/>
      <c r="OKH4" s="2"/>
      <c r="OKI4" s="2"/>
      <c r="OKJ4" s="2"/>
      <c r="OKK4" s="2"/>
      <c r="OKL4" s="2"/>
      <c r="OKM4" s="2"/>
      <c r="OKN4" s="2"/>
      <c r="OKO4" s="2"/>
      <c r="OKP4" s="2"/>
      <c r="OKQ4" s="2"/>
      <c r="OKR4" s="2"/>
      <c r="OKS4" s="2"/>
      <c r="OKT4" s="2"/>
      <c r="OKU4" s="2"/>
      <c r="OKV4" s="2"/>
      <c r="OKW4" s="2"/>
      <c r="OKX4" s="2"/>
      <c r="OKY4" s="2"/>
      <c r="OKZ4" s="2"/>
      <c r="OLA4" s="2"/>
      <c r="OLB4" s="2"/>
      <c r="OLC4" s="2"/>
      <c r="OLD4" s="2"/>
      <c r="OLE4" s="2"/>
      <c r="OLF4" s="2"/>
      <c r="OLG4" s="2"/>
      <c r="OLH4" s="2"/>
      <c r="OLI4" s="2"/>
      <c r="OLJ4" s="2"/>
      <c r="OLK4" s="2"/>
      <c r="OLL4" s="2"/>
      <c r="OLM4" s="2"/>
      <c r="OLN4" s="2"/>
      <c r="OLO4" s="2"/>
      <c r="OLP4" s="2"/>
      <c r="OLQ4" s="2"/>
      <c r="OLR4" s="2"/>
      <c r="OLS4" s="2"/>
      <c r="OLT4" s="2"/>
      <c r="OLU4" s="2"/>
      <c r="OLV4" s="2"/>
      <c r="OLW4" s="2"/>
      <c r="OLX4" s="2"/>
      <c r="OLY4" s="2"/>
      <c r="OLZ4" s="2"/>
      <c r="OMA4" s="2"/>
      <c r="OMB4" s="2"/>
      <c r="OMC4" s="2"/>
      <c r="OMD4" s="2"/>
      <c r="OME4" s="2"/>
      <c r="OMF4" s="2"/>
      <c r="OMG4" s="2"/>
      <c r="OMH4" s="2"/>
      <c r="OMI4" s="2"/>
      <c r="OMJ4" s="2"/>
      <c r="OMK4" s="2"/>
      <c r="OML4" s="2"/>
      <c r="OMM4" s="2"/>
      <c r="OMN4" s="2"/>
      <c r="OMO4" s="2"/>
      <c r="OMP4" s="2"/>
      <c r="OMQ4" s="2"/>
      <c r="OMR4" s="2"/>
      <c r="OMS4" s="2"/>
      <c r="OMT4" s="2"/>
      <c r="OMU4" s="2"/>
      <c r="OMV4" s="2"/>
      <c r="OMW4" s="2"/>
      <c r="OMX4" s="2"/>
      <c r="OMY4" s="2"/>
      <c r="OMZ4" s="2"/>
      <c r="ONA4" s="2"/>
      <c r="ONB4" s="2"/>
      <c r="ONC4" s="2"/>
      <c r="OND4" s="2"/>
      <c r="ONE4" s="2"/>
      <c r="ONF4" s="2"/>
      <c r="ONG4" s="2"/>
      <c r="ONH4" s="2"/>
      <c r="ONI4" s="2"/>
      <c r="ONJ4" s="2"/>
      <c r="ONK4" s="2"/>
      <c r="ONL4" s="2"/>
      <c r="ONM4" s="2"/>
      <c r="ONN4" s="2"/>
      <c r="ONO4" s="2"/>
      <c r="ONP4" s="2"/>
      <c r="ONQ4" s="2"/>
      <c r="ONR4" s="2"/>
      <c r="ONS4" s="2"/>
      <c r="ONT4" s="2"/>
      <c r="ONU4" s="2"/>
      <c r="ONV4" s="2"/>
      <c r="ONW4" s="2"/>
      <c r="ONX4" s="2"/>
      <c r="ONY4" s="2"/>
      <c r="ONZ4" s="2"/>
      <c r="OOA4" s="2"/>
      <c r="OOB4" s="2"/>
      <c r="OOC4" s="2"/>
      <c r="OOD4" s="2"/>
      <c r="OOE4" s="2"/>
      <c r="OOF4" s="2"/>
      <c r="OOG4" s="2"/>
      <c r="OOH4" s="2"/>
      <c r="OOI4" s="2"/>
      <c r="OOJ4" s="2"/>
      <c r="OOK4" s="2"/>
      <c r="OOL4" s="2"/>
      <c r="OOM4" s="2"/>
      <c r="OON4" s="2"/>
      <c r="OOO4" s="2"/>
      <c r="OOP4" s="2"/>
      <c r="OOQ4" s="2"/>
      <c r="OOR4" s="2"/>
      <c r="OOS4" s="2"/>
      <c r="OOT4" s="2"/>
      <c r="OOU4" s="2"/>
      <c r="OOV4" s="2"/>
      <c r="OOW4" s="2"/>
      <c r="OOX4" s="2"/>
      <c r="OOY4" s="2"/>
      <c r="OOZ4" s="2"/>
      <c r="OPA4" s="2"/>
      <c r="OPB4" s="2"/>
      <c r="OPC4" s="2"/>
      <c r="OPD4" s="2"/>
      <c r="OPE4" s="2"/>
      <c r="OPF4" s="2"/>
      <c r="OPG4" s="2"/>
      <c r="OPH4" s="2"/>
      <c r="OPI4" s="2"/>
      <c r="OPJ4" s="2"/>
      <c r="OPK4" s="2"/>
      <c r="OPL4" s="2"/>
      <c r="OPM4" s="2"/>
      <c r="OPN4" s="2"/>
      <c r="OPO4" s="2"/>
      <c r="OPP4" s="2"/>
      <c r="OPQ4" s="2"/>
      <c r="OPR4" s="2"/>
      <c r="OPS4" s="2"/>
      <c r="OPT4" s="2"/>
      <c r="OPU4" s="2"/>
      <c r="OPV4" s="2"/>
      <c r="OPW4" s="2"/>
      <c r="OPX4" s="2"/>
      <c r="OPY4" s="2"/>
      <c r="OPZ4" s="2"/>
      <c r="OQA4" s="2"/>
      <c r="OQB4" s="2"/>
      <c r="OQC4" s="2"/>
      <c r="OQD4" s="2"/>
      <c r="OQE4" s="2"/>
      <c r="OQF4" s="2"/>
      <c r="OQG4" s="2"/>
      <c r="OQH4" s="2"/>
      <c r="OQI4" s="2"/>
      <c r="OQJ4" s="2"/>
      <c r="OQK4" s="2"/>
      <c r="OQL4" s="2"/>
      <c r="OQM4" s="2"/>
      <c r="OQN4" s="2"/>
      <c r="OQO4" s="2"/>
      <c r="OQP4" s="2"/>
      <c r="OQQ4" s="2"/>
      <c r="OQR4" s="2"/>
      <c r="OQS4" s="2"/>
      <c r="OQT4" s="2"/>
      <c r="OQU4" s="2"/>
      <c r="OQV4" s="2"/>
      <c r="OQW4" s="2"/>
      <c r="OQX4" s="2"/>
      <c r="OQY4" s="2"/>
      <c r="OQZ4" s="2"/>
      <c r="ORA4" s="2"/>
      <c r="ORB4" s="2"/>
      <c r="ORC4" s="2"/>
      <c r="ORD4" s="2"/>
      <c r="ORE4" s="2"/>
      <c r="ORF4" s="2"/>
      <c r="ORG4" s="2"/>
      <c r="ORH4" s="2"/>
      <c r="ORI4" s="2"/>
      <c r="ORJ4" s="2"/>
      <c r="ORK4" s="2"/>
      <c r="ORL4" s="2"/>
      <c r="ORM4" s="2"/>
      <c r="ORN4" s="2"/>
      <c r="ORO4" s="2"/>
      <c r="ORP4" s="2"/>
      <c r="ORQ4" s="2"/>
      <c r="ORR4" s="2"/>
      <c r="ORS4" s="2"/>
      <c r="ORT4" s="2"/>
      <c r="ORU4" s="2"/>
      <c r="ORV4" s="2"/>
      <c r="ORW4" s="2"/>
      <c r="ORX4" s="2"/>
      <c r="ORY4" s="2"/>
      <c r="ORZ4" s="2"/>
      <c r="OSA4" s="2"/>
      <c r="OSB4" s="2"/>
      <c r="OSC4" s="2"/>
      <c r="OSD4" s="2"/>
      <c r="OSE4" s="2"/>
      <c r="OSF4" s="2"/>
      <c r="OSG4" s="2"/>
      <c r="OSH4" s="2"/>
      <c r="OSI4" s="2"/>
      <c r="OSJ4" s="2"/>
      <c r="OSK4" s="2"/>
      <c r="OSL4" s="2"/>
      <c r="OSM4" s="2"/>
      <c r="OSN4" s="2"/>
      <c r="OSO4" s="2"/>
      <c r="OSP4" s="2"/>
      <c r="OSQ4" s="2"/>
      <c r="OSR4" s="2"/>
      <c r="OSS4" s="2"/>
      <c r="OST4" s="2"/>
      <c r="OSU4" s="2"/>
      <c r="OSV4" s="2"/>
      <c r="OSW4" s="2"/>
      <c r="OSX4" s="2"/>
      <c r="OSY4" s="2"/>
      <c r="OSZ4" s="2"/>
      <c r="OTA4" s="2"/>
      <c r="OTB4" s="2"/>
      <c r="OTC4" s="2"/>
      <c r="OTD4" s="2"/>
      <c r="OTE4" s="2"/>
      <c r="OTF4" s="2"/>
      <c r="OTG4" s="2"/>
      <c r="OTH4" s="2"/>
      <c r="OTI4" s="2"/>
      <c r="OTJ4" s="2"/>
      <c r="OTK4" s="2"/>
      <c r="OTL4" s="2"/>
      <c r="OTM4" s="2"/>
      <c r="OTN4" s="2"/>
      <c r="OTO4" s="2"/>
      <c r="OTP4" s="2"/>
      <c r="OTQ4" s="2"/>
      <c r="OTR4" s="2"/>
      <c r="OTS4" s="2"/>
      <c r="OTT4" s="2"/>
      <c r="OTU4" s="2"/>
      <c r="OTV4" s="2"/>
      <c r="OTW4" s="2"/>
      <c r="OTX4" s="2"/>
      <c r="OTY4" s="2"/>
      <c r="OTZ4" s="2"/>
      <c r="OUA4" s="2"/>
      <c r="OUB4" s="2"/>
      <c r="OUC4" s="2"/>
      <c r="OUD4" s="2"/>
      <c r="OUE4" s="2"/>
      <c r="OUF4" s="2"/>
      <c r="OUG4" s="2"/>
      <c r="OUH4" s="2"/>
      <c r="OUI4" s="2"/>
      <c r="OUJ4" s="2"/>
      <c r="OUK4" s="2"/>
      <c r="OUL4" s="2"/>
      <c r="OUM4" s="2"/>
      <c r="OUN4" s="2"/>
      <c r="OUO4" s="2"/>
      <c r="OUP4" s="2"/>
      <c r="OUQ4" s="2"/>
      <c r="OUR4" s="2"/>
      <c r="OUS4" s="2"/>
      <c r="OUT4" s="2"/>
      <c r="OUU4" s="2"/>
      <c r="OUV4" s="2"/>
      <c r="OUW4" s="2"/>
      <c r="OUX4" s="2"/>
      <c r="OUY4" s="2"/>
      <c r="OUZ4" s="2"/>
      <c r="OVA4" s="2"/>
      <c r="OVB4" s="2"/>
      <c r="OVC4" s="2"/>
      <c r="OVD4" s="2"/>
      <c r="OVE4" s="2"/>
      <c r="OVF4" s="2"/>
      <c r="OVG4" s="2"/>
      <c r="OVH4" s="2"/>
      <c r="OVI4" s="2"/>
      <c r="OVJ4" s="2"/>
      <c r="OVK4" s="2"/>
      <c r="OVL4" s="2"/>
      <c r="OVM4" s="2"/>
      <c r="OVN4" s="2"/>
      <c r="OVO4" s="2"/>
      <c r="OVP4" s="2"/>
      <c r="OVQ4" s="2"/>
      <c r="OVR4" s="2"/>
      <c r="OVS4" s="2"/>
      <c r="OVT4" s="2"/>
      <c r="OVU4" s="2"/>
      <c r="OVV4" s="2"/>
      <c r="OVW4" s="2"/>
      <c r="OVX4" s="2"/>
      <c r="OVY4" s="2"/>
      <c r="OVZ4" s="2"/>
      <c r="OWA4" s="2"/>
      <c r="OWB4" s="2"/>
      <c r="OWC4" s="2"/>
      <c r="OWD4" s="2"/>
      <c r="OWE4" s="2"/>
      <c r="OWF4" s="2"/>
      <c r="OWG4" s="2"/>
      <c r="OWH4" s="2"/>
      <c r="OWI4" s="2"/>
      <c r="OWJ4" s="2"/>
      <c r="OWK4" s="2"/>
      <c r="OWL4" s="2"/>
      <c r="OWM4" s="2"/>
      <c r="OWN4" s="2"/>
      <c r="OWO4" s="2"/>
      <c r="OWP4" s="2"/>
      <c r="OWQ4" s="2"/>
      <c r="OWR4" s="2"/>
      <c r="OWS4" s="2"/>
      <c r="OWT4" s="2"/>
      <c r="OWU4" s="2"/>
      <c r="OWV4" s="2"/>
      <c r="OWW4" s="2"/>
      <c r="OWX4" s="2"/>
      <c r="OWY4" s="2"/>
      <c r="OWZ4" s="2"/>
      <c r="OXA4" s="2"/>
      <c r="OXB4" s="2"/>
      <c r="OXC4" s="2"/>
      <c r="OXD4" s="2"/>
      <c r="OXE4" s="2"/>
      <c r="OXF4" s="2"/>
      <c r="OXG4" s="2"/>
      <c r="OXH4" s="2"/>
      <c r="OXI4" s="2"/>
      <c r="OXJ4" s="2"/>
      <c r="OXK4" s="2"/>
      <c r="OXL4" s="2"/>
      <c r="OXM4" s="2"/>
      <c r="OXN4" s="2"/>
      <c r="OXO4" s="2"/>
      <c r="OXP4" s="2"/>
      <c r="OXQ4" s="2"/>
      <c r="OXR4" s="2"/>
      <c r="OXS4" s="2"/>
      <c r="OXT4" s="2"/>
      <c r="OXU4" s="2"/>
      <c r="OXV4" s="2"/>
      <c r="OXW4" s="2"/>
      <c r="OXX4" s="2"/>
      <c r="OXY4" s="2"/>
      <c r="OXZ4" s="2"/>
      <c r="OYA4" s="2"/>
      <c r="OYB4" s="2"/>
      <c r="OYC4" s="2"/>
      <c r="OYD4" s="2"/>
      <c r="OYE4" s="2"/>
      <c r="OYF4" s="2"/>
      <c r="OYG4" s="2"/>
      <c r="OYH4" s="2"/>
      <c r="OYI4" s="2"/>
      <c r="OYJ4" s="2"/>
      <c r="OYK4" s="2"/>
      <c r="OYL4" s="2"/>
      <c r="OYM4" s="2"/>
      <c r="OYN4" s="2"/>
      <c r="OYO4" s="2"/>
      <c r="OYP4" s="2"/>
      <c r="OYQ4" s="2"/>
      <c r="OYR4" s="2"/>
      <c r="OYS4" s="2"/>
      <c r="OYT4" s="2"/>
      <c r="OYU4" s="2"/>
      <c r="OYV4" s="2"/>
      <c r="OYW4" s="2"/>
      <c r="OYX4" s="2"/>
      <c r="OYY4" s="2"/>
      <c r="OYZ4" s="2"/>
      <c r="OZA4" s="2"/>
      <c r="OZB4" s="2"/>
      <c r="OZC4" s="2"/>
      <c r="OZD4" s="2"/>
      <c r="OZE4" s="2"/>
      <c r="OZF4" s="2"/>
      <c r="OZG4" s="2"/>
      <c r="OZH4" s="2"/>
      <c r="OZI4" s="2"/>
      <c r="OZJ4" s="2"/>
      <c r="OZK4" s="2"/>
      <c r="OZL4" s="2"/>
      <c r="OZM4" s="2"/>
      <c r="OZN4" s="2"/>
      <c r="OZO4" s="2"/>
      <c r="OZP4" s="2"/>
      <c r="OZQ4" s="2"/>
      <c r="OZR4" s="2"/>
      <c r="OZS4" s="2"/>
      <c r="OZT4" s="2"/>
      <c r="OZU4" s="2"/>
      <c r="OZV4" s="2"/>
      <c r="OZW4" s="2"/>
      <c r="OZX4" s="2"/>
      <c r="OZY4" s="2"/>
      <c r="OZZ4" s="2"/>
      <c r="PAA4" s="2"/>
      <c r="PAB4" s="2"/>
      <c r="PAC4" s="2"/>
      <c r="PAD4" s="2"/>
      <c r="PAE4" s="2"/>
      <c r="PAF4" s="2"/>
      <c r="PAG4" s="2"/>
      <c r="PAH4" s="2"/>
      <c r="PAI4" s="2"/>
      <c r="PAJ4" s="2"/>
      <c r="PAK4" s="2"/>
      <c r="PAL4" s="2"/>
      <c r="PAM4" s="2"/>
      <c r="PAN4" s="2"/>
      <c r="PAO4" s="2"/>
      <c r="PAP4" s="2"/>
      <c r="PAQ4" s="2"/>
      <c r="PAR4" s="2"/>
      <c r="PAS4" s="2"/>
      <c r="PAT4" s="2"/>
      <c r="PAU4" s="2"/>
      <c r="PAV4" s="2"/>
      <c r="PAW4" s="2"/>
      <c r="PAX4" s="2"/>
      <c r="PAY4" s="2"/>
      <c r="PAZ4" s="2"/>
      <c r="PBA4" s="2"/>
      <c r="PBB4" s="2"/>
      <c r="PBC4" s="2"/>
      <c r="PBD4" s="2"/>
      <c r="PBE4" s="2"/>
      <c r="PBF4" s="2"/>
      <c r="PBG4" s="2"/>
      <c r="PBH4" s="2"/>
      <c r="PBI4" s="2"/>
      <c r="PBJ4" s="2"/>
      <c r="PBK4" s="2"/>
      <c r="PBL4" s="2"/>
      <c r="PBM4" s="2"/>
      <c r="PBN4" s="2"/>
      <c r="PBO4" s="2"/>
      <c r="PBP4" s="2"/>
      <c r="PBQ4" s="2"/>
      <c r="PBR4" s="2"/>
      <c r="PBS4" s="2"/>
      <c r="PBT4" s="2"/>
      <c r="PBU4" s="2"/>
      <c r="PBV4" s="2"/>
      <c r="PBW4" s="2"/>
      <c r="PBX4" s="2"/>
      <c r="PBY4" s="2"/>
      <c r="PBZ4" s="2"/>
      <c r="PCA4" s="2"/>
      <c r="PCB4" s="2"/>
      <c r="PCC4" s="2"/>
      <c r="PCD4" s="2"/>
      <c r="PCE4" s="2"/>
      <c r="PCF4" s="2"/>
      <c r="PCG4" s="2"/>
      <c r="PCH4" s="2"/>
      <c r="PCI4" s="2"/>
      <c r="PCJ4" s="2"/>
      <c r="PCK4" s="2"/>
      <c r="PCL4" s="2"/>
      <c r="PCM4" s="2"/>
      <c r="PCN4" s="2"/>
      <c r="PCO4" s="2"/>
      <c r="PCP4" s="2"/>
      <c r="PCQ4" s="2"/>
      <c r="PCR4" s="2"/>
      <c r="PCS4" s="2"/>
      <c r="PCT4" s="2"/>
      <c r="PCU4" s="2"/>
      <c r="PCV4" s="2"/>
      <c r="PCW4" s="2"/>
      <c r="PCX4" s="2"/>
      <c r="PCY4" s="2"/>
      <c r="PCZ4" s="2"/>
      <c r="PDA4" s="2"/>
      <c r="PDB4" s="2"/>
      <c r="PDC4" s="2"/>
      <c r="PDD4" s="2"/>
      <c r="PDE4" s="2"/>
      <c r="PDF4" s="2"/>
      <c r="PDG4" s="2"/>
      <c r="PDH4" s="2"/>
      <c r="PDI4" s="2"/>
      <c r="PDJ4" s="2"/>
      <c r="PDK4" s="2"/>
      <c r="PDL4" s="2"/>
      <c r="PDM4" s="2"/>
      <c r="PDN4" s="2"/>
      <c r="PDO4" s="2"/>
      <c r="PDP4" s="2"/>
      <c r="PDQ4" s="2"/>
      <c r="PDR4" s="2"/>
      <c r="PDS4" s="2"/>
      <c r="PDT4" s="2"/>
      <c r="PDU4" s="2"/>
      <c r="PDV4" s="2"/>
      <c r="PDW4" s="2"/>
      <c r="PDX4" s="2"/>
      <c r="PDY4" s="2"/>
      <c r="PDZ4" s="2"/>
      <c r="PEA4" s="2"/>
      <c r="PEB4" s="2"/>
      <c r="PEC4" s="2"/>
      <c r="PED4" s="2"/>
      <c r="PEE4" s="2"/>
      <c r="PEF4" s="2"/>
      <c r="PEG4" s="2"/>
      <c r="PEH4" s="2"/>
      <c r="PEI4" s="2"/>
      <c r="PEJ4" s="2"/>
      <c r="PEK4" s="2"/>
      <c r="PEL4" s="2"/>
      <c r="PEM4" s="2"/>
      <c r="PEN4" s="2"/>
      <c r="PEO4" s="2"/>
      <c r="PEP4" s="2"/>
      <c r="PEQ4" s="2"/>
      <c r="PER4" s="2"/>
      <c r="PES4" s="2"/>
      <c r="PET4" s="2"/>
      <c r="PEU4" s="2"/>
      <c r="PEV4" s="2"/>
      <c r="PEW4" s="2"/>
      <c r="PEX4" s="2"/>
      <c r="PEY4" s="2"/>
      <c r="PEZ4" s="2"/>
      <c r="PFA4" s="2"/>
      <c r="PFB4" s="2"/>
      <c r="PFC4" s="2"/>
      <c r="PFD4" s="2"/>
      <c r="PFE4" s="2"/>
      <c r="PFF4" s="2"/>
      <c r="PFG4" s="2"/>
      <c r="PFH4" s="2"/>
      <c r="PFI4" s="2"/>
      <c r="PFJ4" s="2"/>
      <c r="PFK4" s="2"/>
      <c r="PFL4" s="2"/>
      <c r="PFM4" s="2"/>
      <c r="PFN4" s="2"/>
      <c r="PFO4" s="2"/>
      <c r="PFP4" s="2"/>
      <c r="PFQ4" s="2"/>
      <c r="PFR4" s="2"/>
      <c r="PFS4" s="2"/>
      <c r="PFT4" s="2"/>
      <c r="PFU4" s="2"/>
      <c r="PFV4" s="2"/>
      <c r="PFW4" s="2"/>
      <c r="PFX4" s="2"/>
      <c r="PFY4" s="2"/>
      <c r="PFZ4" s="2"/>
      <c r="PGA4" s="2"/>
      <c r="PGB4" s="2"/>
      <c r="PGC4" s="2"/>
      <c r="PGD4" s="2"/>
      <c r="PGE4" s="2"/>
      <c r="PGF4" s="2"/>
      <c r="PGG4" s="2"/>
      <c r="PGH4" s="2"/>
      <c r="PGI4" s="2"/>
      <c r="PGJ4" s="2"/>
      <c r="PGK4" s="2"/>
      <c r="PGL4" s="2"/>
      <c r="PGM4" s="2"/>
      <c r="PGN4" s="2"/>
      <c r="PGO4" s="2"/>
      <c r="PGP4" s="2"/>
      <c r="PGQ4" s="2"/>
      <c r="PGR4" s="2"/>
      <c r="PGS4" s="2"/>
      <c r="PGT4" s="2"/>
      <c r="PGU4" s="2"/>
      <c r="PGV4" s="2"/>
      <c r="PGW4" s="2"/>
      <c r="PGX4" s="2"/>
      <c r="PGY4" s="2"/>
      <c r="PGZ4" s="2"/>
      <c r="PHA4" s="2"/>
      <c r="PHB4" s="2"/>
      <c r="PHC4" s="2"/>
      <c r="PHD4" s="2"/>
      <c r="PHE4" s="2"/>
      <c r="PHF4" s="2"/>
      <c r="PHG4" s="2"/>
      <c r="PHH4" s="2"/>
      <c r="PHI4" s="2"/>
      <c r="PHJ4" s="2"/>
      <c r="PHK4" s="2"/>
      <c r="PHL4" s="2"/>
      <c r="PHM4" s="2"/>
      <c r="PHN4" s="2"/>
      <c r="PHO4" s="2"/>
      <c r="PHP4" s="2"/>
      <c r="PHQ4" s="2"/>
      <c r="PHR4" s="2"/>
      <c r="PHS4" s="2"/>
      <c r="PHT4" s="2"/>
      <c r="PHU4" s="2"/>
      <c r="PHV4" s="2"/>
      <c r="PHW4" s="2"/>
      <c r="PHX4" s="2"/>
      <c r="PHY4" s="2"/>
      <c r="PHZ4" s="2"/>
      <c r="PIA4" s="2"/>
      <c r="PIB4" s="2"/>
      <c r="PIC4" s="2"/>
      <c r="PID4" s="2"/>
      <c r="PIE4" s="2"/>
      <c r="PIF4" s="2"/>
      <c r="PIG4" s="2"/>
      <c r="PIH4" s="2"/>
      <c r="PII4" s="2"/>
      <c r="PIJ4" s="2"/>
      <c r="PIK4" s="2"/>
      <c r="PIL4" s="2"/>
      <c r="PIM4" s="2"/>
      <c r="PIN4" s="2"/>
      <c r="PIO4" s="2"/>
      <c r="PIP4" s="2"/>
      <c r="PIQ4" s="2"/>
      <c r="PIR4" s="2"/>
      <c r="PIS4" s="2"/>
      <c r="PIT4" s="2"/>
      <c r="PIU4" s="2"/>
      <c r="PIV4" s="2"/>
      <c r="PIW4" s="2"/>
      <c r="PIX4" s="2"/>
      <c r="PIY4" s="2"/>
      <c r="PIZ4" s="2"/>
      <c r="PJA4" s="2"/>
      <c r="PJB4" s="2"/>
      <c r="PJC4" s="2"/>
      <c r="PJD4" s="2"/>
      <c r="PJE4" s="2"/>
      <c r="PJF4" s="2"/>
      <c r="PJG4" s="2"/>
      <c r="PJH4" s="2"/>
      <c r="PJI4" s="2"/>
      <c r="PJJ4" s="2"/>
      <c r="PJK4" s="2"/>
      <c r="PJL4" s="2"/>
      <c r="PJM4" s="2"/>
      <c r="PJN4" s="2"/>
      <c r="PJO4" s="2"/>
      <c r="PJP4" s="2"/>
      <c r="PJQ4" s="2"/>
      <c r="PJR4" s="2"/>
      <c r="PJS4" s="2"/>
      <c r="PJT4" s="2"/>
      <c r="PJU4" s="2"/>
      <c r="PJV4" s="2"/>
      <c r="PJW4" s="2"/>
      <c r="PJX4" s="2"/>
      <c r="PJY4" s="2"/>
      <c r="PJZ4" s="2"/>
      <c r="PKA4" s="2"/>
      <c r="PKB4" s="2"/>
      <c r="PKC4" s="2"/>
      <c r="PKD4" s="2"/>
      <c r="PKE4" s="2"/>
      <c r="PKF4" s="2"/>
      <c r="PKG4" s="2"/>
      <c r="PKH4" s="2"/>
      <c r="PKI4" s="2"/>
      <c r="PKJ4" s="2"/>
      <c r="PKK4" s="2"/>
      <c r="PKL4" s="2"/>
      <c r="PKM4" s="2"/>
      <c r="PKN4" s="2"/>
      <c r="PKO4" s="2"/>
      <c r="PKP4" s="2"/>
      <c r="PKQ4" s="2"/>
      <c r="PKR4" s="2"/>
      <c r="PKS4" s="2"/>
      <c r="PKT4" s="2"/>
      <c r="PKU4" s="2"/>
      <c r="PKV4" s="2"/>
      <c r="PKW4" s="2"/>
      <c r="PKX4" s="2"/>
      <c r="PKY4" s="2"/>
      <c r="PKZ4" s="2"/>
      <c r="PLA4" s="2"/>
      <c r="PLB4" s="2"/>
      <c r="PLC4" s="2"/>
      <c r="PLD4" s="2"/>
      <c r="PLE4" s="2"/>
      <c r="PLF4" s="2"/>
      <c r="PLG4" s="2"/>
      <c r="PLH4" s="2"/>
      <c r="PLI4" s="2"/>
      <c r="PLJ4" s="2"/>
      <c r="PLK4" s="2"/>
      <c r="PLL4" s="2"/>
      <c r="PLM4" s="2"/>
      <c r="PLN4" s="2"/>
      <c r="PLO4" s="2"/>
      <c r="PLP4" s="2"/>
      <c r="PLQ4" s="2"/>
      <c r="PLR4" s="2"/>
      <c r="PLS4" s="2"/>
      <c r="PLT4" s="2"/>
      <c r="PLU4" s="2"/>
      <c r="PLV4" s="2"/>
      <c r="PLW4" s="2"/>
      <c r="PLX4" s="2"/>
      <c r="PLY4" s="2"/>
      <c r="PLZ4" s="2"/>
      <c r="PMA4" s="2"/>
      <c r="PMB4" s="2"/>
      <c r="PMC4" s="2"/>
      <c r="PMD4" s="2"/>
      <c r="PME4" s="2"/>
      <c r="PMF4" s="2"/>
      <c r="PMG4" s="2"/>
      <c r="PMH4" s="2"/>
      <c r="PMI4" s="2"/>
      <c r="PMJ4" s="2"/>
      <c r="PMK4" s="2"/>
      <c r="PML4" s="2"/>
      <c r="PMM4" s="2"/>
      <c r="PMN4" s="2"/>
      <c r="PMO4" s="2"/>
      <c r="PMP4" s="2"/>
      <c r="PMQ4" s="2"/>
      <c r="PMR4" s="2"/>
      <c r="PMS4" s="2"/>
      <c r="PMT4" s="2"/>
      <c r="PMU4" s="2"/>
      <c r="PMV4" s="2"/>
      <c r="PMW4" s="2"/>
      <c r="PMX4" s="2"/>
      <c r="PMY4" s="2"/>
      <c r="PMZ4" s="2"/>
      <c r="PNA4" s="2"/>
      <c r="PNB4" s="2"/>
      <c r="PNC4" s="2"/>
      <c r="PND4" s="2"/>
      <c r="PNE4" s="2"/>
      <c r="PNF4" s="2"/>
      <c r="PNG4" s="2"/>
      <c r="PNH4" s="2"/>
      <c r="PNI4" s="2"/>
      <c r="PNJ4" s="2"/>
      <c r="PNK4" s="2"/>
      <c r="PNL4" s="2"/>
      <c r="PNM4" s="2"/>
      <c r="PNN4" s="2"/>
      <c r="PNO4" s="2"/>
      <c r="PNP4" s="2"/>
      <c r="PNQ4" s="2"/>
      <c r="PNR4" s="2"/>
      <c r="PNS4" s="2"/>
      <c r="PNT4" s="2"/>
      <c r="PNU4" s="2"/>
      <c r="PNV4" s="2"/>
      <c r="PNW4" s="2"/>
      <c r="PNX4" s="2"/>
      <c r="PNY4" s="2"/>
      <c r="PNZ4" s="2"/>
      <c r="POA4" s="2"/>
      <c r="POB4" s="2"/>
      <c r="POC4" s="2"/>
      <c r="POD4" s="2"/>
      <c r="POE4" s="2"/>
      <c r="POF4" s="2"/>
      <c r="POG4" s="2"/>
      <c r="POH4" s="2"/>
      <c r="POI4" s="2"/>
      <c r="POJ4" s="2"/>
      <c r="POK4" s="2"/>
      <c r="POL4" s="2"/>
      <c r="POM4" s="2"/>
      <c r="PON4" s="2"/>
      <c r="POO4" s="2"/>
      <c r="POP4" s="2"/>
      <c r="POQ4" s="2"/>
      <c r="POR4" s="2"/>
      <c r="POS4" s="2"/>
      <c r="POT4" s="2"/>
      <c r="POU4" s="2"/>
      <c r="POV4" s="2"/>
      <c r="POW4" s="2"/>
      <c r="POX4" s="2"/>
      <c r="POY4" s="2"/>
      <c r="POZ4" s="2"/>
      <c r="PPA4" s="2"/>
      <c r="PPB4" s="2"/>
      <c r="PPC4" s="2"/>
      <c r="PPD4" s="2"/>
      <c r="PPE4" s="2"/>
      <c r="PPF4" s="2"/>
      <c r="PPG4" s="2"/>
      <c r="PPH4" s="2"/>
      <c r="PPI4" s="2"/>
      <c r="PPJ4" s="2"/>
      <c r="PPK4" s="2"/>
      <c r="PPL4" s="2"/>
      <c r="PPM4" s="2"/>
      <c r="PPN4" s="2"/>
      <c r="PPO4" s="2"/>
      <c r="PPP4" s="2"/>
      <c r="PPQ4" s="2"/>
      <c r="PPR4" s="2"/>
      <c r="PPS4" s="2"/>
      <c r="PPT4" s="2"/>
      <c r="PPU4" s="2"/>
      <c r="PPV4" s="2"/>
      <c r="PPW4" s="2"/>
      <c r="PPX4" s="2"/>
      <c r="PPY4" s="2"/>
      <c r="PPZ4" s="2"/>
      <c r="PQA4" s="2"/>
      <c r="PQB4" s="2"/>
      <c r="PQC4" s="2"/>
      <c r="PQD4" s="2"/>
      <c r="PQE4" s="2"/>
      <c r="PQF4" s="2"/>
      <c r="PQG4" s="2"/>
      <c r="PQH4" s="2"/>
      <c r="PQI4" s="2"/>
      <c r="PQJ4" s="2"/>
      <c r="PQK4" s="2"/>
      <c r="PQL4" s="2"/>
      <c r="PQM4" s="2"/>
      <c r="PQN4" s="2"/>
      <c r="PQO4" s="2"/>
      <c r="PQP4" s="2"/>
      <c r="PQQ4" s="2"/>
      <c r="PQR4" s="2"/>
      <c r="PQS4" s="2"/>
      <c r="PQT4" s="2"/>
      <c r="PQU4" s="2"/>
      <c r="PQV4" s="2"/>
      <c r="PQW4" s="2"/>
      <c r="PQX4" s="2"/>
      <c r="PQY4" s="2"/>
      <c r="PQZ4" s="2"/>
      <c r="PRA4" s="2"/>
      <c r="PRB4" s="2"/>
      <c r="PRC4" s="2"/>
      <c r="PRD4" s="2"/>
      <c r="PRE4" s="2"/>
      <c r="PRF4" s="2"/>
      <c r="PRG4" s="2"/>
      <c r="PRH4" s="2"/>
      <c r="PRI4" s="2"/>
      <c r="PRJ4" s="2"/>
      <c r="PRK4" s="2"/>
      <c r="PRL4" s="2"/>
      <c r="PRM4" s="2"/>
      <c r="PRN4" s="2"/>
      <c r="PRO4" s="2"/>
      <c r="PRP4" s="2"/>
      <c r="PRQ4" s="2"/>
      <c r="PRR4" s="2"/>
      <c r="PRS4" s="2"/>
      <c r="PRT4" s="2"/>
      <c r="PRU4" s="2"/>
      <c r="PRV4" s="2"/>
      <c r="PRW4" s="2"/>
      <c r="PRX4" s="2"/>
      <c r="PRY4" s="2"/>
      <c r="PRZ4" s="2"/>
      <c r="PSA4" s="2"/>
      <c r="PSB4" s="2"/>
      <c r="PSC4" s="2"/>
      <c r="PSD4" s="2"/>
      <c r="PSE4" s="2"/>
      <c r="PSF4" s="2"/>
      <c r="PSG4" s="2"/>
      <c r="PSH4" s="2"/>
      <c r="PSI4" s="2"/>
      <c r="PSJ4" s="2"/>
      <c r="PSK4" s="2"/>
      <c r="PSL4" s="2"/>
      <c r="PSM4" s="2"/>
      <c r="PSN4" s="2"/>
      <c r="PSO4" s="2"/>
      <c r="PSP4" s="2"/>
      <c r="PSQ4" s="2"/>
      <c r="PSR4" s="2"/>
      <c r="PSS4" s="2"/>
      <c r="PST4" s="2"/>
      <c r="PSU4" s="2"/>
      <c r="PSV4" s="2"/>
      <c r="PSW4" s="2"/>
      <c r="PSX4" s="2"/>
      <c r="PSY4" s="2"/>
      <c r="PSZ4" s="2"/>
      <c r="PTA4" s="2"/>
      <c r="PTB4" s="2"/>
      <c r="PTC4" s="2"/>
      <c r="PTD4" s="2"/>
      <c r="PTE4" s="2"/>
      <c r="PTF4" s="2"/>
      <c r="PTG4" s="2"/>
      <c r="PTH4" s="2"/>
      <c r="PTI4" s="2"/>
      <c r="PTJ4" s="2"/>
      <c r="PTK4" s="2"/>
      <c r="PTL4" s="2"/>
      <c r="PTM4" s="2"/>
      <c r="PTN4" s="2"/>
      <c r="PTO4" s="2"/>
      <c r="PTP4" s="2"/>
      <c r="PTQ4" s="2"/>
      <c r="PTR4" s="2"/>
      <c r="PTS4" s="2"/>
      <c r="PTT4" s="2"/>
      <c r="PTU4" s="2"/>
      <c r="PTV4" s="2"/>
      <c r="PTW4" s="2"/>
      <c r="PTX4" s="2"/>
      <c r="PTY4" s="2"/>
      <c r="PTZ4" s="2"/>
      <c r="PUA4" s="2"/>
      <c r="PUB4" s="2"/>
      <c r="PUC4" s="2"/>
      <c r="PUD4" s="2"/>
      <c r="PUE4" s="2"/>
      <c r="PUF4" s="2"/>
      <c r="PUG4" s="2"/>
      <c r="PUH4" s="2"/>
      <c r="PUI4" s="2"/>
      <c r="PUJ4" s="2"/>
      <c r="PUK4" s="2"/>
      <c r="PUL4" s="2"/>
      <c r="PUM4" s="2"/>
      <c r="PUN4" s="2"/>
      <c r="PUO4" s="2"/>
      <c r="PUP4" s="2"/>
      <c r="PUQ4" s="2"/>
      <c r="PUR4" s="2"/>
      <c r="PUS4" s="2"/>
      <c r="PUT4" s="2"/>
      <c r="PUU4" s="2"/>
      <c r="PUV4" s="2"/>
      <c r="PUW4" s="2"/>
      <c r="PUX4" s="2"/>
      <c r="PUY4" s="2"/>
      <c r="PUZ4" s="2"/>
      <c r="PVA4" s="2"/>
      <c r="PVB4" s="2"/>
      <c r="PVC4" s="2"/>
      <c r="PVD4" s="2"/>
      <c r="PVE4" s="2"/>
      <c r="PVF4" s="2"/>
      <c r="PVG4" s="2"/>
      <c r="PVH4" s="2"/>
      <c r="PVI4" s="2"/>
      <c r="PVJ4" s="2"/>
      <c r="PVK4" s="2"/>
      <c r="PVL4" s="2"/>
      <c r="PVM4" s="2"/>
      <c r="PVN4" s="2"/>
      <c r="PVO4" s="2"/>
      <c r="PVP4" s="2"/>
      <c r="PVQ4" s="2"/>
      <c r="PVR4" s="2"/>
      <c r="PVS4" s="2"/>
      <c r="PVT4" s="2"/>
      <c r="PVU4" s="2"/>
      <c r="PVV4" s="2"/>
      <c r="PVW4" s="2"/>
      <c r="PVX4" s="2"/>
      <c r="PVY4" s="2"/>
      <c r="PVZ4" s="2"/>
      <c r="PWA4" s="2"/>
      <c r="PWB4" s="2"/>
      <c r="PWC4" s="2"/>
      <c r="PWD4" s="2"/>
      <c r="PWE4" s="2"/>
      <c r="PWF4" s="2"/>
      <c r="PWG4" s="2"/>
      <c r="PWH4" s="2"/>
      <c r="PWI4" s="2"/>
      <c r="PWJ4" s="2"/>
      <c r="PWK4" s="2"/>
      <c r="PWL4" s="2"/>
      <c r="PWM4" s="2"/>
      <c r="PWN4" s="2"/>
      <c r="PWO4" s="2"/>
      <c r="PWP4" s="2"/>
      <c r="PWQ4" s="2"/>
      <c r="PWR4" s="2"/>
      <c r="PWS4" s="2"/>
      <c r="PWT4" s="2"/>
      <c r="PWU4" s="2"/>
      <c r="PWV4" s="2"/>
      <c r="PWW4" s="2"/>
      <c r="PWX4" s="2"/>
      <c r="PWY4" s="2"/>
      <c r="PWZ4" s="2"/>
      <c r="PXA4" s="2"/>
      <c r="PXB4" s="2"/>
      <c r="PXC4" s="2"/>
      <c r="PXD4" s="2"/>
      <c r="PXE4" s="2"/>
      <c r="PXF4" s="2"/>
      <c r="PXG4" s="2"/>
      <c r="PXH4" s="2"/>
      <c r="PXI4" s="2"/>
      <c r="PXJ4" s="2"/>
      <c r="PXK4" s="2"/>
      <c r="PXL4" s="2"/>
      <c r="PXM4" s="2"/>
      <c r="PXN4" s="2"/>
      <c r="PXO4" s="2"/>
      <c r="PXP4" s="2"/>
      <c r="PXQ4" s="2"/>
      <c r="PXR4" s="2"/>
      <c r="PXS4" s="2"/>
      <c r="PXT4" s="2"/>
      <c r="PXU4" s="2"/>
      <c r="PXV4" s="2"/>
      <c r="PXW4" s="2"/>
      <c r="PXX4" s="2"/>
      <c r="PXY4" s="2"/>
      <c r="PXZ4" s="2"/>
      <c r="PYA4" s="2"/>
      <c r="PYB4" s="2"/>
      <c r="PYC4" s="2"/>
      <c r="PYD4" s="2"/>
      <c r="PYE4" s="2"/>
      <c r="PYF4" s="2"/>
      <c r="PYG4" s="2"/>
      <c r="PYH4" s="2"/>
      <c r="PYI4" s="2"/>
      <c r="PYJ4" s="2"/>
      <c r="PYK4" s="2"/>
      <c r="PYL4" s="2"/>
      <c r="PYM4" s="2"/>
      <c r="PYN4" s="2"/>
      <c r="PYO4" s="2"/>
      <c r="PYP4" s="2"/>
      <c r="PYQ4" s="2"/>
      <c r="PYR4" s="2"/>
      <c r="PYS4" s="2"/>
      <c r="PYT4" s="2"/>
      <c r="PYU4" s="2"/>
      <c r="PYV4" s="2"/>
      <c r="PYW4" s="2"/>
      <c r="PYX4" s="2"/>
      <c r="PYY4" s="2"/>
      <c r="PYZ4" s="2"/>
      <c r="PZA4" s="2"/>
      <c r="PZB4" s="2"/>
      <c r="PZC4" s="2"/>
      <c r="PZD4" s="2"/>
      <c r="PZE4" s="2"/>
      <c r="PZF4" s="2"/>
      <c r="PZG4" s="2"/>
      <c r="PZH4" s="2"/>
      <c r="PZI4" s="2"/>
      <c r="PZJ4" s="2"/>
      <c r="PZK4" s="2"/>
      <c r="PZL4" s="2"/>
      <c r="PZM4" s="2"/>
      <c r="PZN4" s="2"/>
      <c r="PZO4" s="2"/>
      <c r="PZP4" s="2"/>
      <c r="PZQ4" s="2"/>
      <c r="PZR4" s="2"/>
      <c r="PZS4" s="2"/>
      <c r="PZT4" s="2"/>
      <c r="PZU4" s="2"/>
      <c r="PZV4" s="2"/>
      <c r="PZW4" s="2"/>
      <c r="PZX4" s="2"/>
      <c r="PZY4" s="2"/>
      <c r="PZZ4" s="2"/>
      <c r="QAA4" s="2"/>
      <c r="QAB4" s="2"/>
      <c r="QAC4" s="2"/>
      <c r="QAD4" s="2"/>
      <c r="QAE4" s="2"/>
      <c r="QAF4" s="2"/>
      <c r="QAG4" s="2"/>
      <c r="QAH4" s="2"/>
      <c r="QAI4" s="2"/>
      <c r="QAJ4" s="2"/>
      <c r="QAK4" s="2"/>
      <c r="QAL4" s="2"/>
      <c r="QAM4" s="2"/>
      <c r="QAN4" s="2"/>
      <c r="QAO4" s="2"/>
      <c r="QAP4" s="2"/>
      <c r="QAQ4" s="2"/>
      <c r="QAR4" s="2"/>
      <c r="QAS4" s="2"/>
      <c r="QAT4" s="2"/>
      <c r="QAU4" s="2"/>
      <c r="QAV4" s="2"/>
      <c r="QAW4" s="2"/>
      <c r="QAX4" s="2"/>
      <c r="QAY4" s="2"/>
      <c r="QAZ4" s="2"/>
      <c r="QBA4" s="2"/>
      <c r="QBB4" s="2"/>
      <c r="QBC4" s="2"/>
      <c r="QBD4" s="2"/>
      <c r="QBE4" s="2"/>
      <c r="QBF4" s="2"/>
      <c r="QBG4" s="2"/>
      <c r="QBH4" s="2"/>
      <c r="QBI4" s="2"/>
      <c r="QBJ4" s="2"/>
      <c r="QBK4" s="2"/>
      <c r="QBL4" s="2"/>
      <c r="QBM4" s="2"/>
      <c r="QBN4" s="2"/>
      <c r="QBO4" s="2"/>
      <c r="QBP4" s="2"/>
      <c r="QBQ4" s="2"/>
      <c r="QBR4" s="2"/>
      <c r="QBS4" s="2"/>
      <c r="QBT4" s="2"/>
      <c r="QBU4" s="2"/>
      <c r="QBV4" s="2"/>
      <c r="QBW4" s="2"/>
      <c r="QBX4" s="2"/>
      <c r="QBY4" s="2"/>
      <c r="QBZ4" s="2"/>
      <c r="QCA4" s="2"/>
      <c r="QCB4" s="2"/>
      <c r="QCC4" s="2"/>
      <c r="QCD4" s="2"/>
      <c r="QCE4" s="2"/>
      <c r="QCF4" s="2"/>
      <c r="QCG4" s="2"/>
      <c r="QCH4" s="2"/>
      <c r="QCI4" s="2"/>
      <c r="QCJ4" s="2"/>
      <c r="QCK4" s="2"/>
      <c r="QCL4" s="2"/>
      <c r="QCM4" s="2"/>
      <c r="QCN4" s="2"/>
      <c r="QCO4" s="2"/>
      <c r="QCP4" s="2"/>
      <c r="QCQ4" s="2"/>
      <c r="QCR4" s="2"/>
      <c r="QCS4" s="2"/>
      <c r="QCT4" s="2"/>
      <c r="QCU4" s="2"/>
      <c r="QCV4" s="2"/>
      <c r="QCW4" s="2"/>
      <c r="QCX4" s="2"/>
      <c r="QCY4" s="2"/>
      <c r="QCZ4" s="2"/>
      <c r="QDA4" s="2"/>
      <c r="QDB4" s="2"/>
      <c r="QDC4" s="2"/>
      <c r="QDD4" s="2"/>
      <c r="QDE4" s="2"/>
      <c r="QDF4" s="2"/>
      <c r="QDG4" s="2"/>
      <c r="QDH4" s="2"/>
      <c r="QDI4" s="2"/>
      <c r="QDJ4" s="2"/>
      <c r="QDK4" s="2"/>
      <c r="QDL4" s="2"/>
      <c r="QDM4" s="2"/>
      <c r="QDN4" s="2"/>
      <c r="QDO4" s="2"/>
      <c r="QDP4" s="2"/>
      <c r="QDQ4" s="2"/>
      <c r="QDR4" s="2"/>
      <c r="QDS4" s="2"/>
      <c r="QDT4" s="2"/>
      <c r="QDU4" s="2"/>
      <c r="QDV4" s="2"/>
      <c r="QDW4" s="2"/>
      <c r="QDX4" s="2"/>
      <c r="QDY4" s="2"/>
      <c r="QDZ4" s="2"/>
      <c r="QEA4" s="2"/>
      <c r="QEB4" s="2"/>
      <c r="QEC4" s="2"/>
      <c r="QED4" s="2"/>
      <c r="QEE4" s="2"/>
      <c r="QEF4" s="2"/>
      <c r="QEG4" s="2"/>
      <c r="QEH4" s="2"/>
      <c r="QEI4" s="2"/>
      <c r="QEJ4" s="2"/>
      <c r="QEK4" s="2"/>
      <c r="QEL4" s="2"/>
      <c r="QEM4" s="2"/>
      <c r="QEN4" s="2"/>
      <c r="QEO4" s="2"/>
      <c r="QEP4" s="2"/>
      <c r="QEQ4" s="2"/>
      <c r="QER4" s="2"/>
      <c r="QES4" s="2"/>
      <c r="QET4" s="2"/>
      <c r="QEU4" s="2"/>
      <c r="QEV4" s="2"/>
      <c r="QEW4" s="2"/>
      <c r="QEX4" s="2"/>
      <c r="QEY4" s="2"/>
      <c r="QEZ4" s="2"/>
      <c r="QFA4" s="2"/>
      <c r="QFB4" s="2"/>
      <c r="QFC4" s="2"/>
      <c r="QFD4" s="2"/>
      <c r="QFE4" s="2"/>
      <c r="QFF4" s="2"/>
      <c r="QFG4" s="2"/>
      <c r="QFH4" s="2"/>
      <c r="QFI4" s="2"/>
      <c r="QFJ4" s="2"/>
      <c r="QFK4" s="2"/>
      <c r="QFL4" s="2"/>
      <c r="QFM4" s="2"/>
      <c r="QFN4" s="2"/>
      <c r="QFO4" s="2"/>
      <c r="QFP4" s="2"/>
      <c r="QFQ4" s="2"/>
      <c r="QFR4" s="2"/>
      <c r="QFS4" s="2"/>
      <c r="QFT4" s="2"/>
      <c r="QFU4" s="2"/>
      <c r="QFV4" s="2"/>
      <c r="QFW4" s="2"/>
      <c r="QFX4" s="2"/>
      <c r="QFY4" s="2"/>
      <c r="QFZ4" s="2"/>
      <c r="QGA4" s="2"/>
      <c r="QGB4" s="2"/>
      <c r="QGC4" s="2"/>
      <c r="QGD4" s="2"/>
      <c r="QGE4" s="2"/>
      <c r="QGF4" s="2"/>
      <c r="QGG4" s="2"/>
      <c r="QGH4" s="2"/>
      <c r="QGI4" s="2"/>
      <c r="QGJ4" s="2"/>
      <c r="QGK4" s="2"/>
      <c r="QGL4" s="2"/>
      <c r="QGM4" s="2"/>
      <c r="QGN4" s="2"/>
      <c r="QGO4" s="2"/>
      <c r="QGP4" s="2"/>
      <c r="QGQ4" s="2"/>
      <c r="QGR4" s="2"/>
      <c r="QGS4" s="2"/>
      <c r="QGT4" s="2"/>
      <c r="QGU4" s="2"/>
      <c r="QGV4" s="2"/>
      <c r="QGW4" s="2"/>
      <c r="QGX4" s="2"/>
      <c r="QGY4" s="2"/>
      <c r="QGZ4" s="2"/>
      <c r="QHA4" s="2"/>
      <c r="QHB4" s="2"/>
      <c r="QHC4" s="2"/>
      <c r="QHD4" s="2"/>
      <c r="QHE4" s="2"/>
      <c r="QHF4" s="2"/>
      <c r="QHG4" s="2"/>
      <c r="QHH4" s="2"/>
      <c r="QHI4" s="2"/>
      <c r="QHJ4" s="2"/>
      <c r="QHK4" s="2"/>
      <c r="QHL4" s="2"/>
      <c r="QHM4" s="2"/>
      <c r="QHN4" s="2"/>
      <c r="QHO4" s="2"/>
      <c r="QHP4" s="2"/>
      <c r="QHQ4" s="2"/>
      <c r="QHR4" s="2"/>
      <c r="QHS4" s="2"/>
      <c r="QHT4" s="2"/>
      <c r="QHU4" s="2"/>
      <c r="QHV4" s="2"/>
      <c r="QHW4" s="2"/>
      <c r="QHX4" s="2"/>
      <c r="QHY4" s="2"/>
      <c r="QHZ4" s="2"/>
      <c r="QIA4" s="2"/>
      <c r="QIB4" s="2"/>
      <c r="QIC4" s="2"/>
      <c r="QID4" s="2"/>
      <c r="QIE4" s="2"/>
      <c r="QIF4" s="2"/>
      <c r="QIG4" s="2"/>
      <c r="QIH4" s="2"/>
      <c r="QII4" s="2"/>
      <c r="QIJ4" s="2"/>
      <c r="QIK4" s="2"/>
      <c r="QIL4" s="2"/>
      <c r="QIM4" s="2"/>
      <c r="QIN4" s="2"/>
      <c r="QIO4" s="2"/>
      <c r="QIP4" s="2"/>
      <c r="QIQ4" s="2"/>
      <c r="QIR4" s="2"/>
      <c r="QIS4" s="2"/>
      <c r="QIT4" s="2"/>
      <c r="QIU4" s="2"/>
      <c r="QIV4" s="2"/>
      <c r="QIW4" s="2"/>
      <c r="QIX4" s="2"/>
      <c r="QIY4" s="2"/>
      <c r="QIZ4" s="2"/>
      <c r="QJA4" s="2"/>
      <c r="QJB4" s="2"/>
      <c r="QJC4" s="2"/>
      <c r="QJD4" s="2"/>
      <c r="QJE4" s="2"/>
      <c r="QJF4" s="2"/>
      <c r="QJG4" s="2"/>
      <c r="QJH4" s="2"/>
      <c r="QJI4" s="2"/>
      <c r="QJJ4" s="2"/>
      <c r="QJK4" s="2"/>
      <c r="QJL4" s="2"/>
      <c r="QJM4" s="2"/>
      <c r="QJN4" s="2"/>
      <c r="QJO4" s="2"/>
      <c r="QJP4" s="2"/>
      <c r="QJQ4" s="2"/>
      <c r="QJR4" s="2"/>
      <c r="QJS4" s="2"/>
      <c r="QJT4" s="2"/>
      <c r="QJU4" s="2"/>
      <c r="QJV4" s="2"/>
      <c r="QJW4" s="2"/>
      <c r="QJX4" s="2"/>
      <c r="QJY4" s="2"/>
      <c r="QJZ4" s="2"/>
      <c r="QKA4" s="2"/>
      <c r="QKB4" s="2"/>
      <c r="QKC4" s="2"/>
      <c r="QKD4" s="2"/>
      <c r="QKE4" s="2"/>
      <c r="QKF4" s="2"/>
      <c r="QKG4" s="2"/>
      <c r="QKH4" s="2"/>
      <c r="QKI4" s="2"/>
      <c r="QKJ4" s="2"/>
      <c r="QKK4" s="2"/>
      <c r="QKL4" s="2"/>
      <c r="QKM4" s="2"/>
      <c r="QKN4" s="2"/>
      <c r="QKO4" s="2"/>
      <c r="QKP4" s="2"/>
      <c r="QKQ4" s="2"/>
      <c r="QKR4" s="2"/>
      <c r="QKS4" s="2"/>
      <c r="QKT4" s="2"/>
      <c r="QKU4" s="2"/>
      <c r="QKV4" s="2"/>
      <c r="QKW4" s="2"/>
      <c r="QKX4" s="2"/>
      <c r="QKY4" s="2"/>
      <c r="QKZ4" s="2"/>
      <c r="QLA4" s="2"/>
      <c r="QLB4" s="2"/>
      <c r="QLC4" s="2"/>
      <c r="QLD4" s="2"/>
      <c r="QLE4" s="2"/>
      <c r="QLF4" s="2"/>
      <c r="QLG4" s="2"/>
      <c r="QLH4" s="2"/>
      <c r="QLI4" s="2"/>
      <c r="QLJ4" s="2"/>
      <c r="QLK4" s="2"/>
      <c r="QLL4" s="2"/>
      <c r="QLM4" s="2"/>
      <c r="QLN4" s="2"/>
      <c r="QLO4" s="2"/>
      <c r="QLP4" s="2"/>
      <c r="QLQ4" s="2"/>
      <c r="QLR4" s="2"/>
      <c r="QLS4" s="2"/>
      <c r="QLT4" s="2"/>
      <c r="QLU4" s="2"/>
      <c r="QLV4" s="2"/>
      <c r="QLW4" s="2"/>
      <c r="QLX4" s="2"/>
      <c r="QLY4" s="2"/>
      <c r="QLZ4" s="2"/>
      <c r="QMA4" s="2"/>
      <c r="QMB4" s="2"/>
      <c r="QMC4" s="2"/>
      <c r="QMD4" s="2"/>
      <c r="QME4" s="2"/>
      <c r="QMF4" s="2"/>
      <c r="QMG4" s="2"/>
      <c r="QMH4" s="2"/>
      <c r="QMI4" s="2"/>
      <c r="QMJ4" s="2"/>
      <c r="QMK4" s="2"/>
      <c r="QML4" s="2"/>
      <c r="QMM4" s="2"/>
      <c r="QMN4" s="2"/>
      <c r="QMO4" s="2"/>
      <c r="QMP4" s="2"/>
      <c r="QMQ4" s="2"/>
      <c r="QMR4" s="2"/>
      <c r="QMS4" s="2"/>
      <c r="QMT4" s="2"/>
      <c r="QMU4" s="2"/>
      <c r="QMV4" s="2"/>
      <c r="QMW4" s="2"/>
      <c r="QMX4" s="2"/>
      <c r="QMY4" s="2"/>
      <c r="QMZ4" s="2"/>
      <c r="QNA4" s="2"/>
      <c r="QNB4" s="2"/>
      <c r="QNC4" s="2"/>
      <c r="QND4" s="2"/>
      <c r="QNE4" s="2"/>
      <c r="QNF4" s="2"/>
      <c r="QNG4" s="2"/>
      <c r="QNH4" s="2"/>
      <c r="QNI4" s="2"/>
      <c r="QNJ4" s="2"/>
      <c r="QNK4" s="2"/>
      <c r="QNL4" s="2"/>
      <c r="QNM4" s="2"/>
      <c r="QNN4" s="2"/>
      <c r="QNO4" s="2"/>
      <c r="QNP4" s="2"/>
      <c r="QNQ4" s="2"/>
      <c r="QNR4" s="2"/>
      <c r="QNS4" s="2"/>
      <c r="QNT4" s="2"/>
      <c r="QNU4" s="2"/>
      <c r="QNV4" s="2"/>
      <c r="QNW4" s="2"/>
      <c r="QNX4" s="2"/>
      <c r="QNY4" s="2"/>
      <c r="QNZ4" s="2"/>
      <c r="QOA4" s="2"/>
      <c r="QOB4" s="2"/>
      <c r="QOC4" s="2"/>
      <c r="QOD4" s="2"/>
      <c r="QOE4" s="2"/>
      <c r="QOF4" s="2"/>
      <c r="QOG4" s="2"/>
      <c r="QOH4" s="2"/>
      <c r="QOI4" s="2"/>
      <c r="QOJ4" s="2"/>
      <c r="QOK4" s="2"/>
      <c r="QOL4" s="2"/>
      <c r="QOM4" s="2"/>
      <c r="QON4" s="2"/>
      <c r="QOO4" s="2"/>
      <c r="QOP4" s="2"/>
      <c r="QOQ4" s="2"/>
      <c r="QOR4" s="2"/>
      <c r="QOS4" s="2"/>
      <c r="QOT4" s="2"/>
      <c r="QOU4" s="2"/>
      <c r="QOV4" s="2"/>
      <c r="QOW4" s="2"/>
      <c r="QOX4" s="2"/>
      <c r="QOY4" s="2"/>
      <c r="QOZ4" s="2"/>
      <c r="QPA4" s="2"/>
      <c r="QPB4" s="2"/>
      <c r="QPC4" s="2"/>
      <c r="QPD4" s="2"/>
      <c r="QPE4" s="2"/>
      <c r="QPF4" s="2"/>
      <c r="QPG4" s="2"/>
      <c r="QPH4" s="2"/>
      <c r="QPI4" s="2"/>
      <c r="QPJ4" s="2"/>
      <c r="QPK4" s="2"/>
      <c r="QPL4" s="2"/>
      <c r="QPM4" s="2"/>
      <c r="QPN4" s="2"/>
      <c r="QPO4" s="2"/>
      <c r="QPP4" s="2"/>
      <c r="QPQ4" s="2"/>
      <c r="QPR4" s="2"/>
      <c r="QPS4" s="2"/>
      <c r="QPT4" s="2"/>
      <c r="QPU4" s="2"/>
      <c r="QPV4" s="2"/>
      <c r="QPW4" s="2"/>
      <c r="QPX4" s="2"/>
      <c r="QPY4" s="2"/>
      <c r="QPZ4" s="2"/>
      <c r="QQA4" s="2"/>
      <c r="QQB4" s="2"/>
      <c r="QQC4" s="2"/>
      <c r="QQD4" s="2"/>
      <c r="QQE4" s="2"/>
      <c r="QQF4" s="2"/>
      <c r="QQG4" s="2"/>
      <c r="QQH4" s="2"/>
      <c r="QQI4" s="2"/>
      <c r="QQJ4" s="2"/>
      <c r="QQK4" s="2"/>
      <c r="QQL4" s="2"/>
      <c r="QQM4" s="2"/>
      <c r="QQN4" s="2"/>
      <c r="QQO4" s="2"/>
      <c r="QQP4" s="2"/>
      <c r="QQQ4" s="2"/>
      <c r="QQR4" s="2"/>
      <c r="QQS4" s="2"/>
      <c r="QQT4" s="2"/>
      <c r="QQU4" s="2"/>
      <c r="QQV4" s="2"/>
      <c r="QQW4" s="2"/>
      <c r="QQX4" s="2"/>
      <c r="QQY4" s="2"/>
      <c r="QQZ4" s="2"/>
      <c r="QRA4" s="2"/>
      <c r="QRB4" s="2"/>
      <c r="QRC4" s="2"/>
      <c r="QRD4" s="2"/>
      <c r="QRE4" s="2"/>
      <c r="QRF4" s="2"/>
      <c r="QRG4" s="2"/>
      <c r="QRH4" s="2"/>
      <c r="QRI4" s="2"/>
      <c r="QRJ4" s="2"/>
      <c r="QRK4" s="2"/>
      <c r="QRL4" s="2"/>
      <c r="QRM4" s="2"/>
      <c r="QRN4" s="2"/>
      <c r="QRO4" s="2"/>
      <c r="QRP4" s="2"/>
      <c r="QRQ4" s="2"/>
      <c r="QRR4" s="2"/>
      <c r="QRS4" s="2"/>
      <c r="QRT4" s="2"/>
      <c r="QRU4" s="2"/>
      <c r="QRV4" s="2"/>
      <c r="QRW4" s="2"/>
      <c r="QRX4" s="2"/>
      <c r="QRY4" s="2"/>
      <c r="QRZ4" s="2"/>
      <c r="QSA4" s="2"/>
      <c r="QSB4" s="2"/>
      <c r="QSC4" s="2"/>
      <c r="QSD4" s="2"/>
      <c r="QSE4" s="2"/>
      <c r="QSF4" s="2"/>
      <c r="QSG4" s="2"/>
      <c r="QSH4" s="2"/>
      <c r="QSI4" s="2"/>
      <c r="QSJ4" s="2"/>
      <c r="QSK4" s="2"/>
      <c r="QSL4" s="2"/>
      <c r="QSM4" s="2"/>
      <c r="QSN4" s="2"/>
      <c r="QSO4" s="2"/>
      <c r="QSP4" s="2"/>
      <c r="QSQ4" s="2"/>
      <c r="QSR4" s="2"/>
      <c r="QSS4" s="2"/>
      <c r="QST4" s="2"/>
      <c r="QSU4" s="2"/>
      <c r="QSV4" s="2"/>
      <c r="QSW4" s="2"/>
      <c r="QSX4" s="2"/>
      <c r="QSY4" s="2"/>
      <c r="QSZ4" s="2"/>
      <c r="QTA4" s="2"/>
      <c r="QTB4" s="2"/>
      <c r="QTC4" s="2"/>
      <c r="QTD4" s="2"/>
      <c r="QTE4" s="2"/>
      <c r="QTF4" s="2"/>
      <c r="QTG4" s="2"/>
      <c r="QTH4" s="2"/>
      <c r="QTI4" s="2"/>
      <c r="QTJ4" s="2"/>
      <c r="QTK4" s="2"/>
      <c r="QTL4" s="2"/>
      <c r="QTM4" s="2"/>
      <c r="QTN4" s="2"/>
      <c r="QTO4" s="2"/>
      <c r="QTP4" s="2"/>
      <c r="QTQ4" s="2"/>
      <c r="QTR4" s="2"/>
      <c r="QTS4" s="2"/>
      <c r="QTT4" s="2"/>
      <c r="QTU4" s="2"/>
      <c r="QTV4" s="2"/>
      <c r="QTW4" s="2"/>
      <c r="QTX4" s="2"/>
      <c r="QTY4" s="2"/>
      <c r="QTZ4" s="2"/>
      <c r="QUA4" s="2"/>
      <c r="QUB4" s="2"/>
      <c r="QUC4" s="2"/>
      <c r="QUD4" s="2"/>
      <c r="QUE4" s="2"/>
      <c r="QUF4" s="2"/>
      <c r="QUG4" s="2"/>
      <c r="QUH4" s="2"/>
      <c r="QUI4" s="2"/>
      <c r="QUJ4" s="2"/>
      <c r="QUK4" s="2"/>
      <c r="QUL4" s="2"/>
      <c r="QUM4" s="2"/>
      <c r="QUN4" s="2"/>
      <c r="QUO4" s="2"/>
      <c r="QUP4" s="2"/>
      <c r="QUQ4" s="2"/>
      <c r="QUR4" s="2"/>
      <c r="QUS4" s="2"/>
      <c r="QUT4" s="2"/>
      <c r="QUU4" s="2"/>
      <c r="QUV4" s="2"/>
      <c r="QUW4" s="2"/>
      <c r="QUX4" s="2"/>
      <c r="QUY4" s="2"/>
      <c r="QUZ4" s="2"/>
      <c r="QVA4" s="2"/>
      <c r="QVB4" s="2"/>
      <c r="QVC4" s="2"/>
      <c r="QVD4" s="2"/>
      <c r="QVE4" s="2"/>
      <c r="QVF4" s="2"/>
      <c r="QVG4" s="2"/>
      <c r="QVH4" s="2"/>
      <c r="QVI4" s="2"/>
      <c r="QVJ4" s="2"/>
      <c r="QVK4" s="2"/>
      <c r="QVL4" s="2"/>
      <c r="QVM4" s="2"/>
      <c r="QVN4" s="2"/>
      <c r="QVO4" s="2"/>
      <c r="QVP4" s="2"/>
      <c r="QVQ4" s="2"/>
      <c r="QVR4" s="2"/>
      <c r="QVS4" s="2"/>
      <c r="QVT4" s="2"/>
      <c r="QVU4" s="2"/>
      <c r="QVV4" s="2"/>
      <c r="QVW4" s="2"/>
      <c r="QVX4" s="2"/>
      <c r="QVY4" s="2"/>
      <c r="QVZ4" s="2"/>
      <c r="QWA4" s="2"/>
      <c r="QWB4" s="2"/>
      <c r="QWC4" s="2"/>
      <c r="QWD4" s="2"/>
      <c r="QWE4" s="2"/>
      <c r="QWF4" s="2"/>
      <c r="QWG4" s="2"/>
      <c r="QWH4" s="2"/>
      <c r="QWI4" s="2"/>
      <c r="QWJ4" s="2"/>
      <c r="QWK4" s="2"/>
      <c r="QWL4" s="2"/>
      <c r="QWM4" s="2"/>
      <c r="QWN4" s="2"/>
      <c r="QWO4" s="2"/>
      <c r="QWP4" s="2"/>
      <c r="QWQ4" s="2"/>
      <c r="QWR4" s="2"/>
      <c r="QWS4" s="2"/>
      <c r="QWT4" s="2"/>
      <c r="QWU4" s="2"/>
      <c r="QWV4" s="2"/>
      <c r="QWW4" s="2"/>
      <c r="QWX4" s="2"/>
      <c r="QWY4" s="2"/>
      <c r="QWZ4" s="2"/>
      <c r="QXA4" s="2"/>
      <c r="QXB4" s="2"/>
      <c r="QXC4" s="2"/>
      <c r="QXD4" s="2"/>
      <c r="QXE4" s="2"/>
      <c r="QXF4" s="2"/>
      <c r="QXG4" s="2"/>
      <c r="QXH4" s="2"/>
      <c r="QXI4" s="2"/>
      <c r="QXJ4" s="2"/>
      <c r="QXK4" s="2"/>
      <c r="QXL4" s="2"/>
      <c r="QXM4" s="2"/>
      <c r="QXN4" s="2"/>
      <c r="QXO4" s="2"/>
      <c r="QXP4" s="2"/>
      <c r="QXQ4" s="2"/>
      <c r="QXR4" s="2"/>
      <c r="QXS4" s="2"/>
      <c r="QXT4" s="2"/>
      <c r="QXU4" s="2"/>
      <c r="QXV4" s="2"/>
      <c r="QXW4" s="2"/>
      <c r="QXX4" s="2"/>
      <c r="QXY4" s="2"/>
      <c r="QXZ4" s="2"/>
      <c r="QYA4" s="2"/>
      <c r="QYB4" s="2"/>
      <c r="QYC4" s="2"/>
      <c r="QYD4" s="2"/>
      <c r="QYE4" s="2"/>
      <c r="QYF4" s="2"/>
      <c r="QYG4" s="2"/>
      <c r="QYH4" s="2"/>
      <c r="QYI4" s="2"/>
      <c r="QYJ4" s="2"/>
      <c r="QYK4" s="2"/>
      <c r="QYL4" s="2"/>
      <c r="QYM4" s="2"/>
      <c r="QYN4" s="2"/>
      <c r="QYO4" s="2"/>
      <c r="QYP4" s="2"/>
      <c r="QYQ4" s="2"/>
      <c r="QYR4" s="2"/>
      <c r="QYS4" s="2"/>
      <c r="QYT4" s="2"/>
      <c r="QYU4" s="2"/>
      <c r="QYV4" s="2"/>
      <c r="QYW4" s="2"/>
      <c r="QYX4" s="2"/>
      <c r="QYY4" s="2"/>
      <c r="QYZ4" s="2"/>
      <c r="QZA4" s="2"/>
      <c r="QZB4" s="2"/>
      <c r="QZC4" s="2"/>
      <c r="QZD4" s="2"/>
      <c r="QZE4" s="2"/>
      <c r="QZF4" s="2"/>
      <c r="QZG4" s="2"/>
      <c r="QZH4" s="2"/>
      <c r="QZI4" s="2"/>
      <c r="QZJ4" s="2"/>
      <c r="QZK4" s="2"/>
      <c r="QZL4" s="2"/>
      <c r="QZM4" s="2"/>
      <c r="QZN4" s="2"/>
      <c r="QZO4" s="2"/>
      <c r="QZP4" s="2"/>
      <c r="QZQ4" s="2"/>
      <c r="QZR4" s="2"/>
      <c r="QZS4" s="2"/>
      <c r="QZT4" s="2"/>
      <c r="QZU4" s="2"/>
      <c r="QZV4" s="2"/>
      <c r="QZW4" s="2"/>
      <c r="QZX4" s="2"/>
      <c r="QZY4" s="2"/>
      <c r="QZZ4" s="2"/>
      <c r="RAA4" s="2"/>
      <c r="RAB4" s="2"/>
      <c r="RAC4" s="2"/>
      <c r="RAD4" s="2"/>
      <c r="RAE4" s="2"/>
      <c r="RAF4" s="2"/>
      <c r="RAG4" s="2"/>
      <c r="RAH4" s="2"/>
      <c r="RAI4" s="2"/>
      <c r="RAJ4" s="2"/>
      <c r="RAK4" s="2"/>
      <c r="RAL4" s="2"/>
      <c r="RAM4" s="2"/>
      <c r="RAN4" s="2"/>
      <c r="RAO4" s="2"/>
      <c r="RAP4" s="2"/>
      <c r="RAQ4" s="2"/>
      <c r="RAR4" s="2"/>
      <c r="RAS4" s="2"/>
      <c r="RAT4" s="2"/>
      <c r="RAU4" s="2"/>
      <c r="RAV4" s="2"/>
      <c r="RAW4" s="2"/>
      <c r="RAX4" s="2"/>
      <c r="RAY4" s="2"/>
      <c r="RAZ4" s="2"/>
      <c r="RBA4" s="2"/>
      <c r="RBB4" s="2"/>
      <c r="RBC4" s="2"/>
      <c r="RBD4" s="2"/>
      <c r="RBE4" s="2"/>
      <c r="RBF4" s="2"/>
      <c r="RBG4" s="2"/>
      <c r="RBH4" s="2"/>
      <c r="RBI4" s="2"/>
      <c r="RBJ4" s="2"/>
      <c r="RBK4" s="2"/>
      <c r="RBL4" s="2"/>
      <c r="RBM4" s="2"/>
      <c r="RBN4" s="2"/>
      <c r="RBO4" s="2"/>
      <c r="RBP4" s="2"/>
      <c r="RBQ4" s="2"/>
      <c r="RBR4" s="2"/>
      <c r="RBS4" s="2"/>
      <c r="RBT4" s="2"/>
      <c r="RBU4" s="2"/>
      <c r="RBV4" s="2"/>
      <c r="RBW4" s="2"/>
      <c r="RBX4" s="2"/>
      <c r="RBY4" s="2"/>
      <c r="RBZ4" s="2"/>
      <c r="RCA4" s="2"/>
      <c r="RCB4" s="2"/>
      <c r="RCC4" s="2"/>
      <c r="RCD4" s="2"/>
      <c r="RCE4" s="2"/>
      <c r="RCF4" s="2"/>
      <c r="RCG4" s="2"/>
      <c r="RCH4" s="2"/>
      <c r="RCI4" s="2"/>
      <c r="RCJ4" s="2"/>
      <c r="RCK4" s="2"/>
      <c r="RCL4" s="2"/>
      <c r="RCM4" s="2"/>
      <c r="RCN4" s="2"/>
      <c r="RCO4" s="2"/>
      <c r="RCP4" s="2"/>
      <c r="RCQ4" s="2"/>
      <c r="RCR4" s="2"/>
      <c r="RCS4" s="2"/>
      <c r="RCT4" s="2"/>
      <c r="RCU4" s="2"/>
      <c r="RCV4" s="2"/>
      <c r="RCW4" s="2"/>
      <c r="RCX4" s="2"/>
      <c r="RCY4" s="2"/>
      <c r="RCZ4" s="2"/>
      <c r="RDA4" s="2"/>
      <c r="RDB4" s="2"/>
      <c r="RDC4" s="2"/>
      <c r="RDD4" s="2"/>
      <c r="RDE4" s="2"/>
      <c r="RDF4" s="2"/>
      <c r="RDG4" s="2"/>
      <c r="RDH4" s="2"/>
      <c r="RDI4" s="2"/>
      <c r="RDJ4" s="2"/>
      <c r="RDK4" s="2"/>
      <c r="RDL4" s="2"/>
      <c r="RDM4" s="2"/>
      <c r="RDN4" s="2"/>
      <c r="RDO4" s="2"/>
      <c r="RDP4" s="2"/>
      <c r="RDQ4" s="2"/>
      <c r="RDR4" s="2"/>
      <c r="RDS4" s="2"/>
      <c r="RDT4" s="2"/>
      <c r="RDU4" s="2"/>
      <c r="RDV4" s="2"/>
      <c r="RDW4" s="2"/>
      <c r="RDX4" s="2"/>
      <c r="RDY4" s="2"/>
      <c r="RDZ4" s="2"/>
      <c r="REA4" s="2"/>
      <c r="REB4" s="2"/>
      <c r="REC4" s="2"/>
      <c r="RED4" s="2"/>
      <c r="REE4" s="2"/>
      <c r="REF4" s="2"/>
      <c r="REG4" s="2"/>
      <c r="REH4" s="2"/>
      <c r="REI4" s="2"/>
      <c r="REJ4" s="2"/>
      <c r="REK4" s="2"/>
      <c r="REL4" s="2"/>
      <c r="REM4" s="2"/>
      <c r="REN4" s="2"/>
      <c r="REO4" s="2"/>
      <c r="REP4" s="2"/>
      <c r="REQ4" s="2"/>
      <c r="RER4" s="2"/>
      <c r="RES4" s="2"/>
      <c r="RET4" s="2"/>
      <c r="REU4" s="2"/>
      <c r="REV4" s="2"/>
      <c r="REW4" s="2"/>
      <c r="REX4" s="2"/>
      <c r="REY4" s="2"/>
      <c r="REZ4" s="2"/>
      <c r="RFA4" s="2"/>
      <c r="RFB4" s="2"/>
      <c r="RFC4" s="2"/>
      <c r="RFD4" s="2"/>
      <c r="RFE4" s="2"/>
      <c r="RFF4" s="2"/>
      <c r="RFG4" s="2"/>
      <c r="RFH4" s="2"/>
      <c r="RFI4" s="2"/>
      <c r="RFJ4" s="2"/>
      <c r="RFK4" s="2"/>
      <c r="RFL4" s="2"/>
      <c r="RFM4" s="2"/>
      <c r="RFN4" s="2"/>
      <c r="RFO4" s="2"/>
      <c r="RFP4" s="2"/>
      <c r="RFQ4" s="2"/>
      <c r="RFR4" s="2"/>
      <c r="RFS4" s="2"/>
      <c r="RFT4" s="2"/>
      <c r="RFU4" s="2"/>
      <c r="RFV4" s="2"/>
      <c r="RFW4" s="2"/>
      <c r="RFX4" s="2"/>
      <c r="RFY4" s="2"/>
      <c r="RFZ4" s="2"/>
      <c r="RGA4" s="2"/>
      <c r="RGB4" s="2"/>
      <c r="RGC4" s="2"/>
      <c r="RGD4" s="2"/>
      <c r="RGE4" s="2"/>
      <c r="RGF4" s="2"/>
      <c r="RGG4" s="2"/>
      <c r="RGH4" s="2"/>
      <c r="RGI4" s="2"/>
      <c r="RGJ4" s="2"/>
      <c r="RGK4" s="2"/>
      <c r="RGL4" s="2"/>
      <c r="RGM4" s="2"/>
      <c r="RGN4" s="2"/>
      <c r="RGO4" s="2"/>
      <c r="RGP4" s="2"/>
      <c r="RGQ4" s="2"/>
      <c r="RGR4" s="2"/>
      <c r="RGS4" s="2"/>
      <c r="RGT4" s="2"/>
      <c r="RGU4" s="2"/>
      <c r="RGV4" s="2"/>
      <c r="RGW4" s="2"/>
      <c r="RGX4" s="2"/>
      <c r="RGY4" s="2"/>
      <c r="RGZ4" s="2"/>
      <c r="RHA4" s="2"/>
      <c r="RHB4" s="2"/>
      <c r="RHC4" s="2"/>
      <c r="RHD4" s="2"/>
      <c r="RHE4" s="2"/>
      <c r="RHF4" s="2"/>
      <c r="RHG4" s="2"/>
      <c r="RHH4" s="2"/>
      <c r="RHI4" s="2"/>
      <c r="RHJ4" s="2"/>
      <c r="RHK4" s="2"/>
      <c r="RHL4" s="2"/>
      <c r="RHM4" s="2"/>
      <c r="RHN4" s="2"/>
      <c r="RHO4" s="2"/>
      <c r="RHP4" s="2"/>
      <c r="RHQ4" s="2"/>
      <c r="RHR4" s="2"/>
      <c r="RHS4" s="2"/>
      <c r="RHT4" s="2"/>
      <c r="RHU4" s="2"/>
      <c r="RHV4" s="2"/>
      <c r="RHW4" s="2"/>
      <c r="RHX4" s="2"/>
      <c r="RHY4" s="2"/>
      <c r="RHZ4" s="2"/>
      <c r="RIA4" s="2"/>
      <c r="RIB4" s="2"/>
      <c r="RIC4" s="2"/>
      <c r="RID4" s="2"/>
      <c r="RIE4" s="2"/>
      <c r="RIF4" s="2"/>
      <c r="RIG4" s="2"/>
      <c r="RIH4" s="2"/>
      <c r="RII4" s="2"/>
      <c r="RIJ4" s="2"/>
      <c r="RIK4" s="2"/>
      <c r="RIL4" s="2"/>
      <c r="RIM4" s="2"/>
      <c r="RIN4" s="2"/>
      <c r="RIO4" s="2"/>
      <c r="RIP4" s="2"/>
      <c r="RIQ4" s="2"/>
      <c r="RIR4" s="2"/>
      <c r="RIS4" s="2"/>
      <c r="RIT4" s="2"/>
      <c r="RIU4" s="2"/>
      <c r="RIV4" s="2"/>
      <c r="RIW4" s="2"/>
      <c r="RIX4" s="2"/>
      <c r="RIY4" s="2"/>
      <c r="RIZ4" s="2"/>
      <c r="RJA4" s="2"/>
      <c r="RJB4" s="2"/>
      <c r="RJC4" s="2"/>
      <c r="RJD4" s="2"/>
      <c r="RJE4" s="2"/>
      <c r="RJF4" s="2"/>
      <c r="RJG4" s="2"/>
      <c r="RJH4" s="2"/>
      <c r="RJI4" s="2"/>
      <c r="RJJ4" s="2"/>
      <c r="RJK4" s="2"/>
      <c r="RJL4" s="2"/>
      <c r="RJM4" s="2"/>
      <c r="RJN4" s="2"/>
      <c r="RJO4" s="2"/>
      <c r="RJP4" s="2"/>
      <c r="RJQ4" s="2"/>
      <c r="RJR4" s="2"/>
      <c r="RJS4" s="2"/>
      <c r="RJT4" s="2"/>
      <c r="RJU4" s="2"/>
      <c r="RJV4" s="2"/>
      <c r="RJW4" s="2"/>
      <c r="RJX4" s="2"/>
      <c r="RJY4" s="2"/>
      <c r="RJZ4" s="2"/>
      <c r="RKA4" s="2"/>
      <c r="RKB4" s="2"/>
      <c r="RKC4" s="2"/>
      <c r="RKD4" s="2"/>
      <c r="RKE4" s="2"/>
      <c r="RKF4" s="2"/>
      <c r="RKG4" s="2"/>
      <c r="RKH4" s="2"/>
      <c r="RKI4" s="2"/>
      <c r="RKJ4" s="2"/>
      <c r="RKK4" s="2"/>
      <c r="RKL4" s="2"/>
      <c r="RKM4" s="2"/>
      <c r="RKN4" s="2"/>
      <c r="RKO4" s="2"/>
      <c r="RKP4" s="2"/>
      <c r="RKQ4" s="2"/>
      <c r="RKR4" s="2"/>
      <c r="RKS4" s="2"/>
      <c r="RKT4" s="2"/>
      <c r="RKU4" s="2"/>
      <c r="RKV4" s="2"/>
      <c r="RKW4" s="2"/>
      <c r="RKX4" s="2"/>
      <c r="RKY4" s="2"/>
      <c r="RKZ4" s="2"/>
      <c r="RLA4" s="2"/>
      <c r="RLB4" s="2"/>
      <c r="RLC4" s="2"/>
      <c r="RLD4" s="2"/>
      <c r="RLE4" s="2"/>
      <c r="RLF4" s="2"/>
      <c r="RLG4" s="2"/>
      <c r="RLH4" s="2"/>
      <c r="RLI4" s="2"/>
      <c r="RLJ4" s="2"/>
      <c r="RLK4" s="2"/>
      <c r="RLL4" s="2"/>
      <c r="RLM4" s="2"/>
      <c r="RLN4" s="2"/>
      <c r="RLO4" s="2"/>
      <c r="RLP4" s="2"/>
      <c r="RLQ4" s="2"/>
      <c r="RLR4" s="2"/>
      <c r="RLS4" s="2"/>
      <c r="RLT4" s="2"/>
      <c r="RLU4" s="2"/>
      <c r="RLV4" s="2"/>
      <c r="RLW4" s="2"/>
      <c r="RLX4" s="2"/>
      <c r="RLY4" s="2"/>
      <c r="RLZ4" s="2"/>
      <c r="RMA4" s="2"/>
      <c r="RMB4" s="2"/>
      <c r="RMC4" s="2"/>
      <c r="RMD4" s="2"/>
      <c r="RME4" s="2"/>
      <c r="RMF4" s="2"/>
      <c r="RMG4" s="2"/>
      <c r="RMH4" s="2"/>
      <c r="RMI4" s="2"/>
      <c r="RMJ4" s="2"/>
      <c r="RMK4" s="2"/>
      <c r="RML4" s="2"/>
      <c r="RMM4" s="2"/>
      <c r="RMN4" s="2"/>
      <c r="RMO4" s="2"/>
      <c r="RMP4" s="2"/>
      <c r="RMQ4" s="2"/>
      <c r="RMR4" s="2"/>
      <c r="RMS4" s="2"/>
      <c r="RMT4" s="2"/>
      <c r="RMU4" s="2"/>
      <c r="RMV4" s="2"/>
      <c r="RMW4" s="2"/>
      <c r="RMX4" s="2"/>
      <c r="RMY4" s="2"/>
      <c r="RMZ4" s="2"/>
      <c r="RNA4" s="2"/>
      <c r="RNB4" s="2"/>
      <c r="RNC4" s="2"/>
      <c r="RND4" s="2"/>
      <c r="RNE4" s="2"/>
      <c r="RNF4" s="2"/>
      <c r="RNG4" s="2"/>
      <c r="RNH4" s="2"/>
      <c r="RNI4" s="2"/>
      <c r="RNJ4" s="2"/>
      <c r="RNK4" s="2"/>
      <c r="RNL4" s="2"/>
      <c r="RNM4" s="2"/>
      <c r="RNN4" s="2"/>
      <c r="RNO4" s="2"/>
      <c r="RNP4" s="2"/>
      <c r="RNQ4" s="2"/>
      <c r="RNR4" s="2"/>
      <c r="RNS4" s="2"/>
      <c r="RNT4" s="2"/>
      <c r="RNU4" s="2"/>
      <c r="RNV4" s="2"/>
      <c r="RNW4" s="2"/>
      <c r="RNX4" s="2"/>
      <c r="RNY4" s="2"/>
      <c r="RNZ4" s="2"/>
      <c r="ROA4" s="2"/>
      <c r="ROB4" s="2"/>
      <c r="ROC4" s="2"/>
      <c r="ROD4" s="2"/>
      <c r="ROE4" s="2"/>
      <c r="ROF4" s="2"/>
      <c r="ROG4" s="2"/>
      <c r="ROH4" s="2"/>
      <c r="ROI4" s="2"/>
      <c r="ROJ4" s="2"/>
      <c r="ROK4" s="2"/>
      <c r="ROL4" s="2"/>
      <c r="ROM4" s="2"/>
      <c r="RON4" s="2"/>
      <c r="ROO4" s="2"/>
      <c r="ROP4" s="2"/>
      <c r="ROQ4" s="2"/>
      <c r="ROR4" s="2"/>
      <c r="ROS4" s="2"/>
      <c r="ROT4" s="2"/>
      <c r="ROU4" s="2"/>
      <c r="ROV4" s="2"/>
      <c r="ROW4" s="2"/>
      <c r="ROX4" s="2"/>
      <c r="ROY4" s="2"/>
      <c r="ROZ4" s="2"/>
      <c r="RPA4" s="2"/>
      <c r="RPB4" s="2"/>
      <c r="RPC4" s="2"/>
      <c r="RPD4" s="2"/>
      <c r="RPE4" s="2"/>
      <c r="RPF4" s="2"/>
      <c r="RPG4" s="2"/>
      <c r="RPH4" s="2"/>
      <c r="RPI4" s="2"/>
      <c r="RPJ4" s="2"/>
      <c r="RPK4" s="2"/>
      <c r="RPL4" s="2"/>
      <c r="RPM4" s="2"/>
      <c r="RPN4" s="2"/>
      <c r="RPO4" s="2"/>
      <c r="RPP4" s="2"/>
      <c r="RPQ4" s="2"/>
      <c r="RPR4" s="2"/>
      <c r="RPS4" s="2"/>
      <c r="RPT4" s="2"/>
      <c r="RPU4" s="2"/>
      <c r="RPV4" s="2"/>
      <c r="RPW4" s="2"/>
      <c r="RPX4" s="2"/>
      <c r="RPY4" s="2"/>
      <c r="RPZ4" s="2"/>
      <c r="RQA4" s="2"/>
      <c r="RQB4" s="2"/>
      <c r="RQC4" s="2"/>
      <c r="RQD4" s="2"/>
      <c r="RQE4" s="2"/>
      <c r="RQF4" s="2"/>
      <c r="RQG4" s="2"/>
      <c r="RQH4" s="2"/>
      <c r="RQI4" s="2"/>
      <c r="RQJ4" s="2"/>
      <c r="RQK4" s="2"/>
      <c r="RQL4" s="2"/>
      <c r="RQM4" s="2"/>
      <c r="RQN4" s="2"/>
      <c r="RQO4" s="2"/>
      <c r="RQP4" s="2"/>
      <c r="RQQ4" s="2"/>
      <c r="RQR4" s="2"/>
      <c r="RQS4" s="2"/>
      <c r="RQT4" s="2"/>
      <c r="RQU4" s="2"/>
      <c r="RQV4" s="2"/>
      <c r="RQW4" s="2"/>
      <c r="RQX4" s="2"/>
      <c r="RQY4" s="2"/>
      <c r="RQZ4" s="2"/>
      <c r="RRA4" s="2"/>
      <c r="RRB4" s="2"/>
      <c r="RRC4" s="2"/>
      <c r="RRD4" s="2"/>
      <c r="RRE4" s="2"/>
      <c r="RRF4" s="2"/>
      <c r="RRG4" s="2"/>
      <c r="RRH4" s="2"/>
      <c r="RRI4" s="2"/>
      <c r="RRJ4" s="2"/>
      <c r="RRK4" s="2"/>
      <c r="RRL4" s="2"/>
      <c r="RRM4" s="2"/>
      <c r="RRN4" s="2"/>
      <c r="RRO4" s="2"/>
      <c r="RRP4" s="2"/>
      <c r="RRQ4" s="2"/>
      <c r="RRR4" s="2"/>
      <c r="RRS4" s="2"/>
      <c r="RRT4" s="2"/>
      <c r="RRU4" s="2"/>
      <c r="RRV4" s="2"/>
      <c r="RRW4" s="2"/>
      <c r="RRX4" s="2"/>
      <c r="RRY4" s="2"/>
      <c r="RRZ4" s="2"/>
      <c r="RSA4" s="2"/>
      <c r="RSB4" s="2"/>
      <c r="RSC4" s="2"/>
      <c r="RSD4" s="2"/>
      <c r="RSE4" s="2"/>
      <c r="RSF4" s="2"/>
      <c r="RSG4" s="2"/>
      <c r="RSH4" s="2"/>
      <c r="RSI4" s="2"/>
      <c r="RSJ4" s="2"/>
      <c r="RSK4" s="2"/>
      <c r="RSL4" s="2"/>
      <c r="RSM4" s="2"/>
      <c r="RSN4" s="2"/>
      <c r="RSO4" s="2"/>
      <c r="RSP4" s="2"/>
      <c r="RSQ4" s="2"/>
      <c r="RSR4" s="2"/>
      <c r="RSS4" s="2"/>
      <c r="RST4" s="2"/>
      <c r="RSU4" s="2"/>
      <c r="RSV4" s="2"/>
      <c r="RSW4" s="2"/>
      <c r="RSX4" s="2"/>
      <c r="RSY4" s="2"/>
      <c r="RSZ4" s="2"/>
      <c r="RTA4" s="2"/>
      <c r="RTB4" s="2"/>
      <c r="RTC4" s="2"/>
      <c r="RTD4" s="2"/>
      <c r="RTE4" s="2"/>
      <c r="RTF4" s="2"/>
      <c r="RTG4" s="2"/>
      <c r="RTH4" s="2"/>
      <c r="RTI4" s="2"/>
      <c r="RTJ4" s="2"/>
      <c r="RTK4" s="2"/>
      <c r="RTL4" s="2"/>
      <c r="RTM4" s="2"/>
      <c r="RTN4" s="2"/>
      <c r="RTO4" s="2"/>
      <c r="RTP4" s="2"/>
      <c r="RTQ4" s="2"/>
      <c r="RTR4" s="2"/>
      <c r="RTS4" s="2"/>
      <c r="RTT4" s="2"/>
      <c r="RTU4" s="2"/>
      <c r="RTV4" s="2"/>
      <c r="RTW4" s="2"/>
      <c r="RTX4" s="2"/>
      <c r="RTY4" s="2"/>
      <c r="RTZ4" s="2"/>
      <c r="RUA4" s="2"/>
      <c r="RUB4" s="2"/>
      <c r="RUC4" s="2"/>
      <c r="RUD4" s="2"/>
      <c r="RUE4" s="2"/>
      <c r="RUF4" s="2"/>
      <c r="RUG4" s="2"/>
      <c r="RUH4" s="2"/>
      <c r="RUI4" s="2"/>
      <c r="RUJ4" s="2"/>
      <c r="RUK4" s="2"/>
      <c r="RUL4" s="2"/>
      <c r="RUM4" s="2"/>
      <c r="RUN4" s="2"/>
      <c r="RUO4" s="2"/>
      <c r="RUP4" s="2"/>
      <c r="RUQ4" s="2"/>
      <c r="RUR4" s="2"/>
      <c r="RUS4" s="2"/>
      <c r="RUT4" s="2"/>
      <c r="RUU4" s="2"/>
      <c r="RUV4" s="2"/>
      <c r="RUW4" s="2"/>
      <c r="RUX4" s="2"/>
      <c r="RUY4" s="2"/>
      <c r="RUZ4" s="2"/>
      <c r="RVA4" s="2"/>
      <c r="RVB4" s="2"/>
      <c r="RVC4" s="2"/>
      <c r="RVD4" s="2"/>
      <c r="RVE4" s="2"/>
      <c r="RVF4" s="2"/>
      <c r="RVG4" s="2"/>
      <c r="RVH4" s="2"/>
      <c r="RVI4" s="2"/>
      <c r="RVJ4" s="2"/>
      <c r="RVK4" s="2"/>
      <c r="RVL4" s="2"/>
      <c r="RVM4" s="2"/>
      <c r="RVN4" s="2"/>
      <c r="RVO4" s="2"/>
      <c r="RVP4" s="2"/>
      <c r="RVQ4" s="2"/>
      <c r="RVR4" s="2"/>
      <c r="RVS4" s="2"/>
      <c r="RVT4" s="2"/>
      <c r="RVU4" s="2"/>
      <c r="RVV4" s="2"/>
      <c r="RVW4" s="2"/>
      <c r="RVX4" s="2"/>
      <c r="RVY4" s="2"/>
      <c r="RVZ4" s="2"/>
      <c r="RWA4" s="2"/>
      <c r="RWB4" s="2"/>
      <c r="RWC4" s="2"/>
      <c r="RWD4" s="2"/>
      <c r="RWE4" s="2"/>
      <c r="RWF4" s="2"/>
      <c r="RWG4" s="2"/>
      <c r="RWH4" s="2"/>
      <c r="RWI4" s="2"/>
      <c r="RWJ4" s="2"/>
      <c r="RWK4" s="2"/>
      <c r="RWL4" s="2"/>
      <c r="RWM4" s="2"/>
      <c r="RWN4" s="2"/>
      <c r="RWO4" s="2"/>
      <c r="RWP4" s="2"/>
      <c r="RWQ4" s="2"/>
      <c r="RWR4" s="2"/>
      <c r="RWS4" s="2"/>
      <c r="RWT4" s="2"/>
      <c r="RWU4" s="2"/>
      <c r="RWV4" s="2"/>
      <c r="RWW4" s="2"/>
      <c r="RWX4" s="2"/>
      <c r="RWY4" s="2"/>
      <c r="RWZ4" s="2"/>
      <c r="RXA4" s="2"/>
      <c r="RXB4" s="2"/>
      <c r="RXC4" s="2"/>
      <c r="RXD4" s="2"/>
      <c r="RXE4" s="2"/>
      <c r="RXF4" s="2"/>
      <c r="RXG4" s="2"/>
      <c r="RXH4" s="2"/>
      <c r="RXI4" s="2"/>
      <c r="RXJ4" s="2"/>
      <c r="RXK4" s="2"/>
      <c r="RXL4" s="2"/>
      <c r="RXM4" s="2"/>
      <c r="RXN4" s="2"/>
      <c r="RXO4" s="2"/>
      <c r="RXP4" s="2"/>
      <c r="RXQ4" s="2"/>
      <c r="RXR4" s="2"/>
      <c r="RXS4" s="2"/>
      <c r="RXT4" s="2"/>
      <c r="RXU4" s="2"/>
      <c r="RXV4" s="2"/>
      <c r="RXW4" s="2"/>
      <c r="RXX4" s="2"/>
      <c r="RXY4" s="2"/>
      <c r="RXZ4" s="2"/>
      <c r="RYA4" s="2"/>
      <c r="RYB4" s="2"/>
      <c r="RYC4" s="2"/>
      <c r="RYD4" s="2"/>
      <c r="RYE4" s="2"/>
      <c r="RYF4" s="2"/>
      <c r="RYG4" s="2"/>
      <c r="RYH4" s="2"/>
      <c r="RYI4" s="2"/>
      <c r="RYJ4" s="2"/>
      <c r="RYK4" s="2"/>
      <c r="RYL4" s="2"/>
      <c r="RYM4" s="2"/>
      <c r="RYN4" s="2"/>
      <c r="RYO4" s="2"/>
      <c r="RYP4" s="2"/>
      <c r="RYQ4" s="2"/>
      <c r="RYR4" s="2"/>
      <c r="RYS4" s="2"/>
      <c r="RYT4" s="2"/>
      <c r="RYU4" s="2"/>
      <c r="RYV4" s="2"/>
      <c r="RYW4" s="2"/>
      <c r="RYX4" s="2"/>
      <c r="RYY4" s="2"/>
      <c r="RYZ4" s="2"/>
      <c r="RZA4" s="2"/>
      <c r="RZB4" s="2"/>
      <c r="RZC4" s="2"/>
      <c r="RZD4" s="2"/>
      <c r="RZE4" s="2"/>
      <c r="RZF4" s="2"/>
      <c r="RZG4" s="2"/>
      <c r="RZH4" s="2"/>
      <c r="RZI4" s="2"/>
      <c r="RZJ4" s="2"/>
      <c r="RZK4" s="2"/>
      <c r="RZL4" s="2"/>
      <c r="RZM4" s="2"/>
      <c r="RZN4" s="2"/>
      <c r="RZO4" s="2"/>
      <c r="RZP4" s="2"/>
      <c r="RZQ4" s="2"/>
      <c r="RZR4" s="2"/>
      <c r="RZS4" s="2"/>
      <c r="RZT4" s="2"/>
      <c r="RZU4" s="2"/>
      <c r="RZV4" s="2"/>
      <c r="RZW4" s="2"/>
      <c r="RZX4" s="2"/>
      <c r="RZY4" s="2"/>
      <c r="RZZ4" s="2"/>
      <c r="SAA4" s="2"/>
      <c r="SAB4" s="2"/>
      <c r="SAC4" s="2"/>
      <c r="SAD4" s="2"/>
      <c r="SAE4" s="2"/>
      <c r="SAF4" s="2"/>
      <c r="SAG4" s="2"/>
      <c r="SAH4" s="2"/>
      <c r="SAI4" s="2"/>
      <c r="SAJ4" s="2"/>
      <c r="SAK4" s="2"/>
      <c r="SAL4" s="2"/>
      <c r="SAM4" s="2"/>
      <c r="SAN4" s="2"/>
      <c r="SAO4" s="2"/>
      <c r="SAP4" s="2"/>
      <c r="SAQ4" s="2"/>
      <c r="SAR4" s="2"/>
      <c r="SAS4" s="2"/>
      <c r="SAT4" s="2"/>
      <c r="SAU4" s="2"/>
      <c r="SAV4" s="2"/>
      <c r="SAW4" s="2"/>
      <c r="SAX4" s="2"/>
      <c r="SAY4" s="2"/>
      <c r="SAZ4" s="2"/>
      <c r="SBA4" s="2"/>
      <c r="SBB4" s="2"/>
      <c r="SBC4" s="2"/>
      <c r="SBD4" s="2"/>
      <c r="SBE4" s="2"/>
      <c r="SBF4" s="2"/>
      <c r="SBG4" s="2"/>
      <c r="SBH4" s="2"/>
      <c r="SBI4" s="2"/>
      <c r="SBJ4" s="2"/>
      <c r="SBK4" s="2"/>
      <c r="SBL4" s="2"/>
      <c r="SBM4" s="2"/>
      <c r="SBN4" s="2"/>
      <c r="SBO4" s="2"/>
      <c r="SBP4" s="2"/>
      <c r="SBQ4" s="2"/>
      <c r="SBR4" s="2"/>
      <c r="SBS4" s="2"/>
      <c r="SBT4" s="2"/>
      <c r="SBU4" s="2"/>
      <c r="SBV4" s="2"/>
      <c r="SBW4" s="2"/>
      <c r="SBX4" s="2"/>
      <c r="SBY4" s="2"/>
      <c r="SBZ4" s="2"/>
      <c r="SCA4" s="2"/>
      <c r="SCB4" s="2"/>
      <c r="SCC4" s="2"/>
      <c r="SCD4" s="2"/>
      <c r="SCE4" s="2"/>
      <c r="SCF4" s="2"/>
      <c r="SCG4" s="2"/>
      <c r="SCH4" s="2"/>
      <c r="SCI4" s="2"/>
      <c r="SCJ4" s="2"/>
      <c r="SCK4" s="2"/>
      <c r="SCL4" s="2"/>
      <c r="SCM4" s="2"/>
      <c r="SCN4" s="2"/>
      <c r="SCO4" s="2"/>
      <c r="SCP4" s="2"/>
      <c r="SCQ4" s="2"/>
      <c r="SCR4" s="2"/>
      <c r="SCS4" s="2"/>
      <c r="SCT4" s="2"/>
      <c r="SCU4" s="2"/>
      <c r="SCV4" s="2"/>
      <c r="SCW4" s="2"/>
      <c r="SCX4" s="2"/>
      <c r="SCY4" s="2"/>
      <c r="SCZ4" s="2"/>
      <c r="SDA4" s="2"/>
      <c r="SDB4" s="2"/>
      <c r="SDC4" s="2"/>
      <c r="SDD4" s="2"/>
      <c r="SDE4" s="2"/>
      <c r="SDF4" s="2"/>
      <c r="SDG4" s="2"/>
      <c r="SDH4" s="2"/>
      <c r="SDI4" s="2"/>
      <c r="SDJ4" s="2"/>
      <c r="SDK4" s="2"/>
      <c r="SDL4" s="2"/>
      <c r="SDM4" s="2"/>
      <c r="SDN4" s="2"/>
      <c r="SDO4" s="2"/>
      <c r="SDP4" s="2"/>
      <c r="SDQ4" s="2"/>
      <c r="SDR4" s="2"/>
      <c r="SDS4" s="2"/>
      <c r="SDT4" s="2"/>
      <c r="SDU4" s="2"/>
      <c r="SDV4" s="2"/>
      <c r="SDW4" s="2"/>
      <c r="SDX4" s="2"/>
      <c r="SDY4" s="2"/>
      <c r="SDZ4" s="2"/>
      <c r="SEA4" s="2"/>
      <c r="SEB4" s="2"/>
      <c r="SEC4" s="2"/>
      <c r="SED4" s="2"/>
      <c r="SEE4" s="2"/>
      <c r="SEF4" s="2"/>
      <c r="SEG4" s="2"/>
      <c r="SEH4" s="2"/>
      <c r="SEI4" s="2"/>
      <c r="SEJ4" s="2"/>
      <c r="SEK4" s="2"/>
      <c r="SEL4" s="2"/>
      <c r="SEM4" s="2"/>
      <c r="SEN4" s="2"/>
      <c r="SEO4" s="2"/>
      <c r="SEP4" s="2"/>
      <c r="SEQ4" s="2"/>
      <c r="SER4" s="2"/>
      <c r="SES4" s="2"/>
      <c r="SET4" s="2"/>
      <c r="SEU4" s="2"/>
      <c r="SEV4" s="2"/>
      <c r="SEW4" s="2"/>
      <c r="SEX4" s="2"/>
      <c r="SEY4" s="2"/>
      <c r="SEZ4" s="2"/>
      <c r="SFA4" s="2"/>
      <c r="SFB4" s="2"/>
      <c r="SFC4" s="2"/>
      <c r="SFD4" s="2"/>
      <c r="SFE4" s="2"/>
      <c r="SFF4" s="2"/>
      <c r="SFG4" s="2"/>
      <c r="SFH4" s="2"/>
      <c r="SFI4" s="2"/>
      <c r="SFJ4" s="2"/>
      <c r="SFK4" s="2"/>
      <c r="SFL4" s="2"/>
      <c r="SFM4" s="2"/>
      <c r="SFN4" s="2"/>
      <c r="SFO4" s="2"/>
      <c r="SFP4" s="2"/>
      <c r="SFQ4" s="2"/>
      <c r="SFR4" s="2"/>
      <c r="SFS4" s="2"/>
      <c r="SFT4" s="2"/>
      <c r="SFU4" s="2"/>
      <c r="SFV4" s="2"/>
      <c r="SFW4" s="2"/>
      <c r="SFX4" s="2"/>
      <c r="SFY4" s="2"/>
      <c r="SFZ4" s="2"/>
      <c r="SGA4" s="2"/>
      <c r="SGB4" s="2"/>
      <c r="SGC4" s="2"/>
      <c r="SGD4" s="2"/>
      <c r="SGE4" s="2"/>
      <c r="SGF4" s="2"/>
      <c r="SGG4" s="2"/>
      <c r="SGH4" s="2"/>
      <c r="SGI4" s="2"/>
      <c r="SGJ4" s="2"/>
      <c r="SGK4" s="2"/>
      <c r="SGL4" s="2"/>
      <c r="SGM4" s="2"/>
      <c r="SGN4" s="2"/>
      <c r="SGO4" s="2"/>
      <c r="SGP4" s="2"/>
      <c r="SGQ4" s="2"/>
      <c r="SGR4" s="2"/>
      <c r="SGS4" s="2"/>
      <c r="SGT4" s="2"/>
      <c r="SGU4" s="2"/>
      <c r="SGV4" s="2"/>
      <c r="SGW4" s="2"/>
      <c r="SGX4" s="2"/>
      <c r="SGY4" s="2"/>
      <c r="SGZ4" s="2"/>
      <c r="SHA4" s="2"/>
      <c r="SHB4" s="2"/>
      <c r="SHC4" s="2"/>
      <c r="SHD4" s="2"/>
      <c r="SHE4" s="2"/>
      <c r="SHF4" s="2"/>
      <c r="SHG4" s="2"/>
      <c r="SHH4" s="2"/>
      <c r="SHI4" s="2"/>
      <c r="SHJ4" s="2"/>
      <c r="SHK4" s="2"/>
      <c r="SHL4" s="2"/>
      <c r="SHM4" s="2"/>
      <c r="SHN4" s="2"/>
      <c r="SHO4" s="2"/>
      <c r="SHP4" s="2"/>
      <c r="SHQ4" s="2"/>
      <c r="SHR4" s="2"/>
      <c r="SHS4" s="2"/>
      <c r="SHT4" s="2"/>
      <c r="SHU4" s="2"/>
      <c r="SHV4" s="2"/>
      <c r="SHW4" s="2"/>
      <c r="SHX4" s="2"/>
      <c r="SHY4" s="2"/>
      <c r="SHZ4" s="2"/>
      <c r="SIA4" s="2"/>
      <c r="SIB4" s="2"/>
      <c r="SIC4" s="2"/>
      <c r="SID4" s="2"/>
      <c r="SIE4" s="2"/>
      <c r="SIF4" s="2"/>
      <c r="SIG4" s="2"/>
      <c r="SIH4" s="2"/>
      <c r="SII4" s="2"/>
      <c r="SIJ4" s="2"/>
      <c r="SIK4" s="2"/>
      <c r="SIL4" s="2"/>
      <c r="SIM4" s="2"/>
      <c r="SIN4" s="2"/>
      <c r="SIO4" s="2"/>
      <c r="SIP4" s="2"/>
      <c r="SIQ4" s="2"/>
      <c r="SIR4" s="2"/>
      <c r="SIS4" s="2"/>
      <c r="SIT4" s="2"/>
      <c r="SIU4" s="2"/>
      <c r="SIV4" s="2"/>
      <c r="SIW4" s="2"/>
      <c r="SIX4" s="2"/>
      <c r="SIY4" s="2"/>
      <c r="SIZ4" s="2"/>
      <c r="SJA4" s="2"/>
      <c r="SJB4" s="2"/>
      <c r="SJC4" s="2"/>
      <c r="SJD4" s="2"/>
      <c r="SJE4" s="2"/>
      <c r="SJF4" s="2"/>
      <c r="SJG4" s="2"/>
      <c r="SJH4" s="2"/>
      <c r="SJI4" s="2"/>
      <c r="SJJ4" s="2"/>
      <c r="SJK4" s="2"/>
      <c r="SJL4" s="2"/>
      <c r="SJM4" s="2"/>
      <c r="SJN4" s="2"/>
      <c r="SJO4" s="2"/>
      <c r="SJP4" s="2"/>
      <c r="SJQ4" s="2"/>
      <c r="SJR4" s="2"/>
      <c r="SJS4" s="2"/>
      <c r="SJT4" s="2"/>
      <c r="SJU4" s="2"/>
      <c r="SJV4" s="2"/>
      <c r="SJW4" s="2"/>
      <c r="SJX4" s="2"/>
      <c r="SJY4" s="2"/>
      <c r="SJZ4" s="2"/>
      <c r="SKA4" s="2"/>
      <c r="SKB4" s="2"/>
      <c r="SKC4" s="2"/>
      <c r="SKD4" s="2"/>
      <c r="SKE4" s="2"/>
      <c r="SKF4" s="2"/>
      <c r="SKG4" s="2"/>
      <c r="SKH4" s="2"/>
      <c r="SKI4" s="2"/>
      <c r="SKJ4" s="2"/>
      <c r="SKK4" s="2"/>
      <c r="SKL4" s="2"/>
      <c r="SKM4" s="2"/>
      <c r="SKN4" s="2"/>
      <c r="SKO4" s="2"/>
      <c r="SKP4" s="2"/>
      <c r="SKQ4" s="2"/>
      <c r="SKR4" s="2"/>
      <c r="SKS4" s="2"/>
      <c r="SKT4" s="2"/>
      <c r="SKU4" s="2"/>
      <c r="SKV4" s="2"/>
      <c r="SKW4" s="2"/>
      <c r="SKX4" s="2"/>
      <c r="SKY4" s="2"/>
      <c r="SKZ4" s="2"/>
      <c r="SLA4" s="2"/>
      <c r="SLB4" s="2"/>
      <c r="SLC4" s="2"/>
      <c r="SLD4" s="2"/>
      <c r="SLE4" s="2"/>
      <c r="SLF4" s="2"/>
      <c r="SLG4" s="2"/>
      <c r="SLH4" s="2"/>
      <c r="SLI4" s="2"/>
      <c r="SLJ4" s="2"/>
      <c r="SLK4" s="2"/>
      <c r="SLL4" s="2"/>
      <c r="SLM4" s="2"/>
      <c r="SLN4" s="2"/>
      <c r="SLO4" s="2"/>
      <c r="SLP4" s="2"/>
      <c r="SLQ4" s="2"/>
      <c r="SLR4" s="2"/>
      <c r="SLS4" s="2"/>
      <c r="SLT4" s="2"/>
      <c r="SLU4" s="2"/>
      <c r="SLV4" s="2"/>
      <c r="SLW4" s="2"/>
      <c r="SLX4" s="2"/>
      <c r="SLY4" s="2"/>
      <c r="SLZ4" s="2"/>
      <c r="SMA4" s="2"/>
      <c r="SMB4" s="2"/>
      <c r="SMC4" s="2"/>
      <c r="SMD4" s="2"/>
      <c r="SME4" s="2"/>
      <c r="SMF4" s="2"/>
      <c r="SMG4" s="2"/>
      <c r="SMH4" s="2"/>
      <c r="SMI4" s="2"/>
      <c r="SMJ4" s="2"/>
      <c r="SMK4" s="2"/>
      <c r="SML4" s="2"/>
      <c r="SMM4" s="2"/>
      <c r="SMN4" s="2"/>
      <c r="SMO4" s="2"/>
      <c r="SMP4" s="2"/>
      <c r="SMQ4" s="2"/>
      <c r="SMR4" s="2"/>
      <c r="SMS4" s="2"/>
      <c r="SMT4" s="2"/>
      <c r="SMU4" s="2"/>
      <c r="SMV4" s="2"/>
      <c r="SMW4" s="2"/>
      <c r="SMX4" s="2"/>
      <c r="SMY4" s="2"/>
      <c r="SMZ4" s="2"/>
      <c r="SNA4" s="2"/>
      <c r="SNB4" s="2"/>
      <c r="SNC4" s="2"/>
      <c r="SND4" s="2"/>
      <c r="SNE4" s="2"/>
      <c r="SNF4" s="2"/>
      <c r="SNG4" s="2"/>
      <c r="SNH4" s="2"/>
      <c r="SNI4" s="2"/>
      <c r="SNJ4" s="2"/>
      <c r="SNK4" s="2"/>
      <c r="SNL4" s="2"/>
      <c r="SNM4" s="2"/>
      <c r="SNN4" s="2"/>
      <c r="SNO4" s="2"/>
      <c r="SNP4" s="2"/>
      <c r="SNQ4" s="2"/>
      <c r="SNR4" s="2"/>
      <c r="SNS4" s="2"/>
      <c r="SNT4" s="2"/>
      <c r="SNU4" s="2"/>
      <c r="SNV4" s="2"/>
      <c r="SNW4" s="2"/>
      <c r="SNX4" s="2"/>
      <c r="SNY4" s="2"/>
      <c r="SNZ4" s="2"/>
      <c r="SOA4" s="2"/>
      <c r="SOB4" s="2"/>
      <c r="SOC4" s="2"/>
      <c r="SOD4" s="2"/>
      <c r="SOE4" s="2"/>
      <c r="SOF4" s="2"/>
      <c r="SOG4" s="2"/>
      <c r="SOH4" s="2"/>
      <c r="SOI4" s="2"/>
      <c r="SOJ4" s="2"/>
      <c r="SOK4" s="2"/>
      <c r="SOL4" s="2"/>
      <c r="SOM4" s="2"/>
      <c r="SON4" s="2"/>
      <c r="SOO4" s="2"/>
      <c r="SOP4" s="2"/>
      <c r="SOQ4" s="2"/>
      <c r="SOR4" s="2"/>
      <c r="SOS4" s="2"/>
      <c r="SOT4" s="2"/>
      <c r="SOU4" s="2"/>
      <c r="SOV4" s="2"/>
      <c r="SOW4" s="2"/>
      <c r="SOX4" s="2"/>
      <c r="SOY4" s="2"/>
      <c r="SOZ4" s="2"/>
      <c r="SPA4" s="2"/>
      <c r="SPB4" s="2"/>
      <c r="SPC4" s="2"/>
      <c r="SPD4" s="2"/>
      <c r="SPE4" s="2"/>
      <c r="SPF4" s="2"/>
      <c r="SPG4" s="2"/>
      <c r="SPH4" s="2"/>
      <c r="SPI4" s="2"/>
      <c r="SPJ4" s="2"/>
      <c r="SPK4" s="2"/>
      <c r="SPL4" s="2"/>
      <c r="SPM4" s="2"/>
      <c r="SPN4" s="2"/>
      <c r="SPO4" s="2"/>
      <c r="SPP4" s="2"/>
      <c r="SPQ4" s="2"/>
      <c r="SPR4" s="2"/>
      <c r="SPS4" s="2"/>
      <c r="SPT4" s="2"/>
      <c r="SPU4" s="2"/>
      <c r="SPV4" s="2"/>
      <c r="SPW4" s="2"/>
      <c r="SPX4" s="2"/>
      <c r="SPY4" s="2"/>
      <c r="SPZ4" s="2"/>
      <c r="SQA4" s="2"/>
      <c r="SQB4" s="2"/>
      <c r="SQC4" s="2"/>
      <c r="SQD4" s="2"/>
      <c r="SQE4" s="2"/>
      <c r="SQF4" s="2"/>
      <c r="SQG4" s="2"/>
      <c r="SQH4" s="2"/>
      <c r="SQI4" s="2"/>
      <c r="SQJ4" s="2"/>
      <c r="SQK4" s="2"/>
      <c r="SQL4" s="2"/>
      <c r="SQM4" s="2"/>
      <c r="SQN4" s="2"/>
      <c r="SQO4" s="2"/>
      <c r="SQP4" s="2"/>
      <c r="SQQ4" s="2"/>
      <c r="SQR4" s="2"/>
      <c r="SQS4" s="2"/>
      <c r="SQT4" s="2"/>
      <c r="SQU4" s="2"/>
      <c r="SQV4" s="2"/>
      <c r="SQW4" s="2"/>
      <c r="SQX4" s="2"/>
      <c r="SQY4" s="2"/>
      <c r="SQZ4" s="2"/>
      <c r="SRA4" s="2"/>
      <c r="SRB4" s="2"/>
      <c r="SRC4" s="2"/>
      <c r="SRD4" s="2"/>
      <c r="SRE4" s="2"/>
      <c r="SRF4" s="2"/>
      <c r="SRG4" s="2"/>
      <c r="SRH4" s="2"/>
      <c r="SRI4" s="2"/>
      <c r="SRJ4" s="2"/>
      <c r="SRK4" s="2"/>
      <c r="SRL4" s="2"/>
      <c r="SRM4" s="2"/>
      <c r="SRN4" s="2"/>
      <c r="SRO4" s="2"/>
      <c r="SRP4" s="2"/>
      <c r="SRQ4" s="2"/>
      <c r="SRR4" s="2"/>
      <c r="SRS4" s="2"/>
      <c r="SRT4" s="2"/>
      <c r="SRU4" s="2"/>
      <c r="SRV4" s="2"/>
      <c r="SRW4" s="2"/>
      <c r="SRX4" s="2"/>
      <c r="SRY4" s="2"/>
      <c r="SRZ4" s="2"/>
      <c r="SSA4" s="2"/>
      <c r="SSB4" s="2"/>
      <c r="SSC4" s="2"/>
      <c r="SSD4" s="2"/>
      <c r="SSE4" s="2"/>
      <c r="SSF4" s="2"/>
      <c r="SSG4" s="2"/>
      <c r="SSH4" s="2"/>
      <c r="SSI4" s="2"/>
      <c r="SSJ4" s="2"/>
      <c r="SSK4" s="2"/>
      <c r="SSL4" s="2"/>
      <c r="SSM4" s="2"/>
      <c r="SSN4" s="2"/>
      <c r="SSO4" s="2"/>
      <c r="SSP4" s="2"/>
      <c r="SSQ4" s="2"/>
      <c r="SSR4" s="2"/>
      <c r="SSS4" s="2"/>
      <c r="SST4" s="2"/>
      <c r="SSU4" s="2"/>
      <c r="SSV4" s="2"/>
      <c r="SSW4" s="2"/>
      <c r="SSX4" s="2"/>
      <c r="SSY4" s="2"/>
      <c r="SSZ4" s="2"/>
      <c r="STA4" s="2"/>
      <c r="STB4" s="2"/>
      <c r="STC4" s="2"/>
      <c r="STD4" s="2"/>
      <c r="STE4" s="2"/>
      <c r="STF4" s="2"/>
      <c r="STG4" s="2"/>
      <c r="STH4" s="2"/>
      <c r="STI4" s="2"/>
      <c r="STJ4" s="2"/>
      <c r="STK4" s="2"/>
      <c r="STL4" s="2"/>
      <c r="STM4" s="2"/>
      <c r="STN4" s="2"/>
      <c r="STO4" s="2"/>
      <c r="STP4" s="2"/>
      <c r="STQ4" s="2"/>
      <c r="STR4" s="2"/>
      <c r="STS4" s="2"/>
      <c r="STT4" s="2"/>
      <c r="STU4" s="2"/>
      <c r="STV4" s="2"/>
      <c r="STW4" s="2"/>
      <c r="STX4" s="2"/>
      <c r="STY4" s="2"/>
      <c r="STZ4" s="2"/>
      <c r="SUA4" s="2"/>
      <c r="SUB4" s="2"/>
      <c r="SUC4" s="2"/>
      <c r="SUD4" s="2"/>
      <c r="SUE4" s="2"/>
      <c r="SUF4" s="2"/>
      <c r="SUG4" s="2"/>
      <c r="SUH4" s="2"/>
      <c r="SUI4" s="2"/>
      <c r="SUJ4" s="2"/>
      <c r="SUK4" s="2"/>
      <c r="SUL4" s="2"/>
      <c r="SUM4" s="2"/>
      <c r="SUN4" s="2"/>
      <c r="SUO4" s="2"/>
      <c r="SUP4" s="2"/>
      <c r="SUQ4" s="2"/>
      <c r="SUR4" s="2"/>
      <c r="SUS4" s="2"/>
      <c r="SUT4" s="2"/>
      <c r="SUU4" s="2"/>
      <c r="SUV4" s="2"/>
      <c r="SUW4" s="2"/>
      <c r="SUX4" s="2"/>
      <c r="SUY4" s="2"/>
      <c r="SUZ4" s="2"/>
      <c r="SVA4" s="2"/>
      <c r="SVB4" s="2"/>
      <c r="SVC4" s="2"/>
      <c r="SVD4" s="2"/>
      <c r="SVE4" s="2"/>
      <c r="SVF4" s="2"/>
      <c r="SVG4" s="2"/>
      <c r="SVH4" s="2"/>
      <c r="SVI4" s="2"/>
      <c r="SVJ4" s="2"/>
      <c r="SVK4" s="2"/>
      <c r="SVL4" s="2"/>
      <c r="SVM4" s="2"/>
      <c r="SVN4" s="2"/>
      <c r="SVO4" s="2"/>
      <c r="SVP4" s="2"/>
      <c r="SVQ4" s="2"/>
      <c r="SVR4" s="2"/>
      <c r="SVS4" s="2"/>
      <c r="SVT4" s="2"/>
      <c r="SVU4" s="2"/>
      <c r="SVV4" s="2"/>
      <c r="SVW4" s="2"/>
      <c r="SVX4" s="2"/>
      <c r="SVY4" s="2"/>
      <c r="SVZ4" s="2"/>
      <c r="SWA4" s="2"/>
      <c r="SWB4" s="2"/>
      <c r="SWC4" s="2"/>
      <c r="SWD4" s="2"/>
      <c r="SWE4" s="2"/>
      <c r="SWF4" s="2"/>
      <c r="SWG4" s="2"/>
      <c r="SWH4" s="2"/>
      <c r="SWI4" s="2"/>
      <c r="SWJ4" s="2"/>
      <c r="SWK4" s="2"/>
      <c r="SWL4" s="2"/>
      <c r="SWM4" s="2"/>
      <c r="SWN4" s="2"/>
      <c r="SWO4" s="2"/>
      <c r="SWP4" s="2"/>
      <c r="SWQ4" s="2"/>
      <c r="SWR4" s="2"/>
      <c r="SWS4" s="2"/>
      <c r="SWT4" s="2"/>
      <c r="SWU4" s="2"/>
      <c r="SWV4" s="2"/>
      <c r="SWW4" s="2"/>
      <c r="SWX4" s="2"/>
      <c r="SWY4" s="2"/>
      <c r="SWZ4" s="2"/>
      <c r="SXA4" s="2"/>
      <c r="SXB4" s="2"/>
      <c r="SXC4" s="2"/>
      <c r="SXD4" s="2"/>
      <c r="SXE4" s="2"/>
      <c r="SXF4" s="2"/>
      <c r="SXG4" s="2"/>
      <c r="SXH4" s="2"/>
      <c r="SXI4" s="2"/>
      <c r="SXJ4" s="2"/>
      <c r="SXK4" s="2"/>
      <c r="SXL4" s="2"/>
      <c r="SXM4" s="2"/>
      <c r="SXN4" s="2"/>
      <c r="SXO4" s="2"/>
      <c r="SXP4" s="2"/>
      <c r="SXQ4" s="2"/>
      <c r="SXR4" s="2"/>
      <c r="SXS4" s="2"/>
      <c r="SXT4" s="2"/>
      <c r="SXU4" s="2"/>
      <c r="SXV4" s="2"/>
      <c r="SXW4" s="2"/>
      <c r="SXX4" s="2"/>
      <c r="SXY4" s="2"/>
      <c r="SXZ4" s="2"/>
      <c r="SYA4" s="2"/>
      <c r="SYB4" s="2"/>
      <c r="SYC4" s="2"/>
      <c r="SYD4" s="2"/>
      <c r="SYE4" s="2"/>
      <c r="SYF4" s="2"/>
      <c r="SYG4" s="2"/>
      <c r="SYH4" s="2"/>
      <c r="SYI4" s="2"/>
      <c r="SYJ4" s="2"/>
      <c r="SYK4" s="2"/>
      <c r="SYL4" s="2"/>
      <c r="SYM4" s="2"/>
      <c r="SYN4" s="2"/>
      <c r="SYO4" s="2"/>
      <c r="SYP4" s="2"/>
      <c r="SYQ4" s="2"/>
      <c r="SYR4" s="2"/>
      <c r="SYS4" s="2"/>
      <c r="SYT4" s="2"/>
      <c r="SYU4" s="2"/>
      <c r="SYV4" s="2"/>
      <c r="SYW4" s="2"/>
      <c r="SYX4" s="2"/>
      <c r="SYY4" s="2"/>
      <c r="SYZ4" s="2"/>
      <c r="SZA4" s="2"/>
      <c r="SZB4" s="2"/>
      <c r="SZC4" s="2"/>
      <c r="SZD4" s="2"/>
      <c r="SZE4" s="2"/>
      <c r="SZF4" s="2"/>
      <c r="SZG4" s="2"/>
      <c r="SZH4" s="2"/>
      <c r="SZI4" s="2"/>
      <c r="SZJ4" s="2"/>
      <c r="SZK4" s="2"/>
      <c r="SZL4" s="2"/>
      <c r="SZM4" s="2"/>
      <c r="SZN4" s="2"/>
      <c r="SZO4" s="2"/>
      <c r="SZP4" s="2"/>
      <c r="SZQ4" s="2"/>
      <c r="SZR4" s="2"/>
      <c r="SZS4" s="2"/>
      <c r="SZT4" s="2"/>
      <c r="SZU4" s="2"/>
      <c r="SZV4" s="2"/>
      <c r="SZW4" s="2"/>
      <c r="SZX4" s="2"/>
      <c r="SZY4" s="2"/>
      <c r="SZZ4" s="2"/>
      <c r="TAA4" s="2"/>
      <c r="TAB4" s="2"/>
      <c r="TAC4" s="2"/>
      <c r="TAD4" s="2"/>
      <c r="TAE4" s="2"/>
      <c r="TAF4" s="2"/>
      <c r="TAG4" s="2"/>
      <c r="TAH4" s="2"/>
      <c r="TAI4" s="2"/>
      <c r="TAJ4" s="2"/>
      <c r="TAK4" s="2"/>
      <c r="TAL4" s="2"/>
      <c r="TAM4" s="2"/>
      <c r="TAN4" s="2"/>
      <c r="TAO4" s="2"/>
      <c r="TAP4" s="2"/>
      <c r="TAQ4" s="2"/>
      <c r="TAR4" s="2"/>
      <c r="TAS4" s="2"/>
      <c r="TAT4" s="2"/>
      <c r="TAU4" s="2"/>
      <c r="TAV4" s="2"/>
      <c r="TAW4" s="2"/>
      <c r="TAX4" s="2"/>
      <c r="TAY4" s="2"/>
      <c r="TAZ4" s="2"/>
      <c r="TBA4" s="2"/>
      <c r="TBB4" s="2"/>
      <c r="TBC4" s="2"/>
      <c r="TBD4" s="2"/>
      <c r="TBE4" s="2"/>
      <c r="TBF4" s="2"/>
      <c r="TBG4" s="2"/>
      <c r="TBH4" s="2"/>
      <c r="TBI4" s="2"/>
      <c r="TBJ4" s="2"/>
      <c r="TBK4" s="2"/>
      <c r="TBL4" s="2"/>
      <c r="TBM4" s="2"/>
      <c r="TBN4" s="2"/>
      <c r="TBO4" s="2"/>
      <c r="TBP4" s="2"/>
      <c r="TBQ4" s="2"/>
      <c r="TBR4" s="2"/>
      <c r="TBS4" s="2"/>
      <c r="TBT4" s="2"/>
      <c r="TBU4" s="2"/>
      <c r="TBV4" s="2"/>
      <c r="TBW4" s="2"/>
      <c r="TBX4" s="2"/>
      <c r="TBY4" s="2"/>
      <c r="TBZ4" s="2"/>
      <c r="TCA4" s="2"/>
      <c r="TCB4" s="2"/>
      <c r="TCC4" s="2"/>
      <c r="TCD4" s="2"/>
      <c r="TCE4" s="2"/>
      <c r="TCF4" s="2"/>
      <c r="TCG4" s="2"/>
      <c r="TCH4" s="2"/>
      <c r="TCI4" s="2"/>
      <c r="TCJ4" s="2"/>
      <c r="TCK4" s="2"/>
      <c r="TCL4" s="2"/>
      <c r="TCM4" s="2"/>
      <c r="TCN4" s="2"/>
      <c r="TCO4" s="2"/>
      <c r="TCP4" s="2"/>
      <c r="TCQ4" s="2"/>
      <c r="TCR4" s="2"/>
      <c r="TCS4" s="2"/>
      <c r="TCT4" s="2"/>
      <c r="TCU4" s="2"/>
      <c r="TCV4" s="2"/>
      <c r="TCW4" s="2"/>
      <c r="TCX4" s="2"/>
      <c r="TCY4" s="2"/>
      <c r="TCZ4" s="2"/>
      <c r="TDA4" s="2"/>
      <c r="TDB4" s="2"/>
      <c r="TDC4" s="2"/>
      <c r="TDD4" s="2"/>
      <c r="TDE4" s="2"/>
      <c r="TDF4" s="2"/>
      <c r="TDG4" s="2"/>
      <c r="TDH4" s="2"/>
      <c r="TDI4" s="2"/>
      <c r="TDJ4" s="2"/>
      <c r="TDK4" s="2"/>
      <c r="TDL4" s="2"/>
      <c r="TDM4" s="2"/>
      <c r="TDN4" s="2"/>
      <c r="TDO4" s="2"/>
      <c r="TDP4" s="2"/>
      <c r="TDQ4" s="2"/>
      <c r="TDR4" s="2"/>
      <c r="TDS4" s="2"/>
      <c r="TDT4" s="2"/>
      <c r="TDU4" s="2"/>
      <c r="TDV4" s="2"/>
      <c r="TDW4" s="2"/>
      <c r="TDX4" s="2"/>
      <c r="TDY4" s="2"/>
      <c r="TDZ4" s="2"/>
      <c r="TEA4" s="2"/>
      <c r="TEB4" s="2"/>
      <c r="TEC4" s="2"/>
      <c r="TED4" s="2"/>
      <c r="TEE4" s="2"/>
      <c r="TEF4" s="2"/>
      <c r="TEG4" s="2"/>
      <c r="TEH4" s="2"/>
      <c r="TEI4" s="2"/>
      <c r="TEJ4" s="2"/>
      <c r="TEK4" s="2"/>
      <c r="TEL4" s="2"/>
      <c r="TEM4" s="2"/>
      <c r="TEN4" s="2"/>
      <c r="TEO4" s="2"/>
      <c r="TEP4" s="2"/>
      <c r="TEQ4" s="2"/>
      <c r="TER4" s="2"/>
      <c r="TES4" s="2"/>
      <c r="TET4" s="2"/>
      <c r="TEU4" s="2"/>
      <c r="TEV4" s="2"/>
      <c r="TEW4" s="2"/>
      <c r="TEX4" s="2"/>
      <c r="TEY4" s="2"/>
      <c r="TEZ4" s="2"/>
      <c r="TFA4" s="2"/>
      <c r="TFB4" s="2"/>
      <c r="TFC4" s="2"/>
      <c r="TFD4" s="2"/>
      <c r="TFE4" s="2"/>
      <c r="TFF4" s="2"/>
      <c r="TFG4" s="2"/>
      <c r="TFH4" s="2"/>
      <c r="TFI4" s="2"/>
      <c r="TFJ4" s="2"/>
      <c r="TFK4" s="2"/>
      <c r="TFL4" s="2"/>
      <c r="TFM4" s="2"/>
      <c r="TFN4" s="2"/>
      <c r="TFO4" s="2"/>
      <c r="TFP4" s="2"/>
      <c r="TFQ4" s="2"/>
      <c r="TFR4" s="2"/>
      <c r="TFS4" s="2"/>
      <c r="TFT4" s="2"/>
      <c r="TFU4" s="2"/>
      <c r="TFV4" s="2"/>
      <c r="TFW4" s="2"/>
      <c r="TFX4" s="2"/>
      <c r="TFY4" s="2"/>
      <c r="TFZ4" s="2"/>
      <c r="TGA4" s="2"/>
      <c r="TGB4" s="2"/>
      <c r="TGC4" s="2"/>
      <c r="TGD4" s="2"/>
      <c r="TGE4" s="2"/>
      <c r="TGF4" s="2"/>
      <c r="TGG4" s="2"/>
      <c r="TGH4" s="2"/>
      <c r="TGI4" s="2"/>
      <c r="TGJ4" s="2"/>
      <c r="TGK4" s="2"/>
      <c r="TGL4" s="2"/>
      <c r="TGM4" s="2"/>
      <c r="TGN4" s="2"/>
      <c r="TGO4" s="2"/>
      <c r="TGP4" s="2"/>
      <c r="TGQ4" s="2"/>
      <c r="TGR4" s="2"/>
      <c r="TGS4" s="2"/>
      <c r="TGT4" s="2"/>
      <c r="TGU4" s="2"/>
      <c r="TGV4" s="2"/>
      <c r="TGW4" s="2"/>
      <c r="TGX4" s="2"/>
      <c r="TGY4" s="2"/>
      <c r="TGZ4" s="2"/>
      <c r="THA4" s="2"/>
      <c r="THB4" s="2"/>
      <c r="THC4" s="2"/>
      <c r="THD4" s="2"/>
      <c r="THE4" s="2"/>
      <c r="THF4" s="2"/>
      <c r="THG4" s="2"/>
      <c r="THH4" s="2"/>
      <c r="THI4" s="2"/>
      <c r="THJ4" s="2"/>
      <c r="THK4" s="2"/>
      <c r="THL4" s="2"/>
      <c r="THM4" s="2"/>
      <c r="THN4" s="2"/>
      <c r="THO4" s="2"/>
      <c r="THP4" s="2"/>
      <c r="THQ4" s="2"/>
      <c r="THR4" s="2"/>
      <c r="THS4" s="2"/>
      <c r="THT4" s="2"/>
      <c r="THU4" s="2"/>
      <c r="THV4" s="2"/>
      <c r="THW4" s="2"/>
      <c r="THX4" s="2"/>
      <c r="THY4" s="2"/>
      <c r="THZ4" s="2"/>
      <c r="TIA4" s="2"/>
      <c r="TIB4" s="2"/>
      <c r="TIC4" s="2"/>
      <c r="TID4" s="2"/>
      <c r="TIE4" s="2"/>
      <c r="TIF4" s="2"/>
      <c r="TIG4" s="2"/>
      <c r="TIH4" s="2"/>
      <c r="TII4" s="2"/>
      <c r="TIJ4" s="2"/>
      <c r="TIK4" s="2"/>
      <c r="TIL4" s="2"/>
      <c r="TIM4" s="2"/>
      <c r="TIN4" s="2"/>
      <c r="TIO4" s="2"/>
      <c r="TIP4" s="2"/>
      <c r="TIQ4" s="2"/>
      <c r="TIR4" s="2"/>
      <c r="TIS4" s="2"/>
      <c r="TIT4" s="2"/>
      <c r="TIU4" s="2"/>
      <c r="TIV4" s="2"/>
      <c r="TIW4" s="2"/>
      <c r="TIX4" s="2"/>
      <c r="TIY4" s="2"/>
      <c r="TIZ4" s="2"/>
      <c r="TJA4" s="2"/>
      <c r="TJB4" s="2"/>
      <c r="TJC4" s="2"/>
      <c r="TJD4" s="2"/>
      <c r="TJE4" s="2"/>
      <c r="TJF4" s="2"/>
      <c r="TJG4" s="2"/>
      <c r="TJH4" s="2"/>
      <c r="TJI4" s="2"/>
      <c r="TJJ4" s="2"/>
      <c r="TJK4" s="2"/>
      <c r="TJL4" s="2"/>
      <c r="TJM4" s="2"/>
      <c r="TJN4" s="2"/>
      <c r="TJO4" s="2"/>
      <c r="TJP4" s="2"/>
      <c r="TJQ4" s="2"/>
      <c r="TJR4" s="2"/>
      <c r="TJS4" s="2"/>
      <c r="TJT4" s="2"/>
      <c r="TJU4" s="2"/>
      <c r="TJV4" s="2"/>
      <c r="TJW4" s="2"/>
      <c r="TJX4" s="2"/>
      <c r="TJY4" s="2"/>
      <c r="TJZ4" s="2"/>
      <c r="TKA4" s="2"/>
      <c r="TKB4" s="2"/>
      <c r="TKC4" s="2"/>
      <c r="TKD4" s="2"/>
      <c r="TKE4" s="2"/>
      <c r="TKF4" s="2"/>
      <c r="TKG4" s="2"/>
      <c r="TKH4" s="2"/>
      <c r="TKI4" s="2"/>
      <c r="TKJ4" s="2"/>
      <c r="TKK4" s="2"/>
      <c r="TKL4" s="2"/>
      <c r="TKM4" s="2"/>
      <c r="TKN4" s="2"/>
      <c r="TKO4" s="2"/>
      <c r="TKP4" s="2"/>
      <c r="TKQ4" s="2"/>
      <c r="TKR4" s="2"/>
      <c r="TKS4" s="2"/>
      <c r="TKT4" s="2"/>
      <c r="TKU4" s="2"/>
      <c r="TKV4" s="2"/>
      <c r="TKW4" s="2"/>
      <c r="TKX4" s="2"/>
      <c r="TKY4" s="2"/>
      <c r="TKZ4" s="2"/>
      <c r="TLA4" s="2"/>
      <c r="TLB4" s="2"/>
      <c r="TLC4" s="2"/>
      <c r="TLD4" s="2"/>
      <c r="TLE4" s="2"/>
      <c r="TLF4" s="2"/>
      <c r="TLG4" s="2"/>
      <c r="TLH4" s="2"/>
      <c r="TLI4" s="2"/>
      <c r="TLJ4" s="2"/>
      <c r="TLK4" s="2"/>
      <c r="TLL4" s="2"/>
      <c r="TLM4" s="2"/>
      <c r="TLN4" s="2"/>
      <c r="TLO4" s="2"/>
      <c r="TLP4" s="2"/>
      <c r="TLQ4" s="2"/>
      <c r="TLR4" s="2"/>
      <c r="TLS4" s="2"/>
      <c r="TLT4" s="2"/>
      <c r="TLU4" s="2"/>
      <c r="TLV4" s="2"/>
      <c r="TLW4" s="2"/>
      <c r="TLX4" s="2"/>
      <c r="TLY4" s="2"/>
      <c r="TLZ4" s="2"/>
      <c r="TMA4" s="2"/>
      <c r="TMB4" s="2"/>
      <c r="TMC4" s="2"/>
      <c r="TMD4" s="2"/>
      <c r="TME4" s="2"/>
      <c r="TMF4" s="2"/>
      <c r="TMG4" s="2"/>
      <c r="TMH4" s="2"/>
      <c r="TMI4" s="2"/>
      <c r="TMJ4" s="2"/>
      <c r="TMK4" s="2"/>
      <c r="TML4" s="2"/>
      <c r="TMM4" s="2"/>
      <c r="TMN4" s="2"/>
      <c r="TMO4" s="2"/>
      <c r="TMP4" s="2"/>
      <c r="TMQ4" s="2"/>
      <c r="TMR4" s="2"/>
      <c r="TMS4" s="2"/>
      <c r="TMT4" s="2"/>
      <c r="TMU4" s="2"/>
      <c r="TMV4" s="2"/>
      <c r="TMW4" s="2"/>
      <c r="TMX4" s="2"/>
      <c r="TMY4" s="2"/>
      <c r="TMZ4" s="2"/>
      <c r="TNA4" s="2"/>
      <c r="TNB4" s="2"/>
      <c r="TNC4" s="2"/>
      <c r="TND4" s="2"/>
      <c r="TNE4" s="2"/>
      <c r="TNF4" s="2"/>
      <c r="TNG4" s="2"/>
      <c r="TNH4" s="2"/>
      <c r="TNI4" s="2"/>
      <c r="TNJ4" s="2"/>
      <c r="TNK4" s="2"/>
      <c r="TNL4" s="2"/>
      <c r="TNM4" s="2"/>
      <c r="TNN4" s="2"/>
      <c r="TNO4" s="2"/>
      <c r="TNP4" s="2"/>
      <c r="TNQ4" s="2"/>
      <c r="TNR4" s="2"/>
      <c r="TNS4" s="2"/>
      <c r="TNT4" s="2"/>
      <c r="TNU4" s="2"/>
      <c r="TNV4" s="2"/>
      <c r="TNW4" s="2"/>
      <c r="TNX4" s="2"/>
      <c r="TNY4" s="2"/>
      <c r="TNZ4" s="2"/>
      <c r="TOA4" s="2"/>
      <c r="TOB4" s="2"/>
      <c r="TOC4" s="2"/>
      <c r="TOD4" s="2"/>
      <c r="TOE4" s="2"/>
      <c r="TOF4" s="2"/>
      <c r="TOG4" s="2"/>
      <c r="TOH4" s="2"/>
      <c r="TOI4" s="2"/>
      <c r="TOJ4" s="2"/>
      <c r="TOK4" s="2"/>
      <c r="TOL4" s="2"/>
      <c r="TOM4" s="2"/>
      <c r="TON4" s="2"/>
      <c r="TOO4" s="2"/>
      <c r="TOP4" s="2"/>
      <c r="TOQ4" s="2"/>
      <c r="TOR4" s="2"/>
      <c r="TOS4" s="2"/>
      <c r="TOT4" s="2"/>
      <c r="TOU4" s="2"/>
      <c r="TOV4" s="2"/>
      <c r="TOW4" s="2"/>
      <c r="TOX4" s="2"/>
      <c r="TOY4" s="2"/>
      <c r="TOZ4" s="2"/>
      <c r="TPA4" s="2"/>
      <c r="TPB4" s="2"/>
      <c r="TPC4" s="2"/>
      <c r="TPD4" s="2"/>
      <c r="TPE4" s="2"/>
      <c r="TPF4" s="2"/>
      <c r="TPG4" s="2"/>
      <c r="TPH4" s="2"/>
      <c r="TPI4" s="2"/>
      <c r="TPJ4" s="2"/>
      <c r="TPK4" s="2"/>
      <c r="TPL4" s="2"/>
      <c r="TPM4" s="2"/>
      <c r="TPN4" s="2"/>
      <c r="TPO4" s="2"/>
      <c r="TPP4" s="2"/>
      <c r="TPQ4" s="2"/>
      <c r="TPR4" s="2"/>
      <c r="TPS4" s="2"/>
      <c r="TPT4" s="2"/>
      <c r="TPU4" s="2"/>
      <c r="TPV4" s="2"/>
      <c r="TPW4" s="2"/>
      <c r="TPX4" s="2"/>
      <c r="TPY4" s="2"/>
      <c r="TPZ4" s="2"/>
      <c r="TQA4" s="2"/>
      <c r="TQB4" s="2"/>
      <c r="TQC4" s="2"/>
      <c r="TQD4" s="2"/>
      <c r="TQE4" s="2"/>
      <c r="TQF4" s="2"/>
      <c r="TQG4" s="2"/>
      <c r="TQH4" s="2"/>
      <c r="TQI4" s="2"/>
      <c r="TQJ4" s="2"/>
      <c r="TQK4" s="2"/>
      <c r="TQL4" s="2"/>
      <c r="TQM4" s="2"/>
      <c r="TQN4" s="2"/>
      <c r="TQO4" s="2"/>
      <c r="TQP4" s="2"/>
      <c r="TQQ4" s="2"/>
      <c r="TQR4" s="2"/>
      <c r="TQS4" s="2"/>
      <c r="TQT4" s="2"/>
      <c r="TQU4" s="2"/>
      <c r="TQV4" s="2"/>
      <c r="TQW4" s="2"/>
      <c r="TQX4" s="2"/>
      <c r="TQY4" s="2"/>
      <c r="TQZ4" s="2"/>
      <c r="TRA4" s="2"/>
      <c r="TRB4" s="2"/>
      <c r="TRC4" s="2"/>
      <c r="TRD4" s="2"/>
      <c r="TRE4" s="2"/>
      <c r="TRF4" s="2"/>
      <c r="TRG4" s="2"/>
      <c r="TRH4" s="2"/>
      <c r="TRI4" s="2"/>
      <c r="TRJ4" s="2"/>
      <c r="TRK4" s="2"/>
      <c r="TRL4" s="2"/>
      <c r="TRM4" s="2"/>
      <c r="TRN4" s="2"/>
      <c r="TRO4" s="2"/>
      <c r="TRP4" s="2"/>
      <c r="TRQ4" s="2"/>
      <c r="TRR4" s="2"/>
      <c r="TRS4" s="2"/>
      <c r="TRT4" s="2"/>
      <c r="TRU4" s="2"/>
      <c r="TRV4" s="2"/>
      <c r="TRW4" s="2"/>
      <c r="TRX4" s="2"/>
      <c r="TRY4" s="2"/>
      <c r="TRZ4" s="2"/>
      <c r="TSA4" s="2"/>
      <c r="TSB4" s="2"/>
      <c r="TSC4" s="2"/>
      <c r="TSD4" s="2"/>
      <c r="TSE4" s="2"/>
      <c r="TSF4" s="2"/>
      <c r="TSG4" s="2"/>
      <c r="TSH4" s="2"/>
      <c r="TSI4" s="2"/>
      <c r="TSJ4" s="2"/>
      <c r="TSK4" s="2"/>
      <c r="TSL4" s="2"/>
      <c r="TSM4" s="2"/>
      <c r="TSN4" s="2"/>
      <c r="TSO4" s="2"/>
      <c r="TSP4" s="2"/>
      <c r="TSQ4" s="2"/>
      <c r="TSR4" s="2"/>
      <c r="TSS4" s="2"/>
      <c r="TST4" s="2"/>
      <c r="TSU4" s="2"/>
      <c r="TSV4" s="2"/>
      <c r="TSW4" s="2"/>
      <c r="TSX4" s="2"/>
      <c r="TSY4" s="2"/>
      <c r="TSZ4" s="2"/>
      <c r="TTA4" s="2"/>
      <c r="TTB4" s="2"/>
      <c r="TTC4" s="2"/>
      <c r="TTD4" s="2"/>
      <c r="TTE4" s="2"/>
      <c r="TTF4" s="2"/>
      <c r="TTG4" s="2"/>
      <c r="TTH4" s="2"/>
      <c r="TTI4" s="2"/>
      <c r="TTJ4" s="2"/>
      <c r="TTK4" s="2"/>
      <c r="TTL4" s="2"/>
      <c r="TTM4" s="2"/>
      <c r="TTN4" s="2"/>
      <c r="TTO4" s="2"/>
      <c r="TTP4" s="2"/>
      <c r="TTQ4" s="2"/>
      <c r="TTR4" s="2"/>
      <c r="TTS4" s="2"/>
      <c r="TTT4" s="2"/>
      <c r="TTU4" s="2"/>
      <c r="TTV4" s="2"/>
      <c r="TTW4" s="2"/>
      <c r="TTX4" s="2"/>
      <c r="TTY4" s="2"/>
      <c r="TTZ4" s="2"/>
      <c r="TUA4" s="2"/>
      <c r="TUB4" s="2"/>
      <c r="TUC4" s="2"/>
      <c r="TUD4" s="2"/>
      <c r="TUE4" s="2"/>
      <c r="TUF4" s="2"/>
      <c r="TUG4" s="2"/>
      <c r="TUH4" s="2"/>
      <c r="TUI4" s="2"/>
      <c r="TUJ4" s="2"/>
      <c r="TUK4" s="2"/>
      <c r="TUL4" s="2"/>
      <c r="TUM4" s="2"/>
      <c r="TUN4" s="2"/>
      <c r="TUO4" s="2"/>
      <c r="TUP4" s="2"/>
      <c r="TUQ4" s="2"/>
      <c r="TUR4" s="2"/>
      <c r="TUS4" s="2"/>
      <c r="TUT4" s="2"/>
      <c r="TUU4" s="2"/>
      <c r="TUV4" s="2"/>
      <c r="TUW4" s="2"/>
      <c r="TUX4" s="2"/>
      <c r="TUY4" s="2"/>
      <c r="TUZ4" s="2"/>
      <c r="TVA4" s="2"/>
      <c r="TVB4" s="2"/>
      <c r="TVC4" s="2"/>
      <c r="TVD4" s="2"/>
      <c r="TVE4" s="2"/>
      <c r="TVF4" s="2"/>
      <c r="TVG4" s="2"/>
      <c r="TVH4" s="2"/>
      <c r="TVI4" s="2"/>
      <c r="TVJ4" s="2"/>
      <c r="TVK4" s="2"/>
      <c r="TVL4" s="2"/>
      <c r="TVM4" s="2"/>
      <c r="TVN4" s="2"/>
      <c r="TVO4" s="2"/>
      <c r="TVP4" s="2"/>
      <c r="TVQ4" s="2"/>
      <c r="TVR4" s="2"/>
      <c r="TVS4" s="2"/>
      <c r="TVT4" s="2"/>
      <c r="TVU4" s="2"/>
      <c r="TVV4" s="2"/>
      <c r="TVW4" s="2"/>
      <c r="TVX4" s="2"/>
      <c r="TVY4" s="2"/>
      <c r="TVZ4" s="2"/>
      <c r="TWA4" s="2"/>
      <c r="TWB4" s="2"/>
      <c r="TWC4" s="2"/>
      <c r="TWD4" s="2"/>
      <c r="TWE4" s="2"/>
      <c r="TWF4" s="2"/>
      <c r="TWG4" s="2"/>
      <c r="TWH4" s="2"/>
      <c r="TWI4" s="2"/>
      <c r="TWJ4" s="2"/>
      <c r="TWK4" s="2"/>
      <c r="TWL4" s="2"/>
      <c r="TWM4" s="2"/>
      <c r="TWN4" s="2"/>
      <c r="TWO4" s="2"/>
      <c r="TWP4" s="2"/>
      <c r="TWQ4" s="2"/>
      <c r="TWR4" s="2"/>
      <c r="TWS4" s="2"/>
      <c r="TWT4" s="2"/>
      <c r="TWU4" s="2"/>
      <c r="TWV4" s="2"/>
      <c r="TWW4" s="2"/>
      <c r="TWX4" s="2"/>
      <c r="TWY4" s="2"/>
      <c r="TWZ4" s="2"/>
      <c r="TXA4" s="2"/>
      <c r="TXB4" s="2"/>
      <c r="TXC4" s="2"/>
      <c r="TXD4" s="2"/>
      <c r="TXE4" s="2"/>
      <c r="TXF4" s="2"/>
      <c r="TXG4" s="2"/>
      <c r="TXH4" s="2"/>
      <c r="TXI4" s="2"/>
      <c r="TXJ4" s="2"/>
      <c r="TXK4" s="2"/>
      <c r="TXL4" s="2"/>
      <c r="TXM4" s="2"/>
      <c r="TXN4" s="2"/>
      <c r="TXO4" s="2"/>
      <c r="TXP4" s="2"/>
      <c r="TXQ4" s="2"/>
      <c r="TXR4" s="2"/>
      <c r="TXS4" s="2"/>
      <c r="TXT4" s="2"/>
      <c r="TXU4" s="2"/>
      <c r="TXV4" s="2"/>
      <c r="TXW4" s="2"/>
      <c r="TXX4" s="2"/>
      <c r="TXY4" s="2"/>
      <c r="TXZ4" s="2"/>
      <c r="TYA4" s="2"/>
      <c r="TYB4" s="2"/>
      <c r="TYC4" s="2"/>
      <c r="TYD4" s="2"/>
      <c r="TYE4" s="2"/>
      <c r="TYF4" s="2"/>
      <c r="TYG4" s="2"/>
      <c r="TYH4" s="2"/>
      <c r="TYI4" s="2"/>
      <c r="TYJ4" s="2"/>
      <c r="TYK4" s="2"/>
      <c r="TYL4" s="2"/>
      <c r="TYM4" s="2"/>
      <c r="TYN4" s="2"/>
      <c r="TYO4" s="2"/>
      <c r="TYP4" s="2"/>
      <c r="TYQ4" s="2"/>
      <c r="TYR4" s="2"/>
      <c r="TYS4" s="2"/>
      <c r="TYT4" s="2"/>
      <c r="TYU4" s="2"/>
      <c r="TYV4" s="2"/>
      <c r="TYW4" s="2"/>
      <c r="TYX4" s="2"/>
      <c r="TYY4" s="2"/>
      <c r="TYZ4" s="2"/>
      <c r="TZA4" s="2"/>
      <c r="TZB4" s="2"/>
      <c r="TZC4" s="2"/>
      <c r="TZD4" s="2"/>
      <c r="TZE4" s="2"/>
      <c r="TZF4" s="2"/>
      <c r="TZG4" s="2"/>
      <c r="TZH4" s="2"/>
      <c r="TZI4" s="2"/>
      <c r="TZJ4" s="2"/>
      <c r="TZK4" s="2"/>
      <c r="TZL4" s="2"/>
      <c r="TZM4" s="2"/>
      <c r="TZN4" s="2"/>
      <c r="TZO4" s="2"/>
      <c r="TZP4" s="2"/>
      <c r="TZQ4" s="2"/>
      <c r="TZR4" s="2"/>
      <c r="TZS4" s="2"/>
      <c r="TZT4" s="2"/>
      <c r="TZU4" s="2"/>
      <c r="TZV4" s="2"/>
      <c r="TZW4" s="2"/>
      <c r="TZX4" s="2"/>
      <c r="TZY4" s="2"/>
      <c r="TZZ4" s="2"/>
      <c r="UAA4" s="2"/>
      <c r="UAB4" s="2"/>
      <c r="UAC4" s="2"/>
      <c r="UAD4" s="2"/>
      <c r="UAE4" s="2"/>
      <c r="UAF4" s="2"/>
      <c r="UAG4" s="2"/>
      <c r="UAH4" s="2"/>
      <c r="UAI4" s="2"/>
      <c r="UAJ4" s="2"/>
      <c r="UAK4" s="2"/>
      <c r="UAL4" s="2"/>
      <c r="UAM4" s="2"/>
      <c r="UAN4" s="2"/>
      <c r="UAO4" s="2"/>
      <c r="UAP4" s="2"/>
      <c r="UAQ4" s="2"/>
      <c r="UAR4" s="2"/>
      <c r="UAS4" s="2"/>
      <c r="UAT4" s="2"/>
      <c r="UAU4" s="2"/>
      <c r="UAV4" s="2"/>
      <c r="UAW4" s="2"/>
      <c r="UAX4" s="2"/>
      <c r="UAY4" s="2"/>
      <c r="UAZ4" s="2"/>
      <c r="UBA4" s="2"/>
      <c r="UBB4" s="2"/>
      <c r="UBC4" s="2"/>
      <c r="UBD4" s="2"/>
      <c r="UBE4" s="2"/>
      <c r="UBF4" s="2"/>
      <c r="UBG4" s="2"/>
      <c r="UBH4" s="2"/>
      <c r="UBI4" s="2"/>
      <c r="UBJ4" s="2"/>
      <c r="UBK4" s="2"/>
      <c r="UBL4" s="2"/>
      <c r="UBM4" s="2"/>
      <c r="UBN4" s="2"/>
      <c r="UBO4" s="2"/>
      <c r="UBP4" s="2"/>
      <c r="UBQ4" s="2"/>
      <c r="UBR4" s="2"/>
      <c r="UBS4" s="2"/>
      <c r="UBT4" s="2"/>
      <c r="UBU4" s="2"/>
      <c r="UBV4" s="2"/>
      <c r="UBW4" s="2"/>
      <c r="UBX4" s="2"/>
      <c r="UBY4" s="2"/>
      <c r="UBZ4" s="2"/>
      <c r="UCA4" s="2"/>
      <c r="UCB4" s="2"/>
      <c r="UCC4" s="2"/>
      <c r="UCD4" s="2"/>
      <c r="UCE4" s="2"/>
      <c r="UCF4" s="2"/>
      <c r="UCG4" s="2"/>
      <c r="UCH4" s="2"/>
      <c r="UCI4" s="2"/>
      <c r="UCJ4" s="2"/>
      <c r="UCK4" s="2"/>
      <c r="UCL4" s="2"/>
      <c r="UCM4" s="2"/>
      <c r="UCN4" s="2"/>
      <c r="UCO4" s="2"/>
      <c r="UCP4" s="2"/>
      <c r="UCQ4" s="2"/>
      <c r="UCR4" s="2"/>
      <c r="UCS4" s="2"/>
      <c r="UCT4" s="2"/>
      <c r="UCU4" s="2"/>
      <c r="UCV4" s="2"/>
      <c r="UCW4" s="2"/>
      <c r="UCX4" s="2"/>
      <c r="UCY4" s="2"/>
      <c r="UCZ4" s="2"/>
      <c r="UDA4" s="2"/>
      <c r="UDB4" s="2"/>
      <c r="UDC4" s="2"/>
      <c r="UDD4" s="2"/>
      <c r="UDE4" s="2"/>
      <c r="UDF4" s="2"/>
      <c r="UDG4" s="2"/>
      <c r="UDH4" s="2"/>
      <c r="UDI4" s="2"/>
      <c r="UDJ4" s="2"/>
      <c r="UDK4" s="2"/>
      <c r="UDL4" s="2"/>
      <c r="UDM4" s="2"/>
      <c r="UDN4" s="2"/>
      <c r="UDO4" s="2"/>
      <c r="UDP4" s="2"/>
      <c r="UDQ4" s="2"/>
      <c r="UDR4" s="2"/>
      <c r="UDS4" s="2"/>
      <c r="UDT4" s="2"/>
      <c r="UDU4" s="2"/>
      <c r="UDV4" s="2"/>
      <c r="UDW4" s="2"/>
      <c r="UDX4" s="2"/>
      <c r="UDY4" s="2"/>
      <c r="UDZ4" s="2"/>
      <c r="UEA4" s="2"/>
      <c r="UEB4" s="2"/>
      <c r="UEC4" s="2"/>
      <c r="UED4" s="2"/>
      <c r="UEE4" s="2"/>
      <c r="UEF4" s="2"/>
      <c r="UEG4" s="2"/>
      <c r="UEH4" s="2"/>
      <c r="UEI4" s="2"/>
      <c r="UEJ4" s="2"/>
      <c r="UEK4" s="2"/>
      <c r="UEL4" s="2"/>
      <c r="UEM4" s="2"/>
      <c r="UEN4" s="2"/>
      <c r="UEO4" s="2"/>
      <c r="UEP4" s="2"/>
      <c r="UEQ4" s="2"/>
      <c r="UER4" s="2"/>
      <c r="UES4" s="2"/>
      <c r="UET4" s="2"/>
      <c r="UEU4" s="2"/>
      <c r="UEV4" s="2"/>
      <c r="UEW4" s="2"/>
      <c r="UEX4" s="2"/>
      <c r="UEY4" s="2"/>
      <c r="UEZ4" s="2"/>
      <c r="UFA4" s="2"/>
      <c r="UFB4" s="2"/>
      <c r="UFC4" s="2"/>
      <c r="UFD4" s="2"/>
      <c r="UFE4" s="2"/>
      <c r="UFF4" s="2"/>
      <c r="UFG4" s="2"/>
      <c r="UFH4" s="2"/>
      <c r="UFI4" s="2"/>
      <c r="UFJ4" s="2"/>
      <c r="UFK4" s="2"/>
      <c r="UFL4" s="2"/>
      <c r="UFM4" s="2"/>
      <c r="UFN4" s="2"/>
      <c r="UFO4" s="2"/>
      <c r="UFP4" s="2"/>
      <c r="UFQ4" s="2"/>
      <c r="UFR4" s="2"/>
      <c r="UFS4" s="2"/>
      <c r="UFT4" s="2"/>
      <c r="UFU4" s="2"/>
      <c r="UFV4" s="2"/>
      <c r="UFW4" s="2"/>
      <c r="UFX4" s="2"/>
      <c r="UFY4" s="2"/>
      <c r="UFZ4" s="2"/>
      <c r="UGA4" s="2"/>
      <c r="UGB4" s="2"/>
      <c r="UGC4" s="2"/>
      <c r="UGD4" s="2"/>
      <c r="UGE4" s="2"/>
      <c r="UGF4" s="2"/>
      <c r="UGG4" s="2"/>
      <c r="UGH4" s="2"/>
      <c r="UGI4" s="2"/>
      <c r="UGJ4" s="2"/>
      <c r="UGK4" s="2"/>
      <c r="UGL4" s="2"/>
      <c r="UGM4" s="2"/>
      <c r="UGN4" s="2"/>
      <c r="UGO4" s="2"/>
      <c r="UGP4" s="2"/>
      <c r="UGQ4" s="2"/>
      <c r="UGR4" s="2"/>
      <c r="UGS4" s="2"/>
      <c r="UGT4" s="2"/>
      <c r="UGU4" s="2"/>
      <c r="UGV4" s="2"/>
      <c r="UGW4" s="2"/>
      <c r="UGX4" s="2"/>
      <c r="UGY4" s="2"/>
      <c r="UGZ4" s="2"/>
      <c r="UHA4" s="2"/>
      <c r="UHB4" s="2"/>
      <c r="UHC4" s="2"/>
      <c r="UHD4" s="2"/>
      <c r="UHE4" s="2"/>
      <c r="UHF4" s="2"/>
      <c r="UHG4" s="2"/>
      <c r="UHH4" s="2"/>
      <c r="UHI4" s="2"/>
      <c r="UHJ4" s="2"/>
      <c r="UHK4" s="2"/>
      <c r="UHL4" s="2"/>
      <c r="UHM4" s="2"/>
      <c r="UHN4" s="2"/>
      <c r="UHO4" s="2"/>
      <c r="UHP4" s="2"/>
      <c r="UHQ4" s="2"/>
      <c r="UHR4" s="2"/>
      <c r="UHS4" s="2"/>
      <c r="UHT4" s="2"/>
      <c r="UHU4" s="2"/>
      <c r="UHV4" s="2"/>
      <c r="UHW4" s="2"/>
      <c r="UHX4" s="2"/>
      <c r="UHY4" s="2"/>
      <c r="UHZ4" s="2"/>
      <c r="UIA4" s="2"/>
      <c r="UIB4" s="2"/>
      <c r="UIC4" s="2"/>
      <c r="UID4" s="2"/>
      <c r="UIE4" s="2"/>
      <c r="UIF4" s="2"/>
      <c r="UIG4" s="2"/>
      <c r="UIH4" s="2"/>
      <c r="UII4" s="2"/>
      <c r="UIJ4" s="2"/>
      <c r="UIK4" s="2"/>
      <c r="UIL4" s="2"/>
      <c r="UIM4" s="2"/>
      <c r="UIN4" s="2"/>
      <c r="UIO4" s="2"/>
      <c r="UIP4" s="2"/>
      <c r="UIQ4" s="2"/>
      <c r="UIR4" s="2"/>
      <c r="UIS4" s="2"/>
      <c r="UIT4" s="2"/>
      <c r="UIU4" s="2"/>
      <c r="UIV4" s="2"/>
      <c r="UIW4" s="2"/>
      <c r="UIX4" s="2"/>
      <c r="UIY4" s="2"/>
      <c r="UIZ4" s="2"/>
      <c r="UJA4" s="2"/>
      <c r="UJB4" s="2"/>
      <c r="UJC4" s="2"/>
      <c r="UJD4" s="2"/>
      <c r="UJE4" s="2"/>
      <c r="UJF4" s="2"/>
      <c r="UJG4" s="2"/>
      <c r="UJH4" s="2"/>
      <c r="UJI4" s="2"/>
      <c r="UJJ4" s="2"/>
      <c r="UJK4" s="2"/>
      <c r="UJL4" s="2"/>
      <c r="UJM4" s="2"/>
      <c r="UJN4" s="2"/>
      <c r="UJO4" s="2"/>
      <c r="UJP4" s="2"/>
      <c r="UJQ4" s="2"/>
      <c r="UJR4" s="2"/>
      <c r="UJS4" s="2"/>
      <c r="UJT4" s="2"/>
      <c r="UJU4" s="2"/>
      <c r="UJV4" s="2"/>
      <c r="UJW4" s="2"/>
      <c r="UJX4" s="2"/>
      <c r="UJY4" s="2"/>
      <c r="UJZ4" s="2"/>
      <c r="UKA4" s="2"/>
      <c r="UKB4" s="2"/>
      <c r="UKC4" s="2"/>
      <c r="UKD4" s="2"/>
      <c r="UKE4" s="2"/>
      <c r="UKF4" s="2"/>
      <c r="UKG4" s="2"/>
      <c r="UKH4" s="2"/>
      <c r="UKI4" s="2"/>
      <c r="UKJ4" s="2"/>
      <c r="UKK4" s="2"/>
      <c r="UKL4" s="2"/>
      <c r="UKM4" s="2"/>
      <c r="UKN4" s="2"/>
      <c r="UKO4" s="2"/>
      <c r="UKP4" s="2"/>
      <c r="UKQ4" s="2"/>
      <c r="UKR4" s="2"/>
      <c r="UKS4" s="2"/>
      <c r="UKT4" s="2"/>
      <c r="UKU4" s="2"/>
      <c r="UKV4" s="2"/>
      <c r="UKW4" s="2"/>
      <c r="UKX4" s="2"/>
      <c r="UKY4" s="2"/>
      <c r="UKZ4" s="2"/>
      <c r="ULA4" s="2"/>
      <c r="ULB4" s="2"/>
      <c r="ULC4" s="2"/>
      <c r="ULD4" s="2"/>
      <c r="ULE4" s="2"/>
      <c r="ULF4" s="2"/>
      <c r="ULG4" s="2"/>
      <c r="ULH4" s="2"/>
      <c r="ULI4" s="2"/>
      <c r="ULJ4" s="2"/>
      <c r="ULK4" s="2"/>
      <c r="ULL4" s="2"/>
      <c r="ULM4" s="2"/>
      <c r="ULN4" s="2"/>
      <c r="ULO4" s="2"/>
      <c r="ULP4" s="2"/>
      <c r="ULQ4" s="2"/>
      <c r="ULR4" s="2"/>
      <c r="ULS4" s="2"/>
      <c r="ULT4" s="2"/>
      <c r="ULU4" s="2"/>
      <c r="ULV4" s="2"/>
      <c r="ULW4" s="2"/>
      <c r="ULX4" s="2"/>
      <c r="ULY4" s="2"/>
      <c r="ULZ4" s="2"/>
      <c r="UMA4" s="2"/>
      <c r="UMB4" s="2"/>
      <c r="UMC4" s="2"/>
      <c r="UMD4" s="2"/>
      <c r="UME4" s="2"/>
      <c r="UMF4" s="2"/>
      <c r="UMG4" s="2"/>
      <c r="UMH4" s="2"/>
      <c r="UMI4" s="2"/>
      <c r="UMJ4" s="2"/>
      <c r="UMK4" s="2"/>
      <c r="UML4" s="2"/>
      <c r="UMM4" s="2"/>
      <c r="UMN4" s="2"/>
      <c r="UMO4" s="2"/>
      <c r="UMP4" s="2"/>
      <c r="UMQ4" s="2"/>
      <c r="UMR4" s="2"/>
      <c r="UMS4" s="2"/>
      <c r="UMT4" s="2"/>
      <c r="UMU4" s="2"/>
      <c r="UMV4" s="2"/>
      <c r="UMW4" s="2"/>
      <c r="UMX4" s="2"/>
      <c r="UMY4" s="2"/>
      <c r="UMZ4" s="2"/>
      <c r="UNA4" s="2"/>
      <c r="UNB4" s="2"/>
      <c r="UNC4" s="2"/>
      <c r="UND4" s="2"/>
      <c r="UNE4" s="2"/>
      <c r="UNF4" s="2"/>
      <c r="UNG4" s="2"/>
      <c r="UNH4" s="2"/>
      <c r="UNI4" s="2"/>
      <c r="UNJ4" s="2"/>
      <c r="UNK4" s="2"/>
      <c r="UNL4" s="2"/>
      <c r="UNM4" s="2"/>
      <c r="UNN4" s="2"/>
      <c r="UNO4" s="2"/>
      <c r="UNP4" s="2"/>
      <c r="UNQ4" s="2"/>
      <c r="UNR4" s="2"/>
      <c r="UNS4" s="2"/>
      <c r="UNT4" s="2"/>
      <c r="UNU4" s="2"/>
      <c r="UNV4" s="2"/>
      <c r="UNW4" s="2"/>
      <c r="UNX4" s="2"/>
      <c r="UNY4" s="2"/>
      <c r="UNZ4" s="2"/>
      <c r="UOA4" s="2"/>
      <c r="UOB4" s="2"/>
      <c r="UOC4" s="2"/>
      <c r="UOD4" s="2"/>
      <c r="UOE4" s="2"/>
      <c r="UOF4" s="2"/>
      <c r="UOG4" s="2"/>
      <c r="UOH4" s="2"/>
      <c r="UOI4" s="2"/>
      <c r="UOJ4" s="2"/>
      <c r="UOK4" s="2"/>
      <c r="UOL4" s="2"/>
      <c r="UOM4" s="2"/>
      <c r="UON4" s="2"/>
      <c r="UOO4" s="2"/>
      <c r="UOP4" s="2"/>
      <c r="UOQ4" s="2"/>
      <c r="UOR4" s="2"/>
      <c r="UOS4" s="2"/>
      <c r="UOT4" s="2"/>
      <c r="UOU4" s="2"/>
      <c r="UOV4" s="2"/>
      <c r="UOW4" s="2"/>
      <c r="UOX4" s="2"/>
      <c r="UOY4" s="2"/>
      <c r="UOZ4" s="2"/>
      <c r="UPA4" s="2"/>
      <c r="UPB4" s="2"/>
      <c r="UPC4" s="2"/>
      <c r="UPD4" s="2"/>
      <c r="UPE4" s="2"/>
      <c r="UPF4" s="2"/>
      <c r="UPG4" s="2"/>
      <c r="UPH4" s="2"/>
      <c r="UPI4" s="2"/>
      <c r="UPJ4" s="2"/>
      <c r="UPK4" s="2"/>
      <c r="UPL4" s="2"/>
      <c r="UPM4" s="2"/>
      <c r="UPN4" s="2"/>
      <c r="UPO4" s="2"/>
      <c r="UPP4" s="2"/>
      <c r="UPQ4" s="2"/>
      <c r="UPR4" s="2"/>
      <c r="UPS4" s="2"/>
      <c r="UPT4" s="2"/>
      <c r="UPU4" s="2"/>
      <c r="UPV4" s="2"/>
      <c r="UPW4" s="2"/>
      <c r="UPX4" s="2"/>
      <c r="UPY4" s="2"/>
      <c r="UPZ4" s="2"/>
      <c r="UQA4" s="2"/>
      <c r="UQB4" s="2"/>
      <c r="UQC4" s="2"/>
      <c r="UQD4" s="2"/>
      <c r="UQE4" s="2"/>
      <c r="UQF4" s="2"/>
      <c r="UQG4" s="2"/>
      <c r="UQH4" s="2"/>
      <c r="UQI4" s="2"/>
      <c r="UQJ4" s="2"/>
      <c r="UQK4" s="2"/>
      <c r="UQL4" s="2"/>
      <c r="UQM4" s="2"/>
      <c r="UQN4" s="2"/>
      <c r="UQO4" s="2"/>
      <c r="UQP4" s="2"/>
      <c r="UQQ4" s="2"/>
      <c r="UQR4" s="2"/>
      <c r="UQS4" s="2"/>
      <c r="UQT4" s="2"/>
      <c r="UQU4" s="2"/>
      <c r="UQV4" s="2"/>
      <c r="UQW4" s="2"/>
      <c r="UQX4" s="2"/>
      <c r="UQY4" s="2"/>
      <c r="UQZ4" s="2"/>
      <c r="URA4" s="2"/>
      <c r="URB4" s="2"/>
      <c r="URC4" s="2"/>
      <c r="URD4" s="2"/>
      <c r="URE4" s="2"/>
      <c r="URF4" s="2"/>
      <c r="URG4" s="2"/>
      <c r="URH4" s="2"/>
      <c r="URI4" s="2"/>
      <c r="URJ4" s="2"/>
      <c r="URK4" s="2"/>
      <c r="URL4" s="2"/>
      <c r="URM4" s="2"/>
      <c r="URN4" s="2"/>
      <c r="URO4" s="2"/>
      <c r="URP4" s="2"/>
      <c r="URQ4" s="2"/>
      <c r="URR4" s="2"/>
      <c r="URS4" s="2"/>
      <c r="URT4" s="2"/>
      <c r="URU4" s="2"/>
      <c r="URV4" s="2"/>
      <c r="URW4" s="2"/>
      <c r="URX4" s="2"/>
      <c r="URY4" s="2"/>
      <c r="URZ4" s="2"/>
      <c r="USA4" s="2"/>
      <c r="USB4" s="2"/>
      <c r="USC4" s="2"/>
      <c r="USD4" s="2"/>
      <c r="USE4" s="2"/>
      <c r="USF4" s="2"/>
      <c r="USG4" s="2"/>
      <c r="USH4" s="2"/>
      <c r="USI4" s="2"/>
      <c r="USJ4" s="2"/>
      <c r="USK4" s="2"/>
      <c r="USL4" s="2"/>
      <c r="USM4" s="2"/>
      <c r="USN4" s="2"/>
      <c r="USO4" s="2"/>
      <c r="USP4" s="2"/>
      <c r="USQ4" s="2"/>
      <c r="USR4" s="2"/>
      <c r="USS4" s="2"/>
      <c r="UST4" s="2"/>
      <c r="USU4" s="2"/>
      <c r="USV4" s="2"/>
      <c r="USW4" s="2"/>
      <c r="USX4" s="2"/>
      <c r="USY4" s="2"/>
      <c r="USZ4" s="2"/>
      <c r="UTA4" s="2"/>
      <c r="UTB4" s="2"/>
      <c r="UTC4" s="2"/>
      <c r="UTD4" s="2"/>
      <c r="UTE4" s="2"/>
      <c r="UTF4" s="2"/>
      <c r="UTG4" s="2"/>
      <c r="UTH4" s="2"/>
      <c r="UTI4" s="2"/>
      <c r="UTJ4" s="2"/>
      <c r="UTK4" s="2"/>
      <c r="UTL4" s="2"/>
      <c r="UTM4" s="2"/>
      <c r="UTN4" s="2"/>
      <c r="UTO4" s="2"/>
      <c r="UTP4" s="2"/>
      <c r="UTQ4" s="2"/>
      <c r="UTR4" s="2"/>
      <c r="UTS4" s="2"/>
      <c r="UTT4" s="2"/>
      <c r="UTU4" s="2"/>
      <c r="UTV4" s="2"/>
      <c r="UTW4" s="2"/>
      <c r="UTX4" s="2"/>
      <c r="UTY4" s="2"/>
      <c r="UTZ4" s="2"/>
      <c r="UUA4" s="2"/>
      <c r="UUB4" s="2"/>
      <c r="UUC4" s="2"/>
      <c r="UUD4" s="2"/>
      <c r="UUE4" s="2"/>
      <c r="UUF4" s="2"/>
      <c r="UUG4" s="2"/>
      <c r="UUH4" s="2"/>
      <c r="UUI4" s="2"/>
      <c r="UUJ4" s="2"/>
      <c r="UUK4" s="2"/>
      <c r="UUL4" s="2"/>
      <c r="UUM4" s="2"/>
      <c r="UUN4" s="2"/>
      <c r="UUO4" s="2"/>
      <c r="UUP4" s="2"/>
      <c r="UUQ4" s="2"/>
      <c r="UUR4" s="2"/>
      <c r="UUS4" s="2"/>
      <c r="UUT4" s="2"/>
      <c r="UUU4" s="2"/>
      <c r="UUV4" s="2"/>
      <c r="UUW4" s="2"/>
      <c r="UUX4" s="2"/>
      <c r="UUY4" s="2"/>
      <c r="UUZ4" s="2"/>
      <c r="UVA4" s="2"/>
      <c r="UVB4" s="2"/>
      <c r="UVC4" s="2"/>
      <c r="UVD4" s="2"/>
      <c r="UVE4" s="2"/>
      <c r="UVF4" s="2"/>
      <c r="UVG4" s="2"/>
      <c r="UVH4" s="2"/>
      <c r="UVI4" s="2"/>
      <c r="UVJ4" s="2"/>
      <c r="UVK4" s="2"/>
      <c r="UVL4" s="2"/>
      <c r="UVM4" s="2"/>
      <c r="UVN4" s="2"/>
      <c r="UVO4" s="2"/>
      <c r="UVP4" s="2"/>
      <c r="UVQ4" s="2"/>
      <c r="UVR4" s="2"/>
      <c r="UVS4" s="2"/>
      <c r="UVT4" s="2"/>
      <c r="UVU4" s="2"/>
      <c r="UVV4" s="2"/>
      <c r="UVW4" s="2"/>
      <c r="UVX4" s="2"/>
      <c r="UVY4" s="2"/>
      <c r="UVZ4" s="2"/>
      <c r="UWA4" s="2"/>
      <c r="UWB4" s="2"/>
      <c r="UWC4" s="2"/>
      <c r="UWD4" s="2"/>
      <c r="UWE4" s="2"/>
      <c r="UWF4" s="2"/>
      <c r="UWG4" s="2"/>
      <c r="UWH4" s="2"/>
      <c r="UWI4" s="2"/>
      <c r="UWJ4" s="2"/>
      <c r="UWK4" s="2"/>
      <c r="UWL4" s="2"/>
      <c r="UWM4" s="2"/>
      <c r="UWN4" s="2"/>
      <c r="UWO4" s="2"/>
      <c r="UWP4" s="2"/>
      <c r="UWQ4" s="2"/>
      <c r="UWR4" s="2"/>
      <c r="UWS4" s="2"/>
      <c r="UWT4" s="2"/>
      <c r="UWU4" s="2"/>
      <c r="UWV4" s="2"/>
      <c r="UWW4" s="2"/>
      <c r="UWX4" s="2"/>
      <c r="UWY4" s="2"/>
      <c r="UWZ4" s="2"/>
      <c r="UXA4" s="2"/>
      <c r="UXB4" s="2"/>
      <c r="UXC4" s="2"/>
      <c r="UXD4" s="2"/>
      <c r="UXE4" s="2"/>
      <c r="UXF4" s="2"/>
      <c r="UXG4" s="2"/>
      <c r="UXH4" s="2"/>
      <c r="UXI4" s="2"/>
      <c r="UXJ4" s="2"/>
      <c r="UXK4" s="2"/>
      <c r="UXL4" s="2"/>
      <c r="UXM4" s="2"/>
      <c r="UXN4" s="2"/>
      <c r="UXO4" s="2"/>
      <c r="UXP4" s="2"/>
      <c r="UXQ4" s="2"/>
      <c r="UXR4" s="2"/>
      <c r="UXS4" s="2"/>
      <c r="UXT4" s="2"/>
      <c r="UXU4" s="2"/>
      <c r="UXV4" s="2"/>
      <c r="UXW4" s="2"/>
      <c r="UXX4" s="2"/>
      <c r="UXY4" s="2"/>
      <c r="UXZ4" s="2"/>
      <c r="UYA4" s="2"/>
      <c r="UYB4" s="2"/>
      <c r="UYC4" s="2"/>
      <c r="UYD4" s="2"/>
      <c r="UYE4" s="2"/>
      <c r="UYF4" s="2"/>
      <c r="UYG4" s="2"/>
      <c r="UYH4" s="2"/>
      <c r="UYI4" s="2"/>
      <c r="UYJ4" s="2"/>
      <c r="UYK4" s="2"/>
      <c r="UYL4" s="2"/>
      <c r="UYM4" s="2"/>
      <c r="UYN4" s="2"/>
      <c r="UYO4" s="2"/>
      <c r="UYP4" s="2"/>
      <c r="UYQ4" s="2"/>
      <c r="UYR4" s="2"/>
      <c r="UYS4" s="2"/>
      <c r="UYT4" s="2"/>
      <c r="UYU4" s="2"/>
      <c r="UYV4" s="2"/>
      <c r="UYW4" s="2"/>
      <c r="UYX4" s="2"/>
      <c r="UYY4" s="2"/>
      <c r="UYZ4" s="2"/>
      <c r="UZA4" s="2"/>
      <c r="UZB4" s="2"/>
      <c r="UZC4" s="2"/>
      <c r="UZD4" s="2"/>
      <c r="UZE4" s="2"/>
      <c r="UZF4" s="2"/>
      <c r="UZG4" s="2"/>
      <c r="UZH4" s="2"/>
      <c r="UZI4" s="2"/>
      <c r="UZJ4" s="2"/>
      <c r="UZK4" s="2"/>
      <c r="UZL4" s="2"/>
      <c r="UZM4" s="2"/>
      <c r="UZN4" s="2"/>
      <c r="UZO4" s="2"/>
      <c r="UZP4" s="2"/>
      <c r="UZQ4" s="2"/>
      <c r="UZR4" s="2"/>
      <c r="UZS4" s="2"/>
      <c r="UZT4" s="2"/>
      <c r="UZU4" s="2"/>
      <c r="UZV4" s="2"/>
      <c r="UZW4" s="2"/>
      <c r="UZX4" s="2"/>
      <c r="UZY4" s="2"/>
      <c r="UZZ4" s="2"/>
      <c r="VAA4" s="2"/>
      <c r="VAB4" s="2"/>
      <c r="VAC4" s="2"/>
      <c r="VAD4" s="2"/>
      <c r="VAE4" s="2"/>
      <c r="VAF4" s="2"/>
      <c r="VAG4" s="2"/>
      <c r="VAH4" s="2"/>
      <c r="VAI4" s="2"/>
      <c r="VAJ4" s="2"/>
      <c r="VAK4" s="2"/>
      <c r="VAL4" s="2"/>
      <c r="VAM4" s="2"/>
      <c r="VAN4" s="2"/>
      <c r="VAO4" s="2"/>
      <c r="VAP4" s="2"/>
      <c r="VAQ4" s="2"/>
      <c r="VAR4" s="2"/>
      <c r="VAS4" s="2"/>
      <c r="VAT4" s="2"/>
      <c r="VAU4" s="2"/>
      <c r="VAV4" s="2"/>
      <c r="VAW4" s="2"/>
      <c r="VAX4" s="2"/>
      <c r="VAY4" s="2"/>
      <c r="VAZ4" s="2"/>
      <c r="VBA4" s="2"/>
      <c r="VBB4" s="2"/>
      <c r="VBC4" s="2"/>
      <c r="VBD4" s="2"/>
      <c r="VBE4" s="2"/>
      <c r="VBF4" s="2"/>
      <c r="VBG4" s="2"/>
      <c r="VBH4" s="2"/>
      <c r="VBI4" s="2"/>
      <c r="VBJ4" s="2"/>
      <c r="VBK4" s="2"/>
      <c r="VBL4" s="2"/>
      <c r="VBM4" s="2"/>
      <c r="VBN4" s="2"/>
      <c r="VBO4" s="2"/>
      <c r="VBP4" s="2"/>
      <c r="VBQ4" s="2"/>
      <c r="VBR4" s="2"/>
      <c r="VBS4" s="2"/>
      <c r="VBT4" s="2"/>
      <c r="VBU4" s="2"/>
      <c r="VBV4" s="2"/>
      <c r="VBW4" s="2"/>
      <c r="VBX4" s="2"/>
      <c r="VBY4" s="2"/>
      <c r="VBZ4" s="2"/>
      <c r="VCA4" s="2"/>
      <c r="VCB4" s="2"/>
      <c r="VCC4" s="2"/>
      <c r="VCD4" s="2"/>
      <c r="VCE4" s="2"/>
      <c r="VCF4" s="2"/>
      <c r="VCG4" s="2"/>
      <c r="VCH4" s="2"/>
      <c r="VCI4" s="2"/>
      <c r="VCJ4" s="2"/>
      <c r="VCK4" s="2"/>
      <c r="VCL4" s="2"/>
      <c r="VCM4" s="2"/>
      <c r="VCN4" s="2"/>
      <c r="VCO4" s="2"/>
      <c r="VCP4" s="2"/>
      <c r="VCQ4" s="2"/>
      <c r="VCR4" s="2"/>
      <c r="VCS4" s="2"/>
      <c r="VCT4" s="2"/>
      <c r="VCU4" s="2"/>
      <c r="VCV4" s="2"/>
      <c r="VCW4" s="2"/>
      <c r="VCX4" s="2"/>
      <c r="VCY4" s="2"/>
      <c r="VCZ4" s="2"/>
      <c r="VDA4" s="2"/>
      <c r="VDB4" s="2"/>
      <c r="VDC4" s="2"/>
      <c r="VDD4" s="2"/>
      <c r="VDE4" s="2"/>
      <c r="VDF4" s="2"/>
      <c r="VDG4" s="2"/>
      <c r="VDH4" s="2"/>
      <c r="VDI4" s="2"/>
      <c r="VDJ4" s="2"/>
      <c r="VDK4" s="2"/>
      <c r="VDL4" s="2"/>
      <c r="VDM4" s="2"/>
      <c r="VDN4" s="2"/>
      <c r="VDO4" s="2"/>
      <c r="VDP4" s="2"/>
      <c r="VDQ4" s="2"/>
      <c r="VDR4" s="2"/>
      <c r="VDS4" s="2"/>
      <c r="VDT4" s="2"/>
      <c r="VDU4" s="2"/>
      <c r="VDV4" s="2"/>
      <c r="VDW4" s="2"/>
      <c r="VDX4" s="2"/>
      <c r="VDY4" s="2"/>
      <c r="VDZ4" s="2"/>
      <c r="VEA4" s="2"/>
      <c r="VEB4" s="2"/>
      <c r="VEC4" s="2"/>
      <c r="VED4" s="2"/>
      <c r="VEE4" s="2"/>
      <c r="VEF4" s="2"/>
      <c r="VEG4" s="2"/>
      <c r="VEH4" s="2"/>
      <c r="VEI4" s="2"/>
      <c r="VEJ4" s="2"/>
      <c r="VEK4" s="2"/>
      <c r="VEL4" s="2"/>
      <c r="VEM4" s="2"/>
      <c r="VEN4" s="2"/>
      <c r="VEO4" s="2"/>
      <c r="VEP4" s="2"/>
      <c r="VEQ4" s="2"/>
      <c r="VER4" s="2"/>
      <c r="VES4" s="2"/>
      <c r="VET4" s="2"/>
      <c r="VEU4" s="2"/>
      <c r="VEV4" s="2"/>
      <c r="VEW4" s="2"/>
      <c r="VEX4" s="2"/>
      <c r="VEY4" s="2"/>
      <c r="VEZ4" s="2"/>
      <c r="VFA4" s="2"/>
      <c r="VFB4" s="2"/>
      <c r="VFC4" s="2"/>
      <c r="VFD4" s="2"/>
      <c r="VFE4" s="2"/>
      <c r="VFF4" s="2"/>
      <c r="VFG4" s="2"/>
      <c r="VFH4" s="2"/>
      <c r="VFI4" s="2"/>
      <c r="VFJ4" s="2"/>
      <c r="VFK4" s="2"/>
      <c r="VFL4" s="2"/>
      <c r="VFM4" s="2"/>
      <c r="VFN4" s="2"/>
      <c r="VFO4" s="2"/>
      <c r="VFP4" s="2"/>
      <c r="VFQ4" s="2"/>
      <c r="VFR4" s="2"/>
      <c r="VFS4" s="2"/>
      <c r="VFT4" s="2"/>
      <c r="VFU4" s="2"/>
      <c r="VFV4" s="2"/>
      <c r="VFW4" s="2"/>
      <c r="VFX4" s="2"/>
      <c r="VFY4" s="2"/>
      <c r="VFZ4" s="2"/>
      <c r="VGA4" s="2"/>
      <c r="VGB4" s="2"/>
      <c r="VGC4" s="2"/>
      <c r="VGD4" s="2"/>
      <c r="VGE4" s="2"/>
      <c r="VGF4" s="2"/>
      <c r="VGG4" s="2"/>
      <c r="VGH4" s="2"/>
      <c r="VGI4" s="2"/>
      <c r="VGJ4" s="2"/>
      <c r="VGK4" s="2"/>
      <c r="VGL4" s="2"/>
      <c r="VGM4" s="2"/>
      <c r="VGN4" s="2"/>
      <c r="VGO4" s="2"/>
      <c r="VGP4" s="2"/>
      <c r="VGQ4" s="2"/>
      <c r="VGR4" s="2"/>
      <c r="VGS4" s="2"/>
      <c r="VGT4" s="2"/>
      <c r="VGU4" s="2"/>
      <c r="VGV4" s="2"/>
      <c r="VGW4" s="2"/>
      <c r="VGX4" s="2"/>
      <c r="VGY4" s="2"/>
      <c r="VGZ4" s="2"/>
      <c r="VHA4" s="2"/>
      <c r="VHB4" s="2"/>
      <c r="VHC4" s="2"/>
      <c r="VHD4" s="2"/>
      <c r="VHE4" s="2"/>
      <c r="VHF4" s="2"/>
      <c r="VHG4" s="2"/>
      <c r="VHH4" s="2"/>
      <c r="VHI4" s="2"/>
      <c r="VHJ4" s="2"/>
      <c r="VHK4" s="2"/>
      <c r="VHL4" s="2"/>
      <c r="VHM4" s="2"/>
      <c r="VHN4" s="2"/>
      <c r="VHO4" s="2"/>
      <c r="VHP4" s="2"/>
      <c r="VHQ4" s="2"/>
      <c r="VHR4" s="2"/>
      <c r="VHS4" s="2"/>
      <c r="VHT4" s="2"/>
      <c r="VHU4" s="2"/>
      <c r="VHV4" s="2"/>
      <c r="VHW4" s="2"/>
      <c r="VHX4" s="2"/>
      <c r="VHY4" s="2"/>
      <c r="VHZ4" s="2"/>
      <c r="VIA4" s="2"/>
      <c r="VIB4" s="2"/>
      <c r="VIC4" s="2"/>
      <c r="VID4" s="2"/>
      <c r="VIE4" s="2"/>
      <c r="VIF4" s="2"/>
      <c r="VIG4" s="2"/>
      <c r="VIH4" s="2"/>
      <c r="VII4" s="2"/>
      <c r="VIJ4" s="2"/>
      <c r="VIK4" s="2"/>
      <c r="VIL4" s="2"/>
      <c r="VIM4" s="2"/>
      <c r="VIN4" s="2"/>
      <c r="VIO4" s="2"/>
      <c r="VIP4" s="2"/>
      <c r="VIQ4" s="2"/>
      <c r="VIR4" s="2"/>
      <c r="VIS4" s="2"/>
      <c r="VIT4" s="2"/>
      <c r="VIU4" s="2"/>
      <c r="VIV4" s="2"/>
      <c r="VIW4" s="2"/>
      <c r="VIX4" s="2"/>
      <c r="VIY4" s="2"/>
      <c r="VIZ4" s="2"/>
      <c r="VJA4" s="2"/>
      <c r="VJB4" s="2"/>
      <c r="VJC4" s="2"/>
      <c r="VJD4" s="2"/>
      <c r="VJE4" s="2"/>
      <c r="VJF4" s="2"/>
      <c r="VJG4" s="2"/>
      <c r="VJH4" s="2"/>
      <c r="VJI4" s="2"/>
      <c r="VJJ4" s="2"/>
      <c r="VJK4" s="2"/>
      <c r="VJL4" s="2"/>
      <c r="VJM4" s="2"/>
      <c r="VJN4" s="2"/>
      <c r="VJO4" s="2"/>
      <c r="VJP4" s="2"/>
      <c r="VJQ4" s="2"/>
      <c r="VJR4" s="2"/>
      <c r="VJS4" s="2"/>
      <c r="VJT4" s="2"/>
      <c r="VJU4" s="2"/>
      <c r="VJV4" s="2"/>
      <c r="VJW4" s="2"/>
      <c r="VJX4" s="2"/>
      <c r="VJY4" s="2"/>
      <c r="VJZ4" s="2"/>
      <c r="VKA4" s="2"/>
      <c r="VKB4" s="2"/>
      <c r="VKC4" s="2"/>
      <c r="VKD4" s="2"/>
      <c r="VKE4" s="2"/>
      <c r="VKF4" s="2"/>
      <c r="VKG4" s="2"/>
      <c r="VKH4" s="2"/>
      <c r="VKI4" s="2"/>
      <c r="VKJ4" s="2"/>
      <c r="VKK4" s="2"/>
      <c r="VKL4" s="2"/>
      <c r="VKM4" s="2"/>
      <c r="VKN4" s="2"/>
      <c r="VKO4" s="2"/>
      <c r="VKP4" s="2"/>
      <c r="VKQ4" s="2"/>
      <c r="VKR4" s="2"/>
      <c r="VKS4" s="2"/>
      <c r="VKT4" s="2"/>
      <c r="VKU4" s="2"/>
      <c r="VKV4" s="2"/>
      <c r="VKW4" s="2"/>
      <c r="VKX4" s="2"/>
      <c r="VKY4" s="2"/>
      <c r="VKZ4" s="2"/>
      <c r="VLA4" s="2"/>
      <c r="VLB4" s="2"/>
      <c r="VLC4" s="2"/>
      <c r="VLD4" s="2"/>
      <c r="VLE4" s="2"/>
      <c r="VLF4" s="2"/>
      <c r="VLG4" s="2"/>
      <c r="VLH4" s="2"/>
      <c r="VLI4" s="2"/>
      <c r="VLJ4" s="2"/>
      <c r="VLK4" s="2"/>
      <c r="VLL4" s="2"/>
      <c r="VLM4" s="2"/>
      <c r="VLN4" s="2"/>
      <c r="VLO4" s="2"/>
      <c r="VLP4" s="2"/>
      <c r="VLQ4" s="2"/>
      <c r="VLR4" s="2"/>
      <c r="VLS4" s="2"/>
      <c r="VLT4" s="2"/>
      <c r="VLU4" s="2"/>
      <c r="VLV4" s="2"/>
      <c r="VLW4" s="2"/>
      <c r="VLX4" s="2"/>
      <c r="VLY4" s="2"/>
      <c r="VLZ4" s="2"/>
      <c r="VMA4" s="2"/>
      <c r="VMB4" s="2"/>
      <c r="VMC4" s="2"/>
      <c r="VMD4" s="2"/>
      <c r="VME4" s="2"/>
      <c r="VMF4" s="2"/>
      <c r="VMG4" s="2"/>
      <c r="VMH4" s="2"/>
      <c r="VMI4" s="2"/>
      <c r="VMJ4" s="2"/>
      <c r="VMK4" s="2"/>
      <c r="VML4" s="2"/>
      <c r="VMM4" s="2"/>
      <c r="VMN4" s="2"/>
      <c r="VMO4" s="2"/>
      <c r="VMP4" s="2"/>
      <c r="VMQ4" s="2"/>
      <c r="VMR4" s="2"/>
      <c r="VMS4" s="2"/>
      <c r="VMT4" s="2"/>
      <c r="VMU4" s="2"/>
      <c r="VMV4" s="2"/>
      <c r="VMW4" s="2"/>
      <c r="VMX4" s="2"/>
      <c r="VMY4" s="2"/>
      <c r="VMZ4" s="2"/>
      <c r="VNA4" s="2"/>
      <c r="VNB4" s="2"/>
      <c r="VNC4" s="2"/>
      <c r="VND4" s="2"/>
      <c r="VNE4" s="2"/>
      <c r="VNF4" s="2"/>
      <c r="VNG4" s="2"/>
      <c r="VNH4" s="2"/>
      <c r="VNI4" s="2"/>
      <c r="VNJ4" s="2"/>
      <c r="VNK4" s="2"/>
      <c r="VNL4" s="2"/>
      <c r="VNM4" s="2"/>
      <c r="VNN4" s="2"/>
      <c r="VNO4" s="2"/>
      <c r="VNP4" s="2"/>
      <c r="VNQ4" s="2"/>
      <c r="VNR4" s="2"/>
      <c r="VNS4" s="2"/>
      <c r="VNT4" s="2"/>
      <c r="VNU4" s="2"/>
      <c r="VNV4" s="2"/>
      <c r="VNW4" s="2"/>
      <c r="VNX4" s="2"/>
      <c r="VNY4" s="2"/>
      <c r="VNZ4" s="2"/>
      <c r="VOA4" s="2"/>
      <c r="VOB4" s="2"/>
      <c r="VOC4" s="2"/>
      <c r="VOD4" s="2"/>
      <c r="VOE4" s="2"/>
      <c r="VOF4" s="2"/>
      <c r="VOG4" s="2"/>
      <c r="VOH4" s="2"/>
      <c r="VOI4" s="2"/>
      <c r="VOJ4" s="2"/>
      <c r="VOK4" s="2"/>
      <c r="VOL4" s="2"/>
      <c r="VOM4" s="2"/>
      <c r="VON4" s="2"/>
      <c r="VOO4" s="2"/>
      <c r="VOP4" s="2"/>
      <c r="VOQ4" s="2"/>
      <c r="VOR4" s="2"/>
      <c r="VOS4" s="2"/>
      <c r="VOT4" s="2"/>
      <c r="VOU4" s="2"/>
      <c r="VOV4" s="2"/>
      <c r="VOW4" s="2"/>
      <c r="VOX4" s="2"/>
      <c r="VOY4" s="2"/>
      <c r="VOZ4" s="2"/>
      <c r="VPA4" s="2"/>
      <c r="VPB4" s="2"/>
      <c r="VPC4" s="2"/>
      <c r="VPD4" s="2"/>
      <c r="VPE4" s="2"/>
      <c r="VPF4" s="2"/>
      <c r="VPG4" s="2"/>
      <c r="VPH4" s="2"/>
      <c r="VPI4" s="2"/>
      <c r="VPJ4" s="2"/>
      <c r="VPK4" s="2"/>
      <c r="VPL4" s="2"/>
      <c r="VPM4" s="2"/>
      <c r="VPN4" s="2"/>
      <c r="VPO4" s="2"/>
      <c r="VPP4" s="2"/>
      <c r="VPQ4" s="2"/>
      <c r="VPR4" s="2"/>
      <c r="VPS4" s="2"/>
      <c r="VPT4" s="2"/>
      <c r="VPU4" s="2"/>
      <c r="VPV4" s="2"/>
      <c r="VPW4" s="2"/>
      <c r="VPX4" s="2"/>
      <c r="VPY4" s="2"/>
      <c r="VPZ4" s="2"/>
      <c r="VQA4" s="2"/>
      <c r="VQB4" s="2"/>
      <c r="VQC4" s="2"/>
      <c r="VQD4" s="2"/>
      <c r="VQE4" s="2"/>
      <c r="VQF4" s="2"/>
      <c r="VQG4" s="2"/>
      <c r="VQH4" s="2"/>
      <c r="VQI4" s="2"/>
      <c r="VQJ4" s="2"/>
      <c r="VQK4" s="2"/>
      <c r="VQL4" s="2"/>
      <c r="VQM4" s="2"/>
      <c r="VQN4" s="2"/>
      <c r="VQO4" s="2"/>
      <c r="VQP4" s="2"/>
      <c r="VQQ4" s="2"/>
      <c r="VQR4" s="2"/>
      <c r="VQS4" s="2"/>
      <c r="VQT4" s="2"/>
      <c r="VQU4" s="2"/>
      <c r="VQV4" s="2"/>
      <c r="VQW4" s="2"/>
      <c r="VQX4" s="2"/>
      <c r="VQY4" s="2"/>
      <c r="VQZ4" s="2"/>
      <c r="VRA4" s="2"/>
      <c r="VRB4" s="2"/>
      <c r="VRC4" s="2"/>
      <c r="VRD4" s="2"/>
      <c r="VRE4" s="2"/>
      <c r="VRF4" s="2"/>
      <c r="VRG4" s="2"/>
      <c r="VRH4" s="2"/>
      <c r="VRI4" s="2"/>
      <c r="VRJ4" s="2"/>
      <c r="VRK4" s="2"/>
      <c r="VRL4" s="2"/>
      <c r="VRM4" s="2"/>
      <c r="VRN4" s="2"/>
      <c r="VRO4" s="2"/>
      <c r="VRP4" s="2"/>
      <c r="VRQ4" s="2"/>
      <c r="VRR4" s="2"/>
      <c r="VRS4" s="2"/>
      <c r="VRT4" s="2"/>
      <c r="VRU4" s="2"/>
      <c r="VRV4" s="2"/>
      <c r="VRW4" s="2"/>
      <c r="VRX4" s="2"/>
      <c r="VRY4" s="2"/>
      <c r="VRZ4" s="2"/>
      <c r="VSA4" s="2"/>
      <c r="VSB4" s="2"/>
      <c r="VSC4" s="2"/>
      <c r="VSD4" s="2"/>
      <c r="VSE4" s="2"/>
      <c r="VSF4" s="2"/>
      <c r="VSG4" s="2"/>
      <c r="VSH4" s="2"/>
      <c r="VSI4" s="2"/>
      <c r="VSJ4" s="2"/>
      <c r="VSK4" s="2"/>
      <c r="VSL4" s="2"/>
      <c r="VSM4" s="2"/>
      <c r="VSN4" s="2"/>
      <c r="VSO4" s="2"/>
      <c r="VSP4" s="2"/>
      <c r="VSQ4" s="2"/>
      <c r="VSR4" s="2"/>
      <c r="VSS4" s="2"/>
      <c r="VST4" s="2"/>
      <c r="VSU4" s="2"/>
      <c r="VSV4" s="2"/>
      <c r="VSW4" s="2"/>
      <c r="VSX4" s="2"/>
      <c r="VSY4" s="2"/>
      <c r="VSZ4" s="2"/>
      <c r="VTA4" s="2"/>
      <c r="VTB4" s="2"/>
      <c r="VTC4" s="2"/>
      <c r="VTD4" s="2"/>
      <c r="VTE4" s="2"/>
      <c r="VTF4" s="2"/>
      <c r="VTG4" s="2"/>
      <c r="VTH4" s="2"/>
      <c r="VTI4" s="2"/>
      <c r="VTJ4" s="2"/>
      <c r="VTK4" s="2"/>
      <c r="VTL4" s="2"/>
      <c r="VTM4" s="2"/>
      <c r="VTN4" s="2"/>
      <c r="VTO4" s="2"/>
      <c r="VTP4" s="2"/>
      <c r="VTQ4" s="2"/>
      <c r="VTR4" s="2"/>
      <c r="VTS4" s="2"/>
      <c r="VTT4" s="2"/>
      <c r="VTU4" s="2"/>
      <c r="VTV4" s="2"/>
      <c r="VTW4" s="2"/>
      <c r="VTX4" s="2"/>
      <c r="VTY4" s="2"/>
      <c r="VTZ4" s="2"/>
      <c r="VUA4" s="2"/>
      <c r="VUB4" s="2"/>
      <c r="VUC4" s="2"/>
      <c r="VUD4" s="2"/>
      <c r="VUE4" s="2"/>
      <c r="VUF4" s="2"/>
      <c r="VUG4" s="2"/>
      <c r="VUH4" s="2"/>
      <c r="VUI4" s="2"/>
      <c r="VUJ4" s="2"/>
      <c r="VUK4" s="2"/>
      <c r="VUL4" s="2"/>
      <c r="VUM4" s="2"/>
      <c r="VUN4" s="2"/>
      <c r="VUO4" s="2"/>
      <c r="VUP4" s="2"/>
      <c r="VUQ4" s="2"/>
      <c r="VUR4" s="2"/>
      <c r="VUS4" s="2"/>
      <c r="VUT4" s="2"/>
      <c r="VUU4" s="2"/>
      <c r="VUV4" s="2"/>
      <c r="VUW4" s="2"/>
      <c r="VUX4" s="2"/>
      <c r="VUY4" s="2"/>
      <c r="VUZ4" s="2"/>
      <c r="VVA4" s="2"/>
      <c r="VVB4" s="2"/>
      <c r="VVC4" s="2"/>
      <c r="VVD4" s="2"/>
      <c r="VVE4" s="2"/>
      <c r="VVF4" s="2"/>
      <c r="VVG4" s="2"/>
      <c r="VVH4" s="2"/>
      <c r="VVI4" s="2"/>
      <c r="VVJ4" s="2"/>
      <c r="VVK4" s="2"/>
      <c r="VVL4" s="2"/>
      <c r="VVM4" s="2"/>
      <c r="VVN4" s="2"/>
      <c r="VVO4" s="2"/>
      <c r="VVP4" s="2"/>
      <c r="VVQ4" s="2"/>
      <c r="VVR4" s="2"/>
      <c r="VVS4" s="2"/>
      <c r="VVT4" s="2"/>
      <c r="VVU4" s="2"/>
      <c r="VVV4" s="2"/>
      <c r="VVW4" s="2"/>
      <c r="VVX4" s="2"/>
      <c r="VVY4" s="2"/>
      <c r="VVZ4" s="2"/>
      <c r="VWA4" s="2"/>
      <c r="VWB4" s="2"/>
      <c r="VWC4" s="2"/>
      <c r="VWD4" s="2"/>
      <c r="VWE4" s="2"/>
      <c r="VWF4" s="2"/>
      <c r="VWG4" s="2"/>
      <c r="VWH4" s="2"/>
      <c r="VWI4" s="2"/>
      <c r="VWJ4" s="2"/>
      <c r="VWK4" s="2"/>
      <c r="VWL4" s="2"/>
      <c r="VWM4" s="2"/>
      <c r="VWN4" s="2"/>
      <c r="VWO4" s="2"/>
      <c r="VWP4" s="2"/>
      <c r="VWQ4" s="2"/>
      <c r="VWR4" s="2"/>
      <c r="VWS4" s="2"/>
      <c r="VWT4" s="2"/>
      <c r="VWU4" s="2"/>
      <c r="VWV4" s="2"/>
      <c r="VWW4" s="2"/>
      <c r="VWX4" s="2"/>
      <c r="VWY4" s="2"/>
      <c r="VWZ4" s="2"/>
      <c r="VXA4" s="2"/>
      <c r="VXB4" s="2"/>
      <c r="VXC4" s="2"/>
      <c r="VXD4" s="2"/>
      <c r="VXE4" s="2"/>
      <c r="VXF4" s="2"/>
      <c r="VXG4" s="2"/>
      <c r="VXH4" s="2"/>
      <c r="VXI4" s="2"/>
      <c r="VXJ4" s="2"/>
      <c r="VXK4" s="2"/>
      <c r="VXL4" s="2"/>
      <c r="VXM4" s="2"/>
      <c r="VXN4" s="2"/>
      <c r="VXO4" s="2"/>
      <c r="VXP4" s="2"/>
      <c r="VXQ4" s="2"/>
      <c r="VXR4" s="2"/>
      <c r="VXS4" s="2"/>
      <c r="VXT4" s="2"/>
      <c r="VXU4" s="2"/>
      <c r="VXV4" s="2"/>
      <c r="VXW4" s="2"/>
      <c r="VXX4" s="2"/>
      <c r="VXY4" s="2"/>
      <c r="VXZ4" s="2"/>
      <c r="VYA4" s="2"/>
      <c r="VYB4" s="2"/>
      <c r="VYC4" s="2"/>
      <c r="VYD4" s="2"/>
      <c r="VYE4" s="2"/>
      <c r="VYF4" s="2"/>
      <c r="VYG4" s="2"/>
      <c r="VYH4" s="2"/>
      <c r="VYI4" s="2"/>
      <c r="VYJ4" s="2"/>
      <c r="VYK4" s="2"/>
      <c r="VYL4" s="2"/>
      <c r="VYM4" s="2"/>
      <c r="VYN4" s="2"/>
      <c r="VYO4" s="2"/>
      <c r="VYP4" s="2"/>
      <c r="VYQ4" s="2"/>
      <c r="VYR4" s="2"/>
      <c r="VYS4" s="2"/>
      <c r="VYT4" s="2"/>
      <c r="VYU4" s="2"/>
      <c r="VYV4" s="2"/>
      <c r="VYW4" s="2"/>
      <c r="VYX4" s="2"/>
      <c r="VYY4" s="2"/>
      <c r="VYZ4" s="2"/>
      <c r="VZA4" s="2"/>
      <c r="VZB4" s="2"/>
      <c r="VZC4" s="2"/>
      <c r="VZD4" s="2"/>
      <c r="VZE4" s="2"/>
      <c r="VZF4" s="2"/>
      <c r="VZG4" s="2"/>
      <c r="VZH4" s="2"/>
      <c r="VZI4" s="2"/>
      <c r="VZJ4" s="2"/>
      <c r="VZK4" s="2"/>
      <c r="VZL4" s="2"/>
      <c r="VZM4" s="2"/>
      <c r="VZN4" s="2"/>
      <c r="VZO4" s="2"/>
      <c r="VZP4" s="2"/>
      <c r="VZQ4" s="2"/>
      <c r="VZR4" s="2"/>
      <c r="VZS4" s="2"/>
      <c r="VZT4" s="2"/>
      <c r="VZU4" s="2"/>
      <c r="VZV4" s="2"/>
      <c r="VZW4" s="2"/>
      <c r="VZX4" s="2"/>
      <c r="VZY4" s="2"/>
      <c r="VZZ4" s="2"/>
      <c r="WAA4" s="2"/>
      <c r="WAB4" s="2"/>
      <c r="WAC4" s="2"/>
      <c r="WAD4" s="2"/>
      <c r="WAE4" s="2"/>
      <c r="WAF4" s="2"/>
      <c r="WAG4" s="2"/>
      <c r="WAH4" s="2"/>
      <c r="WAI4" s="2"/>
      <c r="WAJ4" s="2"/>
      <c r="WAK4" s="2"/>
      <c r="WAL4" s="2"/>
      <c r="WAM4" s="2"/>
      <c r="WAN4" s="2"/>
      <c r="WAO4" s="2"/>
      <c r="WAP4" s="2"/>
      <c r="WAQ4" s="2"/>
      <c r="WAR4" s="2"/>
      <c r="WAS4" s="2"/>
      <c r="WAT4" s="2"/>
      <c r="WAU4" s="2"/>
      <c r="WAV4" s="2"/>
      <c r="WAW4" s="2"/>
      <c r="WAX4" s="2"/>
      <c r="WAY4" s="2"/>
      <c r="WAZ4" s="2"/>
      <c r="WBA4" s="2"/>
      <c r="WBB4" s="2"/>
      <c r="WBC4" s="2"/>
      <c r="WBD4" s="2"/>
      <c r="WBE4" s="2"/>
      <c r="WBF4" s="2"/>
      <c r="WBG4" s="2"/>
      <c r="WBH4" s="2"/>
      <c r="WBI4" s="2"/>
      <c r="WBJ4" s="2"/>
      <c r="WBK4" s="2"/>
      <c r="WBL4" s="2"/>
      <c r="WBM4" s="2"/>
      <c r="WBN4" s="2"/>
      <c r="WBO4" s="2"/>
      <c r="WBP4" s="2"/>
      <c r="WBQ4" s="2"/>
      <c r="WBR4" s="2"/>
      <c r="WBS4" s="2"/>
      <c r="WBT4" s="2"/>
      <c r="WBU4" s="2"/>
      <c r="WBV4" s="2"/>
      <c r="WBW4" s="2"/>
      <c r="WBX4" s="2"/>
      <c r="WBY4" s="2"/>
      <c r="WBZ4" s="2"/>
      <c r="WCA4" s="2"/>
      <c r="WCB4" s="2"/>
      <c r="WCC4" s="2"/>
      <c r="WCD4" s="2"/>
      <c r="WCE4" s="2"/>
      <c r="WCF4" s="2"/>
      <c r="WCG4" s="2"/>
      <c r="WCH4" s="2"/>
      <c r="WCI4" s="2"/>
      <c r="WCJ4" s="2"/>
      <c r="WCK4" s="2"/>
      <c r="WCL4" s="2"/>
      <c r="WCM4" s="2"/>
      <c r="WCN4" s="2"/>
      <c r="WCO4" s="2"/>
      <c r="WCP4" s="2"/>
      <c r="WCQ4" s="2"/>
      <c r="WCR4" s="2"/>
      <c r="WCS4" s="2"/>
      <c r="WCT4" s="2"/>
      <c r="WCU4" s="2"/>
      <c r="WCV4" s="2"/>
      <c r="WCW4" s="2"/>
      <c r="WCX4" s="2"/>
      <c r="WCY4" s="2"/>
      <c r="WCZ4" s="2"/>
      <c r="WDA4" s="2"/>
      <c r="WDB4" s="2"/>
      <c r="WDC4" s="2"/>
      <c r="WDD4" s="2"/>
      <c r="WDE4" s="2"/>
      <c r="WDF4" s="2"/>
      <c r="WDG4" s="2"/>
      <c r="WDH4" s="2"/>
      <c r="WDI4" s="2"/>
      <c r="WDJ4" s="2"/>
      <c r="WDK4" s="2"/>
      <c r="WDL4" s="2"/>
      <c r="WDM4" s="2"/>
      <c r="WDN4" s="2"/>
      <c r="WDO4" s="2"/>
      <c r="WDP4" s="2"/>
      <c r="WDQ4" s="2"/>
      <c r="WDR4" s="2"/>
      <c r="WDS4" s="2"/>
      <c r="WDT4" s="2"/>
      <c r="WDU4" s="2"/>
      <c r="WDV4" s="2"/>
      <c r="WDW4" s="2"/>
      <c r="WDX4" s="2"/>
      <c r="WDY4" s="2"/>
      <c r="WDZ4" s="2"/>
      <c r="WEA4" s="2"/>
      <c r="WEB4" s="2"/>
      <c r="WEC4" s="2"/>
      <c r="WED4" s="2"/>
      <c r="WEE4" s="2"/>
      <c r="WEF4" s="2"/>
      <c r="WEG4" s="2"/>
      <c r="WEH4" s="2"/>
      <c r="WEI4" s="2"/>
      <c r="WEJ4" s="2"/>
      <c r="WEK4" s="2"/>
      <c r="WEL4" s="2"/>
      <c r="WEM4" s="2"/>
      <c r="WEN4" s="2"/>
      <c r="WEO4" s="2"/>
      <c r="WEP4" s="2"/>
      <c r="WEQ4" s="2"/>
      <c r="WER4" s="2"/>
      <c r="WES4" s="2"/>
      <c r="WET4" s="2"/>
      <c r="WEU4" s="2"/>
      <c r="WEV4" s="2"/>
      <c r="WEW4" s="2"/>
      <c r="WEX4" s="2"/>
      <c r="WEY4" s="2"/>
      <c r="WEZ4" s="2"/>
      <c r="WFA4" s="2"/>
      <c r="WFB4" s="2"/>
      <c r="WFC4" s="2"/>
      <c r="WFD4" s="2"/>
      <c r="WFE4" s="2"/>
      <c r="WFF4" s="2"/>
      <c r="WFG4" s="2"/>
      <c r="WFH4" s="2"/>
      <c r="WFI4" s="2"/>
      <c r="WFJ4" s="2"/>
      <c r="WFK4" s="2"/>
      <c r="WFL4" s="2"/>
      <c r="WFM4" s="2"/>
      <c r="WFN4" s="2"/>
      <c r="WFO4" s="2"/>
      <c r="WFP4" s="2"/>
      <c r="WFQ4" s="2"/>
      <c r="WFR4" s="2"/>
      <c r="WFS4" s="2"/>
      <c r="WFT4" s="2"/>
      <c r="WFU4" s="2"/>
      <c r="WFV4" s="2"/>
      <c r="WFW4" s="2"/>
      <c r="WFX4" s="2"/>
      <c r="WFY4" s="2"/>
      <c r="WFZ4" s="2"/>
      <c r="WGA4" s="2"/>
      <c r="WGB4" s="2"/>
      <c r="WGC4" s="2"/>
      <c r="WGD4" s="2"/>
      <c r="WGE4" s="2"/>
      <c r="WGF4" s="2"/>
      <c r="WGG4" s="2"/>
      <c r="WGH4" s="2"/>
      <c r="WGI4" s="2"/>
      <c r="WGJ4" s="2"/>
      <c r="WGK4" s="2"/>
      <c r="WGL4" s="2"/>
      <c r="WGM4" s="2"/>
      <c r="WGN4" s="2"/>
      <c r="WGO4" s="2"/>
      <c r="WGP4" s="2"/>
      <c r="WGQ4" s="2"/>
      <c r="WGR4" s="2"/>
      <c r="WGS4" s="2"/>
      <c r="WGT4" s="2"/>
      <c r="WGU4" s="2"/>
      <c r="WGV4" s="2"/>
      <c r="WGW4" s="2"/>
      <c r="WGX4" s="2"/>
      <c r="WGY4" s="2"/>
      <c r="WGZ4" s="2"/>
      <c r="WHA4" s="2"/>
      <c r="WHB4" s="2"/>
      <c r="WHC4" s="2"/>
      <c r="WHD4" s="2"/>
      <c r="WHE4" s="2"/>
      <c r="WHF4" s="2"/>
      <c r="WHG4" s="2"/>
      <c r="WHH4" s="2"/>
      <c r="WHI4" s="2"/>
      <c r="WHJ4" s="2"/>
      <c r="WHK4" s="2"/>
      <c r="WHL4" s="2"/>
      <c r="WHM4" s="2"/>
      <c r="WHN4" s="2"/>
      <c r="WHO4" s="2"/>
      <c r="WHP4" s="2"/>
      <c r="WHQ4" s="2"/>
      <c r="WHR4" s="2"/>
      <c r="WHS4" s="2"/>
      <c r="WHT4" s="2"/>
      <c r="WHU4" s="2"/>
      <c r="WHV4" s="2"/>
      <c r="WHW4" s="2"/>
      <c r="WHX4" s="2"/>
      <c r="WHY4" s="2"/>
      <c r="WHZ4" s="2"/>
      <c r="WIA4" s="2"/>
      <c r="WIB4" s="2"/>
      <c r="WIC4" s="2"/>
      <c r="WID4" s="2"/>
      <c r="WIE4" s="2"/>
      <c r="WIF4" s="2"/>
      <c r="WIG4" s="2"/>
      <c r="WIH4" s="2"/>
      <c r="WII4" s="2"/>
      <c r="WIJ4" s="2"/>
      <c r="WIK4" s="2"/>
      <c r="WIL4" s="2"/>
      <c r="WIM4" s="2"/>
      <c r="WIN4" s="2"/>
      <c r="WIO4" s="2"/>
      <c r="WIP4" s="2"/>
      <c r="WIQ4" s="2"/>
      <c r="WIR4" s="2"/>
      <c r="WIS4" s="2"/>
      <c r="WIT4" s="2"/>
      <c r="WIU4" s="2"/>
      <c r="WIV4" s="2"/>
      <c r="WIW4" s="2"/>
      <c r="WIX4" s="2"/>
      <c r="WIY4" s="2"/>
      <c r="WIZ4" s="2"/>
      <c r="WJA4" s="2"/>
      <c r="WJB4" s="2"/>
      <c r="WJC4" s="2"/>
      <c r="WJD4" s="2"/>
      <c r="WJE4" s="2"/>
      <c r="WJF4" s="2"/>
      <c r="WJG4" s="2"/>
      <c r="WJH4" s="2"/>
      <c r="WJI4" s="2"/>
      <c r="WJJ4" s="2"/>
      <c r="WJK4" s="2"/>
      <c r="WJL4" s="2"/>
      <c r="WJM4" s="2"/>
      <c r="WJN4" s="2"/>
      <c r="WJO4" s="2"/>
      <c r="WJP4" s="2"/>
      <c r="WJQ4" s="2"/>
      <c r="WJR4" s="2"/>
      <c r="WJS4" s="2"/>
      <c r="WJT4" s="2"/>
      <c r="WJU4" s="2"/>
      <c r="WJV4" s="2"/>
      <c r="WJW4" s="2"/>
      <c r="WJX4" s="2"/>
      <c r="WJY4" s="2"/>
      <c r="WJZ4" s="2"/>
      <c r="WKA4" s="2"/>
      <c r="WKB4" s="2"/>
      <c r="WKC4" s="2"/>
      <c r="WKD4" s="2"/>
      <c r="WKE4" s="2"/>
      <c r="WKF4" s="2"/>
      <c r="WKG4" s="2"/>
      <c r="WKH4" s="2"/>
      <c r="WKI4" s="2"/>
      <c r="WKJ4" s="2"/>
      <c r="WKK4" s="2"/>
      <c r="WKL4" s="2"/>
      <c r="WKM4" s="2"/>
      <c r="WKN4" s="2"/>
      <c r="WKO4" s="2"/>
      <c r="WKP4" s="2"/>
      <c r="WKQ4" s="2"/>
      <c r="WKR4" s="2"/>
      <c r="WKS4" s="2"/>
      <c r="WKT4" s="2"/>
      <c r="WKU4" s="2"/>
      <c r="WKV4" s="2"/>
      <c r="WKW4" s="2"/>
      <c r="WKX4" s="2"/>
      <c r="WKY4" s="2"/>
      <c r="WKZ4" s="2"/>
      <c r="WLA4" s="2"/>
      <c r="WLB4" s="2"/>
      <c r="WLC4" s="2"/>
      <c r="WLD4" s="2"/>
      <c r="WLE4" s="2"/>
      <c r="WLF4" s="2"/>
      <c r="WLG4" s="2"/>
      <c r="WLH4" s="2"/>
      <c r="WLI4" s="2"/>
      <c r="WLJ4" s="2"/>
      <c r="WLK4" s="2"/>
      <c r="WLL4" s="2"/>
      <c r="WLM4" s="2"/>
      <c r="WLN4" s="2"/>
      <c r="WLO4" s="2"/>
      <c r="WLP4" s="2"/>
      <c r="WLQ4" s="2"/>
      <c r="WLR4" s="2"/>
      <c r="WLS4" s="2"/>
      <c r="WLT4" s="2"/>
      <c r="WLU4" s="2"/>
      <c r="WLV4" s="2"/>
      <c r="WLW4" s="2"/>
      <c r="WLX4" s="2"/>
      <c r="WLY4" s="2"/>
      <c r="WLZ4" s="2"/>
      <c r="WMA4" s="2"/>
      <c r="WMB4" s="2"/>
      <c r="WMC4" s="2"/>
      <c r="WMD4" s="2"/>
      <c r="WME4" s="2"/>
      <c r="WMF4" s="2"/>
      <c r="WMG4" s="2"/>
      <c r="WMH4" s="2"/>
      <c r="WMI4" s="2"/>
      <c r="WMJ4" s="2"/>
      <c r="WMK4" s="2"/>
      <c r="WML4" s="2"/>
      <c r="WMM4" s="2"/>
      <c r="WMN4" s="2"/>
      <c r="WMO4" s="2"/>
      <c r="WMP4" s="2"/>
      <c r="WMQ4" s="2"/>
      <c r="WMR4" s="2"/>
      <c r="WMS4" s="2"/>
      <c r="WMT4" s="2"/>
      <c r="WMU4" s="2"/>
      <c r="WMV4" s="2"/>
      <c r="WMW4" s="2"/>
      <c r="WMX4" s="2"/>
      <c r="WMY4" s="2"/>
      <c r="WMZ4" s="2"/>
      <c r="WNA4" s="2"/>
      <c r="WNB4" s="2"/>
      <c r="WNC4" s="2"/>
      <c r="WND4" s="2"/>
      <c r="WNE4" s="2"/>
      <c r="WNF4" s="2"/>
      <c r="WNG4" s="2"/>
      <c r="WNH4" s="2"/>
      <c r="WNI4" s="2"/>
      <c r="WNJ4" s="2"/>
      <c r="WNK4" s="2"/>
      <c r="WNL4" s="2"/>
      <c r="WNM4" s="2"/>
      <c r="WNN4" s="2"/>
      <c r="WNO4" s="2"/>
      <c r="WNP4" s="2"/>
      <c r="WNQ4" s="2"/>
      <c r="WNR4" s="2"/>
      <c r="WNS4" s="2"/>
      <c r="WNT4" s="2"/>
      <c r="WNU4" s="2"/>
      <c r="WNV4" s="2"/>
      <c r="WNW4" s="2"/>
      <c r="WNX4" s="2"/>
      <c r="WNY4" s="2"/>
      <c r="WNZ4" s="2"/>
      <c r="WOA4" s="2"/>
      <c r="WOB4" s="2"/>
      <c r="WOC4" s="2"/>
      <c r="WOD4" s="2"/>
      <c r="WOE4" s="2"/>
      <c r="WOF4" s="2"/>
      <c r="WOG4" s="2"/>
      <c r="WOH4" s="2"/>
      <c r="WOI4" s="2"/>
      <c r="WOJ4" s="2"/>
      <c r="WOK4" s="2"/>
      <c r="WOL4" s="2"/>
      <c r="WOM4" s="2"/>
      <c r="WON4" s="2"/>
      <c r="WOO4" s="2"/>
      <c r="WOP4" s="2"/>
      <c r="WOQ4" s="2"/>
      <c r="WOR4" s="2"/>
      <c r="WOS4" s="2"/>
      <c r="WOT4" s="2"/>
      <c r="WOU4" s="2"/>
      <c r="WOV4" s="2"/>
      <c r="WOW4" s="2"/>
      <c r="WOX4" s="2"/>
      <c r="WOY4" s="2"/>
      <c r="WOZ4" s="2"/>
      <c r="WPA4" s="2"/>
      <c r="WPB4" s="2"/>
      <c r="WPC4" s="2"/>
      <c r="WPD4" s="2"/>
      <c r="WPE4" s="2"/>
      <c r="WPF4" s="2"/>
      <c r="WPG4" s="2"/>
      <c r="WPH4" s="2"/>
      <c r="WPI4" s="2"/>
      <c r="WPJ4" s="2"/>
      <c r="WPK4" s="2"/>
      <c r="WPL4" s="2"/>
      <c r="WPM4" s="2"/>
      <c r="WPN4" s="2"/>
      <c r="WPO4" s="2"/>
      <c r="WPP4" s="2"/>
      <c r="WPQ4" s="2"/>
      <c r="WPR4" s="2"/>
      <c r="WPS4" s="2"/>
      <c r="WPT4" s="2"/>
      <c r="WPU4" s="2"/>
      <c r="WPV4" s="2"/>
      <c r="WPW4" s="2"/>
      <c r="WPX4" s="2"/>
      <c r="WPY4" s="2"/>
      <c r="WPZ4" s="2"/>
      <c r="WQA4" s="2"/>
      <c r="WQB4" s="2"/>
      <c r="WQC4" s="2"/>
      <c r="WQD4" s="2"/>
      <c r="WQE4" s="2"/>
      <c r="WQF4" s="2"/>
      <c r="WQG4" s="2"/>
      <c r="WQH4" s="2"/>
      <c r="WQI4" s="2"/>
      <c r="WQJ4" s="2"/>
      <c r="WQK4" s="2"/>
      <c r="WQL4" s="2"/>
      <c r="WQM4" s="2"/>
      <c r="WQN4" s="2"/>
      <c r="WQO4" s="2"/>
      <c r="WQP4" s="2"/>
      <c r="WQQ4" s="2"/>
      <c r="WQR4" s="2"/>
      <c r="WQS4" s="2"/>
      <c r="WQT4" s="2"/>
      <c r="WQU4" s="2"/>
      <c r="WQV4" s="2"/>
      <c r="WQW4" s="2"/>
      <c r="WQX4" s="2"/>
      <c r="WQY4" s="2"/>
      <c r="WQZ4" s="2"/>
      <c r="WRA4" s="2"/>
      <c r="WRB4" s="2"/>
      <c r="WRC4" s="2"/>
      <c r="WRD4" s="2"/>
      <c r="WRE4" s="2"/>
      <c r="WRF4" s="2"/>
      <c r="WRG4" s="2"/>
      <c r="WRH4" s="2"/>
      <c r="WRI4" s="2"/>
      <c r="WRJ4" s="2"/>
      <c r="WRK4" s="2"/>
      <c r="WRL4" s="2"/>
      <c r="WRM4" s="2"/>
      <c r="WRN4" s="2"/>
      <c r="WRO4" s="2"/>
      <c r="WRP4" s="2"/>
      <c r="WRQ4" s="2"/>
      <c r="WRR4" s="2"/>
      <c r="WRS4" s="2"/>
      <c r="WRT4" s="2"/>
      <c r="WRU4" s="2"/>
      <c r="WRV4" s="2"/>
      <c r="WRW4" s="2"/>
      <c r="WRX4" s="2"/>
      <c r="WRY4" s="2"/>
      <c r="WRZ4" s="2"/>
      <c r="WSA4" s="2"/>
      <c r="WSB4" s="2"/>
      <c r="WSC4" s="2"/>
      <c r="WSD4" s="2"/>
      <c r="WSE4" s="2"/>
      <c r="WSF4" s="2"/>
      <c r="WSG4" s="2"/>
      <c r="WSH4" s="2"/>
      <c r="WSI4" s="2"/>
      <c r="WSJ4" s="2"/>
      <c r="WSK4" s="2"/>
      <c r="WSL4" s="2"/>
      <c r="WSM4" s="2"/>
      <c r="WSN4" s="2"/>
      <c r="WSO4" s="2"/>
      <c r="WSP4" s="2"/>
      <c r="WSQ4" s="2"/>
      <c r="WSR4" s="2"/>
      <c r="WSS4" s="2"/>
      <c r="WST4" s="2"/>
      <c r="WSU4" s="2"/>
      <c r="WSV4" s="2"/>
      <c r="WSW4" s="2"/>
      <c r="WSX4" s="2"/>
      <c r="WSY4" s="2"/>
      <c r="WSZ4" s="2"/>
      <c r="WTA4" s="2"/>
      <c r="WTB4" s="2"/>
      <c r="WTC4" s="2"/>
      <c r="WTD4" s="2"/>
      <c r="WTE4" s="2"/>
      <c r="WTF4" s="2"/>
      <c r="WTG4" s="2"/>
      <c r="WTH4" s="2"/>
      <c r="WTI4" s="2"/>
      <c r="WTJ4" s="2"/>
      <c r="WTK4" s="2"/>
      <c r="WTL4" s="2"/>
      <c r="WTM4" s="2"/>
      <c r="WTN4" s="2"/>
      <c r="WTO4" s="2"/>
      <c r="WTP4" s="2"/>
      <c r="WTQ4" s="2"/>
      <c r="WTR4" s="2"/>
      <c r="WTS4" s="2"/>
      <c r="WTT4" s="2"/>
      <c r="WTU4" s="2"/>
      <c r="WTV4" s="2"/>
      <c r="WTW4" s="2"/>
      <c r="WTX4" s="2"/>
      <c r="WTY4" s="2"/>
      <c r="WTZ4" s="2"/>
      <c r="WUA4" s="2"/>
      <c r="WUB4" s="2"/>
      <c r="WUC4" s="2"/>
      <c r="WUD4" s="2"/>
      <c r="WUE4" s="2"/>
      <c r="WUF4" s="2"/>
      <c r="WUG4" s="2"/>
      <c r="WUH4" s="2"/>
      <c r="WUI4" s="2"/>
      <c r="WUJ4" s="2"/>
      <c r="WUK4" s="2"/>
      <c r="WUL4" s="2"/>
      <c r="WUM4" s="2"/>
      <c r="WUN4" s="2"/>
      <c r="WUO4" s="2"/>
      <c r="WUP4" s="2"/>
      <c r="WUQ4" s="2"/>
      <c r="WUR4" s="2"/>
      <c r="WUS4" s="2"/>
      <c r="WUT4" s="2"/>
      <c r="WUU4" s="2"/>
      <c r="WUV4" s="2"/>
      <c r="WUW4" s="2"/>
      <c r="WUX4" s="2"/>
      <c r="WUY4" s="2"/>
      <c r="WUZ4" s="2"/>
      <c r="WVA4" s="2"/>
      <c r="WVB4" s="2"/>
      <c r="WVC4" s="2"/>
      <c r="WVD4" s="2"/>
      <c r="WVE4" s="2"/>
      <c r="WVF4" s="2"/>
      <c r="WVG4" s="2"/>
      <c r="WVH4" s="2"/>
      <c r="WVI4" s="2"/>
      <c r="WVJ4" s="2"/>
      <c r="WVK4" s="2"/>
      <c r="WVL4" s="2"/>
      <c r="WVM4" s="2"/>
      <c r="WVN4" s="2"/>
      <c r="WVO4" s="2"/>
      <c r="WVP4" s="2"/>
      <c r="WVQ4" s="2"/>
      <c r="WVR4" s="2"/>
      <c r="WVS4" s="2"/>
      <c r="WVT4" s="2"/>
      <c r="WVU4" s="2"/>
      <c r="WVV4" s="2"/>
      <c r="WVW4" s="2"/>
      <c r="WVX4" s="2"/>
      <c r="WVY4" s="2"/>
      <c r="WVZ4" s="2"/>
      <c r="WWA4" s="2"/>
      <c r="WWB4" s="2"/>
      <c r="WWC4" s="2"/>
      <c r="WWD4" s="2"/>
      <c r="WWE4" s="2"/>
      <c r="WWF4" s="2"/>
      <c r="WWG4" s="2"/>
      <c r="WWH4" s="2"/>
      <c r="WWI4" s="2"/>
      <c r="WWJ4" s="2"/>
      <c r="WWK4" s="2"/>
      <c r="WWL4" s="2"/>
      <c r="WWM4" s="2"/>
      <c r="WWN4" s="2"/>
      <c r="WWO4" s="2"/>
      <c r="WWP4" s="2"/>
      <c r="WWQ4" s="2"/>
      <c r="WWR4" s="2"/>
      <c r="WWS4" s="2"/>
      <c r="WWT4" s="2"/>
      <c r="WWU4" s="2"/>
      <c r="WWV4" s="2"/>
      <c r="WWW4" s="2"/>
      <c r="WWX4" s="2"/>
      <c r="WWY4" s="2"/>
      <c r="WWZ4" s="2"/>
      <c r="WXA4" s="2"/>
      <c r="WXB4" s="2"/>
      <c r="WXC4" s="2"/>
      <c r="WXD4" s="2"/>
      <c r="WXE4" s="2"/>
      <c r="WXF4" s="2"/>
      <c r="WXG4" s="2"/>
      <c r="WXH4" s="2"/>
      <c r="WXI4" s="2"/>
      <c r="WXJ4" s="2"/>
      <c r="WXK4" s="2"/>
      <c r="WXL4" s="2"/>
      <c r="WXM4" s="2"/>
      <c r="WXN4" s="2"/>
      <c r="WXO4" s="2"/>
      <c r="WXP4" s="2"/>
      <c r="WXQ4" s="2"/>
      <c r="WXR4" s="2"/>
      <c r="WXS4" s="2"/>
      <c r="WXT4" s="2"/>
      <c r="WXU4" s="2"/>
      <c r="WXV4" s="2"/>
      <c r="WXW4" s="2"/>
      <c r="WXX4" s="2"/>
      <c r="WXY4" s="2"/>
      <c r="WXZ4" s="2"/>
      <c r="WYA4" s="2"/>
      <c r="WYB4" s="2"/>
      <c r="WYC4" s="2"/>
      <c r="WYD4" s="2"/>
      <c r="WYE4" s="2"/>
      <c r="WYF4" s="2"/>
      <c r="WYG4" s="2"/>
      <c r="WYH4" s="2"/>
      <c r="WYI4" s="2"/>
      <c r="WYJ4" s="2"/>
      <c r="WYK4" s="2"/>
      <c r="WYL4" s="2"/>
      <c r="WYM4" s="2"/>
      <c r="WYN4" s="2"/>
      <c r="WYO4" s="2"/>
      <c r="WYP4" s="2"/>
      <c r="WYQ4" s="2"/>
      <c r="WYR4" s="2"/>
      <c r="WYS4" s="2"/>
      <c r="WYT4" s="2"/>
      <c r="WYU4" s="2"/>
      <c r="WYV4" s="2"/>
      <c r="WYW4" s="2"/>
      <c r="WYX4" s="2"/>
      <c r="WYY4" s="2"/>
      <c r="WYZ4" s="2"/>
      <c r="WZA4" s="2"/>
      <c r="WZB4" s="2"/>
      <c r="WZC4" s="2"/>
      <c r="WZD4" s="2"/>
      <c r="WZE4" s="2"/>
      <c r="WZF4" s="2"/>
      <c r="WZG4" s="2"/>
      <c r="WZH4" s="2"/>
      <c r="WZI4" s="2"/>
      <c r="WZJ4" s="2"/>
      <c r="WZK4" s="2"/>
      <c r="WZL4" s="2"/>
      <c r="WZM4" s="2"/>
      <c r="WZN4" s="2"/>
      <c r="WZO4" s="2"/>
      <c r="WZP4" s="2"/>
      <c r="WZQ4" s="2"/>
      <c r="WZR4" s="2"/>
      <c r="WZS4" s="2"/>
      <c r="WZT4" s="2"/>
      <c r="WZU4" s="2"/>
      <c r="WZV4" s="2"/>
      <c r="WZW4" s="2"/>
      <c r="WZX4" s="2"/>
      <c r="WZY4" s="2"/>
      <c r="WZZ4" s="2"/>
      <c r="XAA4" s="2"/>
      <c r="XAB4" s="2"/>
      <c r="XAC4" s="2"/>
      <c r="XAD4" s="2"/>
      <c r="XAE4" s="2"/>
      <c r="XAF4" s="2"/>
      <c r="XAG4" s="2"/>
      <c r="XAH4" s="2"/>
      <c r="XAI4" s="2"/>
      <c r="XAJ4" s="2"/>
      <c r="XAK4" s="2"/>
      <c r="XAL4" s="2"/>
      <c r="XAM4" s="2"/>
      <c r="XAN4" s="2"/>
      <c r="XAO4" s="2"/>
      <c r="XAP4" s="2"/>
      <c r="XAQ4" s="2"/>
      <c r="XAR4" s="2"/>
      <c r="XAS4" s="2"/>
      <c r="XAT4" s="2"/>
      <c r="XAU4" s="2"/>
      <c r="XAV4" s="2"/>
      <c r="XAW4" s="2"/>
      <c r="XAX4" s="2"/>
      <c r="XAY4" s="2"/>
      <c r="XAZ4" s="2"/>
      <c r="XBA4" s="2"/>
      <c r="XBB4" s="2"/>
      <c r="XBC4" s="2"/>
      <c r="XBD4" s="2"/>
      <c r="XBE4" s="2"/>
      <c r="XBF4" s="2"/>
      <c r="XBG4" s="2"/>
      <c r="XBH4" s="2"/>
      <c r="XBI4" s="2"/>
      <c r="XBJ4" s="2"/>
      <c r="XBK4" s="2"/>
      <c r="XBL4" s="2"/>
      <c r="XBM4" s="2"/>
      <c r="XBN4" s="2"/>
      <c r="XBO4" s="2"/>
      <c r="XBP4" s="2"/>
      <c r="XBQ4" s="2"/>
      <c r="XBR4" s="2"/>
      <c r="XBS4" s="2"/>
      <c r="XBT4" s="2"/>
      <c r="XBU4" s="2"/>
      <c r="XBV4" s="2"/>
      <c r="XBW4" s="2"/>
      <c r="XBX4" s="2"/>
      <c r="XBY4" s="2"/>
      <c r="XBZ4" s="2"/>
      <c r="XCA4" s="2"/>
      <c r="XCB4" s="2"/>
      <c r="XCC4" s="2"/>
      <c r="XCD4" s="2"/>
      <c r="XCE4" s="2"/>
      <c r="XCF4" s="2"/>
      <c r="XCG4" s="2"/>
      <c r="XCH4" s="2"/>
      <c r="XCI4" s="2"/>
      <c r="XCJ4" s="2"/>
      <c r="XCK4" s="2"/>
      <c r="XCL4" s="2"/>
      <c r="XCM4" s="2"/>
      <c r="XCN4" s="2"/>
      <c r="XCO4" s="2"/>
      <c r="XCP4" s="2"/>
      <c r="XCQ4" s="2"/>
      <c r="XCR4" s="2"/>
      <c r="XCS4" s="2"/>
      <c r="XCT4" s="2"/>
      <c r="XCU4" s="2"/>
      <c r="XCV4" s="2"/>
      <c r="XCW4" s="2"/>
      <c r="XCX4" s="2"/>
      <c r="XCY4" s="2"/>
      <c r="XCZ4" s="2"/>
      <c r="XDA4" s="2"/>
      <c r="XDB4" s="2"/>
      <c r="XDC4" s="2"/>
      <c r="XDD4" s="2"/>
      <c r="XDE4" s="2"/>
      <c r="XDF4" s="2"/>
      <c r="XDG4" s="2"/>
      <c r="XDH4" s="2"/>
      <c r="XDI4" s="2"/>
      <c r="XDJ4" s="2"/>
      <c r="XDK4" s="2"/>
      <c r="XDL4" s="2"/>
      <c r="XDM4" s="2"/>
      <c r="XDN4" s="2"/>
      <c r="XDO4" s="2"/>
      <c r="XDP4" s="2"/>
      <c r="XDQ4" s="2"/>
      <c r="XDR4" s="2"/>
      <c r="XDS4" s="2"/>
      <c r="XDT4" s="2"/>
      <c r="XDU4" s="2"/>
      <c r="XDV4" s="2"/>
      <c r="XDW4" s="2"/>
      <c r="XDX4" s="2"/>
      <c r="XDY4" s="2"/>
      <c r="XDZ4" s="2"/>
      <c r="XEA4" s="2"/>
      <c r="XEB4" s="2"/>
      <c r="XEC4" s="2"/>
      <c r="XED4" s="2"/>
      <c r="XEE4" s="2"/>
      <c r="XEF4" s="2"/>
      <c r="XEG4" s="2"/>
      <c r="XEH4" s="2"/>
      <c r="XEI4" s="2"/>
      <c r="XEJ4" s="2"/>
      <c r="XEK4" s="2"/>
      <c r="XEL4" s="2"/>
      <c r="XEM4" s="2"/>
      <c r="XEN4" s="2"/>
      <c r="XEO4" s="2"/>
      <c r="XEP4" s="2"/>
      <c r="XEQ4" s="2"/>
      <c r="XER4" s="2"/>
      <c r="XES4" s="2"/>
      <c r="XET4" s="2"/>
      <c r="XEU4" s="2"/>
      <c r="XEV4" s="2"/>
      <c r="XEW4" s="2"/>
      <c r="XEX4" s="2"/>
      <c r="XEY4" s="2"/>
      <c r="XEZ4" s="2"/>
      <c r="XFA4" s="2"/>
      <c r="XFB4" s="2"/>
      <c r="XFC4" s="2"/>
      <c r="XFD4" s="2"/>
    </row>
    <row r="5" spans="1:16384" s="13" customFormat="1" ht="15" thickTop="1" x14ac:dyDescent="0.3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16384" s="9" customFormat="1" ht="15" customHeight="1" x14ac:dyDescent="0.3">
      <c r="A6" s="6"/>
      <c r="B6" s="20" t="s">
        <v>35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8"/>
    </row>
    <row r="7" spans="1:16384" s="9" customFormat="1" ht="7.95" customHeight="1" x14ac:dyDescent="0.3">
      <c r="A7" s="6"/>
      <c r="B7" s="14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16384" s="13" customFormat="1" ht="14.4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05" t="s">
        <v>4</v>
      </c>
      <c r="C24" s="105"/>
      <c r="D24" s="105"/>
      <c r="E24" s="15"/>
      <c r="F24" s="106" t="s">
        <v>762</v>
      </c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6"/>
      <c r="R24" s="16"/>
      <c r="S24" s="16"/>
      <c r="T24" s="16"/>
    </row>
    <row r="25" spans="2:20" ht="13.2" customHeight="1" x14ac:dyDescent="0.3">
      <c r="B25" s="105"/>
      <c r="C25" s="105"/>
      <c r="D25" s="105"/>
      <c r="E25" s="15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6"/>
      <c r="R25" s="16"/>
      <c r="S25" s="16"/>
      <c r="T25" s="16"/>
    </row>
    <row r="26" spans="2:20" ht="7.95" customHeight="1" x14ac:dyDescent="0.3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2:20" ht="12" customHeight="1" x14ac:dyDescent="0.3">
      <c r="B27" s="17"/>
      <c r="C27" s="103" t="s">
        <v>5</v>
      </c>
      <c r="D27" s="103"/>
      <c r="E27" s="103"/>
      <c r="F27" s="103"/>
      <c r="G27" s="15"/>
      <c r="H27" s="114" t="s">
        <v>36</v>
      </c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</row>
    <row r="28" spans="2:20" ht="12" customHeight="1" x14ac:dyDescent="0.3">
      <c r="B28" s="17"/>
      <c r="C28" s="103"/>
      <c r="D28" s="103"/>
      <c r="E28" s="103"/>
      <c r="F28" s="103"/>
      <c r="G28" s="15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</row>
    <row r="29" spans="2:20" ht="3" customHeight="1" x14ac:dyDescent="0.3">
      <c r="B29" s="17"/>
      <c r="C29" s="18"/>
      <c r="D29" s="18"/>
      <c r="E29" s="18"/>
      <c r="F29" s="18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2:20" ht="12" customHeight="1" x14ac:dyDescent="0.3">
      <c r="B30" s="17"/>
      <c r="C30" s="103" t="s">
        <v>6</v>
      </c>
      <c r="D30" s="103"/>
      <c r="E30" s="103"/>
      <c r="F30" s="103"/>
      <c r="G30" s="15"/>
      <c r="H30" s="19" t="s">
        <v>24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2:20" ht="12" customHeight="1" x14ac:dyDescent="0.3">
      <c r="B31" s="17"/>
      <c r="C31" s="103"/>
      <c r="D31" s="103"/>
      <c r="E31" s="103"/>
      <c r="F31" s="103"/>
      <c r="G31" s="15"/>
      <c r="H31" s="19" t="s">
        <v>7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</row>
    <row r="32" spans="2:20" ht="12" customHeight="1" x14ac:dyDescent="0.3">
      <c r="B32" s="17"/>
      <c r="C32" s="103"/>
      <c r="D32" s="103"/>
      <c r="E32" s="103"/>
      <c r="F32" s="103"/>
      <c r="G32" s="15"/>
      <c r="H32" s="19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</row>
    <row r="33" spans="2:20" ht="12" customHeight="1" x14ac:dyDescent="0.3">
      <c r="B33" s="17"/>
      <c r="C33" s="103"/>
      <c r="D33" s="103"/>
      <c r="E33" s="103"/>
      <c r="F33" s="103"/>
      <c r="G33" s="15"/>
      <c r="H33" s="19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</row>
    <row r="34" spans="2:20" ht="12" customHeight="1" x14ac:dyDescent="0.3">
      <c r="B34" s="17"/>
      <c r="C34" s="103"/>
      <c r="D34" s="103"/>
      <c r="E34" s="103"/>
      <c r="F34" s="103"/>
      <c r="G34" s="15"/>
      <c r="H34" s="19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</row>
    <row r="35" spans="2:20" ht="12" customHeight="1" x14ac:dyDescent="0.3">
      <c r="B35" s="17"/>
      <c r="C35" s="103"/>
      <c r="D35" s="103"/>
      <c r="E35" s="103"/>
      <c r="F35" s="103"/>
      <c r="G35" s="15"/>
      <c r="H35" s="19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</row>
    <row r="36" spans="2:20" ht="12" customHeight="1" x14ac:dyDescent="0.3">
      <c r="B36" s="17"/>
      <c r="C36" s="103"/>
      <c r="D36" s="103"/>
      <c r="E36" s="103"/>
      <c r="F36" s="103"/>
      <c r="G36" s="15"/>
      <c r="H36" s="19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</row>
    <row r="37" spans="2:20" ht="3" customHeight="1" x14ac:dyDescent="0.3"/>
    <row r="38" spans="2:20" ht="12" customHeight="1" x14ac:dyDescent="0.3">
      <c r="B38" s="17"/>
      <c r="C38" s="103" t="s">
        <v>8</v>
      </c>
      <c r="D38" s="103"/>
      <c r="E38" s="103"/>
      <c r="F38" s="103"/>
      <c r="G38" s="15"/>
      <c r="H38" s="19" t="s">
        <v>9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</row>
    <row r="39" spans="2:20" ht="12" customHeight="1" x14ac:dyDescent="0.3">
      <c r="B39" s="17"/>
      <c r="C39" s="103"/>
      <c r="D39" s="103"/>
      <c r="E39" s="103"/>
      <c r="F39" s="103"/>
      <c r="G39" s="15"/>
      <c r="H39" s="19" t="s">
        <v>10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</row>
    <row r="40" spans="2:20" ht="3" customHeight="1" x14ac:dyDescent="0.3"/>
    <row r="41" spans="2:20" ht="12" customHeight="1" x14ac:dyDescent="0.3">
      <c r="B41" s="17"/>
      <c r="C41" s="103" t="s">
        <v>11</v>
      </c>
      <c r="D41" s="103"/>
      <c r="E41" s="103"/>
      <c r="F41" s="103"/>
      <c r="G41" s="15"/>
      <c r="H41" s="19" t="s">
        <v>12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</row>
    <row r="42" spans="2:20" ht="12" customHeight="1" x14ac:dyDescent="0.3">
      <c r="B42" s="17"/>
      <c r="C42" s="103"/>
      <c r="D42" s="103"/>
      <c r="E42" s="103"/>
      <c r="F42" s="103"/>
      <c r="G42" s="15"/>
      <c r="H42" s="19" t="s">
        <v>13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2:20" ht="10.199999999999999" customHeight="1" x14ac:dyDescent="0.3"/>
    <row r="44" spans="2:20" ht="13.2" customHeight="1" x14ac:dyDescent="0.3">
      <c r="B44" s="105" t="s">
        <v>14</v>
      </c>
      <c r="C44" s="105"/>
      <c r="D44" s="105"/>
      <c r="E44" s="15"/>
      <c r="F44" s="106" t="s">
        <v>21</v>
      </c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6"/>
      <c r="R44" s="16"/>
      <c r="S44" s="16"/>
      <c r="T44" s="16"/>
    </row>
    <row r="45" spans="2:20" ht="13.2" customHeight="1" x14ac:dyDescent="0.3">
      <c r="B45" s="105"/>
      <c r="C45" s="105"/>
      <c r="D45" s="105"/>
      <c r="E45" s="15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6"/>
      <c r="R45" s="16"/>
      <c r="S45" s="16"/>
      <c r="T45" s="16"/>
    </row>
    <row r="46" spans="2:20" ht="7.95" customHeight="1" x14ac:dyDescent="0.3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</row>
    <row r="47" spans="2:20" ht="12" customHeight="1" x14ac:dyDescent="0.3">
      <c r="B47" s="17"/>
      <c r="C47" s="103" t="s">
        <v>15</v>
      </c>
      <c r="D47" s="103"/>
      <c r="E47" s="103"/>
      <c r="F47" s="103"/>
      <c r="G47" s="15"/>
      <c r="H47" s="104" t="s">
        <v>16</v>
      </c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</row>
    <row r="48" spans="2:20" ht="12" customHeight="1" x14ac:dyDescent="0.3">
      <c r="B48" s="17"/>
      <c r="C48" s="103"/>
      <c r="D48" s="103"/>
      <c r="E48" s="103"/>
      <c r="F48" s="103"/>
      <c r="G48" s="15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</row>
    <row r="49" spans="2:20" ht="3" customHeight="1" x14ac:dyDescent="0.3"/>
    <row r="50" spans="2:20" ht="12" customHeight="1" x14ac:dyDescent="0.3">
      <c r="B50" s="17"/>
      <c r="C50" s="103" t="s">
        <v>17</v>
      </c>
      <c r="D50" s="103"/>
      <c r="E50" s="103"/>
      <c r="F50" s="103"/>
      <c r="G50" s="15"/>
      <c r="H50" s="104" t="s">
        <v>22</v>
      </c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</row>
    <row r="51" spans="2:20" ht="12" customHeight="1" x14ac:dyDescent="0.3">
      <c r="B51" s="17"/>
      <c r="C51" s="103"/>
      <c r="D51" s="103"/>
      <c r="E51" s="103"/>
      <c r="F51" s="103"/>
      <c r="G51" s="15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</row>
    <row r="52" spans="2:20" ht="3" customHeight="1" x14ac:dyDescent="0.3"/>
    <row r="53" spans="2:20" ht="12" customHeight="1" x14ac:dyDescent="0.3">
      <c r="B53" s="17"/>
      <c r="C53" s="103" t="s">
        <v>18</v>
      </c>
      <c r="D53" s="103"/>
      <c r="E53" s="103"/>
      <c r="F53" s="103"/>
      <c r="G53" s="15"/>
      <c r="H53" s="104" t="s">
        <v>23</v>
      </c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</row>
    <row r="54" spans="2:20" ht="12" customHeight="1" x14ac:dyDescent="0.3">
      <c r="B54" s="17"/>
      <c r="C54" s="103"/>
      <c r="D54" s="103"/>
      <c r="E54" s="103"/>
      <c r="F54" s="103"/>
      <c r="G54" s="15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</row>
    <row r="55" spans="2:20" ht="3" customHeight="1" x14ac:dyDescent="0.3"/>
    <row r="56" spans="2:20" ht="12" customHeight="1" x14ac:dyDescent="0.3">
      <c r="B56" s="17"/>
      <c r="C56" s="103" t="s">
        <v>19</v>
      </c>
      <c r="D56" s="103"/>
      <c r="E56" s="103"/>
      <c r="F56" s="103"/>
      <c r="G56" s="15"/>
      <c r="H56" s="104" t="s">
        <v>763</v>
      </c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</row>
    <row r="57" spans="2:20" ht="12" customHeight="1" x14ac:dyDescent="0.3">
      <c r="B57" s="17"/>
      <c r="C57" s="103"/>
      <c r="D57" s="103"/>
      <c r="E57" s="103"/>
      <c r="F57" s="103"/>
      <c r="G57" s="15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</row>
    <row r="58" spans="2:20" ht="10.199999999999999" customHeight="1" x14ac:dyDescent="0.3"/>
    <row r="59" spans="2:20" ht="13.2" customHeight="1" x14ac:dyDescent="0.3">
      <c r="B59" s="105" t="s">
        <v>20</v>
      </c>
      <c r="C59" s="105"/>
      <c r="D59" s="105"/>
      <c r="E59" s="15"/>
      <c r="F59" s="106" t="s">
        <v>761</v>
      </c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6"/>
      <c r="R59" s="16"/>
      <c r="S59" s="16"/>
      <c r="T59" s="16"/>
    </row>
    <row r="60" spans="2:20" ht="13.2" customHeight="1" x14ac:dyDescent="0.3">
      <c r="B60" s="105"/>
      <c r="C60" s="105"/>
      <c r="D60" s="105"/>
      <c r="E60" s="15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6"/>
      <c r="R60" s="16"/>
      <c r="S60" s="16"/>
      <c r="T60" s="16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19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6640625" style="52" customWidth="1"/>
    <col min="3" max="4" width="10.6640625" style="52" customWidth="1"/>
    <col min="5" max="5" width="5.6640625" style="52" customWidth="1"/>
    <col min="6" max="6" width="10.6640625" style="52" customWidth="1"/>
    <col min="7" max="7" width="8.6640625" style="52" customWidth="1"/>
    <col min="8" max="8" width="3.6640625" style="52" customWidth="1"/>
    <col min="9" max="13" width="10.6640625" style="52" hidden="1" customWidth="1"/>
    <col min="14" max="16384" width="8.77734375" style="52" hidden="1"/>
  </cols>
  <sheetData>
    <row r="1" spans="1:8" s="24" customFormat="1" ht="14.4" x14ac:dyDescent="0.3"/>
    <row r="2" spans="1:8" s="24" customFormat="1" ht="4.95" customHeight="1" x14ac:dyDescent="0.3"/>
    <row r="3" spans="1:8" s="24" customFormat="1" ht="14.4" x14ac:dyDescent="0.3"/>
    <row r="4" spans="1:8" s="24" customFormat="1" ht="4.95" customHeight="1" thickBot="1" x14ac:dyDescent="0.35">
      <c r="A4" s="25"/>
      <c r="B4" s="26"/>
      <c r="C4" s="26"/>
      <c r="D4" s="26"/>
      <c r="E4" s="26"/>
      <c r="F4" s="26"/>
      <c r="G4" s="26"/>
    </row>
    <row r="5" spans="1:8" s="24" customFormat="1" ht="7.95" customHeight="1" thickTop="1" x14ac:dyDescent="0.3">
      <c r="A5" s="27"/>
      <c r="B5" s="27"/>
      <c r="C5" s="27"/>
      <c r="D5" s="27"/>
      <c r="E5" s="27"/>
      <c r="F5" s="27"/>
      <c r="G5" s="27"/>
      <c r="H5" s="27"/>
    </row>
    <row r="6" spans="1:8" s="32" customFormat="1" ht="14.4" x14ac:dyDescent="0.3">
      <c r="A6" s="28"/>
      <c r="B6" s="29" t="s">
        <v>0</v>
      </c>
      <c r="C6" s="30"/>
      <c r="D6" s="30"/>
      <c r="E6" s="30"/>
      <c r="F6" s="30"/>
      <c r="G6" s="30"/>
      <c r="H6" s="31"/>
    </row>
    <row r="7" spans="1:8" s="32" customFormat="1" ht="4.05" customHeight="1" x14ac:dyDescent="0.3">
      <c r="A7" s="28"/>
      <c r="B7" s="33"/>
      <c r="C7" s="34"/>
      <c r="D7" s="34"/>
      <c r="E7" s="34"/>
      <c r="F7" s="34"/>
      <c r="G7" s="34"/>
      <c r="H7" s="31"/>
    </row>
    <row r="8" spans="1:8" s="32" customFormat="1" ht="7.95" customHeight="1" x14ac:dyDescent="0.3">
      <c r="A8" s="28"/>
      <c r="B8" s="35"/>
      <c r="C8" s="36"/>
      <c r="D8" s="36"/>
      <c r="E8" s="36"/>
      <c r="F8" s="36"/>
      <c r="G8" s="37"/>
      <c r="H8" s="31"/>
    </row>
    <row r="9" spans="1:8" s="45" customFormat="1" ht="14.4" x14ac:dyDescent="0.3">
      <c r="A9" s="38"/>
      <c r="B9" s="39"/>
      <c r="C9" s="40" t="s">
        <v>1</v>
      </c>
      <c r="D9" s="40"/>
      <c r="E9" s="41"/>
      <c r="F9" s="42">
        <v>45657</v>
      </c>
      <c r="G9" s="43"/>
      <c r="H9" s="44"/>
    </row>
    <row r="10" spans="1:8" s="45" customFormat="1" ht="7.95" customHeight="1" x14ac:dyDescent="0.3">
      <c r="A10" s="38"/>
      <c r="B10" s="39"/>
      <c r="C10" s="46"/>
      <c r="D10" s="46"/>
      <c r="E10" s="54"/>
      <c r="F10" s="23" t="str">
        <f>YEAR(F9)&amp;"-"&amp;TEXT(MONTH(F9),"00")&amp;"-"&amp;TEXT(DAY(F9),"00")</f>
        <v>2024-12-31</v>
      </c>
      <c r="G10" s="55"/>
      <c r="H10" s="44"/>
    </row>
    <row r="11" spans="1:8" s="45" customFormat="1" ht="7.95" customHeight="1" x14ac:dyDescent="0.3">
      <c r="A11" s="38"/>
      <c r="B11" s="39"/>
      <c r="C11" s="47"/>
      <c r="D11" s="47"/>
      <c r="E11" s="47"/>
      <c r="F11" s="47"/>
      <c r="G11" s="43"/>
      <c r="H11" s="44"/>
    </row>
    <row r="12" spans="1:8" s="45" customFormat="1" ht="14.4" x14ac:dyDescent="0.3">
      <c r="A12" s="38"/>
      <c r="B12" s="39"/>
      <c r="C12" s="40" t="s">
        <v>2</v>
      </c>
      <c r="D12" s="40"/>
      <c r="E12" s="41"/>
      <c r="F12" s="41"/>
      <c r="G12" s="43"/>
      <c r="H12" s="44"/>
    </row>
    <row r="13" spans="1:8" s="45" customFormat="1" ht="7.95" customHeight="1" x14ac:dyDescent="0.3">
      <c r="A13" s="38"/>
      <c r="B13" s="39"/>
      <c r="C13" s="47"/>
      <c r="D13" s="47"/>
      <c r="E13" s="47"/>
      <c r="F13" s="47"/>
      <c r="G13" s="43"/>
      <c r="H13" s="44"/>
    </row>
    <row r="14" spans="1:8" s="45" customFormat="1" ht="7.95" customHeight="1" x14ac:dyDescent="0.3">
      <c r="A14" s="38"/>
      <c r="B14" s="39"/>
      <c r="C14" s="47"/>
      <c r="D14" s="47"/>
      <c r="E14" s="47"/>
      <c r="F14" s="47"/>
      <c r="G14" s="43"/>
      <c r="H14" s="44"/>
    </row>
    <row r="15" spans="1:8" s="45" customFormat="1" ht="14.4" x14ac:dyDescent="0.3">
      <c r="A15" s="38"/>
      <c r="B15" s="39"/>
      <c r="C15" s="40" t="s">
        <v>3</v>
      </c>
      <c r="D15" s="40"/>
      <c r="E15" s="41"/>
      <c r="F15" s="41"/>
      <c r="G15" s="43"/>
      <c r="H15" s="44"/>
    </row>
    <row r="16" spans="1:8" s="45" customFormat="1" ht="7.95" customHeight="1" x14ac:dyDescent="0.3">
      <c r="A16" s="38"/>
      <c r="B16" s="39"/>
      <c r="C16" s="47"/>
      <c r="D16" s="47"/>
      <c r="E16" s="47"/>
      <c r="F16" s="47"/>
      <c r="G16" s="43"/>
      <c r="H16" s="44"/>
    </row>
    <row r="17" spans="1:8" s="45" customFormat="1" ht="7.95" customHeight="1" x14ac:dyDescent="0.3">
      <c r="A17" s="38"/>
      <c r="B17" s="48"/>
      <c r="C17" s="49"/>
      <c r="D17" s="49"/>
      <c r="E17" s="49"/>
      <c r="F17" s="49"/>
      <c r="G17" s="50"/>
      <c r="H17" s="44"/>
    </row>
    <row r="18" spans="1:8" s="45" customFormat="1" ht="14.4" x14ac:dyDescent="0.3">
      <c r="A18" s="38"/>
      <c r="B18" s="38"/>
      <c r="C18" s="38"/>
      <c r="D18" s="38"/>
      <c r="E18" s="38"/>
      <c r="F18" s="38"/>
      <c r="G18" s="38"/>
      <c r="H18" s="44"/>
    </row>
    <row r="19" spans="1:8" ht="14.4" hidden="1" x14ac:dyDescent="0.3">
      <c r="A19" s="51"/>
      <c r="B19" s="51"/>
      <c r="C19" s="51"/>
      <c r="D19" s="51"/>
      <c r="E19" s="51"/>
      <c r="F19" s="51"/>
      <c r="G19" s="51"/>
    </row>
    <row r="20" spans="1:8" ht="14.4" hidden="1" x14ac:dyDescent="0.3">
      <c r="A20" s="51"/>
      <c r="B20" s="51"/>
      <c r="C20" s="51"/>
      <c r="D20" s="51"/>
      <c r="E20" s="51"/>
      <c r="F20" s="51"/>
      <c r="G20" s="51"/>
    </row>
    <row r="21" spans="1:8" ht="14.4" hidden="1" x14ac:dyDescent="0.3">
      <c r="A21" s="51"/>
      <c r="B21" s="51"/>
      <c r="C21" s="51"/>
      <c r="D21" s="51"/>
      <c r="E21" s="51"/>
      <c r="F21" s="51"/>
      <c r="G21" s="51"/>
    </row>
    <row r="22" spans="1:8" ht="14.4" hidden="1" x14ac:dyDescent="0.3">
      <c r="B22" s="51"/>
      <c r="C22" s="51"/>
      <c r="D22" s="51"/>
      <c r="E22" s="51"/>
      <c r="F22" s="53"/>
      <c r="G22" s="53"/>
    </row>
    <row r="23" spans="1:8" ht="14.4" hidden="1" x14ac:dyDescent="0.3">
      <c r="B23" s="51"/>
      <c r="C23" s="51"/>
      <c r="D23" s="51"/>
      <c r="E23" s="51"/>
      <c r="F23" s="51"/>
      <c r="G23" s="51"/>
    </row>
    <row r="24" spans="1:8" ht="14.4" hidden="1" x14ac:dyDescent="0.3">
      <c r="B24" s="51"/>
      <c r="C24" s="51"/>
      <c r="D24" s="51"/>
      <c r="E24" s="51"/>
      <c r="F24" s="51"/>
      <c r="G24" s="51"/>
    </row>
    <row r="25" spans="1:8" ht="14.4" hidden="1" x14ac:dyDescent="0.3">
      <c r="B25" s="51"/>
      <c r="C25" s="51"/>
      <c r="D25" s="51"/>
      <c r="E25" s="51"/>
      <c r="F25" s="51"/>
      <c r="G25" s="51"/>
    </row>
    <row r="26" spans="1:8" ht="14.4" hidden="1" x14ac:dyDescent="0.3">
      <c r="B26" s="51"/>
      <c r="C26" s="51"/>
      <c r="D26" s="51"/>
      <c r="E26" s="51"/>
      <c r="F26" s="51"/>
      <c r="G26" s="51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2745"/>
  <sheetViews>
    <sheetView showGridLines="0" tabSelected="1" workbookViewId="0">
      <pane ySplit="4" topLeftCell="A5" activePane="bottomLeft" state="frozen"/>
      <selection pane="bottomLeft" activeCell="A6" sqref="A6"/>
    </sheetView>
  </sheetViews>
  <sheetFormatPr defaultColWidth="0" defaultRowHeight="14.4" zeroHeight="1" x14ac:dyDescent="0.3"/>
  <cols>
    <col min="1" max="2" width="3.6640625" style="2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11" width="14.77734375" style="2" customWidth="1"/>
    <col min="12" max="12" width="14.77734375" customWidth="1"/>
    <col min="13" max="19" width="14.77734375" style="2" customWidth="1"/>
    <col min="20" max="20" width="14.77734375" customWidth="1"/>
    <col min="21" max="22" width="3.6640625" customWidth="1"/>
    <col min="23" max="16384" width="8.77734375" hidden="1"/>
  </cols>
  <sheetData>
    <row r="1" spans="1:22" s="2" customForma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s="2" customForma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s="2" customForma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s="2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3"/>
    </row>
    <row r="5" spans="1:22" s="9" customFormat="1" ht="15" thickTop="1" x14ac:dyDescent="0.3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2" x14ac:dyDescent="0.3">
      <c r="C6" s="10" t="s">
        <v>25</v>
      </c>
      <c r="D6" s="10" t="s">
        <v>26</v>
      </c>
      <c r="E6" s="10" t="s">
        <v>27</v>
      </c>
      <c r="F6" s="10" t="s">
        <v>37</v>
      </c>
      <c r="G6" s="10" t="s">
        <v>28</v>
      </c>
      <c r="H6" s="10" t="s">
        <v>29</v>
      </c>
      <c r="I6" s="10" t="s">
        <v>38</v>
      </c>
      <c r="J6" s="10" t="s">
        <v>39</v>
      </c>
      <c r="K6" s="10" t="s">
        <v>40</v>
      </c>
      <c r="L6" s="10" t="s">
        <v>41</v>
      </c>
      <c r="M6" s="10" t="s">
        <v>42</v>
      </c>
      <c r="N6" s="10" t="s">
        <v>43</v>
      </c>
      <c r="O6" s="10" t="s">
        <v>44</v>
      </c>
      <c r="P6" s="10" t="s">
        <v>45</v>
      </c>
      <c r="Q6" s="10" t="s">
        <v>30</v>
      </c>
      <c r="R6" s="10" t="s">
        <v>195</v>
      </c>
      <c r="S6" s="10" t="s">
        <v>196</v>
      </c>
      <c r="T6" s="10" t="s">
        <v>197</v>
      </c>
      <c r="U6" s="2"/>
    </row>
    <row r="7" spans="1:22" x14ac:dyDescent="0.3"/>
    <row r="8" spans="1:22" x14ac:dyDescent="0.3"/>
    <row r="9" spans="1:22" x14ac:dyDescent="0.3"/>
    <row r="10" spans="1:22" x14ac:dyDescent="0.3"/>
    <row r="11" spans="1:22" x14ac:dyDescent="0.3"/>
    <row r="12" spans="1:22" x14ac:dyDescent="0.3"/>
    <row r="13" spans="1:22" x14ac:dyDescent="0.3"/>
    <row r="14" spans="1:22" x14ac:dyDescent="0.3"/>
    <row r="15" spans="1:22" x14ac:dyDescent="0.3"/>
    <row r="16" spans="1:22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  <row r="77" x14ac:dyDescent="0.3"/>
    <row r="78" x14ac:dyDescent="0.3"/>
    <row r="79" x14ac:dyDescent="0.3"/>
    <row r="80" x14ac:dyDescent="0.3"/>
    <row r="81" x14ac:dyDescent="0.3"/>
    <row r="82" x14ac:dyDescent="0.3"/>
    <row r="83" x14ac:dyDescent="0.3"/>
    <row r="84" x14ac:dyDescent="0.3"/>
    <row r="85" x14ac:dyDescent="0.3"/>
    <row r="86" x14ac:dyDescent="0.3"/>
    <row r="87" x14ac:dyDescent="0.3"/>
    <row r="88" x14ac:dyDescent="0.3"/>
    <row r="89" x14ac:dyDescent="0.3"/>
    <row r="90" x14ac:dyDescent="0.3"/>
    <row r="91" x14ac:dyDescent="0.3"/>
    <row r="92" x14ac:dyDescent="0.3"/>
    <row r="93" x14ac:dyDescent="0.3"/>
    <row r="94" x14ac:dyDescent="0.3"/>
    <row r="95" x14ac:dyDescent="0.3"/>
    <row r="96" x14ac:dyDescent="0.3"/>
    <row r="97" x14ac:dyDescent="0.3"/>
    <row r="98" x14ac:dyDescent="0.3"/>
    <row r="99" x14ac:dyDescent="0.3"/>
    <row r="100" x14ac:dyDescent="0.3"/>
    <row r="101" x14ac:dyDescent="0.3"/>
    <row r="102" x14ac:dyDescent="0.3"/>
    <row r="103" x14ac:dyDescent="0.3"/>
    <row r="104" x14ac:dyDescent="0.3"/>
    <row r="105" x14ac:dyDescent="0.3"/>
    <row r="106" x14ac:dyDescent="0.3"/>
    <row r="107" x14ac:dyDescent="0.3"/>
    <row r="108" x14ac:dyDescent="0.3"/>
    <row r="109" x14ac:dyDescent="0.3"/>
    <row r="110" x14ac:dyDescent="0.3"/>
    <row r="111" x14ac:dyDescent="0.3"/>
    <row r="112" x14ac:dyDescent="0.3"/>
    <row r="113" x14ac:dyDescent="0.3"/>
    <row r="114" x14ac:dyDescent="0.3"/>
    <row r="115" x14ac:dyDescent="0.3"/>
    <row r="116" x14ac:dyDescent="0.3"/>
    <row r="117" x14ac:dyDescent="0.3"/>
    <row r="118" x14ac:dyDescent="0.3"/>
    <row r="119" x14ac:dyDescent="0.3"/>
    <row r="120" x14ac:dyDescent="0.3"/>
    <row r="121" x14ac:dyDescent="0.3"/>
    <row r="122" x14ac:dyDescent="0.3"/>
    <row r="123" x14ac:dyDescent="0.3"/>
    <row r="124" x14ac:dyDescent="0.3"/>
    <row r="125" x14ac:dyDescent="0.3"/>
    <row r="126" x14ac:dyDescent="0.3"/>
    <row r="127" x14ac:dyDescent="0.3"/>
    <row r="128" x14ac:dyDescent="0.3"/>
    <row r="129" x14ac:dyDescent="0.3"/>
    <row r="130" x14ac:dyDescent="0.3"/>
    <row r="131" x14ac:dyDescent="0.3"/>
    <row r="132" x14ac:dyDescent="0.3"/>
    <row r="133" x14ac:dyDescent="0.3"/>
    <row r="134" x14ac:dyDescent="0.3"/>
    <row r="135" x14ac:dyDescent="0.3"/>
    <row r="136" x14ac:dyDescent="0.3"/>
    <row r="137" x14ac:dyDescent="0.3"/>
    <row r="138" x14ac:dyDescent="0.3"/>
    <row r="139" x14ac:dyDescent="0.3"/>
    <row r="140" x14ac:dyDescent="0.3"/>
    <row r="141" x14ac:dyDescent="0.3"/>
    <row r="142" x14ac:dyDescent="0.3"/>
    <row r="143" x14ac:dyDescent="0.3"/>
    <row r="144" x14ac:dyDescent="0.3"/>
    <row r="145" x14ac:dyDescent="0.3"/>
    <row r="146" x14ac:dyDescent="0.3"/>
    <row r="147" x14ac:dyDescent="0.3"/>
    <row r="148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  <row r="156" x14ac:dyDescent="0.3"/>
    <row r="157" x14ac:dyDescent="0.3"/>
    <row r="158" x14ac:dyDescent="0.3"/>
    <row r="159" x14ac:dyDescent="0.3"/>
    <row r="160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  <row r="182" x14ac:dyDescent="0.3"/>
    <row r="183" x14ac:dyDescent="0.3"/>
    <row r="184" x14ac:dyDescent="0.3"/>
    <row r="185" x14ac:dyDescent="0.3"/>
    <row r="186" x14ac:dyDescent="0.3"/>
    <row r="187" x14ac:dyDescent="0.3"/>
    <row r="188" x14ac:dyDescent="0.3"/>
    <row r="189" x14ac:dyDescent="0.3"/>
    <row r="190" x14ac:dyDescent="0.3"/>
    <row r="191" x14ac:dyDescent="0.3"/>
    <row r="192" x14ac:dyDescent="0.3"/>
    <row r="193" x14ac:dyDescent="0.3"/>
    <row r="194" x14ac:dyDescent="0.3"/>
    <row r="195" x14ac:dyDescent="0.3"/>
    <row r="196" x14ac:dyDescent="0.3"/>
    <row r="197" x14ac:dyDescent="0.3"/>
    <row r="198" x14ac:dyDescent="0.3"/>
    <row r="199" x14ac:dyDescent="0.3"/>
    <row r="200" x14ac:dyDescent="0.3"/>
    <row r="201" x14ac:dyDescent="0.3"/>
    <row r="202" x14ac:dyDescent="0.3"/>
    <row r="203" x14ac:dyDescent="0.3"/>
    <row r="204" x14ac:dyDescent="0.3"/>
    <row r="205" x14ac:dyDescent="0.3"/>
    <row r="206" x14ac:dyDescent="0.3"/>
    <row r="207" x14ac:dyDescent="0.3"/>
    <row r="208" x14ac:dyDescent="0.3"/>
    <row r="209" x14ac:dyDescent="0.3"/>
    <row r="210" x14ac:dyDescent="0.3"/>
    <row r="211" x14ac:dyDescent="0.3"/>
    <row r="212" x14ac:dyDescent="0.3"/>
    <row r="213" x14ac:dyDescent="0.3"/>
    <row r="214" x14ac:dyDescent="0.3"/>
    <row r="215" x14ac:dyDescent="0.3"/>
    <row r="216" x14ac:dyDescent="0.3"/>
    <row r="217" x14ac:dyDescent="0.3"/>
    <row r="218" x14ac:dyDescent="0.3"/>
    <row r="219" x14ac:dyDescent="0.3"/>
    <row r="220" x14ac:dyDescent="0.3"/>
    <row r="221" x14ac:dyDescent="0.3"/>
    <row r="222" x14ac:dyDescent="0.3"/>
    <row r="223" x14ac:dyDescent="0.3"/>
    <row r="224" x14ac:dyDescent="0.3"/>
    <row r="225" x14ac:dyDescent="0.3"/>
    <row r="226" x14ac:dyDescent="0.3"/>
    <row r="227" x14ac:dyDescent="0.3"/>
    <row r="228" x14ac:dyDescent="0.3"/>
    <row r="229" x14ac:dyDescent="0.3"/>
    <row r="230" x14ac:dyDescent="0.3"/>
    <row r="231" x14ac:dyDescent="0.3"/>
    <row r="232" x14ac:dyDescent="0.3"/>
    <row r="233" x14ac:dyDescent="0.3"/>
    <row r="234" x14ac:dyDescent="0.3"/>
    <row r="235" x14ac:dyDescent="0.3"/>
    <row r="236" x14ac:dyDescent="0.3"/>
    <row r="237" x14ac:dyDescent="0.3"/>
    <row r="238" x14ac:dyDescent="0.3"/>
    <row r="239" x14ac:dyDescent="0.3"/>
    <row r="240" x14ac:dyDescent="0.3"/>
    <row r="241" x14ac:dyDescent="0.3"/>
    <row r="242" x14ac:dyDescent="0.3"/>
    <row r="243" x14ac:dyDescent="0.3"/>
    <row r="244" x14ac:dyDescent="0.3"/>
    <row r="245" x14ac:dyDescent="0.3"/>
    <row r="246" x14ac:dyDescent="0.3"/>
    <row r="247" x14ac:dyDescent="0.3"/>
    <row r="248" x14ac:dyDescent="0.3"/>
    <row r="249" x14ac:dyDescent="0.3"/>
    <row r="250" x14ac:dyDescent="0.3"/>
    <row r="251" x14ac:dyDescent="0.3"/>
    <row r="252" x14ac:dyDescent="0.3"/>
    <row r="253" x14ac:dyDescent="0.3"/>
    <row r="254" x14ac:dyDescent="0.3"/>
    <row r="255" x14ac:dyDescent="0.3"/>
    <row r="256" x14ac:dyDescent="0.3"/>
    <row r="257" x14ac:dyDescent="0.3"/>
    <row r="258" x14ac:dyDescent="0.3"/>
    <row r="259" x14ac:dyDescent="0.3"/>
    <row r="260" x14ac:dyDescent="0.3"/>
    <row r="261" x14ac:dyDescent="0.3"/>
    <row r="262" x14ac:dyDescent="0.3"/>
    <row r="263" x14ac:dyDescent="0.3"/>
    <row r="264" x14ac:dyDescent="0.3"/>
    <row r="265" x14ac:dyDescent="0.3"/>
    <row r="266" x14ac:dyDescent="0.3"/>
    <row r="267" x14ac:dyDescent="0.3"/>
    <row r="268" x14ac:dyDescent="0.3"/>
    <row r="269" x14ac:dyDescent="0.3"/>
    <row r="270" x14ac:dyDescent="0.3"/>
    <row r="271" x14ac:dyDescent="0.3"/>
    <row r="272" x14ac:dyDescent="0.3"/>
    <row r="273" x14ac:dyDescent="0.3"/>
    <row r="274" x14ac:dyDescent="0.3"/>
    <row r="275" x14ac:dyDescent="0.3"/>
    <row r="276" x14ac:dyDescent="0.3"/>
    <row r="277" x14ac:dyDescent="0.3"/>
    <row r="278" x14ac:dyDescent="0.3"/>
    <row r="279" x14ac:dyDescent="0.3"/>
    <row r="280" x14ac:dyDescent="0.3"/>
    <row r="281" x14ac:dyDescent="0.3"/>
    <row r="282" x14ac:dyDescent="0.3"/>
    <row r="283" x14ac:dyDescent="0.3"/>
    <row r="284" x14ac:dyDescent="0.3"/>
    <row r="285" x14ac:dyDescent="0.3"/>
    <row r="286" x14ac:dyDescent="0.3"/>
    <row r="287" x14ac:dyDescent="0.3"/>
    <row r="288" x14ac:dyDescent="0.3"/>
    <row r="289" x14ac:dyDescent="0.3"/>
    <row r="290" x14ac:dyDescent="0.3"/>
    <row r="291" x14ac:dyDescent="0.3"/>
    <row r="292" x14ac:dyDescent="0.3"/>
    <row r="293" x14ac:dyDescent="0.3"/>
    <row r="294" x14ac:dyDescent="0.3"/>
    <row r="295" x14ac:dyDescent="0.3"/>
    <row r="296" x14ac:dyDescent="0.3"/>
    <row r="297" x14ac:dyDescent="0.3"/>
    <row r="298" x14ac:dyDescent="0.3"/>
    <row r="299" x14ac:dyDescent="0.3"/>
    <row r="300" x14ac:dyDescent="0.3"/>
    <row r="301" x14ac:dyDescent="0.3"/>
    <row r="302" x14ac:dyDescent="0.3"/>
    <row r="303" x14ac:dyDescent="0.3"/>
    <row r="304" x14ac:dyDescent="0.3"/>
    <row r="305" x14ac:dyDescent="0.3"/>
    <row r="306" x14ac:dyDescent="0.3"/>
    <row r="307" x14ac:dyDescent="0.3"/>
    <row r="308" x14ac:dyDescent="0.3"/>
    <row r="309" x14ac:dyDescent="0.3"/>
    <row r="310" x14ac:dyDescent="0.3"/>
    <row r="311" x14ac:dyDescent="0.3"/>
    <row r="312" x14ac:dyDescent="0.3"/>
    <row r="313" x14ac:dyDescent="0.3"/>
    <row r="314" x14ac:dyDescent="0.3"/>
    <row r="315" x14ac:dyDescent="0.3"/>
    <row r="316" x14ac:dyDescent="0.3"/>
    <row r="317" x14ac:dyDescent="0.3"/>
    <row r="318" x14ac:dyDescent="0.3"/>
    <row r="319" x14ac:dyDescent="0.3"/>
    <row r="320" x14ac:dyDescent="0.3"/>
    <row r="321" x14ac:dyDescent="0.3"/>
    <row r="322" x14ac:dyDescent="0.3"/>
    <row r="323" x14ac:dyDescent="0.3"/>
    <row r="324" x14ac:dyDescent="0.3"/>
    <row r="325" x14ac:dyDescent="0.3"/>
    <row r="326" x14ac:dyDescent="0.3"/>
    <row r="327" x14ac:dyDescent="0.3"/>
    <row r="328" x14ac:dyDescent="0.3"/>
    <row r="329" x14ac:dyDescent="0.3"/>
    <row r="330" x14ac:dyDescent="0.3"/>
    <row r="331" x14ac:dyDescent="0.3"/>
    <row r="332" x14ac:dyDescent="0.3"/>
    <row r="333" x14ac:dyDescent="0.3"/>
    <row r="334" x14ac:dyDescent="0.3"/>
    <row r="335" x14ac:dyDescent="0.3"/>
    <row r="336" x14ac:dyDescent="0.3"/>
    <row r="337" x14ac:dyDescent="0.3"/>
    <row r="338" x14ac:dyDescent="0.3"/>
    <row r="339" x14ac:dyDescent="0.3"/>
    <row r="340" x14ac:dyDescent="0.3"/>
    <row r="341" x14ac:dyDescent="0.3"/>
    <row r="342" x14ac:dyDescent="0.3"/>
    <row r="343" x14ac:dyDescent="0.3"/>
    <row r="344" x14ac:dyDescent="0.3"/>
    <row r="345" x14ac:dyDescent="0.3"/>
    <row r="346" x14ac:dyDescent="0.3"/>
    <row r="347" x14ac:dyDescent="0.3"/>
    <row r="348" x14ac:dyDescent="0.3"/>
    <row r="349" x14ac:dyDescent="0.3"/>
    <row r="350" x14ac:dyDescent="0.3"/>
    <row r="351" x14ac:dyDescent="0.3"/>
    <row r="352" x14ac:dyDescent="0.3"/>
    <row r="353" x14ac:dyDescent="0.3"/>
    <row r="354" x14ac:dyDescent="0.3"/>
    <row r="355" x14ac:dyDescent="0.3"/>
    <row r="356" x14ac:dyDescent="0.3"/>
    <row r="357" x14ac:dyDescent="0.3"/>
    <row r="358" x14ac:dyDescent="0.3"/>
    <row r="359" x14ac:dyDescent="0.3"/>
    <row r="360" x14ac:dyDescent="0.3"/>
    <row r="361" x14ac:dyDescent="0.3"/>
    <row r="362" x14ac:dyDescent="0.3"/>
    <row r="363" x14ac:dyDescent="0.3"/>
    <row r="364" x14ac:dyDescent="0.3"/>
    <row r="365" x14ac:dyDescent="0.3"/>
    <row r="366" x14ac:dyDescent="0.3"/>
    <row r="367" x14ac:dyDescent="0.3"/>
    <row r="368" x14ac:dyDescent="0.3"/>
    <row r="369" x14ac:dyDescent="0.3"/>
    <row r="370" x14ac:dyDescent="0.3"/>
    <row r="371" x14ac:dyDescent="0.3"/>
    <row r="372" x14ac:dyDescent="0.3"/>
    <row r="373" x14ac:dyDescent="0.3"/>
    <row r="374" x14ac:dyDescent="0.3"/>
    <row r="375" x14ac:dyDescent="0.3"/>
    <row r="376" x14ac:dyDescent="0.3"/>
    <row r="377" x14ac:dyDescent="0.3"/>
    <row r="378" x14ac:dyDescent="0.3"/>
    <row r="379" x14ac:dyDescent="0.3"/>
    <row r="380" x14ac:dyDescent="0.3"/>
    <row r="381" x14ac:dyDescent="0.3"/>
    <row r="382" x14ac:dyDescent="0.3"/>
    <row r="383" x14ac:dyDescent="0.3"/>
    <row r="384" x14ac:dyDescent="0.3"/>
    <row r="385" x14ac:dyDescent="0.3"/>
    <row r="386" x14ac:dyDescent="0.3"/>
    <row r="387" x14ac:dyDescent="0.3"/>
    <row r="388" x14ac:dyDescent="0.3"/>
    <row r="389" x14ac:dyDescent="0.3"/>
    <row r="390" x14ac:dyDescent="0.3"/>
    <row r="391" x14ac:dyDescent="0.3"/>
    <row r="392" x14ac:dyDescent="0.3"/>
    <row r="393" x14ac:dyDescent="0.3"/>
    <row r="394" x14ac:dyDescent="0.3"/>
    <row r="395" x14ac:dyDescent="0.3"/>
    <row r="396" x14ac:dyDescent="0.3"/>
    <row r="397" x14ac:dyDescent="0.3"/>
    <row r="398" x14ac:dyDescent="0.3"/>
    <row r="399" x14ac:dyDescent="0.3"/>
    <row r="400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x14ac:dyDescent="0.3"/>
    <row r="429" x14ac:dyDescent="0.3"/>
    <row r="430" x14ac:dyDescent="0.3"/>
    <row r="431" x14ac:dyDescent="0.3"/>
    <row r="432" x14ac:dyDescent="0.3"/>
    <row r="433" x14ac:dyDescent="0.3"/>
    <row r="434" x14ac:dyDescent="0.3"/>
    <row r="435" x14ac:dyDescent="0.3"/>
    <row r="436" x14ac:dyDescent="0.3"/>
    <row r="437" x14ac:dyDescent="0.3"/>
    <row r="438" x14ac:dyDescent="0.3"/>
    <row r="439" x14ac:dyDescent="0.3"/>
    <row r="440" x14ac:dyDescent="0.3"/>
    <row r="441" x14ac:dyDescent="0.3"/>
    <row r="442" x14ac:dyDescent="0.3"/>
    <row r="443" x14ac:dyDescent="0.3"/>
    <row r="444" x14ac:dyDescent="0.3"/>
    <row r="445" x14ac:dyDescent="0.3"/>
    <row r="446" x14ac:dyDescent="0.3"/>
    <row r="447" x14ac:dyDescent="0.3"/>
    <row r="448" x14ac:dyDescent="0.3"/>
    <row r="449" x14ac:dyDescent="0.3"/>
    <row r="450" x14ac:dyDescent="0.3"/>
    <row r="451" x14ac:dyDescent="0.3"/>
    <row r="452" x14ac:dyDescent="0.3"/>
    <row r="453" x14ac:dyDescent="0.3"/>
    <row r="454" x14ac:dyDescent="0.3"/>
    <row r="455" x14ac:dyDescent="0.3"/>
    <row r="456" x14ac:dyDescent="0.3"/>
    <row r="457" x14ac:dyDescent="0.3"/>
    <row r="458" x14ac:dyDescent="0.3"/>
    <row r="459" x14ac:dyDescent="0.3"/>
    <row r="460" x14ac:dyDescent="0.3"/>
    <row r="461" x14ac:dyDescent="0.3"/>
    <row r="462" x14ac:dyDescent="0.3"/>
    <row r="463" x14ac:dyDescent="0.3"/>
    <row r="464" x14ac:dyDescent="0.3"/>
    <row r="465" x14ac:dyDescent="0.3"/>
    <row r="466" x14ac:dyDescent="0.3"/>
    <row r="467" x14ac:dyDescent="0.3"/>
    <row r="468" x14ac:dyDescent="0.3"/>
    <row r="469" x14ac:dyDescent="0.3"/>
    <row r="470" x14ac:dyDescent="0.3"/>
    <row r="471" x14ac:dyDescent="0.3"/>
    <row r="472" x14ac:dyDescent="0.3"/>
    <row r="473" x14ac:dyDescent="0.3"/>
    <row r="474" x14ac:dyDescent="0.3"/>
    <row r="475" x14ac:dyDescent="0.3"/>
    <row r="476" x14ac:dyDescent="0.3"/>
    <row r="477" x14ac:dyDescent="0.3"/>
    <row r="478" x14ac:dyDescent="0.3"/>
    <row r="479" x14ac:dyDescent="0.3"/>
    <row r="480" x14ac:dyDescent="0.3"/>
    <row r="481" x14ac:dyDescent="0.3"/>
    <row r="482" x14ac:dyDescent="0.3"/>
    <row r="483" x14ac:dyDescent="0.3"/>
    <row r="484" x14ac:dyDescent="0.3"/>
    <row r="485" x14ac:dyDescent="0.3"/>
    <row r="486" x14ac:dyDescent="0.3"/>
    <row r="487" x14ac:dyDescent="0.3"/>
    <row r="488" x14ac:dyDescent="0.3"/>
    <row r="489" x14ac:dyDescent="0.3"/>
    <row r="490" x14ac:dyDescent="0.3"/>
    <row r="491" x14ac:dyDescent="0.3"/>
    <row r="492" x14ac:dyDescent="0.3"/>
    <row r="493" x14ac:dyDescent="0.3"/>
    <row r="494" x14ac:dyDescent="0.3"/>
    <row r="495" x14ac:dyDescent="0.3"/>
    <row r="496" x14ac:dyDescent="0.3"/>
    <row r="497" x14ac:dyDescent="0.3"/>
    <row r="498" x14ac:dyDescent="0.3"/>
    <row r="499" x14ac:dyDescent="0.3"/>
    <row r="500" x14ac:dyDescent="0.3"/>
    <row r="501" x14ac:dyDescent="0.3"/>
    <row r="502" x14ac:dyDescent="0.3"/>
    <row r="503" x14ac:dyDescent="0.3"/>
    <row r="504" x14ac:dyDescent="0.3"/>
    <row r="505" x14ac:dyDescent="0.3"/>
    <row r="506" x14ac:dyDescent="0.3"/>
    <row r="507" x14ac:dyDescent="0.3"/>
    <row r="508" x14ac:dyDescent="0.3"/>
    <row r="509" x14ac:dyDescent="0.3"/>
    <row r="510" x14ac:dyDescent="0.3"/>
    <row r="511" x14ac:dyDescent="0.3"/>
    <row r="512" x14ac:dyDescent="0.3"/>
    <row r="513" x14ac:dyDescent="0.3"/>
    <row r="514" x14ac:dyDescent="0.3"/>
    <row r="515" x14ac:dyDescent="0.3"/>
    <row r="516" x14ac:dyDescent="0.3"/>
    <row r="517" x14ac:dyDescent="0.3"/>
    <row r="518" x14ac:dyDescent="0.3"/>
    <row r="519" x14ac:dyDescent="0.3"/>
    <row r="520" x14ac:dyDescent="0.3"/>
    <row r="521" x14ac:dyDescent="0.3"/>
    <row r="522" x14ac:dyDescent="0.3"/>
    <row r="523" x14ac:dyDescent="0.3"/>
    <row r="524" x14ac:dyDescent="0.3"/>
    <row r="525" x14ac:dyDescent="0.3"/>
    <row r="526" x14ac:dyDescent="0.3"/>
    <row r="527" x14ac:dyDescent="0.3"/>
    <row r="528" x14ac:dyDescent="0.3"/>
    <row r="529" x14ac:dyDescent="0.3"/>
    <row r="530" x14ac:dyDescent="0.3"/>
    <row r="531" x14ac:dyDescent="0.3"/>
    <row r="532" x14ac:dyDescent="0.3"/>
    <row r="533" x14ac:dyDescent="0.3"/>
    <row r="534" x14ac:dyDescent="0.3"/>
    <row r="535" x14ac:dyDescent="0.3"/>
    <row r="536" x14ac:dyDescent="0.3"/>
    <row r="537" x14ac:dyDescent="0.3"/>
    <row r="538" x14ac:dyDescent="0.3"/>
    <row r="539" x14ac:dyDescent="0.3"/>
    <row r="540" x14ac:dyDescent="0.3"/>
    <row r="541" x14ac:dyDescent="0.3"/>
    <row r="542" x14ac:dyDescent="0.3"/>
    <row r="543" x14ac:dyDescent="0.3"/>
    <row r="544" x14ac:dyDescent="0.3"/>
    <row r="545" x14ac:dyDescent="0.3"/>
    <row r="546" x14ac:dyDescent="0.3"/>
    <row r="547" x14ac:dyDescent="0.3"/>
    <row r="548" x14ac:dyDescent="0.3"/>
    <row r="549" x14ac:dyDescent="0.3"/>
    <row r="550" x14ac:dyDescent="0.3"/>
    <row r="551" x14ac:dyDescent="0.3"/>
    <row r="552" x14ac:dyDescent="0.3"/>
    <row r="553" x14ac:dyDescent="0.3"/>
    <row r="554" x14ac:dyDescent="0.3"/>
    <row r="555" x14ac:dyDescent="0.3"/>
    <row r="556" x14ac:dyDescent="0.3"/>
    <row r="557" x14ac:dyDescent="0.3"/>
    <row r="558" x14ac:dyDescent="0.3"/>
    <row r="559" x14ac:dyDescent="0.3"/>
    <row r="560" x14ac:dyDescent="0.3"/>
    <row r="561" x14ac:dyDescent="0.3"/>
    <row r="562" x14ac:dyDescent="0.3"/>
    <row r="563" x14ac:dyDescent="0.3"/>
    <row r="564" x14ac:dyDescent="0.3"/>
    <row r="565" x14ac:dyDescent="0.3"/>
    <row r="566" x14ac:dyDescent="0.3"/>
    <row r="567" x14ac:dyDescent="0.3"/>
    <row r="568" x14ac:dyDescent="0.3"/>
    <row r="569" x14ac:dyDescent="0.3"/>
    <row r="570" x14ac:dyDescent="0.3"/>
    <row r="571" x14ac:dyDescent="0.3"/>
    <row r="572" x14ac:dyDescent="0.3"/>
    <row r="573" x14ac:dyDescent="0.3"/>
    <row r="574" x14ac:dyDescent="0.3"/>
    <row r="575" x14ac:dyDescent="0.3"/>
    <row r="576" x14ac:dyDescent="0.3"/>
    <row r="577" x14ac:dyDescent="0.3"/>
    <row r="578" x14ac:dyDescent="0.3"/>
    <row r="579" x14ac:dyDescent="0.3"/>
    <row r="580" x14ac:dyDescent="0.3"/>
    <row r="581" x14ac:dyDescent="0.3"/>
    <row r="582" x14ac:dyDescent="0.3"/>
    <row r="583" x14ac:dyDescent="0.3"/>
    <row r="584" x14ac:dyDescent="0.3"/>
    <row r="585" x14ac:dyDescent="0.3"/>
    <row r="586" x14ac:dyDescent="0.3"/>
    <row r="587" x14ac:dyDescent="0.3"/>
    <row r="588" x14ac:dyDescent="0.3"/>
    <row r="589" x14ac:dyDescent="0.3"/>
    <row r="590" x14ac:dyDescent="0.3"/>
    <row r="591" x14ac:dyDescent="0.3"/>
    <row r="592" x14ac:dyDescent="0.3"/>
    <row r="593" x14ac:dyDescent="0.3"/>
    <row r="594" x14ac:dyDescent="0.3"/>
    <row r="595" x14ac:dyDescent="0.3"/>
    <row r="596" x14ac:dyDescent="0.3"/>
    <row r="597" x14ac:dyDescent="0.3"/>
    <row r="598" x14ac:dyDescent="0.3"/>
    <row r="599" x14ac:dyDescent="0.3"/>
    <row r="600" x14ac:dyDescent="0.3"/>
    <row r="601" x14ac:dyDescent="0.3"/>
    <row r="602" x14ac:dyDescent="0.3"/>
    <row r="603" x14ac:dyDescent="0.3"/>
    <row r="604" x14ac:dyDescent="0.3"/>
    <row r="605" x14ac:dyDescent="0.3"/>
    <row r="606" x14ac:dyDescent="0.3"/>
    <row r="607" x14ac:dyDescent="0.3"/>
    <row r="608" x14ac:dyDescent="0.3"/>
    <row r="609" x14ac:dyDescent="0.3"/>
    <row r="610" x14ac:dyDescent="0.3"/>
    <row r="611" x14ac:dyDescent="0.3"/>
    <row r="612" x14ac:dyDescent="0.3"/>
    <row r="613" x14ac:dyDescent="0.3"/>
    <row r="614" x14ac:dyDescent="0.3"/>
    <row r="615" x14ac:dyDescent="0.3"/>
    <row r="616" x14ac:dyDescent="0.3"/>
    <row r="617" x14ac:dyDescent="0.3"/>
    <row r="618" x14ac:dyDescent="0.3"/>
    <row r="619" x14ac:dyDescent="0.3"/>
    <row r="620" x14ac:dyDescent="0.3"/>
    <row r="621" x14ac:dyDescent="0.3"/>
    <row r="622" x14ac:dyDescent="0.3"/>
    <row r="623" x14ac:dyDescent="0.3"/>
    <row r="624" x14ac:dyDescent="0.3"/>
    <row r="625" x14ac:dyDescent="0.3"/>
    <row r="626" x14ac:dyDescent="0.3"/>
    <row r="627" x14ac:dyDescent="0.3"/>
    <row r="628" x14ac:dyDescent="0.3"/>
    <row r="629" x14ac:dyDescent="0.3"/>
    <row r="630" x14ac:dyDescent="0.3"/>
    <row r="631" x14ac:dyDescent="0.3"/>
    <row r="632" x14ac:dyDescent="0.3"/>
    <row r="633" x14ac:dyDescent="0.3"/>
    <row r="634" x14ac:dyDescent="0.3"/>
    <row r="635" x14ac:dyDescent="0.3"/>
    <row r="636" x14ac:dyDescent="0.3"/>
    <row r="637" x14ac:dyDescent="0.3"/>
    <row r="638" x14ac:dyDescent="0.3"/>
    <row r="639" x14ac:dyDescent="0.3"/>
    <row r="640" x14ac:dyDescent="0.3"/>
    <row r="641" x14ac:dyDescent="0.3"/>
    <row r="642" x14ac:dyDescent="0.3"/>
    <row r="643" x14ac:dyDescent="0.3"/>
    <row r="644" x14ac:dyDescent="0.3"/>
    <row r="645" x14ac:dyDescent="0.3"/>
    <row r="646" x14ac:dyDescent="0.3"/>
    <row r="647" x14ac:dyDescent="0.3"/>
    <row r="648" x14ac:dyDescent="0.3"/>
    <row r="649" x14ac:dyDescent="0.3"/>
    <row r="650" x14ac:dyDescent="0.3"/>
    <row r="651" x14ac:dyDescent="0.3"/>
    <row r="652" x14ac:dyDescent="0.3"/>
    <row r="653" x14ac:dyDescent="0.3"/>
    <row r="654" x14ac:dyDescent="0.3"/>
    <row r="655" x14ac:dyDescent="0.3"/>
    <row r="656" x14ac:dyDescent="0.3"/>
    <row r="657" x14ac:dyDescent="0.3"/>
    <row r="658" x14ac:dyDescent="0.3"/>
    <row r="659" x14ac:dyDescent="0.3"/>
    <row r="660" x14ac:dyDescent="0.3"/>
    <row r="661" x14ac:dyDescent="0.3"/>
    <row r="662" x14ac:dyDescent="0.3"/>
    <row r="663" x14ac:dyDescent="0.3"/>
    <row r="664" x14ac:dyDescent="0.3"/>
    <row r="665" x14ac:dyDescent="0.3"/>
    <row r="666" x14ac:dyDescent="0.3"/>
    <row r="667" x14ac:dyDescent="0.3"/>
    <row r="668" x14ac:dyDescent="0.3"/>
    <row r="669" x14ac:dyDescent="0.3"/>
    <row r="670" x14ac:dyDescent="0.3"/>
    <row r="671" x14ac:dyDescent="0.3"/>
    <row r="672" x14ac:dyDescent="0.3"/>
    <row r="673" x14ac:dyDescent="0.3"/>
    <row r="674" x14ac:dyDescent="0.3"/>
    <row r="675" x14ac:dyDescent="0.3"/>
    <row r="676" x14ac:dyDescent="0.3"/>
    <row r="677" x14ac:dyDescent="0.3"/>
    <row r="678" x14ac:dyDescent="0.3"/>
    <row r="679" x14ac:dyDescent="0.3"/>
    <row r="680" x14ac:dyDescent="0.3"/>
    <row r="681" x14ac:dyDescent="0.3"/>
    <row r="682" x14ac:dyDescent="0.3"/>
    <row r="683" x14ac:dyDescent="0.3"/>
    <row r="684" x14ac:dyDescent="0.3"/>
    <row r="685" x14ac:dyDescent="0.3"/>
    <row r="686" x14ac:dyDescent="0.3"/>
    <row r="687" x14ac:dyDescent="0.3"/>
    <row r="688" x14ac:dyDescent="0.3"/>
    <row r="689" x14ac:dyDescent="0.3"/>
    <row r="690" x14ac:dyDescent="0.3"/>
    <row r="691" x14ac:dyDescent="0.3"/>
    <row r="692" x14ac:dyDescent="0.3"/>
    <row r="693" x14ac:dyDescent="0.3"/>
    <row r="694" x14ac:dyDescent="0.3"/>
    <row r="695" x14ac:dyDescent="0.3"/>
    <row r="696" x14ac:dyDescent="0.3"/>
    <row r="697" x14ac:dyDescent="0.3"/>
    <row r="698" x14ac:dyDescent="0.3"/>
    <row r="699" x14ac:dyDescent="0.3"/>
    <row r="700" x14ac:dyDescent="0.3"/>
    <row r="701" x14ac:dyDescent="0.3"/>
    <row r="702" x14ac:dyDescent="0.3"/>
    <row r="703" x14ac:dyDescent="0.3"/>
    <row r="704" x14ac:dyDescent="0.3"/>
    <row r="705" x14ac:dyDescent="0.3"/>
    <row r="706" x14ac:dyDescent="0.3"/>
    <row r="707" x14ac:dyDescent="0.3"/>
    <row r="708" x14ac:dyDescent="0.3"/>
    <row r="709" x14ac:dyDescent="0.3"/>
    <row r="710" x14ac:dyDescent="0.3"/>
    <row r="711" x14ac:dyDescent="0.3"/>
    <row r="712" x14ac:dyDescent="0.3"/>
    <row r="713" x14ac:dyDescent="0.3"/>
    <row r="714" x14ac:dyDescent="0.3"/>
    <row r="715" x14ac:dyDescent="0.3"/>
    <row r="716" x14ac:dyDescent="0.3"/>
    <row r="717" x14ac:dyDescent="0.3"/>
    <row r="718" x14ac:dyDescent="0.3"/>
    <row r="719" x14ac:dyDescent="0.3"/>
    <row r="720" x14ac:dyDescent="0.3"/>
    <row r="721" x14ac:dyDescent="0.3"/>
    <row r="722" x14ac:dyDescent="0.3"/>
    <row r="723" x14ac:dyDescent="0.3"/>
    <row r="724" x14ac:dyDescent="0.3"/>
    <row r="725" x14ac:dyDescent="0.3"/>
    <row r="726" x14ac:dyDescent="0.3"/>
    <row r="727" x14ac:dyDescent="0.3"/>
    <row r="728" x14ac:dyDescent="0.3"/>
    <row r="729" x14ac:dyDescent="0.3"/>
    <row r="730" x14ac:dyDescent="0.3"/>
    <row r="731" x14ac:dyDescent="0.3"/>
    <row r="732" x14ac:dyDescent="0.3"/>
    <row r="733" x14ac:dyDescent="0.3"/>
    <row r="734" x14ac:dyDescent="0.3"/>
    <row r="735" x14ac:dyDescent="0.3"/>
    <row r="736" x14ac:dyDescent="0.3"/>
    <row r="737" x14ac:dyDescent="0.3"/>
    <row r="738" x14ac:dyDescent="0.3"/>
    <row r="739" x14ac:dyDescent="0.3"/>
    <row r="740" x14ac:dyDescent="0.3"/>
    <row r="741" x14ac:dyDescent="0.3"/>
    <row r="742" x14ac:dyDescent="0.3"/>
    <row r="743" x14ac:dyDescent="0.3"/>
    <row r="744" x14ac:dyDescent="0.3"/>
    <row r="745" x14ac:dyDescent="0.3"/>
    <row r="746" x14ac:dyDescent="0.3"/>
    <row r="747" x14ac:dyDescent="0.3"/>
    <row r="748" x14ac:dyDescent="0.3"/>
    <row r="749" x14ac:dyDescent="0.3"/>
    <row r="750" x14ac:dyDescent="0.3"/>
    <row r="751" x14ac:dyDescent="0.3"/>
    <row r="752" x14ac:dyDescent="0.3"/>
    <row r="753" x14ac:dyDescent="0.3"/>
    <row r="754" x14ac:dyDescent="0.3"/>
    <row r="755" x14ac:dyDescent="0.3"/>
    <row r="756" x14ac:dyDescent="0.3"/>
    <row r="757" x14ac:dyDescent="0.3"/>
    <row r="758" x14ac:dyDescent="0.3"/>
    <row r="759" x14ac:dyDescent="0.3"/>
    <row r="760" x14ac:dyDescent="0.3"/>
    <row r="761" x14ac:dyDescent="0.3"/>
    <row r="762" x14ac:dyDescent="0.3"/>
    <row r="763" x14ac:dyDescent="0.3"/>
    <row r="764" x14ac:dyDescent="0.3"/>
    <row r="765" x14ac:dyDescent="0.3"/>
    <row r="766" x14ac:dyDescent="0.3"/>
    <row r="767" x14ac:dyDescent="0.3"/>
    <row r="768" x14ac:dyDescent="0.3"/>
    <row r="769" x14ac:dyDescent="0.3"/>
    <row r="770" x14ac:dyDescent="0.3"/>
    <row r="771" x14ac:dyDescent="0.3"/>
    <row r="772" x14ac:dyDescent="0.3"/>
    <row r="773" x14ac:dyDescent="0.3"/>
    <row r="774" x14ac:dyDescent="0.3"/>
    <row r="775" x14ac:dyDescent="0.3"/>
    <row r="776" x14ac:dyDescent="0.3"/>
    <row r="777" x14ac:dyDescent="0.3"/>
    <row r="778" x14ac:dyDescent="0.3"/>
    <row r="779" x14ac:dyDescent="0.3"/>
    <row r="780" x14ac:dyDescent="0.3"/>
    <row r="781" x14ac:dyDescent="0.3"/>
    <row r="782" x14ac:dyDescent="0.3"/>
    <row r="783" x14ac:dyDescent="0.3"/>
    <row r="784" x14ac:dyDescent="0.3"/>
    <row r="785" x14ac:dyDescent="0.3"/>
    <row r="786" x14ac:dyDescent="0.3"/>
    <row r="787" x14ac:dyDescent="0.3"/>
    <row r="788" x14ac:dyDescent="0.3"/>
    <row r="789" x14ac:dyDescent="0.3"/>
    <row r="790" x14ac:dyDescent="0.3"/>
    <row r="791" x14ac:dyDescent="0.3"/>
    <row r="792" x14ac:dyDescent="0.3"/>
    <row r="793" x14ac:dyDescent="0.3"/>
    <row r="794" x14ac:dyDescent="0.3"/>
    <row r="795" x14ac:dyDescent="0.3"/>
    <row r="796" x14ac:dyDescent="0.3"/>
    <row r="797" x14ac:dyDescent="0.3"/>
    <row r="798" x14ac:dyDescent="0.3"/>
    <row r="799" x14ac:dyDescent="0.3"/>
    <row r="800" x14ac:dyDescent="0.3"/>
    <row r="801" x14ac:dyDescent="0.3"/>
    <row r="802" x14ac:dyDescent="0.3"/>
    <row r="803" x14ac:dyDescent="0.3"/>
    <row r="804" x14ac:dyDescent="0.3"/>
    <row r="805" x14ac:dyDescent="0.3"/>
    <row r="806" x14ac:dyDescent="0.3"/>
    <row r="807" x14ac:dyDescent="0.3"/>
    <row r="808" x14ac:dyDescent="0.3"/>
    <row r="809" x14ac:dyDescent="0.3"/>
    <row r="810" x14ac:dyDescent="0.3"/>
    <row r="811" x14ac:dyDescent="0.3"/>
    <row r="812" x14ac:dyDescent="0.3"/>
    <row r="813" x14ac:dyDescent="0.3"/>
    <row r="814" x14ac:dyDescent="0.3"/>
    <row r="815" x14ac:dyDescent="0.3"/>
    <row r="816" x14ac:dyDescent="0.3"/>
    <row r="817" x14ac:dyDescent="0.3"/>
    <row r="818" x14ac:dyDescent="0.3"/>
    <row r="819" x14ac:dyDescent="0.3"/>
    <row r="820" x14ac:dyDescent="0.3"/>
    <row r="821" x14ac:dyDescent="0.3"/>
    <row r="822" x14ac:dyDescent="0.3"/>
    <row r="823" x14ac:dyDescent="0.3"/>
    <row r="824" x14ac:dyDescent="0.3"/>
    <row r="825" x14ac:dyDescent="0.3"/>
    <row r="826" x14ac:dyDescent="0.3"/>
    <row r="827" x14ac:dyDescent="0.3"/>
    <row r="828" x14ac:dyDescent="0.3"/>
    <row r="829" x14ac:dyDescent="0.3"/>
    <row r="830" x14ac:dyDescent="0.3"/>
    <row r="831" x14ac:dyDescent="0.3"/>
    <row r="832" x14ac:dyDescent="0.3"/>
    <row r="833" x14ac:dyDescent="0.3"/>
    <row r="834" x14ac:dyDescent="0.3"/>
    <row r="835" x14ac:dyDescent="0.3"/>
    <row r="836" x14ac:dyDescent="0.3"/>
    <row r="837" x14ac:dyDescent="0.3"/>
    <row r="838" x14ac:dyDescent="0.3"/>
    <row r="839" x14ac:dyDescent="0.3"/>
    <row r="840" x14ac:dyDescent="0.3"/>
    <row r="841" x14ac:dyDescent="0.3"/>
    <row r="842" x14ac:dyDescent="0.3"/>
    <row r="843" x14ac:dyDescent="0.3"/>
    <row r="844" x14ac:dyDescent="0.3"/>
    <row r="845" x14ac:dyDescent="0.3"/>
    <row r="846" x14ac:dyDescent="0.3"/>
    <row r="847" x14ac:dyDescent="0.3"/>
    <row r="848" x14ac:dyDescent="0.3"/>
    <row r="849" x14ac:dyDescent="0.3"/>
    <row r="850" x14ac:dyDescent="0.3"/>
    <row r="851" x14ac:dyDescent="0.3"/>
    <row r="852" x14ac:dyDescent="0.3"/>
    <row r="853" x14ac:dyDescent="0.3"/>
    <row r="854" x14ac:dyDescent="0.3"/>
    <row r="855" x14ac:dyDescent="0.3"/>
    <row r="856" x14ac:dyDescent="0.3"/>
    <row r="857" x14ac:dyDescent="0.3"/>
    <row r="858" x14ac:dyDescent="0.3"/>
    <row r="859" x14ac:dyDescent="0.3"/>
    <row r="860" x14ac:dyDescent="0.3"/>
    <row r="861" x14ac:dyDescent="0.3"/>
    <row r="862" x14ac:dyDescent="0.3"/>
    <row r="863" x14ac:dyDescent="0.3"/>
    <row r="864" x14ac:dyDescent="0.3"/>
    <row r="865" x14ac:dyDescent="0.3"/>
    <row r="866" x14ac:dyDescent="0.3"/>
    <row r="867" x14ac:dyDescent="0.3"/>
    <row r="868" x14ac:dyDescent="0.3"/>
    <row r="869" x14ac:dyDescent="0.3"/>
    <row r="870" x14ac:dyDescent="0.3"/>
    <row r="871" x14ac:dyDescent="0.3"/>
    <row r="872" x14ac:dyDescent="0.3"/>
    <row r="873" x14ac:dyDescent="0.3"/>
    <row r="874" x14ac:dyDescent="0.3"/>
    <row r="875" x14ac:dyDescent="0.3"/>
    <row r="876" x14ac:dyDescent="0.3"/>
    <row r="877" x14ac:dyDescent="0.3"/>
    <row r="878" x14ac:dyDescent="0.3"/>
    <row r="879" x14ac:dyDescent="0.3"/>
    <row r="880" x14ac:dyDescent="0.3"/>
    <row r="881" x14ac:dyDescent="0.3"/>
    <row r="882" x14ac:dyDescent="0.3"/>
    <row r="883" x14ac:dyDescent="0.3"/>
    <row r="884" x14ac:dyDescent="0.3"/>
    <row r="885" x14ac:dyDescent="0.3"/>
    <row r="886" x14ac:dyDescent="0.3"/>
    <row r="887" x14ac:dyDescent="0.3"/>
    <row r="888" x14ac:dyDescent="0.3"/>
    <row r="889" x14ac:dyDescent="0.3"/>
    <row r="890" x14ac:dyDescent="0.3"/>
    <row r="891" x14ac:dyDescent="0.3"/>
    <row r="892" x14ac:dyDescent="0.3"/>
    <row r="893" x14ac:dyDescent="0.3"/>
    <row r="894" x14ac:dyDescent="0.3"/>
    <row r="895" x14ac:dyDescent="0.3"/>
    <row r="896" x14ac:dyDescent="0.3"/>
    <row r="897" x14ac:dyDescent="0.3"/>
    <row r="898" x14ac:dyDescent="0.3"/>
    <row r="899" x14ac:dyDescent="0.3"/>
    <row r="900" x14ac:dyDescent="0.3"/>
    <row r="901" x14ac:dyDescent="0.3"/>
    <row r="902" x14ac:dyDescent="0.3"/>
    <row r="903" x14ac:dyDescent="0.3"/>
    <row r="904" x14ac:dyDescent="0.3"/>
    <row r="905" x14ac:dyDescent="0.3"/>
    <row r="906" x14ac:dyDescent="0.3"/>
    <row r="907" x14ac:dyDescent="0.3"/>
    <row r="908" x14ac:dyDescent="0.3"/>
    <row r="909" x14ac:dyDescent="0.3"/>
    <row r="910" x14ac:dyDescent="0.3"/>
    <row r="911" x14ac:dyDescent="0.3"/>
    <row r="912" x14ac:dyDescent="0.3"/>
    <row r="913" x14ac:dyDescent="0.3"/>
    <row r="914" x14ac:dyDescent="0.3"/>
    <row r="915" x14ac:dyDescent="0.3"/>
    <row r="916" x14ac:dyDescent="0.3"/>
    <row r="917" x14ac:dyDescent="0.3"/>
    <row r="918" x14ac:dyDescent="0.3"/>
    <row r="919" x14ac:dyDescent="0.3"/>
    <row r="920" x14ac:dyDescent="0.3"/>
    <row r="921" x14ac:dyDescent="0.3"/>
    <row r="922" x14ac:dyDescent="0.3"/>
    <row r="923" x14ac:dyDescent="0.3"/>
    <row r="924" x14ac:dyDescent="0.3"/>
    <row r="925" x14ac:dyDescent="0.3"/>
    <row r="926" x14ac:dyDescent="0.3"/>
    <row r="927" x14ac:dyDescent="0.3"/>
    <row r="928" x14ac:dyDescent="0.3"/>
    <row r="929" x14ac:dyDescent="0.3"/>
    <row r="930" x14ac:dyDescent="0.3"/>
    <row r="931" x14ac:dyDescent="0.3"/>
    <row r="932" x14ac:dyDescent="0.3"/>
    <row r="933" x14ac:dyDescent="0.3"/>
    <row r="934" x14ac:dyDescent="0.3"/>
    <row r="935" x14ac:dyDescent="0.3"/>
    <row r="936" x14ac:dyDescent="0.3"/>
    <row r="937" x14ac:dyDescent="0.3"/>
    <row r="938" x14ac:dyDescent="0.3"/>
    <row r="939" x14ac:dyDescent="0.3"/>
    <row r="940" x14ac:dyDescent="0.3"/>
    <row r="941" x14ac:dyDescent="0.3"/>
    <row r="942" x14ac:dyDescent="0.3"/>
    <row r="943" x14ac:dyDescent="0.3"/>
    <row r="944" x14ac:dyDescent="0.3"/>
    <row r="945" x14ac:dyDescent="0.3"/>
    <row r="946" x14ac:dyDescent="0.3"/>
    <row r="947" x14ac:dyDescent="0.3"/>
    <row r="948" x14ac:dyDescent="0.3"/>
    <row r="949" x14ac:dyDescent="0.3"/>
    <row r="950" x14ac:dyDescent="0.3"/>
    <row r="951" x14ac:dyDescent="0.3"/>
    <row r="952" x14ac:dyDescent="0.3"/>
    <row r="953" x14ac:dyDescent="0.3"/>
    <row r="954" x14ac:dyDescent="0.3"/>
    <row r="955" x14ac:dyDescent="0.3"/>
    <row r="956" x14ac:dyDescent="0.3"/>
    <row r="957" x14ac:dyDescent="0.3"/>
    <row r="958" x14ac:dyDescent="0.3"/>
    <row r="959" x14ac:dyDescent="0.3"/>
    <row r="960" x14ac:dyDescent="0.3"/>
    <row r="961" x14ac:dyDescent="0.3"/>
    <row r="962" x14ac:dyDescent="0.3"/>
    <row r="963" x14ac:dyDescent="0.3"/>
    <row r="964" x14ac:dyDescent="0.3"/>
    <row r="965" x14ac:dyDescent="0.3"/>
    <row r="966" x14ac:dyDescent="0.3"/>
    <row r="967" x14ac:dyDescent="0.3"/>
    <row r="968" x14ac:dyDescent="0.3"/>
    <row r="969" x14ac:dyDescent="0.3"/>
    <row r="970" x14ac:dyDescent="0.3"/>
    <row r="971" x14ac:dyDescent="0.3"/>
    <row r="972" x14ac:dyDescent="0.3"/>
    <row r="973" x14ac:dyDescent="0.3"/>
    <row r="974" x14ac:dyDescent="0.3"/>
    <row r="975" x14ac:dyDescent="0.3"/>
    <row r="976" x14ac:dyDescent="0.3"/>
    <row r="977" x14ac:dyDescent="0.3"/>
    <row r="978" x14ac:dyDescent="0.3"/>
    <row r="979" x14ac:dyDescent="0.3"/>
    <row r="980" x14ac:dyDescent="0.3"/>
    <row r="981" x14ac:dyDescent="0.3"/>
    <row r="982" x14ac:dyDescent="0.3"/>
    <row r="983" x14ac:dyDescent="0.3"/>
    <row r="984" x14ac:dyDescent="0.3"/>
    <row r="985" x14ac:dyDescent="0.3"/>
    <row r="986" x14ac:dyDescent="0.3"/>
    <row r="987" x14ac:dyDescent="0.3"/>
    <row r="988" x14ac:dyDescent="0.3"/>
    <row r="989" x14ac:dyDescent="0.3"/>
    <row r="990" x14ac:dyDescent="0.3"/>
    <row r="991" x14ac:dyDescent="0.3"/>
    <row r="992" x14ac:dyDescent="0.3"/>
    <row r="993" x14ac:dyDescent="0.3"/>
    <row r="994" x14ac:dyDescent="0.3"/>
    <row r="995" x14ac:dyDescent="0.3"/>
    <row r="996" x14ac:dyDescent="0.3"/>
    <row r="997" x14ac:dyDescent="0.3"/>
    <row r="998" x14ac:dyDescent="0.3"/>
    <row r="999" x14ac:dyDescent="0.3"/>
    <row r="1000" x14ac:dyDescent="0.3"/>
    <row r="1001" x14ac:dyDescent="0.3"/>
    <row r="1002" x14ac:dyDescent="0.3"/>
    <row r="1003" x14ac:dyDescent="0.3"/>
    <row r="1004" x14ac:dyDescent="0.3"/>
    <row r="1005" x14ac:dyDescent="0.3"/>
    <row r="1006" x14ac:dyDescent="0.3"/>
    <row r="1007" x14ac:dyDescent="0.3"/>
    <row r="1008" x14ac:dyDescent="0.3"/>
    <row r="1009" x14ac:dyDescent="0.3"/>
    <row r="1010" x14ac:dyDescent="0.3"/>
    <row r="1011" x14ac:dyDescent="0.3"/>
    <row r="1012" x14ac:dyDescent="0.3"/>
    <row r="1013" x14ac:dyDescent="0.3"/>
    <row r="1014" x14ac:dyDescent="0.3"/>
    <row r="1015" x14ac:dyDescent="0.3"/>
    <row r="1016" x14ac:dyDescent="0.3"/>
    <row r="1017" x14ac:dyDescent="0.3"/>
    <row r="1018" x14ac:dyDescent="0.3"/>
    <row r="1019" x14ac:dyDescent="0.3"/>
    <row r="1020" x14ac:dyDescent="0.3"/>
    <row r="1021" x14ac:dyDescent="0.3"/>
    <row r="1022" x14ac:dyDescent="0.3"/>
    <row r="1023" x14ac:dyDescent="0.3"/>
    <row r="1024" x14ac:dyDescent="0.3"/>
    <row r="1025" x14ac:dyDescent="0.3"/>
    <row r="1026" x14ac:dyDescent="0.3"/>
    <row r="1027" x14ac:dyDescent="0.3"/>
    <row r="1028" x14ac:dyDescent="0.3"/>
    <row r="1029" x14ac:dyDescent="0.3"/>
    <row r="1030" x14ac:dyDescent="0.3"/>
    <row r="1031" x14ac:dyDescent="0.3"/>
    <row r="1032" x14ac:dyDescent="0.3"/>
    <row r="1033" x14ac:dyDescent="0.3"/>
    <row r="1034" x14ac:dyDescent="0.3"/>
    <row r="1035" x14ac:dyDescent="0.3"/>
    <row r="1036" x14ac:dyDescent="0.3"/>
    <row r="1037" x14ac:dyDescent="0.3"/>
    <row r="1038" x14ac:dyDescent="0.3"/>
    <row r="1039" x14ac:dyDescent="0.3"/>
    <row r="1040" x14ac:dyDescent="0.3"/>
    <row r="1041" x14ac:dyDescent="0.3"/>
    <row r="1042" x14ac:dyDescent="0.3"/>
    <row r="1043" x14ac:dyDescent="0.3"/>
    <row r="1044" x14ac:dyDescent="0.3"/>
    <row r="1045" x14ac:dyDescent="0.3"/>
    <row r="1046" x14ac:dyDescent="0.3"/>
    <row r="1047" x14ac:dyDescent="0.3"/>
    <row r="1048" x14ac:dyDescent="0.3"/>
    <row r="1049" x14ac:dyDescent="0.3"/>
    <row r="1050" x14ac:dyDescent="0.3"/>
    <row r="1051" x14ac:dyDescent="0.3"/>
    <row r="1052" x14ac:dyDescent="0.3"/>
    <row r="1053" x14ac:dyDescent="0.3"/>
    <row r="1054" x14ac:dyDescent="0.3"/>
    <row r="1055" x14ac:dyDescent="0.3"/>
    <row r="1056" x14ac:dyDescent="0.3"/>
    <row r="1057" x14ac:dyDescent="0.3"/>
    <row r="1058" x14ac:dyDescent="0.3"/>
    <row r="1059" x14ac:dyDescent="0.3"/>
    <row r="1060" x14ac:dyDescent="0.3"/>
    <row r="1061" x14ac:dyDescent="0.3"/>
    <row r="1062" x14ac:dyDescent="0.3"/>
    <row r="1063" x14ac:dyDescent="0.3"/>
    <row r="1064" x14ac:dyDescent="0.3"/>
    <row r="1065" x14ac:dyDescent="0.3"/>
    <row r="1066" x14ac:dyDescent="0.3"/>
    <row r="1067" x14ac:dyDescent="0.3"/>
    <row r="1068" x14ac:dyDescent="0.3"/>
    <row r="1069" x14ac:dyDescent="0.3"/>
    <row r="1070" x14ac:dyDescent="0.3"/>
    <row r="1071" x14ac:dyDescent="0.3"/>
    <row r="1072" x14ac:dyDescent="0.3"/>
    <row r="1073" x14ac:dyDescent="0.3"/>
    <row r="1074" x14ac:dyDescent="0.3"/>
    <row r="1075" x14ac:dyDescent="0.3"/>
    <row r="1076" x14ac:dyDescent="0.3"/>
    <row r="1077" x14ac:dyDescent="0.3"/>
    <row r="1078" x14ac:dyDescent="0.3"/>
    <row r="1079" x14ac:dyDescent="0.3"/>
    <row r="1080" x14ac:dyDescent="0.3"/>
    <row r="1081" x14ac:dyDescent="0.3"/>
    <row r="1082" x14ac:dyDescent="0.3"/>
    <row r="1083" x14ac:dyDescent="0.3"/>
    <row r="1084" x14ac:dyDescent="0.3"/>
    <row r="1085" x14ac:dyDescent="0.3"/>
    <row r="1086" x14ac:dyDescent="0.3"/>
    <row r="1087" x14ac:dyDescent="0.3"/>
    <row r="1088" x14ac:dyDescent="0.3"/>
    <row r="1089" x14ac:dyDescent="0.3"/>
    <row r="1090" x14ac:dyDescent="0.3"/>
    <row r="1091" x14ac:dyDescent="0.3"/>
    <row r="1092" x14ac:dyDescent="0.3"/>
    <row r="1093" x14ac:dyDescent="0.3"/>
    <row r="1094" x14ac:dyDescent="0.3"/>
    <row r="1095" x14ac:dyDescent="0.3"/>
    <row r="1096" x14ac:dyDescent="0.3"/>
    <row r="1097" x14ac:dyDescent="0.3"/>
    <row r="1098" x14ac:dyDescent="0.3"/>
    <row r="1099" x14ac:dyDescent="0.3"/>
    <row r="1100" x14ac:dyDescent="0.3"/>
    <row r="1101" x14ac:dyDescent="0.3"/>
    <row r="1102" x14ac:dyDescent="0.3"/>
    <row r="1103" x14ac:dyDescent="0.3"/>
    <row r="1104" x14ac:dyDescent="0.3"/>
    <row r="1105" x14ac:dyDescent="0.3"/>
    <row r="1106" x14ac:dyDescent="0.3"/>
    <row r="1107" x14ac:dyDescent="0.3"/>
    <row r="1108" x14ac:dyDescent="0.3"/>
    <row r="1109" x14ac:dyDescent="0.3"/>
    <row r="1110" x14ac:dyDescent="0.3"/>
    <row r="1111" x14ac:dyDescent="0.3"/>
    <row r="1112" x14ac:dyDescent="0.3"/>
    <row r="1113" x14ac:dyDescent="0.3"/>
    <row r="1114" x14ac:dyDescent="0.3"/>
    <row r="1115" x14ac:dyDescent="0.3"/>
    <row r="1116" x14ac:dyDescent="0.3"/>
    <row r="1117" x14ac:dyDescent="0.3"/>
    <row r="1118" x14ac:dyDescent="0.3"/>
    <row r="1119" x14ac:dyDescent="0.3"/>
    <row r="1120" x14ac:dyDescent="0.3"/>
    <row r="1121" x14ac:dyDescent="0.3"/>
    <row r="1122" x14ac:dyDescent="0.3"/>
    <row r="1123" x14ac:dyDescent="0.3"/>
    <row r="1124" x14ac:dyDescent="0.3"/>
    <row r="1125" x14ac:dyDescent="0.3"/>
    <row r="1126" x14ac:dyDescent="0.3"/>
    <row r="1127" x14ac:dyDescent="0.3"/>
    <row r="1128" x14ac:dyDescent="0.3"/>
    <row r="1129" x14ac:dyDescent="0.3"/>
    <row r="1130" x14ac:dyDescent="0.3"/>
    <row r="1131" x14ac:dyDescent="0.3"/>
    <row r="1132" x14ac:dyDescent="0.3"/>
    <row r="1133" x14ac:dyDescent="0.3"/>
    <row r="1134" x14ac:dyDescent="0.3"/>
    <row r="1135" x14ac:dyDescent="0.3"/>
    <row r="1136" x14ac:dyDescent="0.3"/>
    <row r="1137" x14ac:dyDescent="0.3"/>
    <row r="1138" x14ac:dyDescent="0.3"/>
    <row r="1139" x14ac:dyDescent="0.3"/>
    <row r="1140" x14ac:dyDescent="0.3"/>
    <row r="1141" x14ac:dyDescent="0.3"/>
    <row r="1142" x14ac:dyDescent="0.3"/>
    <row r="1143" x14ac:dyDescent="0.3"/>
    <row r="1144" x14ac:dyDescent="0.3"/>
    <row r="1145" x14ac:dyDescent="0.3"/>
    <row r="1146" x14ac:dyDescent="0.3"/>
    <row r="1147" x14ac:dyDescent="0.3"/>
    <row r="1148" x14ac:dyDescent="0.3"/>
    <row r="1149" x14ac:dyDescent="0.3"/>
    <row r="1150" x14ac:dyDescent="0.3"/>
    <row r="1151" x14ac:dyDescent="0.3"/>
    <row r="1152" x14ac:dyDescent="0.3"/>
    <row r="1153" x14ac:dyDescent="0.3"/>
    <row r="1154" x14ac:dyDescent="0.3"/>
    <row r="1155" x14ac:dyDescent="0.3"/>
    <row r="1156" x14ac:dyDescent="0.3"/>
    <row r="1157" x14ac:dyDescent="0.3"/>
    <row r="1158" x14ac:dyDescent="0.3"/>
    <row r="1159" x14ac:dyDescent="0.3"/>
    <row r="1160" x14ac:dyDescent="0.3"/>
    <row r="1161" x14ac:dyDescent="0.3"/>
    <row r="1162" x14ac:dyDescent="0.3"/>
    <row r="1163" x14ac:dyDescent="0.3"/>
    <row r="1164" x14ac:dyDescent="0.3"/>
    <row r="1165" x14ac:dyDescent="0.3"/>
    <row r="1166" x14ac:dyDescent="0.3"/>
    <row r="1167" x14ac:dyDescent="0.3"/>
    <row r="1168" x14ac:dyDescent="0.3"/>
    <row r="1169" x14ac:dyDescent="0.3"/>
    <row r="1170" x14ac:dyDescent="0.3"/>
    <row r="1171" x14ac:dyDescent="0.3"/>
    <row r="1172" x14ac:dyDescent="0.3"/>
    <row r="1173" x14ac:dyDescent="0.3"/>
    <row r="1174" x14ac:dyDescent="0.3"/>
    <row r="1175" x14ac:dyDescent="0.3"/>
    <row r="1176" x14ac:dyDescent="0.3"/>
    <row r="1177" x14ac:dyDescent="0.3"/>
    <row r="1178" x14ac:dyDescent="0.3"/>
    <row r="1179" x14ac:dyDescent="0.3"/>
    <row r="1180" x14ac:dyDescent="0.3"/>
    <row r="1181" x14ac:dyDescent="0.3"/>
    <row r="1182" x14ac:dyDescent="0.3"/>
    <row r="1183" x14ac:dyDescent="0.3"/>
    <row r="1184" x14ac:dyDescent="0.3"/>
    <row r="1185" x14ac:dyDescent="0.3"/>
    <row r="1186" x14ac:dyDescent="0.3"/>
    <row r="1187" x14ac:dyDescent="0.3"/>
    <row r="1188" x14ac:dyDescent="0.3"/>
    <row r="1189" x14ac:dyDescent="0.3"/>
    <row r="1190" x14ac:dyDescent="0.3"/>
    <row r="1191" x14ac:dyDescent="0.3"/>
    <row r="1192" x14ac:dyDescent="0.3"/>
    <row r="1193" x14ac:dyDescent="0.3"/>
    <row r="1194" x14ac:dyDescent="0.3"/>
    <row r="1195" x14ac:dyDescent="0.3"/>
    <row r="1196" x14ac:dyDescent="0.3"/>
    <row r="1197" x14ac:dyDescent="0.3"/>
    <row r="1198" x14ac:dyDescent="0.3"/>
    <row r="1199" x14ac:dyDescent="0.3"/>
    <row r="1200" x14ac:dyDescent="0.3"/>
    <row r="1201" x14ac:dyDescent="0.3"/>
    <row r="1202" x14ac:dyDescent="0.3"/>
    <row r="1203" x14ac:dyDescent="0.3"/>
    <row r="1204" x14ac:dyDescent="0.3"/>
    <row r="1205" x14ac:dyDescent="0.3"/>
    <row r="1206" x14ac:dyDescent="0.3"/>
    <row r="1207" x14ac:dyDescent="0.3"/>
    <row r="1208" x14ac:dyDescent="0.3"/>
    <row r="1209" x14ac:dyDescent="0.3"/>
    <row r="1210" x14ac:dyDescent="0.3"/>
    <row r="1211" x14ac:dyDescent="0.3"/>
    <row r="1212" x14ac:dyDescent="0.3"/>
    <row r="1213" x14ac:dyDescent="0.3"/>
    <row r="1214" x14ac:dyDescent="0.3"/>
    <row r="1215" x14ac:dyDescent="0.3"/>
    <row r="1216" x14ac:dyDescent="0.3"/>
    <row r="1217" x14ac:dyDescent="0.3"/>
    <row r="1218" x14ac:dyDescent="0.3"/>
    <row r="1219" x14ac:dyDescent="0.3"/>
    <row r="1220" x14ac:dyDescent="0.3"/>
    <row r="1221" x14ac:dyDescent="0.3"/>
    <row r="1222" x14ac:dyDescent="0.3"/>
    <row r="1223" x14ac:dyDescent="0.3"/>
    <row r="1224" x14ac:dyDescent="0.3"/>
    <row r="1225" x14ac:dyDescent="0.3"/>
    <row r="1226" x14ac:dyDescent="0.3"/>
    <row r="1227" x14ac:dyDescent="0.3"/>
    <row r="1228" x14ac:dyDescent="0.3"/>
    <row r="1229" x14ac:dyDescent="0.3"/>
    <row r="1230" x14ac:dyDescent="0.3"/>
    <row r="1231" x14ac:dyDescent="0.3"/>
    <row r="1232" x14ac:dyDescent="0.3"/>
    <row r="1233" x14ac:dyDescent="0.3"/>
    <row r="1234" x14ac:dyDescent="0.3"/>
    <row r="1235" x14ac:dyDescent="0.3"/>
    <row r="1236" x14ac:dyDescent="0.3"/>
    <row r="1237" x14ac:dyDescent="0.3"/>
    <row r="1238" x14ac:dyDescent="0.3"/>
    <row r="1239" x14ac:dyDescent="0.3"/>
    <row r="1240" x14ac:dyDescent="0.3"/>
    <row r="1241" x14ac:dyDescent="0.3"/>
    <row r="1242" x14ac:dyDescent="0.3"/>
    <row r="1243" x14ac:dyDescent="0.3"/>
    <row r="1244" x14ac:dyDescent="0.3"/>
    <row r="1245" x14ac:dyDescent="0.3"/>
    <row r="1246" x14ac:dyDescent="0.3"/>
    <row r="1247" x14ac:dyDescent="0.3"/>
    <row r="1248" x14ac:dyDescent="0.3"/>
    <row r="1249" x14ac:dyDescent="0.3"/>
    <row r="1250" x14ac:dyDescent="0.3"/>
    <row r="1251" x14ac:dyDescent="0.3"/>
    <row r="1252" x14ac:dyDescent="0.3"/>
    <row r="1253" x14ac:dyDescent="0.3"/>
    <row r="1254" x14ac:dyDescent="0.3"/>
    <row r="1255" x14ac:dyDescent="0.3"/>
    <row r="1256" x14ac:dyDescent="0.3"/>
    <row r="1257" x14ac:dyDescent="0.3"/>
    <row r="1258" x14ac:dyDescent="0.3"/>
    <row r="1259" x14ac:dyDescent="0.3"/>
    <row r="1260" x14ac:dyDescent="0.3"/>
    <row r="1261" x14ac:dyDescent="0.3"/>
    <row r="1262" x14ac:dyDescent="0.3"/>
    <row r="1263" x14ac:dyDescent="0.3"/>
    <row r="1264" x14ac:dyDescent="0.3"/>
    <row r="1265" x14ac:dyDescent="0.3"/>
    <row r="1266" x14ac:dyDescent="0.3"/>
    <row r="1267" x14ac:dyDescent="0.3"/>
    <row r="1268" x14ac:dyDescent="0.3"/>
    <row r="1269" x14ac:dyDescent="0.3"/>
    <row r="1270" x14ac:dyDescent="0.3"/>
    <row r="1271" x14ac:dyDescent="0.3"/>
    <row r="1272" x14ac:dyDescent="0.3"/>
    <row r="1273" x14ac:dyDescent="0.3"/>
    <row r="1274" x14ac:dyDescent="0.3"/>
    <row r="1275" x14ac:dyDescent="0.3"/>
    <row r="1276" x14ac:dyDescent="0.3"/>
    <row r="1277" x14ac:dyDescent="0.3"/>
    <row r="1278" x14ac:dyDescent="0.3"/>
    <row r="1279" x14ac:dyDescent="0.3"/>
    <row r="1280" x14ac:dyDescent="0.3"/>
    <row r="1281" x14ac:dyDescent="0.3"/>
    <row r="1282" x14ac:dyDescent="0.3"/>
    <row r="1283" x14ac:dyDescent="0.3"/>
    <row r="1284" x14ac:dyDescent="0.3"/>
    <row r="1285" x14ac:dyDescent="0.3"/>
    <row r="1286" x14ac:dyDescent="0.3"/>
    <row r="1287" x14ac:dyDescent="0.3"/>
    <row r="1288" x14ac:dyDescent="0.3"/>
    <row r="1289" x14ac:dyDescent="0.3"/>
    <row r="1290" x14ac:dyDescent="0.3"/>
    <row r="1291" x14ac:dyDescent="0.3"/>
    <row r="1292" x14ac:dyDescent="0.3"/>
    <row r="1293" x14ac:dyDescent="0.3"/>
    <row r="1294" x14ac:dyDescent="0.3"/>
    <row r="1295" x14ac:dyDescent="0.3"/>
    <row r="1296" x14ac:dyDescent="0.3"/>
    <row r="1297" x14ac:dyDescent="0.3"/>
    <row r="1298" x14ac:dyDescent="0.3"/>
    <row r="1299" x14ac:dyDescent="0.3"/>
    <row r="1300" x14ac:dyDescent="0.3"/>
    <row r="1301" x14ac:dyDescent="0.3"/>
    <row r="1302" x14ac:dyDescent="0.3"/>
    <row r="1303" x14ac:dyDescent="0.3"/>
    <row r="1304" x14ac:dyDescent="0.3"/>
    <row r="1305" x14ac:dyDescent="0.3"/>
    <row r="1306" x14ac:dyDescent="0.3"/>
    <row r="1307" x14ac:dyDescent="0.3"/>
    <row r="1308" x14ac:dyDescent="0.3"/>
    <row r="1309" x14ac:dyDescent="0.3"/>
    <row r="1310" x14ac:dyDescent="0.3"/>
    <row r="1311" x14ac:dyDescent="0.3"/>
    <row r="1312" x14ac:dyDescent="0.3"/>
    <row r="1313" x14ac:dyDescent="0.3"/>
    <row r="1314" x14ac:dyDescent="0.3"/>
    <row r="1315" x14ac:dyDescent="0.3"/>
    <row r="1316" x14ac:dyDescent="0.3"/>
    <row r="1317" x14ac:dyDescent="0.3"/>
    <row r="1318" x14ac:dyDescent="0.3"/>
    <row r="1319" x14ac:dyDescent="0.3"/>
    <row r="1320" x14ac:dyDescent="0.3"/>
    <row r="1321" x14ac:dyDescent="0.3"/>
    <row r="1322" x14ac:dyDescent="0.3"/>
    <row r="1323" x14ac:dyDescent="0.3"/>
    <row r="1324" x14ac:dyDescent="0.3"/>
    <row r="1325" x14ac:dyDescent="0.3"/>
    <row r="1326" x14ac:dyDescent="0.3"/>
    <row r="1327" x14ac:dyDescent="0.3"/>
    <row r="1328" x14ac:dyDescent="0.3"/>
    <row r="1329" x14ac:dyDescent="0.3"/>
    <row r="1330" x14ac:dyDescent="0.3"/>
    <row r="1331" x14ac:dyDescent="0.3"/>
    <row r="1332" x14ac:dyDescent="0.3"/>
    <row r="1333" x14ac:dyDescent="0.3"/>
    <row r="1334" x14ac:dyDescent="0.3"/>
    <row r="1335" x14ac:dyDescent="0.3"/>
    <row r="1336" x14ac:dyDescent="0.3"/>
    <row r="1337" x14ac:dyDescent="0.3"/>
    <row r="1338" x14ac:dyDescent="0.3"/>
    <row r="1339" x14ac:dyDescent="0.3"/>
    <row r="1340" x14ac:dyDescent="0.3"/>
    <row r="1341" x14ac:dyDescent="0.3"/>
    <row r="1342" x14ac:dyDescent="0.3"/>
    <row r="1343" x14ac:dyDescent="0.3"/>
    <row r="1344" x14ac:dyDescent="0.3"/>
    <row r="1345" x14ac:dyDescent="0.3"/>
    <row r="1346" x14ac:dyDescent="0.3"/>
    <row r="1347" x14ac:dyDescent="0.3"/>
    <row r="1348" x14ac:dyDescent="0.3"/>
    <row r="1349" x14ac:dyDescent="0.3"/>
    <row r="1350" x14ac:dyDescent="0.3"/>
    <row r="1351" x14ac:dyDescent="0.3"/>
    <row r="1352" x14ac:dyDescent="0.3"/>
    <row r="1353" x14ac:dyDescent="0.3"/>
    <row r="1354" x14ac:dyDescent="0.3"/>
    <row r="1355" x14ac:dyDescent="0.3"/>
    <row r="1356" x14ac:dyDescent="0.3"/>
    <row r="1357" x14ac:dyDescent="0.3"/>
    <row r="1358" x14ac:dyDescent="0.3"/>
    <row r="1359" x14ac:dyDescent="0.3"/>
    <row r="1360" x14ac:dyDescent="0.3"/>
    <row r="1361" x14ac:dyDescent="0.3"/>
    <row r="1362" x14ac:dyDescent="0.3"/>
    <row r="1363" x14ac:dyDescent="0.3"/>
    <row r="1364" x14ac:dyDescent="0.3"/>
    <row r="1365" x14ac:dyDescent="0.3"/>
    <row r="1366" x14ac:dyDescent="0.3"/>
    <row r="1367" x14ac:dyDescent="0.3"/>
    <row r="1368" x14ac:dyDescent="0.3"/>
    <row r="1369" x14ac:dyDescent="0.3"/>
    <row r="1370" x14ac:dyDescent="0.3"/>
    <row r="1371" x14ac:dyDescent="0.3"/>
    <row r="1372" x14ac:dyDescent="0.3"/>
    <row r="1373" x14ac:dyDescent="0.3"/>
    <row r="1374" x14ac:dyDescent="0.3"/>
    <row r="1375" x14ac:dyDescent="0.3"/>
    <row r="1376" x14ac:dyDescent="0.3"/>
    <row r="1377" x14ac:dyDescent="0.3"/>
    <row r="1378" x14ac:dyDescent="0.3"/>
    <row r="1379" x14ac:dyDescent="0.3"/>
    <row r="1380" x14ac:dyDescent="0.3"/>
    <row r="1381" x14ac:dyDescent="0.3"/>
    <row r="1382" x14ac:dyDescent="0.3"/>
    <row r="1383" x14ac:dyDescent="0.3"/>
    <row r="1384" x14ac:dyDescent="0.3"/>
    <row r="1385" x14ac:dyDescent="0.3"/>
    <row r="1386" x14ac:dyDescent="0.3"/>
    <row r="1387" x14ac:dyDescent="0.3"/>
    <row r="1388" x14ac:dyDescent="0.3"/>
    <row r="1389" x14ac:dyDescent="0.3"/>
    <row r="1390" x14ac:dyDescent="0.3"/>
    <row r="1391" x14ac:dyDescent="0.3"/>
    <row r="1392" x14ac:dyDescent="0.3"/>
    <row r="1393" x14ac:dyDescent="0.3"/>
    <row r="1394" x14ac:dyDescent="0.3"/>
    <row r="1395" x14ac:dyDescent="0.3"/>
    <row r="1396" x14ac:dyDescent="0.3"/>
    <row r="1397" x14ac:dyDescent="0.3"/>
    <row r="1398" x14ac:dyDescent="0.3"/>
    <row r="1399" x14ac:dyDescent="0.3"/>
    <row r="1400" x14ac:dyDescent="0.3"/>
    <row r="1401" x14ac:dyDescent="0.3"/>
    <row r="1402" x14ac:dyDescent="0.3"/>
    <row r="1403" x14ac:dyDescent="0.3"/>
    <row r="1404" x14ac:dyDescent="0.3"/>
    <row r="1405" x14ac:dyDescent="0.3"/>
    <row r="1406" x14ac:dyDescent="0.3"/>
    <row r="1407" x14ac:dyDescent="0.3"/>
    <row r="1408" x14ac:dyDescent="0.3"/>
    <row r="1409" x14ac:dyDescent="0.3"/>
    <row r="1410" x14ac:dyDescent="0.3"/>
    <row r="1411" x14ac:dyDescent="0.3"/>
    <row r="1412" x14ac:dyDescent="0.3"/>
    <row r="1413" x14ac:dyDescent="0.3"/>
    <row r="1414" x14ac:dyDescent="0.3"/>
    <row r="1415" x14ac:dyDescent="0.3"/>
    <row r="1416" x14ac:dyDescent="0.3"/>
    <row r="1417" x14ac:dyDescent="0.3"/>
    <row r="1418" x14ac:dyDescent="0.3"/>
    <row r="1419" x14ac:dyDescent="0.3"/>
    <row r="1420" x14ac:dyDescent="0.3"/>
    <row r="1421" x14ac:dyDescent="0.3"/>
    <row r="1422" x14ac:dyDescent="0.3"/>
    <row r="1423" x14ac:dyDescent="0.3"/>
    <row r="1424" x14ac:dyDescent="0.3"/>
    <row r="1425" x14ac:dyDescent="0.3"/>
    <row r="1426" x14ac:dyDescent="0.3"/>
    <row r="1427" x14ac:dyDescent="0.3"/>
    <row r="1428" x14ac:dyDescent="0.3"/>
    <row r="1429" x14ac:dyDescent="0.3"/>
    <row r="1430" x14ac:dyDescent="0.3"/>
    <row r="1431" x14ac:dyDescent="0.3"/>
    <row r="1432" x14ac:dyDescent="0.3"/>
    <row r="1433" x14ac:dyDescent="0.3"/>
    <row r="1434" x14ac:dyDescent="0.3"/>
    <row r="1435" x14ac:dyDescent="0.3"/>
    <row r="1436" x14ac:dyDescent="0.3"/>
    <row r="1437" x14ac:dyDescent="0.3"/>
    <row r="1438" x14ac:dyDescent="0.3"/>
    <row r="1439" x14ac:dyDescent="0.3"/>
    <row r="1440" x14ac:dyDescent="0.3"/>
    <row r="1441" x14ac:dyDescent="0.3"/>
    <row r="1442" x14ac:dyDescent="0.3"/>
    <row r="1443" x14ac:dyDescent="0.3"/>
    <row r="1444" x14ac:dyDescent="0.3"/>
    <row r="1445" x14ac:dyDescent="0.3"/>
    <row r="1446" x14ac:dyDescent="0.3"/>
    <row r="1447" x14ac:dyDescent="0.3"/>
    <row r="1448" x14ac:dyDescent="0.3"/>
    <row r="1449" x14ac:dyDescent="0.3"/>
    <row r="1450" x14ac:dyDescent="0.3"/>
    <row r="1451" x14ac:dyDescent="0.3"/>
    <row r="1452" x14ac:dyDescent="0.3"/>
    <row r="1453" x14ac:dyDescent="0.3"/>
    <row r="1454" x14ac:dyDescent="0.3"/>
    <row r="1455" x14ac:dyDescent="0.3"/>
    <row r="1456" x14ac:dyDescent="0.3"/>
    <row r="1457" x14ac:dyDescent="0.3"/>
    <row r="1458" x14ac:dyDescent="0.3"/>
    <row r="1459" x14ac:dyDescent="0.3"/>
    <row r="1460" x14ac:dyDescent="0.3"/>
    <row r="1461" x14ac:dyDescent="0.3"/>
    <row r="1462" x14ac:dyDescent="0.3"/>
    <row r="1463" x14ac:dyDescent="0.3"/>
    <row r="1464" x14ac:dyDescent="0.3"/>
    <row r="1465" x14ac:dyDescent="0.3"/>
    <row r="1466" x14ac:dyDescent="0.3"/>
    <row r="1467" x14ac:dyDescent="0.3"/>
    <row r="1468" x14ac:dyDescent="0.3"/>
    <row r="1469" x14ac:dyDescent="0.3"/>
    <row r="1470" x14ac:dyDescent="0.3"/>
    <row r="1471" x14ac:dyDescent="0.3"/>
    <row r="1472" x14ac:dyDescent="0.3"/>
    <row r="1473" x14ac:dyDescent="0.3"/>
    <row r="1474" x14ac:dyDescent="0.3"/>
    <row r="1475" x14ac:dyDescent="0.3"/>
    <row r="1476" x14ac:dyDescent="0.3"/>
    <row r="1477" x14ac:dyDescent="0.3"/>
    <row r="1478" x14ac:dyDescent="0.3"/>
    <row r="1479" x14ac:dyDescent="0.3"/>
    <row r="1480" x14ac:dyDescent="0.3"/>
    <row r="1481" x14ac:dyDescent="0.3"/>
    <row r="1482" x14ac:dyDescent="0.3"/>
    <row r="1483" x14ac:dyDescent="0.3"/>
    <row r="1484" x14ac:dyDescent="0.3"/>
    <row r="1485" x14ac:dyDescent="0.3"/>
    <row r="1486" x14ac:dyDescent="0.3"/>
    <row r="1487" x14ac:dyDescent="0.3"/>
    <row r="1488" x14ac:dyDescent="0.3"/>
    <row r="1489" x14ac:dyDescent="0.3"/>
    <row r="1490" x14ac:dyDescent="0.3"/>
    <row r="1491" x14ac:dyDescent="0.3"/>
    <row r="1492" x14ac:dyDescent="0.3"/>
    <row r="1493" x14ac:dyDescent="0.3"/>
    <row r="1494" x14ac:dyDescent="0.3"/>
    <row r="1495" x14ac:dyDescent="0.3"/>
    <row r="1496" x14ac:dyDescent="0.3"/>
    <row r="1497" x14ac:dyDescent="0.3"/>
    <row r="1498" x14ac:dyDescent="0.3"/>
    <row r="1499" x14ac:dyDescent="0.3"/>
    <row r="1500" x14ac:dyDescent="0.3"/>
    <row r="1501" x14ac:dyDescent="0.3"/>
    <row r="1502" x14ac:dyDescent="0.3"/>
    <row r="1503" x14ac:dyDescent="0.3"/>
    <row r="1504" x14ac:dyDescent="0.3"/>
    <row r="1505" x14ac:dyDescent="0.3"/>
    <row r="1506" x14ac:dyDescent="0.3"/>
    <row r="1507" x14ac:dyDescent="0.3"/>
    <row r="1508" x14ac:dyDescent="0.3"/>
    <row r="1509" x14ac:dyDescent="0.3"/>
    <row r="1510" x14ac:dyDescent="0.3"/>
    <row r="1511" x14ac:dyDescent="0.3"/>
    <row r="1512" x14ac:dyDescent="0.3"/>
    <row r="1513" x14ac:dyDescent="0.3"/>
    <row r="1514" x14ac:dyDescent="0.3"/>
    <row r="1515" x14ac:dyDescent="0.3"/>
    <row r="1516" x14ac:dyDescent="0.3"/>
    <row r="1517" x14ac:dyDescent="0.3"/>
    <row r="1518" x14ac:dyDescent="0.3"/>
    <row r="1519" x14ac:dyDescent="0.3"/>
    <row r="1520" x14ac:dyDescent="0.3"/>
    <row r="1521" x14ac:dyDescent="0.3"/>
    <row r="1522" x14ac:dyDescent="0.3"/>
    <row r="1523" x14ac:dyDescent="0.3"/>
    <row r="1524" x14ac:dyDescent="0.3"/>
    <row r="1525" x14ac:dyDescent="0.3"/>
    <row r="1526" x14ac:dyDescent="0.3"/>
    <row r="1527" x14ac:dyDescent="0.3"/>
    <row r="1528" x14ac:dyDescent="0.3"/>
    <row r="1529" x14ac:dyDescent="0.3"/>
    <row r="1530" x14ac:dyDescent="0.3"/>
    <row r="1531" x14ac:dyDescent="0.3"/>
    <row r="1532" x14ac:dyDescent="0.3"/>
    <row r="1533" x14ac:dyDescent="0.3"/>
    <row r="1534" x14ac:dyDescent="0.3"/>
    <row r="1535" x14ac:dyDescent="0.3"/>
    <row r="1536" x14ac:dyDescent="0.3"/>
    <row r="1537" x14ac:dyDescent="0.3"/>
    <row r="1538" x14ac:dyDescent="0.3"/>
    <row r="1539" x14ac:dyDescent="0.3"/>
    <row r="1540" x14ac:dyDescent="0.3"/>
    <row r="1541" x14ac:dyDescent="0.3"/>
    <row r="1542" x14ac:dyDescent="0.3"/>
    <row r="1543" x14ac:dyDescent="0.3"/>
    <row r="1544" x14ac:dyDescent="0.3"/>
    <row r="1545" x14ac:dyDescent="0.3"/>
    <row r="1546" x14ac:dyDescent="0.3"/>
    <row r="1547" x14ac:dyDescent="0.3"/>
    <row r="1548" x14ac:dyDescent="0.3"/>
    <row r="1549" x14ac:dyDescent="0.3"/>
    <row r="1550" x14ac:dyDescent="0.3"/>
    <row r="1551" x14ac:dyDescent="0.3"/>
    <row r="1552" x14ac:dyDescent="0.3"/>
    <row r="1553" x14ac:dyDescent="0.3"/>
    <row r="1554" x14ac:dyDescent="0.3"/>
    <row r="1555" x14ac:dyDescent="0.3"/>
    <row r="1556" x14ac:dyDescent="0.3"/>
    <row r="1557" x14ac:dyDescent="0.3"/>
    <row r="1558" x14ac:dyDescent="0.3"/>
    <row r="1559" x14ac:dyDescent="0.3"/>
    <row r="1560" x14ac:dyDescent="0.3"/>
    <row r="1561" x14ac:dyDescent="0.3"/>
    <row r="1562" x14ac:dyDescent="0.3"/>
    <row r="1563" x14ac:dyDescent="0.3"/>
    <row r="1564" x14ac:dyDescent="0.3"/>
    <row r="1565" x14ac:dyDescent="0.3"/>
    <row r="1566" x14ac:dyDescent="0.3"/>
    <row r="1567" x14ac:dyDescent="0.3"/>
    <row r="1568" x14ac:dyDescent="0.3"/>
    <row r="1569" x14ac:dyDescent="0.3"/>
    <row r="1570" x14ac:dyDescent="0.3"/>
    <row r="1571" x14ac:dyDescent="0.3"/>
    <row r="1572" x14ac:dyDescent="0.3"/>
    <row r="1573" x14ac:dyDescent="0.3"/>
    <row r="1574" x14ac:dyDescent="0.3"/>
    <row r="1575" x14ac:dyDescent="0.3"/>
    <row r="1576" x14ac:dyDescent="0.3"/>
    <row r="1577" x14ac:dyDescent="0.3"/>
    <row r="1578" x14ac:dyDescent="0.3"/>
    <row r="1579" x14ac:dyDescent="0.3"/>
    <row r="1580" x14ac:dyDescent="0.3"/>
    <row r="1581" x14ac:dyDescent="0.3"/>
    <row r="1582" x14ac:dyDescent="0.3"/>
    <row r="1583" x14ac:dyDescent="0.3"/>
    <row r="1584" x14ac:dyDescent="0.3"/>
    <row r="1585" x14ac:dyDescent="0.3"/>
    <row r="1586" x14ac:dyDescent="0.3"/>
    <row r="1587" x14ac:dyDescent="0.3"/>
    <row r="1588" x14ac:dyDescent="0.3"/>
    <row r="1589" x14ac:dyDescent="0.3"/>
    <row r="1590" x14ac:dyDescent="0.3"/>
    <row r="1591" x14ac:dyDescent="0.3"/>
    <row r="1592" x14ac:dyDescent="0.3"/>
    <row r="1593" x14ac:dyDescent="0.3"/>
    <row r="1594" x14ac:dyDescent="0.3"/>
    <row r="1595" x14ac:dyDescent="0.3"/>
    <row r="1596" x14ac:dyDescent="0.3"/>
    <row r="1597" x14ac:dyDescent="0.3"/>
    <row r="1598" x14ac:dyDescent="0.3"/>
    <row r="1599" x14ac:dyDescent="0.3"/>
    <row r="1600" x14ac:dyDescent="0.3"/>
    <row r="1601" x14ac:dyDescent="0.3"/>
    <row r="1602" x14ac:dyDescent="0.3"/>
    <row r="1603" x14ac:dyDescent="0.3"/>
    <row r="1604" x14ac:dyDescent="0.3"/>
    <row r="1605" x14ac:dyDescent="0.3"/>
    <row r="1606" x14ac:dyDescent="0.3"/>
    <row r="1607" x14ac:dyDescent="0.3"/>
    <row r="1608" x14ac:dyDescent="0.3"/>
    <row r="1609" x14ac:dyDescent="0.3"/>
    <row r="1610" x14ac:dyDescent="0.3"/>
    <row r="1611" x14ac:dyDescent="0.3"/>
    <row r="1612" x14ac:dyDescent="0.3"/>
    <row r="1613" x14ac:dyDescent="0.3"/>
    <row r="1614" x14ac:dyDescent="0.3"/>
    <row r="1615" x14ac:dyDescent="0.3"/>
    <row r="1616" x14ac:dyDescent="0.3"/>
    <row r="1617" x14ac:dyDescent="0.3"/>
    <row r="1618" x14ac:dyDescent="0.3"/>
    <row r="1619" x14ac:dyDescent="0.3"/>
    <row r="1620" x14ac:dyDescent="0.3"/>
    <row r="1621" x14ac:dyDescent="0.3"/>
    <row r="1622" x14ac:dyDescent="0.3"/>
    <row r="1623" x14ac:dyDescent="0.3"/>
    <row r="1624" x14ac:dyDescent="0.3"/>
    <row r="1625" x14ac:dyDescent="0.3"/>
    <row r="1626" x14ac:dyDescent="0.3"/>
    <row r="1627" x14ac:dyDescent="0.3"/>
    <row r="1628" x14ac:dyDescent="0.3"/>
    <row r="1629" x14ac:dyDescent="0.3"/>
    <row r="1630" x14ac:dyDescent="0.3"/>
    <row r="1631" x14ac:dyDescent="0.3"/>
    <row r="1632" x14ac:dyDescent="0.3"/>
    <row r="1633" x14ac:dyDescent="0.3"/>
    <row r="1634" x14ac:dyDescent="0.3"/>
    <row r="1635" x14ac:dyDescent="0.3"/>
    <row r="1636" x14ac:dyDescent="0.3"/>
    <row r="1637" x14ac:dyDescent="0.3"/>
    <row r="1638" x14ac:dyDescent="0.3"/>
    <row r="1639" x14ac:dyDescent="0.3"/>
    <row r="1640" x14ac:dyDescent="0.3"/>
    <row r="1641" x14ac:dyDescent="0.3"/>
    <row r="1642" x14ac:dyDescent="0.3"/>
    <row r="1643" x14ac:dyDescent="0.3"/>
    <row r="1644" x14ac:dyDescent="0.3"/>
    <row r="1645" x14ac:dyDescent="0.3"/>
    <row r="1646" x14ac:dyDescent="0.3"/>
    <row r="1647" x14ac:dyDescent="0.3"/>
    <row r="1648" x14ac:dyDescent="0.3"/>
    <row r="1649" x14ac:dyDescent="0.3"/>
    <row r="1650" x14ac:dyDescent="0.3"/>
    <row r="1651" x14ac:dyDescent="0.3"/>
    <row r="1652" x14ac:dyDescent="0.3"/>
    <row r="1653" x14ac:dyDescent="0.3"/>
    <row r="1654" x14ac:dyDescent="0.3"/>
    <row r="1655" x14ac:dyDescent="0.3"/>
    <row r="1656" x14ac:dyDescent="0.3"/>
    <row r="1657" x14ac:dyDescent="0.3"/>
    <row r="1658" x14ac:dyDescent="0.3"/>
    <row r="1659" x14ac:dyDescent="0.3"/>
    <row r="1660" x14ac:dyDescent="0.3"/>
    <row r="1661" x14ac:dyDescent="0.3"/>
    <row r="1662" x14ac:dyDescent="0.3"/>
    <row r="1663" x14ac:dyDescent="0.3"/>
    <row r="1664" x14ac:dyDescent="0.3"/>
    <row r="1665" x14ac:dyDescent="0.3"/>
    <row r="1666" x14ac:dyDescent="0.3"/>
    <row r="1667" x14ac:dyDescent="0.3"/>
    <row r="1668" x14ac:dyDescent="0.3"/>
    <row r="1669" x14ac:dyDescent="0.3"/>
    <row r="1670" x14ac:dyDescent="0.3"/>
    <row r="1671" x14ac:dyDescent="0.3"/>
    <row r="1672" x14ac:dyDescent="0.3"/>
    <row r="1673" x14ac:dyDescent="0.3"/>
    <row r="1674" x14ac:dyDescent="0.3"/>
    <row r="1675" x14ac:dyDescent="0.3"/>
    <row r="1676" x14ac:dyDescent="0.3"/>
    <row r="1677" x14ac:dyDescent="0.3"/>
    <row r="1678" x14ac:dyDescent="0.3"/>
    <row r="1679" x14ac:dyDescent="0.3"/>
    <row r="1680" x14ac:dyDescent="0.3"/>
    <row r="1681" x14ac:dyDescent="0.3"/>
    <row r="1682" x14ac:dyDescent="0.3"/>
    <row r="1683" x14ac:dyDescent="0.3"/>
    <row r="1684" x14ac:dyDescent="0.3"/>
    <row r="1685" x14ac:dyDescent="0.3"/>
    <row r="1686" x14ac:dyDescent="0.3"/>
    <row r="1687" x14ac:dyDescent="0.3"/>
    <row r="1688" x14ac:dyDescent="0.3"/>
    <row r="1689" x14ac:dyDescent="0.3"/>
    <row r="1690" x14ac:dyDescent="0.3"/>
    <row r="1691" x14ac:dyDescent="0.3"/>
    <row r="1692" x14ac:dyDescent="0.3"/>
    <row r="1693" x14ac:dyDescent="0.3"/>
    <row r="1694" x14ac:dyDescent="0.3"/>
    <row r="1695" x14ac:dyDescent="0.3"/>
    <row r="1696" x14ac:dyDescent="0.3"/>
    <row r="1697" x14ac:dyDescent="0.3"/>
    <row r="1698" x14ac:dyDescent="0.3"/>
    <row r="1699" x14ac:dyDescent="0.3"/>
    <row r="1700" x14ac:dyDescent="0.3"/>
    <row r="1701" x14ac:dyDescent="0.3"/>
    <row r="1702" x14ac:dyDescent="0.3"/>
    <row r="1703" x14ac:dyDescent="0.3"/>
    <row r="1704" x14ac:dyDescent="0.3"/>
    <row r="1705" x14ac:dyDescent="0.3"/>
    <row r="1706" x14ac:dyDescent="0.3"/>
    <row r="1707" x14ac:dyDescent="0.3"/>
    <row r="1708" x14ac:dyDescent="0.3"/>
    <row r="1709" x14ac:dyDescent="0.3"/>
    <row r="1710" x14ac:dyDescent="0.3"/>
    <row r="1711" x14ac:dyDescent="0.3"/>
    <row r="1712" x14ac:dyDescent="0.3"/>
    <row r="1713" x14ac:dyDescent="0.3"/>
    <row r="1714" x14ac:dyDescent="0.3"/>
    <row r="1715" x14ac:dyDescent="0.3"/>
    <row r="1716" x14ac:dyDescent="0.3"/>
    <row r="1717" x14ac:dyDescent="0.3"/>
    <row r="1718" x14ac:dyDescent="0.3"/>
    <row r="1719" x14ac:dyDescent="0.3"/>
    <row r="1720" x14ac:dyDescent="0.3"/>
    <row r="1721" x14ac:dyDescent="0.3"/>
    <row r="1722" x14ac:dyDescent="0.3"/>
    <row r="1723" x14ac:dyDescent="0.3"/>
    <row r="1724" x14ac:dyDescent="0.3"/>
    <row r="1725" x14ac:dyDescent="0.3"/>
    <row r="1726" x14ac:dyDescent="0.3"/>
    <row r="1727" x14ac:dyDescent="0.3"/>
    <row r="1728" x14ac:dyDescent="0.3"/>
    <row r="1729" x14ac:dyDescent="0.3"/>
    <row r="1730" x14ac:dyDescent="0.3"/>
    <row r="1731" x14ac:dyDescent="0.3"/>
    <row r="1732" x14ac:dyDescent="0.3"/>
    <row r="1733" x14ac:dyDescent="0.3"/>
    <row r="1734" x14ac:dyDescent="0.3"/>
    <row r="1735" x14ac:dyDescent="0.3"/>
    <row r="1736" x14ac:dyDescent="0.3"/>
    <row r="1737" x14ac:dyDescent="0.3"/>
    <row r="1738" x14ac:dyDescent="0.3"/>
    <row r="1739" x14ac:dyDescent="0.3"/>
    <row r="1740" x14ac:dyDescent="0.3"/>
    <row r="1741" x14ac:dyDescent="0.3"/>
    <row r="1742" x14ac:dyDescent="0.3"/>
    <row r="1743" x14ac:dyDescent="0.3"/>
    <row r="1744" x14ac:dyDescent="0.3"/>
    <row r="1745" x14ac:dyDescent="0.3"/>
    <row r="1746" x14ac:dyDescent="0.3"/>
    <row r="1747" x14ac:dyDescent="0.3"/>
    <row r="1748" x14ac:dyDescent="0.3"/>
    <row r="1749" x14ac:dyDescent="0.3"/>
    <row r="1750" x14ac:dyDescent="0.3"/>
    <row r="1751" x14ac:dyDescent="0.3"/>
    <row r="1752" x14ac:dyDescent="0.3"/>
    <row r="1753" x14ac:dyDescent="0.3"/>
    <row r="1754" x14ac:dyDescent="0.3"/>
    <row r="1755" x14ac:dyDescent="0.3"/>
    <row r="1756" x14ac:dyDescent="0.3"/>
    <row r="1757" x14ac:dyDescent="0.3"/>
    <row r="1758" x14ac:dyDescent="0.3"/>
    <row r="1759" x14ac:dyDescent="0.3"/>
    <row r="1760" x14ac:dyDescent="0.3"/>
    <row r="1761" x14ac:dyDescent="0.3"/>
    <row r="1762" x14ac:dyDescent="0.3"/>
    <row r="1763" x14ac:dyDescent="0.3"/>
    <row r="1764" x14ac:dyDescent="0.3"/>
    <row r="1765" x14ac:dyDescent="0.3"/>
    <row r="1766" x14ac:dyDescent="0.3"/>
    <row r="1767" x14ac:dyDescent="0.3"/>
    <row r="1768" x14ac:dyDescent="0.3"/>
    <row r="1769" x14ac:dyDescent="0.3"/>
    <row r="1770" x14ac:dyDescent="0.3"/>
    <row r="1771" x14ac:dyDescent="0.3"/>
    <row r="1772" x14ac:dyDescent="0.3"/>
    <row r="1773" x14ac:dyDescent="0.3"/>
    <row r="1774" x14ac:dyDescent="0.3"/>
    <row r="1775" x14ac:dyDescent="0.3"/>
    <row r="1776" x14ac:dyDescent="0.3"/>
    <row r="1777" x14ac:dyDescent="0.3"/>
    <row r="1778" x14ac:dyDescent="0.3"/>
    <row r="1779" x14ac:dyDescent="0.3"/>
    <row r="1780" x14ac:dyDescent="0.3"/>
    <row r="1781" x14ac:dyDescent="0.3"/>
    <row r="1782" x14ac:dyDescent="0.3"/>
    <row r="1783" x14ac:dyDescent="0.3"/>
    <row r="1784" x14ac:dyDescent="0.3"/>
    <row r="1785" x14ac:dyDescent="0.3"/>
    <row r="1786" x14ac:dyDescent="0.3"/>
    <row r="1787" x14ac:dyDescent="0.3"/>
    <row r="1788" x14ac:dyDescent="0.3"/>
    <row r="1789" x14ac:dyDescent="0.3"/>
    <row r="1790" x14ac:dyDescent="0.3"/>
    <row r="1791" x14ac:dyDescent="0.3"/>
    <row r="1792" x14ac:dyDescent="0.3"/>
    <row r="1793" x14ac:dyDescent="0.3"/>
    <row r="1794" x14ac:dyDescent="0.3"/>
    <row r="1795" x14ac:dyDescent="0.3"/>
    <row r="1796" x14ac:dyDescent="0.3"/>
    <row r="1797" x14ac:dyDescent="0.3"/>
    <row r="1798" x14ac:dyDescent="0.3"/>
    <row r="1799" x14ac:dyDescent="0.3"/>
    <row r="1800" x14ac:dyDescent="0.3"/>
    <row r="1801" x14ac:dyDescent="0.3"/>
    <row r="1802" x14ac:dyDescent="0.3"/>
    <row r="1803" x14ac:dyDescent="0.3"/>
    <row r="1804" x14ac:dyDescent="0.3"/>
    <row r="1805" x14ac:dyDescent="0.3"/>
    <row r="1806" x14ac:dyDescent="0.3"/>
    <row r="1807" x14ac:dyDescent="0.3"/>
    <row r="1808" x14ac:dyDescent="0.3"/>
    <row r="1809" x14ac:dyDescent="0.3"/>
    <row r="1810" x14ac:dyDescent="0.3"/>
    <row r="1811" x14ac:dyDescent="0.3"/>
    <row r="1812" x14ac:dyDescent="0.3"/>
    <row r="1813" x14ac:dyDescent="0.3"/>
    <row r="1814" x14ac:dyDescent="0.3"/>
    <row r="1815" x14ac:dyDescent="0.3"/>
    <row r="1816" x14ac:dyDescent="0.3"/>
    <row r="1817" x14ac:dyDescent="0.3"/>
    <row r="1818" x14ac:dyDescent="0.3"/>
    <row r="1819" x14ac:dyDescent="0.3"/>
    <row r="1820" x14ac:dyDescent="0.3"/>
    <row r="1821" x14ac:dyDescent="0.3"/>
    <row r="1822" x14ac:dyDescent="0.3"/>
    <row r="1823" x14ac:dyDescent="0.3"/>
    <row r="1824" x14ac:dyDescent="0.3"/>
    <row r="1825" x14ac:dyDescent="0.3"/>
    <row r="1826" x14ac:dyDescent="0.3"/>
    <row r="1827" x14ac:dyDescent="0.3"/>
    <row r="1828" x14ac:dyDescent="0.3"/>
    <row r="1829" x14ac:dyDescent="0.3"/>
    <row r="1830" x14ac:dyDescent="0.3"/>
    <row r="1831" x14ac:dyDescent="0.3"/>
    <row r="1832" x14ac:dyDescent="0.3"/>
    <row r="1833" x14ac:dyDescent="0.3"/>
    <row r="1834" x14ac:dyDescent="0.3"/>
    <row r="1835" x14ac:dyDescent="0.3"/>
    <row r="1836" x14ac:dyDescent="0.3"/>
    <row r="1837" x14ac:dyDescent="0.3"/>
    <row r="1838" x14ac:dyDescent="0.3"/>
    <row r="1839" x14ac:dyDescent="0.3"/>
    <row r="1840" x14ac:dyDescent="0.3"/>
    <row r="1841" x14ac:dyDescent="0.3"/>
    <row r="1842" x14ac:dyDescent="0.3"/>
    <row r="1843" x14ac:dyDescent="0.3"/>
    <row r="1844" x14ac:dyDescent="0.3"/>
    <row r="1845" x14ac:dyDescent="0.3"/>
    <row r="1846" x14ac:dyDescent="0.3"/>
    <row r="1847" x14ac:dyDescent="0.3"/>
    <row r="1848" x14ac:dyDescent="0.3"/>
    <row r="1849" x14ac:dyDescent="0.3"/>
    <row r="1850" x14ac:dyDescent="0.3"/>
    <row r="1851" x14ac:dyDescent="0.3"/>
    <row r="1852" x14ac:dyDescent="0.3"/>
    <row r="1853" x14ac:dyDescent="0.3"/>
    <row r="1854" x14ac:dyDescent="0.3"/>
    <row r="1855" x14ac:dyDescent="0.3"/>
    <row r="1856" x14ac:dyDescent="0.3"/>
    <row r="1857" x14ac:dyDescent="0.3"/>
    <row r="1858" x14ac:dyDescent="0.3"/>
    <row r="1859" x14ac:dyDescent="0.3"/>
    <row r="1860" x14ac:dyDescent="0.3"/>
    <row r="1861" x14ac:dyDescent="0.3"/>
    <row r="1862" x14ac:dyDescent="0.3"/>
    <row r="1863" x14ac:dyDescent="0.3"/>
    <row r="1864" x14ac:dyDescent="0.3"/>
    <row r="1865" x14ac:dyDescent="0.3"/>
    <row r="1866" x14ac:dyDescent="0.3"/>
    <row r="1867" x14ac:dyDescent="0.3"/>
    <row r="1868" x14ac:dyDescent="0.3"/>
    <row r="1869" x14ac:dyDescent="0.3"/>
    <row r="1870" x14ac:dyDescent="0.3"/>
    <row r="1871" x14ac:dyDescent="0.3"/>
    <row r="1872" x14ac:dyDescent="0.3"/>
    <row r="1873" x14ac:dyDescent="0.3"/>
    <row r="1874" x14ac:dyDescent="0.3"/>
    <row r="1875" x14ac:dyDescent="0.3"/>
    <row r="1876" x14ac:dyDescent="0.3"/>
    <row r="1877" x14ac:dyDescent="0.3"/>
    <row r="1878" x14ac:dyDescent="0.3"/>
    <row r="1879" x14ac:dyDescent="0.3"/>
    <row r="1880" x14ac:dyDescent="0.3"/>
    <row r="1881" x14ac:dyDescent="0.3"/>
    <row r="1882" x14ac:dyDescent="0.3"/>
    <row r="1883" x14ac:dyDescent="0.3"/>
    <row r="1884" x14ac:dyDescent="0.3"/>
    <row r="1885" x14ac:dyDescent="0.3"/>
    <row r="1886" x14ac:dyDescent="0.3"/>
    <row r="1887" x14ac:dyDescent="0.3"/>
    <row r="1888" x14ac:dyDescent="0.3"/>
    <row r="1889" x14ac:dyDescent="0.3"/>
    <row r="1890" x14ac:dyDescent="0.3"/>
    <row r="1891" x14ac:dyDescent="0.3"/>
    <row r="1892" x14ac:dyDescent="0.3"/>
    <row r="1893" x14ac:dyDescent="0.3"/>
    <row r="1894" x14ac:dyDescent="0.3"/>
    <row r="1895" x14ac:dyDescent="0.3"/>
    <row r="1896" x14ac:dyDescent="0.3"/>
    <row r="1897" x14ac:dyDescent="0.3"/>
    <row r="1898" x14ac:dyDescent="0.3"/>
    <row r="1899" x14ac:dyDescent="0.3"/>
    <row r="1900" x14ac:dyDescent="0.3"/>
    <row r="1901" x14ac:dyDescent="0.3"/>
    <row r="1902" x14ac:dyDescent="0.3"/>
    <row r="1903" x14ac:dyDescent="0.3"/>
    <row r="1904" x14ac:dyDescent="0.3"/>
    <row r="1905" x14ac:dyDescent="0.3"/>
    <row r="1906" x14ac:dyDescent="0.3"/>
    <row r="1907" x14ac:dyDescent="0.3"/>
    <row r="1908" x14ac:dyDescent="0.3"/>
    <row r="1909" x14ac:dyDescent="0.3"/>
    <row r="1910" x14ac:dyDescent="0.3"/>
    <row r="1911" x14ac:dyDescent="0.3"/>
    <row r="1912" x14ac:dyDescent="0.3"/>
    <row r="1913" x14ac:dyDescent="0.3"/>
    <row r="1914" x14ac:dyDescent="0.3"/>
    <row r="1915" x14ac:dyDescent="0.3"/>
    <row r="1916" x14ac:dyDescent="0.3"/>
    <row r="1917" x14ac:dyDescent="0.3"/>
    <row r="1918" x14ac:dyDescent="0.3"/>
    <row r="1919" x14ac:dyDescent="0.3"/>
    <row r="1920" x14ac:dyDescent="0.3"/>
    <row r="1921" x14ac:dyDescent="0.3"/>
    <row r="1922" x14ac:dyDescent="0.3"/>
    <row r="1923" x14ac:dyDescent="0.3"/>
    <row r="1924" x14ac:dyDescent="0.3"/>
    <row r="1925" x14ac:dyDescent="0.3"/>
    <row r="1926" x14ac:dyDescent="0.3"/>
    <row r="1927" x14ac:dyDescent="0.3"/>
    <row r="1928" x14ac:dyDescent="0.3"/>
    <row r="1929" x14ac:dyDescent="0.3"/>
    <row r="1930" x14ac:dyDescent="0.3"/>
    <row r="1931" x14ac:dyDescent="0.3"/>
    <row r="1932" x14ac:dyDescent="0.3"/>
    <row r="1933" x14ac:dyDescent="0.3"/>
    <row r="1934" x14ac:dyDescent="0.3"/>
    <row r="1935" x14ac:dyDescent="0.3"/>
    <row r="1936" x14ac:dyDescent="0.3"/>
    <row r="1937" x14ac:dyDescent="0.3"/>
    <row r="1938" x14ac:dyDescent="0.3"/>
    <row r="1939" x14ac:dyDescent="0.3"/>
    <row r="1940" x14ac:dyDescent="0.3"/>
    <row r="1941" x14ac:dyDescent="0.3"/>
    <row r="1942" x14ac:dyDescent="0.3"/>
    <row r="1943" x14ac:dyDescent="0.3"/>
    <row r="1944" x14ac:dyDescent="0.3"/>
    <row r="1945" x14ac:dyDescent="0.3"/>
    <row r="1946" x14ac:dyDescent="0.3"/>
    <row r="1947" x14ac:dyDescent="0.3"/>
    <row r="1948" x14ac:dyDescent="0.3"/>
    <row r="1949" x14ac:dyDescent="0.3"/>
    <row r="1950" x14ac:dyDescent="0.3"/>
    <row r="1951" x14ac:dyDescent="0.3"/>
    <row r="1952" x14ac:dyDescent="0.3"/>
    <row r="1953" x14ac:dyDescent="0.3"/>
    <row r="1954" x14ac:dyDescent="0.3"/>
    <row r="1955" x14ac:dyDescent="0.3"/>
    <row r="1956" x14ac:dyDescent="0.3"/>
    <row r="1957" x14ac:dyDescent="0.3"/>
    <row r="1958" x14ac:dyDescent="0.3"/>
    <row r="1959" x14ac:dyDescent="0.3"/>
    <row r="1960" x14ac:dyDescent="0.3"/>
    <row r="1961" x14ac:dyDescent="0.3"/>
    <row r="1962" x14ac:dyDescent="0.3"/>
    <row r="1963" x14ac:dyDescent="0.3"/>
    <row r="1964" x14ac:dyDescent="0.3"/>
    <row r="1965" x14ac:dyDescent="0.3"/>
    <row r="1966" x14ac:dyDescent="0.3"/>
    <row r="1967" x14ac:dyDescent="0.3"/>
    <row r="1968" x14ac:dyDescent="0.3"/>
    <row r="1969" x14ac:dyDescent="0.3"/>
    <row r="1970" x14ac:dyDescent="0.3"/>
    <row r="1971" x14ac:dyDescent="0.3"/>
    <row r="1972" x14ac:dyDescent="0.3"/>
    <row r="1973" x14ac:dyDescent="0.3"/>
    <row r="1974" x14ac:dyDescent="0.3"/>
    <row r="1975" x14ac:dyDescent="0.3"/>
    <row r="1976" x14ac:dyDescent="0.3"/>
    <row r="1977" x14ac:dyDescent="0.3"/>
    <row r="1978" x14ac:dyDescent="0.3"/>
    <row r="1979" x14ac:dyDescent="0.3"/>
    <row r="1980" x14ac:dyDescent="0.3"/>
    <row r="1981" x14ac:dyDescent="0.3"/>
    <row r="1982" x14ac:dyDescent="0.3"/>
    <row r="1983" x14ac:dyDescent="0.3"/>
    <row r="1984" x14ac:dyDescent="0.3"/>
    <row r="1985" x14ac:dyDescent="0.3"/>
    <row r="1986" x14ac:dyDescent="0.3"/>
    <row r="1987" x14ac:dyDescent="0.3"/>
    <row r="1988" x14ac:dyDescent="0.3"/>
    <row r="1989" x14ac:dyDescent="0.3"/>
    <row r="1990" x14ac:dyDescent="0.3"/>
    <row r="1991" x14ac:dyDescent="0.3"/>
    <row r="1992" x14ac:dyDescent="0.3"/>
    <row r="1993" x14ac:dyDescent="0.3"/>
    <row r="1994" x14ac:dyDescent="0.3"/>
    <row r="1995" x14ac:dyDescent="0.3"/>
    <row r="1996" x14ac:dyDescent="0.3"/>
    <row r="1997" x14ac:dyDescent="0.3"/>
    <row r="1998" x14ac:dyDescent="0.3"/>
    <row r="1999" x14ac:dyDescent="0.3"/>
    <row r="2000" x14ac:dyDescent="0.3"/>
    <row r="2001" x14ac:dyDescent="0.3"/>
    <row r="2002" x14ac:dyDescent="0.3"/>
    <row r="2003" x14ac:dyDescent="0.3"/>
    <row r="2004" x14ac:dyDescent="0.3"/>
    <row r="2005" x14ac:dyDescent="0.3"/>
    <row r="2006" x14ac:dyDescent="0.3"/>
    <row r="2007" x14ac:dyDescent="0.3"/>
    <row r="2008" x14ac:dyDescent="0.3"/>
    <row r="2009" x14ac:dyDescent="0.3"/>
    <row r="2010" x14ac:dyDescent="0.3"/>
    <row r="2011" x14ac:dyDescent="0.3"/>
    <row r="2012" x14ac:dyDescent="0.3"/>
    <row r="2013" x14ac:dyDescent="0.3"/>
    <row r="2014" x14ac:dyDescent="0.3"/>
    <row r="2015" x14ac:dyDescent="0.3"/>
    <row r="2016" x14ac:dyDescent="0.3"/>
    <row r="2017" x14ac:dyDescent="0.3"/>
    <row r="2018" x14ac:dyDescent="0.3"/>
    <row r="2019" x14ac:dyDescent="0.3"/>
    <row r="2020" x14ac:dyDescent="0.3"/>
    <row r="2021" x14ac:dyDescent="0.3"/>
    <row r="2022" x14ac:dyDescent="0.3"/>
    <row r="2023" x14ac:dyDescent="0.3"/>
    <row r="2024" x14ac:dyDescent="0.3"/>
    <row r="2025" x14ac:dyDescent="0.3"/>
    <row r="2026" x14ac:dyDescent="0.3"/>
    <row r="2027" x14ac:dyDescent="0.3"/>
    <row r="2028" x14ac:dyDescent="0.3"/>
    <row r="2029" x14ac:dyDescent="0.3"/>
    <row r="2030" x14ac:dyDescent="0.3"/>
    <row r="2031" x14ac:dyDescent="0.3"/>
    <row r="2032" x14ac:dyDescent="0.3"/>
    <row r="2033" x14ac:dyDescent="0.3"/>
    <row r="2034" x14ac:dyDescent="0.3"/>
    <row r="2035" x14ac:dyDescent="0.3"/>
    <row r="2036" x14ac:dyDescent="0.3"/>
    <row r="2037" x14ac:dyDescent="0.3"/>
    <row r="2038" x14ac:dyDescent="0.3"/>
    <row r="2039" x14ac:dyDescent="0.3"/>
    <row r="2040" x14ac:dyDescent="0.3"/>
    <row r="2041" x14ac:dyDescent="0.3"/>
    <row r="2042" x14ac:dyDescent="0.3"/>
    <row r="2043" x14ac:dyDescent="0.3"/>
    <row r="2044" x14ac:dyDescent="0.3"/>
    <row r="2045" x14ac:dyDescent="0.3"/>
    <row r="2046" x14ac:dyDescent="0.3"/>
    <row r="2047" x14ac:dyDescent="0.3"/>
    <row r="2048" x14ac:dyDescent="0.3"/>
    <row r="2049" x14ac:dyDescent="0.3"/>
    <row r="2050" x14ac:dyDescent="0.3"/>
    <row r="2051" x14ac:dyDescent="0.3"/>
    <row r="2052" x14ac:dyDescent="0.3"/>
    <row r="2053" x14ac:dyDescent="0.3"/>
    <row r="2054" x14ac:dyDescent="0.3"/>
    <row r="2055" x14ac:dyDescent="0.3"/>
    <row r="2056" x14ac:dyDescent="0.3"/>
    <row r="2057" x14ac:dyDescent="0.3"/>
    <row r="2058" x14ac:dyDescent="0.3"/>
    <row r="2059" x14ac:dyDescent="0.3"/>
    <row r="2060" x14ac:dyDescent="0.3"/>
    <row r="2061" x14ac:dyDescent="0.3"/>
    <row r="2062" x14ac:dyDescent="0.3"/>
    <row r="2063" x14ac:dyDescent="0.3"/>
    <row r="2064" x14ac:dyDescent="0.3"/>
    <row r="2065" x14ac:dyDescent="0.3"/>
    <row r="2066" x14ac:dyDescent="0.3"/>
    <row r="2067" x14ac:dyDescent="0.3"/>
    <row r="2068" x14ac:dyDescent="0.3"/>
    <row r="2069" x14ac:dyDescent="0.3"/>
    <row r="2070" x14ac:dyDescent="0.3"/>
    <row r="2071" x14ac:dyDescent="0.3"/>
    <row r="2072" x14ac:dyDescent="0.3"/>
    <row r="2073" x14ac:dyDescent="0.3"/>
    <row r="2074" x14ac:dyDescent="0.3"/>
    <row r="2075" x14ac:dyDescent="0.3"/>
    <row r="2076" x14ac:dyDescent="0.3"/>
    <row r="2077" x14ac:dyDescent="0.3"/>
    <row r="2078" x14ac:dyDescent="0.3"/>
    <row r="2079" x14ac:dyDescent="0.3"/>
    <row r="2080" x14ac:dyDescent="0.3"/>
    <row r="2081" x14ac:dyDescent="0.3"/>
    <row r="2082" x14ac:dyDescent="0.3"/>
    <row r="2083" x14ac:dyDescent="0.3"/>
    <row r="2084" x14ac:dyDescent="0.3"/>
    <row r="2085" x14ac:dyDescent="0.3"/>
    <row r="2086" x14ac:dyDescent="0.3"/>
    <row r="2087" x14ac:dyDescent="0.3"/>
    <row r="2088" x14ac:dyDescent="0.3"/>
    <row r="2089" x14ac:dyDescent="0.3"/>
    <row r="2090" x14ac:dyDescent="0.3"/>
    <row r="2091" x14ac:dyDescent="0.3"/>
    <row r="2092" x14ac:dyDescent="0.3"/>
    <row r="2093" x14ac:dyDescent="0.3"/>
    <row r="2094" x14ac:dyDescent="0.3"/>
    <row r="2095" x14ac:dyDescent="0.3"/>
    <row r="2096" x14ac:dyDescent="0.3"/>
    <row r="2097" x14ac:dyDescent="0.3"/>
    <row r="2098" x14ac:dyDescent="0.3"/>
    <row r="2099" x14ac:dyDescent="0.3"/>
    <row r="2100" x14ac:dyDescent="0.3"/>
    <row r="2101" x14ac:dyDescent="0.3"/>
    <row r="2102" x14ac:dyDescent="0.3"/>
    <row r="2103" x14ac:dyDescent="0.3"/>
    <row r="2104" x14ac:dyDescent="0.3"/>
    <row r="2105" x14ac:dyDescent="0.3"/>
    <row r="2106" x14ac:dyDescent="0.3"/>
    <row r="2107" x14ac:dyDescent="0.3"/>
    <row r="2108" x14ac:dyDescent="0.3"/>
    <row r="2109" x14ac:dyDescent="0.3"/>
    <row r="2110" x14ac:dyDescent="0.3"/>
    <row r="2111" x14ac:dyDescent="0.3"/>
    <row r="2112" x14ac:dyDescent="0.3"/>
    <row r="2113" x14ac:dyDescent="0.3"/>
    <row r="2114" x14ac:dyDescent="0.3"/>
    <row r="2115" x14ac:dyDescent="0.3"/>
    <row r="2116" x14ac:dyDescent="0.3"/>
    <row r="2117" x14ac:dyDescent="0.3"/>
    <row r="2118" x14ac:dyDescent="0.3"/>
    <row r="2119" x14ac:dyDescent="0.3"/>
    <row r="2120" x14ac:dyDescent="0.3"/>
    <row r="2121" x14ac:dyDescent="0.3"/>
    <row r="2122" x14ac:dyDescent="0.3"/>
    <row r="2123" x14ac:dyDescent="0.3"/>
    <row r="2124" x14ac:dyDescent="0.3"/>
    <row r="2125" x14ac:dyDescent="0.3"/>
    <row r="2126" x14ac:dyDescent="0.3"/>
    <row r="2127" x14ac:dyDescent="0.3"/>
    <row r="2128" x14ac:dyDescent="0.3"/>
    <row r="2129" x14ac:dyDescent="0.3"/>
    <row r="2130" x14ac:dyDescent="0.3"/>
    <row r="2131" x14ac:dyDescent="0.3"/>
    <row r="2132" x14ac:dyDescent="0.3"/>
    <row r="2133" x14ac:dyDescent="0.3"/>
    <row r="2134" x14ac:dyDescent="0.3"/>
    <row r="2135" x14ac:dyDescent="0.3"/>
    <row r="2136" x14ac:dyDescent="0.3"/>
    <row r="2137" x14ac:dyDescent="0.3"/>
    <row r="2138" x14ac:dyDescent="0.3"/>
    <row r="2139" x14ac:dyDescent="0.3"/>
    <row r="2140" x14ac:dyDescent="0.3"/>
    <row r="2141" x14ac:dyDescent="0.3"/>
    <row r="2142" x14ac:dyDescent="0.3"/>
    <row r="2143" x14ac:dyDescent="0.3"/>
    <row r="2144" x14ac:dyDescent="0.3"/>
    <row r="2145" x14ac:dyDescent="0.3"/>
    <row r="2146" x14ac:dyDescent="0.3"/>
    <row r="2147" x14ac:dyDescent="0.3"/>
    <row r="2148" x14ac:dyDescent="0.3"/>
    <row r="2149" x14ac:dyDescent="0.3"/>
    <row r="2150" x14ac:dyDescent="0.3"/>
    <row r="2151" x14ac:dyDescent="0.3"/>
    <row r="2152" x14ac:dyDescent="0.3"/>
    <row r="2153" x14ac:dyDescent="0.3"/>
    <row r="2154" x14ac:dyDescent="0.3"/>
    <row r="2155" x14ac:dyDescent="0.3"/>
    <row r="2156" x14ac:dyDescent="0.3"/>
    <row r="2157" x14ac:dyDescent="0.3"/>
    <row r="2158" x14ac:dyDescent="0.3"/>
    <row r="2159" x14ac:dyDescent="0.3"/>
    <row r="2160" x14ac:dyDescent="0.3"/>
    <row r="2161" x14ac:dyDescent="0.3"/>
    <row r="2162" x14ac:dyDescent="0.3"/>
    <row r="2163" x14ac:dyDescent="0.3"/>
    <row r="2164" x14ac:dyDescent="0.3"/>
    <row r="2165" x14ac:dyDescent="0.3"/>
    <row r="2166" x14ac:dyDescent="0.3"/>
    <row r="2167" x14ac:dyDescent="0.3"/>
    <row r="2168" x14ac:dyDescent="0.3"/>
    <row r="2169" x14ac:dyDescent="0.3"/>
    <row r="2170" x14ac:dyDescent="0.3"/>
    <row r="2171" x14ac:dyDescent="0.3"/>
    <row r="2172" x14ac:dyDescent="0.3"/>
    <row r="2173" x14ac:dyDescent="0.3"/>
    <row r="2174" x14ac:dyDescent="0.3"/>
    <row r="2175" x14ac:dyDescent="0.3"/>
    <row r="2176" x14ac:dyDescent="0.3"/>
    <row r="2177" x14ac:dyDescent="0.3"/>
    <row r="2178" x14ac:dyDescent="0.3"/>
    <row r="2179" x14ac:dyDescent="0.3"/>
    <row r="2180" x14ac:dyDescent="0.3"/>
    <row r="2181" x14ac:dyDescent="0.3"/>
    <row r="2182" x14ac:dyDescent="0.3"/>
    <row r="2183" x14ac:dyDescent="0.3"/>
    <row r="2184" x14ac:dyDescent="0.3"/>
    <row r="2185" x14ac:dyDescent="0.3"/>
    <row r="2186" x14ac:dyDescent="0.3"/>
    <row r="2187" x14ac:dyDescent="0.3"/>
    <row r="2188" x14ac:dyDescent="0.3"/>
    <row r="2189" x14ac:dyDescent="0.3"/>
    <row r="2190" x14ac:dyDescent="0.3"/>
    <row r="2191" x14ac:dyDescent="0.3"/>
    <row r="2192" x14ac:dyDescent="0.3"/>
    <row r="2193" x14ac:dyDescent="0.3"/>
    <row r="2194" x14ac:dyDescent="0.3"/>
    <row r="2195" x14ac:dyDescent="0.3"/>
    <row r="2196" x14ac:dyDescent="0.3"/>
    <row r="2197" x14ac:dyDescent="0.3"/>
    <row r="2198" x14ac:dyDescent="0.3"/>
    <row r="2199" x14ac:dyDescent="0.3"/>
    <row r="2200" x14ac:dyDescent="0.3"/>
    <row r="2201" x14ac:dyDescent="0.3"/>
    <row r="2202" x14ac:dyDescent="0.3"/>
    <row r="2203" x14ac:dyDescent="0.3"/>
    <row r="2204" x14ac:dyDescent="0.3"/>
    <row r="2205" x14ac:dyDescent="0.3"/>
    <row r="2206" x14ac:dyDescent="0.3"/>
    <row r="2207" x14ac:dyDescent="0.3"/>
    <row r="2208" x14ac:dyDescent="0.3"/>
    <row r="2209" x14ac:dyDescent="0.3"/>
    <row r="2210" x14ac:dyDescent="0.3"/>
    <row r="2211" x14ac:dyDescent="0.3"/>
    <row r="2212" x14ac:dyDescent="0.3"/>
    <row r="2213" x14ac:dyDescent="0.3"/>
    <row r="2214" x14ac:dyDescent="0.3"/>
    <row r="2215" x14ac:dyDescent="0.3"/>
    <row r="2216" x14ac:dyDescent="0.3"/>
    <row r="2217" x14ac:dyDescent="0.3"/>
    <row r="2218" x14ac:dyDescent="0.3"/>
    <row r="2219" x14ac:dyDescent="0.3"/>
    <row r="2220" x14ac:dyDescent="0.3"/>
    <row r="2221" x14ac:dyDescent="0.3"/>
    <row r="2222" x14ac:dyDescent="0.3"/>
    <row r="2223" x14ac:dyDescent="0.3"/>
    <row r="2224" x14ac:dyDescent="0.3"/>
    <row r="2225" x14ac:dyDescent="0.3"/>
    <row r="2226" x14ac:dyDescent="0.3"/>
    <row r="2227" x14ac:dyDescent="0.3"/>
    <row r="2228" x14ac:dyDescent="0.3"/>
    <row r="2229" x14ac:dyDescent="0.3"/>
    <row r="2230" x14ac:dyDescent="0.3"/>
    <row r="2231" x14ac:dyDescent="0.3"/>
    <row r="2232" x14ac:dyDescent="0.3"/>
    <row r="2233" x14ac:dyDescent="0.3"/>
    <row r="2234" x14ac:dyDescent="0.3"/>
    <row r="2235" x14ac:dyDescent="0.3"/>
    <row r="2236" x14ac:dyDescent="0.3"/>
    <row r="2237" x14ac:dyDescent="0.3"/>
    <row r="2238" x14ac:dyDescent="0.3"/>
    <row r="2239" x14ac:dyDescent="0.3"/>
    <row r="2240" x14ac:dyDescent="0.3"/>
    <row r="2241" x14ac:dyDescent="0.3"/>
    <row r="2242" x14ac:dyDescent="0.3"/>
    <row r="2243" x14ac:dyDescent="0.3"/>
    <row r="2244" x14ac:dyDescent="0.3"/>
    <row r="2245" x14ac:dyDescent="0.3"/>
    <row r="2246" x14ac:dyDescent="0.3"/>
    <row r="2247" x14ac:dyDescent="0.3"/>
    <row r="2248" x14ac:dyDescent="0.3"/>
    <row r="2249" x14ac:dyDescent="0.3"/>
    <row r="2250" x14ac:dyDescent="0.3"/>
    <row r="2251" x14ac:dyDescent="0.3"/>
    <row r="2252" x14ac:dyDescent="0.3"/>
    <row r="2253" x14ac:dyDescent="0.3"/>
    <row r="2254" x14ac:dyDescent="0.3"/>
    <row r="2255" x14ac:dyDescent="0.3"/>
    <row r="2256" x14ac:dyDescent="0.3"/>
    <row r="2257" x14ac:dyDescent="0.3"/>
    <row r="2258" x14ac:dyDescent="0.3"/>
    <row r="2259" x14ac:dyDescent="0.3"/>
    <row r="2260" x14ac:dyDescent="0.3"/>
    <row r="2261" x14ac:dyDescent="0.3"/>
    <row r="2262" x14ac:dyDescent="0.3"/>
    <row r="2263" x14ac:dyDescent="0.3"/>
    <row r="2264" x14ac:dyDescent="0.3"/>
    <row r="2265" x14ac:dyDescent="0.3"/>
    <row r="2266" x14ac:dyDescent="0.3"/>
    <row r="2267" x14ac:dyDescent="0.3"/>
    <row r="2268" x14ac:dyDescent="0.3"/>
    <row r="2269" x14ac:dyDescent="0.3"/>
    <row r="2270" x14ac:dyDescent="0.3"/>
    <row r="2271" x14ac:dyDescent="0.3"/>
    <row r="2272" x14ac:dyDescent="0.3"/>
    <row r="2273" x14ac:dyDescent="0.3"/>
    <row r="2274" x14ac:dyDescent="0.3"/>
    <row r="2275" x14ac:dyDescent="0.3"/>
    <row r="2276" x14ac:dyDescent="0.3"/>
    <row r="2277" x14ac:dyDescent="0.3"/>
    <row r="2278" x14ac:dyDescent="0.3"/>
    <row r="2279" x14ac:dyDescent="0.3"/>
    <row r="2280" x14ac:dyDescent="0.3"/>
    <row r="2281" x14ac:dyDescent="0.3"/>
    <row r="2282" x14ac:dyDescent="0.3"/>
    <row r="2283" x14ac:dyDescent="0.3"/>
    <row r="2284" x14ac:dyDescent="0.3"/>
    <row r="2285" x14ac:dyDescent="0.3"/>
    <row r="2286" x14ac:dyDescent="0.3"/>
    <row r="2287" x14ac:dyDescent="0.3"/>
    <row r="2288" x14ac:dyDescent="0.3"/>
    <row r="2289" x14ac:dyDescent="0.3"/>
    <row r="2290" x14ac:dyDescent="0.3"/>
    <row r="2291" x14ac:dyDescent="0.3"/>
    <row r="2292" x14ac:dyDescent="0.3"/>
    <row r="2293" x14ac:dyDescent="0.3"/>
    <row r="2294" x14ac:dyDescent="0.3"/>
    <row r="2295" x14ac:dyDescent="0.3"/>
    <row r="2296" x14ac:dyDescent="0.3"/>
    <row r="2297" x14ac:dyDescent="0.3"/>
    <row r="2298" x14ac:dyDescent="0.3"/>
    <row r="2299" x14ac:dyDescent="0.3"/>
    <row r="2300" x14ac:dyDescent="0.3"/>
    <row r="2301" x14ac:dyDescent="0.3"/>
    <row r="2302" x14ac:dyDescent="0.3"/>
    <row r="2303" x14ac:dyDescent="0.3"/>
    <row r="2304" x14ac:dyDescent="0.3"/>
    <row r="2305" x14ac:dyDescent="0.3"/>
    <row r="2306" x14ac:dyDescent="0.3"/>
    <row r="2307" x14ac:dyDescent="0.3"/>
    <row r="2308" x14ac:dyDescent="0.3"/>
    <row r="2309" x14ac:dyDescent="0.3"/>
    <row r="2310" x14ac:dyDescent="0.3"/>
    <row r="2311" x14ac:dyDescent="0.3"/>
    <row r="2312" x14ac:dyDescent="0.3"/>
    <row r="2313" x14ac:dyDescent="0.3"/>
    <row r="2314" x14ac:dyDescent="0.3"/>
    <row r="2315" x14ac:dyDescent="0.3"/>
    <row r="2316" x14ac:dyDescent="0.3"/>
    <row r="2317" x14ac:dyDescent="0.3"/>
    <row r="2318" x14ac:dyDescent="0.3"/>
    <row r="2319" x14ac:dyDescent="0.3"/>
    <row r="2320" x14ac:dyDescent="0.3"/>
    <row r="2321" x14ac:dyDescent="0.3"/>
    <row r="2322" x14ac:dyDescent="0.3"/>
    <row r="2323" x14ac:dyDescent="0.3"/>
    <row r="2324" x14ac:dyDescent="0.3"/>
    <row r="2325" x14ac:dyDescent="0.3"/>
    <row r="2326" x14ac:dyDescent="0.3"/>
    <row r="2327" x14ac:dyDescent="0.3"/>
    <row r="2328" x14ac:dyDescent="0.3"/>
    <row r="2329" x14ac:dyDescent="0.3"/>
    <row r="2330" x14ac:dyDescent="0.3"/>
    <row r="2331" x14ac:dyDescent="0.3"/>
    <row r="2332" x14ac:dyDescent="0.3"/>
    <row r="2333" x14ac:dyDescent="0.3"/>
    <row r="2334" x14ac:dyDescent="0.3"/>
    <row r="2335" x14ac:dyDescent="0.3"/>
    <row r="2336" x14ac:dyDescent="0.3"/>
    <row r="2337" x14ac:dyDescent="0.3"/>
    <row r="2338" x14ac:dyDescent="0.3"/>
    <row r="2339" x14ac:dyDescent="0.3"/>
    <row r="2340" x14ac:dyDescent="0.3"/>
    <row r="2341" x14ac:dyDescent="0.3"/>
    <row r="2342" x14ac:dyDescent="0.3"/>
    <row r="2343" x14ac:dyDescent="0.3"/>
    <row r="2344" x14ac:dyDescent="0.3"/>
    <row r="2345" x14ac:dyDescent="0.3"/>
    <row r="2346" x14ac:dyDescent="0.3"/>
    <row r="2347" x14ac:dyDescent="0.3"/>
    <row r="2348" x14ac:dyDescent="0.3"/>
    <row r="2349" x14ac:dyDescent="0.3"/>
    <row r="2350" x14ac:dyDescent="0.3"/>
    <row r="2351" x14ac:dyDescent="0.3"/>
    <row r="2352" x14ac:dyDescent="0.3"/>
    <row r="2353" x14ac:dyDescent="0.3"/>
    <row r="2354" x14ac:dyDescent="0.3"/>
    <row r="2355" x14ac:dyDescent="0.3"/>
    <row r="2356" x14ac:dyDescent="0.3"/>
    <row r="2357" x14ac:dyDescent="0.3"/>
    <row r="2358" x14ac:dyDescent="0.3"/>
    <row r="2359" x14ac:dyDescent="0.3"/>
    <row r="2360" x14ac:dyDescent="0.3"/>
    <row r="2361" x14ac:dyDescent="0.3"/>
    <row r="2362" x14ac:dyDescent="0.3"/>
    <row r="2363" x14ac:dyDescent="0.3"/>
    <row r="2364" x14ac:dyDescent="0.3"/>
    <row r="2365" x14ac:dyDescent="0.3"/>
    <row r="2366" x14ac:dyDescent="0.3"/>
    <row r="2367" x14ac:dyDescent="0.3"/>
    <row r="2368" x14ac:dyDescent="0.3"/>
    <row r="2369" x14ac:dyDescent="0.3"/>
    <row r="2370" x14ac:dyDescent="0.3"/>
    <row r="2371" x14ac:dyDescent="0.3"/>
    <row r="2372" x14ac:dyDescent="0.3"/>
    <row r="2373" x14ac:dyDescent="0.3"/>
    <row r="2374" x14ac:dyDescent="0.3"/>
    <row r="2375" x14ac:dyDescent="0.3"/>
    <row r="2376" x14ac:dyDescent="0.3"/>
    <row r="2377" x14ac:dyDescent="0.3"/>
    <row r="2378" x14ac:dyDescent="0.3"/>
    <row r="2379" x14ac:dyDescent="0.3"/>
    <row r="2380" x14ac:dyDescent="0.3"/>
    <row r="2381" x14ac:dyDescent="0.3"/>
    <row r="2382" x14ac:dyDescent="0.3"/>
    <row r="2383" x14ac:dyDescent="0.3"/>
    <row r="2384" x14ac:dyDescent="0.3"/>
    <row r="2385" x14ac:dyDescent="0.3"/>
    <row r="2386" x14ac:dyDescent="0.3"/>
    <row r="2387" x14ac:dyDescent="0.3"/>
    <row r="2388" x14ac:dyDescent="0.3"/>
    <row r="2389" x14ac:dyDescent="0.3"/>
    <row r="2390" x14ac:dyDescent="0.3"/>
    <row r="2391" x14ac:dyDescent="0.3"/>
    <row r="2392" x14ac:dyDescent="0.3"/>
    <row r="2393" x14ac:dyDescent="0.3"/>
    <row r="2394" x14ac:dyDescent="0.3"/>
    <row r="2395" x14ac:dyDescent="0.3"/>
    <row r="2396" x14ac:dyDescent="0.3"/>
    <row r="2397" x14ac:dyDescent="0.3"/>
    <row r="2398" x14ac:dyDescent="0.3"/>
    <row r="2399" x14ac:dyDescent="0.3"/>
    <row r="2400" x14ac:dyDescent="0.3"/>
    <row r="2401" x14ac:dyDescent="0.3"/>
    <row r="2402" x14ac:dyDescent="0.3"/>
    <row r="2403" x14ac:dyDescent="0.3"/>
    <row r="2404" x14ac:dyDescent="0.3"/>
    <row r="2405" x14ac:dyDescent="0.3"/>
    <row r="2406" x14ac:dyDescent="0.3"/>
    <row r="2407" x14ac:dyDescent="0.3"/>
    <row r="2408" x14ac:dyDescent="0.3"/>
    <row r="2409" x14ac:dyDescent="0.3"/>
    <row r="2410" x14ac:dyDescent="0.3"/>
    <row r="2411" x14ac:dyDescent="0.3"/>
    <row r="2412" x14ac:dyDescent="0.3"/>
    <row r="2413" x14ac:dyDescent="0.3"/>
    <row r="2414" x14ac:dyDescent="0.3"/>
    <row r="2415" x14ac:dyDescent="0.3"/>
    <row r="2416" x14ac:dyDescent="0.3"/>
    <row r="2417" x14ac:dyDescent="0.3"/>
    <row r="2418" x14ac:dyDescent="0.3"/>
    <row r="2419" x14ac:dyDescent="0.3"/>
    <row r="2420" x14ac:dyDescent="0.3"/>
    <row r="2421" x14ac:dyDescent="0.3"/>
    <row r="2422" x14ac:dyDescent="0.3"/>
    <row r="2423" x14ac:dyDescent="0.3"/>
    <row r="2424" x14ac:dyDescent="0.3"/>
    <row r="2425" x14ac:dyDescent="0.3"/>
    <row r="2426" x14ac:dyDescent="0.3"/>
    <row r="2427" x14ac:dyDescent="0.3"/>
    <row r="2428" x14ac:dyDescent="0.3"/>
    <row r="2429" x14ac:dyDescent="0.3"/>
    <row r="2430" x14ac:dyDescent="0.3"/>
    <row r="2431" x14ac:dyDescent="0.3"/>
    <row r="2432" x14ac:dyDescent="0.3"/>
    <row r="2433" x14ac:dyDescent="0.3"/>
    <row r="2434" x14ac:dyDescent="0.3"/>
    <row r="2435" x14ac:dyDescent="0.3"/>
    <row r="2436" x14ac:dyDescent="0.3"/>
    <row r="2437" x14ac:dyDescent="0.3"/>
    <row r="2438" x14ac:dyDescent="0.3"/>
    <row r="2439" x14ac:dyDescent="0.3"/>
    <row r="2440" x14ac:dyDescent="0.3"/>
    <row r="2441" x14ac:dyDescent="0.3"/>
    <row r="2442" x14ac:dyDescent="0.3"/>
    <row r="2443" x14ac:dyDescent="0.3"/>
    <row r="2444" x14ac:dyDescent="0.3"/>
    <row r="2445" x14ac:dyDescent="0.3"/>
    <row r="2446" x14ac:dyDescent="0.3"/>
    <row r="2447" x14ac:dyDescent="0.3"/>
    <row r="2448" x14ac:dyDescent="0.3"/>
    <row r="2449" x14ac:dyDescent="0.3"/>
    <row r="2450" x14ac:dyDescent="0.3"/>
    <row r="2451" x14ac:dyDescent="0.3"/>
    <row r="2452" x14ac:dyDescent="0.3"/>
    <row r="2453" x14ac:dyDescent="0.3"/>
    <row r="2454" x14ac:dyDescent="0.3"/>
    <row r="2455" x14ac:dyDescent="0.3"/>
    <row r="2456" x14ac:dyDescent="0.3"/>
    <row r="2457" x14ac:dyDescent="0.3"/>
    <row r="2458" x14ac:dyDescent="0.3"/>
    <row r="2459" x14ac:dyDescent="0.3"/>
    <row r="2460" x14ac:dyDescent="0.3"/>
    <row r="2461" x14ac:dyDescent="0.3"/>
    <row r="2462" x14ac:dyDescent="0.3"/>
    <row r="2463" x14ac:dyDescent="0.3"/>
    <row r="2464" x14ac:dyDescent="0.3"/>
    <row r="2465" x14ac:dyDescent="0.3"/>
    <row r="2466" x14ac:dyDescent="0.3"/>
    <row r="2467" x14ac:dyDescent="0.3"/>
    <row r="2468" x14ac:dyDescent="0.3"/>
    <row r="2469" x14ac:dyDescent="0.3"/>
    <row r="2470" x14ac:dyDescent="0.3"/>
    <row r="2471" x14ac:dyDescent="0.3"/>
    <row r="2472" x14ac:dyDescent="0.3"/>
    <row r="2473" x14ac:dyDescent="0.3"/>
    <row r="2474" x14ac:dyDescent="0.3"/>
    <row r="2475" x14ac:dyDescent="0.3"/>
    <row r="2476" x14ac:dyDescent="0.3"/>
    <row r="2477" x14ac:dyDescent="0.3"/>
    <row r="2478" x14ac:dyDescent="0.3"/>
    <row r="2479" x14ac:dyDescent="0.3"/>
    <row r="2480" x14ac:dyDescent="0.3"/>
    <row r="2481" x14ac:dyDescent="0.3"/>
    <row r="2482" x14ac:dyDescent="0.3"/>
    <row r="2483" x14ac:dyDescent="0.3"/>
    <row r="2484" x14ac:dyDescent="0.3"/>
    <row r="2485" x14ac:dyDescent="0.3"/>
    <row r="2486" x14ac:dyDescent="0.3"/>
    <row r="2487" x14ac:dyDescent="0.3"/>
    <row r="2488" x14ac:dyDescent="0.3"/>
    <row r="2489" x14ac:dyDescent="0.3"/>
    <row r="2490" x14ac:dyDescent="0.3"/>
    <row r="2491" x14ac:dyDescent="0.3"/>
    <row r="2492" x14ac:dyDescent="0.3"/>
    <row r="2493" x14ac:dyDescent="0.3"/>
    <row r="2494" x14ac:dyDescent="0.3"/>
    <row r="2495" x14ac:dyDescent="0.3"/>
    <row r="2496" x14ac:dyDescent="0.3"/>
    <row r="2497" x14ac:dyDescent="0.3"/>
    <row r="2498" x14ac:dyDescent="0.3"/>
    <row r="2499" x14ac:dyDescent="0.3"/>
    <row r="2500" x14ac:dyDescent="0.3"/>
    <row r="2501" x14ac:dyDescent="0.3"/>
    <row r="2502" x14ac:dyDescent="0.3"/>
    <row r="2503" x14ac:dyDescent="0.3"/>
    <row r="2504" x14ac:dyDescent="0.3"/>
    <row r="2505" x14ac:dyDescent="0.3"/>
    <row r="2506" x14ac:dyDescent="0.3"/>
    <row r="2507" x14ac:dyDescent="0.3"/>
    <row r="2508" x14ac:dyDescent="0.3"/>
    <row r="2509" x14ac:dyDescent="0.3"/>
    <row r="2510" x14ac:dyDescent="0.3"/>
    <row r="2511" x14ac:dyDescent="0.3"/>
    <row r="2512" x14ac:dyDescent="0.3"/>
    <row r="2513" x14ac:dyDescent="0.3"/>
    <row r="2514" x14ac:dyDescent="0.3"/>
    <row r="2515" x14ac:dyDescent="0.3"/>
    <row r="2516" x14ac:dyDescent="0.3"/>
    <row r="2517" x14ac:dyDescent="0.3"/>
    <row r="2518" x14ac:dyDescent="0.3"/>
    <row r="2519" x14ac:dyDescent="0.3"/>
    <row r="2520" x14ac:dyDescent="0.3"/>
    <row r="2521" x14ac:dyDescent="0.3"/>
    <row r="2522" x14ac:dyDescent="0.3"/>
    <row r="2523" x14ac:dyDescent="0.3"/>
    <row r="2524" x14ac:dyDescent="0.3"/>
    <row r="2525" x14ac:dyDescent="0.3"/>
    <row r="2526" x14ac:dyDescent="0.3"/>
    <row r="2527" x14ac:dyDescent="0.3"/>
    <row r="2528" x14ac:dyDescent="0.3"/>
    <row r="2529" x14ac:dyDescent="0.3"/>
    <row r="2530" x14ac:dyDescent="0.3"/>
    <row r="2531" x14ac:dyDescent="0.3"/>
    <row r="2532" x14ac:dyDescent="0.3"/>
    <row r="2533" x14ac:dyDescent="0.3"/>
    <row r="2534" x14ac:dyDescent="0.3"/>
    <row r="2535" x14ac:dyDescent="0.3"/>
    <row r="2536" x14ac:dyDescent="0.3"/>
    <row r="2537" x14ac:dyDescent="0.3"/>
    <row r="2538" x14ac:dyDescent="0.3"/>
    <row r="2539" x14ac:dyDescent="0.3"/>
    <row r="2540" x14ac:dyDescent="0.3"/>
    <row r="2541" x14ac:dyDescent="0.3"/>
    <row r="2542" x14ac:dyDescent="0.3"/>
    <row r="2543" x14ac:dyDescent="0.3"/>
    <row r="2544" x14ac:dyDescent="0.3"/>
    <row r="2545" x14ac:dyDescent="0.3"/>
    <row r="2546" x14ac:dyDescent="0.3"/>
    <row r="2547" x14ac:dyDescent="0.3"/>
    <row r="2548" x14ac:dyDescent="0.3"/>
    <row r="2549" x14ac:dyDescent="0.3"/>
    <row r="2550" x14ac:dyDescent="0.3"/>
    <row r="2551" x14ac:dyDescent="0.3"/>
    <row r="2552" x14ac:dyDescent="0.3"/>
    <row r="2553" x14ac:dyDescent="0.3"/>
    <row r="2554" x14ac:dyDescent="0.3"/>
    <row r="2555" x14ac:dyDescent="0.3"/>
    <row r="2556" x14ac:dyDescent="0.3"/>
    <row r="2557" x14ac:dyDescent="0.3"/>
    <row r="2558" x14ac:dyDescent="0.3"/>
    <row r="2559" x14ac:dyDescent="0.3"/>
    <row r="2560" x14ac:dyDescent="0.3"/>
    <row r="2561" x14ac:dyDescent="0.3"/>
    <row r="2562" x14ac:dyDescent="0.3"/>
    <row r="2563" x14ac:dyDescent="0.3"/>
    <row r="2564" x14ac:dyDescent="0.3"/>
    <row r="2565" x14ac:dyDescent="0.3"/>
    <row r="2566" x14ac:dyDescent="0.3"/>
    <row r="2567" x14ac:dyDescent="0.3"/>
    <row r="2568" x14ac:dyDescent="0.3"/>
    <row r="2569" x14ac:dyDescent="0.3"/>
    <row r="2570" x14ac:dyDescent="0.3"/>
    <row r="2571" x14ac:dyDescent="0.3"/>
    <row r="2572" x14ac:dyDescent="0.3"/>
    <row r="2573" x14ac:dyDescent="0.3"/>
    <row r="2574" x14ac:dyDescent="0.3"/>
    <row r="2575" x14ac:dyDescent="0.3"/>
    <row r="2576" x14ac:dyDescent="0.3"/>
    <row r="2577" x14ac:dyDescent="0.3"/>
    <row r="2578" x14ac:dyDescent="0.3"/>
    <row r="2579" x14ac:dyDescent="0.3"/>
    <row r="2580" x14ac:dyDescent="0.3"/>
    <row r="2581" x14ac:dyDescent="0.3"/>
    <row r="2582" x14ac:dyDescent="0.3"/>
    <row r="2583" x14ac:dyDescent="0.3"/>
    <row r="2584" x14ac:dyDescent="0.3"/>
    <row r="2585" x14ac:dyDescent="0.3"/>
    <row r="2586" x14ac:dyDescent="0.3"/>
    <row r="2587" x14ac:dyDescent="0.3"/>
    <row r="2588" x14ac:dyDescent="0.3"/>
    <row r="2589" x14ac:dyDescent="0.3"/>
    <row r="2590" x14ac:dyDescent="0.3"/>
    <row r="2591" x14ac:dyDescent="0.3"/>
    <row r="2592" x14ac:dyDescent="0.3"/>
    <row r="2593" x14ac:dyDescent="0.3"/>
    <row r="2594" x14ac:dyDescent="0.3"/>
    <row r="2595" x14ac:dyDescent="0.3"/>
    <row r="2596" x14ac:dyDescent="0.3"/>
    <row r="2597" x14ac:dyDescent="0.3"/>
    <row r="2598" x14ac:dyDescent="0.3"/>
    <row r="2599" x14ac:dyDescent="0.3"/>
    <row r="2600" x14ac:dyDescent="0.3"/>
    <row r="2601" x14ac:dyDescent="0.3"/>
    <row r="2602" x14ac:dyDescent="0.3"/>
    <row r="2603" x14ac:dyDescent="0.3"/>
    <row r="2604" x14ac:dyDescent="0.3"/>
    <row r="2605" x14ac:dyDescent="0.3"/>
    <row r="2606" x14ac:dyDescent="0.3"/>
    <row r="2607" x14ac:dyDescent="0.3"/>
    <row r="2608" x14ac:dyDescent="0.3"/>
    <row r="2609" x14ac:dyDescent="0.3"/>
    <row r="2610" x14ac:dyDescent="0.3"/>
    <row r="2611" x14ac:dyDescent="0.3"/>
    <row r="2612" x14ac:dyDescent="0.3"/>
    <row r="2613" x14ac:dyDescent="0.3"/>
    <row r="2614" x14ac:dyDescent="0.3"/>
    <row r="2615" x14ac:dyDescent="0.3"/>
    <row r="2616" x14ac:dyDescent="0.3"/>
    <row r="2617" x14ac:dyDescent="0.3"/>
    <row r="2618" x14ac:dyDescent="0.3"/>
    <row r="2619" x14ac:dyDescent="0.3"/>
    <row r="2620" x14ac:dyDescent="0.3"/>
    <row r="2621" x14ac:dyDescent="0.3"/>
    <row r="2622" x14ac:dyDescent="0.3"/>
    <row r="2623" x14ac:dyDescent="0.3"/>
    <row r="2624" x14ac:dyDescent="0.3"/>
    <row r="2625" x14ac:dyDescent="0.3"/>
    <row r="2626" x14ac:dyDescent="0.3"/>
    <row r="2627" x14ac:dyDescent="0.3"/>
    <row r="2628" x14ac:dyDescent="0.3"/>
    <row r="2629" x14ac:dyDescent="0.3"/>
    <row r="2630" x14ac:dyDescent="0.3"/>
    <row r="2631" x14ac:dyDescent="0.3"/>
    <row r="2632" x14ac:dyDescent="0.3"/>
    <row r="2633" x14ac:dyDescent="0.3"/>
    <row r="2634" x14ac:dyDescent="0.3"/>
    <row r="2635" x14ac:dyDescent="0.3"/>
    <row r="2636" x14ac:dyDescent="0.3"/>
    <row r="2637" x14ac:dyDescent="0.3"/>
    <row r="2638" x14ac:dyDescent="0.3"/>
    <row r="2639" x14ac:dyDescent="0.3"/>
    <row r="2640" x14ac:dyDescent="0.3"/>
    <row r="2641" x14ac:dyDescent="0.3"/>
    <row r="2642" x14ac:dyDescent="0.3"/>
    <row r="2643" x14ac:dyDescent="0.3"/>
    <row r="2644" x14ac:dyDescent="0.3"/>
    <row r="2645" x14ac:dyDescent="0.3"/>
    <row r="2646" x14ac:dyDescent="0.3"/>
    <row r="2647" x14ac:dyDescent="0.3"/>
    <row r="2648" x14ac:dyDescent="0.3"/>
    <row r="2649" x14ac:dyDescent="0.3"/>
    <row r="2650" x14ac:dyDescent="0.3"/>
    <row r="2651" x14ac:dyDescent="0.3"/>
    <row r="2652" x14ac:dyDescent="0.3"/>
    <row r="2653" x14ac:dyDescent="0.3"/>
    <row r="2654" x14ac:dyDescent="0.3"/>
    <row r="2655" x14ac:dyDescent="0.3"/>
    <row r="2656" x14ac:dyDescent="0.3"/>
    <row r="2657" x14ac:dyDescent="0.3"/>
    <row r="2658" x14ac:dyDescent="0.3"/>
    <row r="2659" x14ac:dyDescent="0.3"/>
    <row r="2660" x14ac:dyDescent="0.3"/>
    <row r="2661" x14ac:dyDescent="0.3"/>
    <row r="2662" x14ac:dyDescent="0.3"/>
    <row r="2663" x14ac:dyDescent="0.3"/>
    <row r="2664" x14ac:dyDescent="0.3"/>
    <row r="2665" x14ac:dyDescent="0.3"/>
    <row r="2666" x14ac:dyDescent="0.3"/>
    <row r="2667" x14ac:dyDescent="0.3"/>
    <row r="2668" x14ac:dyDescent="0.3"/>
    <row r="2669" x14ac:dyDescent="0.3"/>
    <row r="2670" x14ac:dyDescent="0.3"/>
    <row r="2671" x14ac:dyDescent="0.3"/>
    <row r="2672" x14ac:dyDescent="0.3"/>
    <row r="2673" x14ac:dyDescent="0.3"/>
    <row r="2674" x14ac:dyDescent="0.3"/>
    <row r="2675" x14ac:dyDescent="0.3"/>
    <row r="2676" x14ac:dyDescent="0.3"/>
    <row r="2677" x14ac:dyDescent="0.3"/>
    <row r="2678" x14ac:dyDescent="0.3"/>
    <row r="2679" x14ac:dyDescent="0.3"/>
    <row r="2680" x14ac:dyDescent="0.3"/>
    <row r="2681" x14ac:dyDescent="0.3"/>
    <row r="2682" x14ac:dyDescent="0.3"/>
    <row r="2683" x14ac:dyDescent="0.3"/>
    <row r="2684" x14ac:dyDescent="0.3"/>
    <row r="2685" x14ac:dyDescent="0.3"/>
    <row r="2686" x14ac:dyDescent="0.3"/>
    <row r="2687" x14ac:dyDescent="0.3"/>
    <row r="2688" x14ac:dyDescent="0.3"/>
    <row r="2689" x14ac:dyDescent="0.3"/>
    <row r="2690" x14ac:dyDescent="0.3"/>
    <row r="2691" x14ac:dyDescent="0.3"/>
    <row r="2692" x14ac:dyDescent="0.3"/>
    <row r="2693" x14ac:dyDescent="0.3"/>
    <row r="2694" x14ac:dyDescent="0.3"/>
    <row r="2695" x14ac:dyDescent="0.3"/>
    <row r="2696" x14ac:dyDescent="0.3"/>
    <row r="2697" x14ac:dyDescent="0.3"/>
    <row r="2698" x14ac:dyDescent="0.3"/>
    <row r="2699" x14ac:dyDescent="0.3"/>
    <row r="2700" x14ac:dyDescent="0.3"/>
    <row r="2701" x14ac:dyDescent="0.3"/>
    <row r="2702" x14ac:dyDescent="0.3"/>
    <row r="2703" x14ac:dyDescent="0.3"/>
    <row r="2704" x14ac:dyDescent="0.3"/>
    <row r="2705" x14ac:dyDescent="0.3"/>
    <row r="2706" x14ac:dyDescent="0.3"/>
    <row r="2707" x14ac:dyDescent="0.3"/>
    <row r="2708" x14ac:dyDescent="0.3"/>
    <row r="2709" x14ac:dyDescent="0.3"/>
    <row r="2710" x14ac:dyDescent="0.3"/>
    <row r="2711" x14ac:dyDescent="0.3"/>
    <row r="2712" x14ac:dyDescent="0.3"/>
    <row r="2713" x14ac:dyDescent="0.3"/>
    <row r="2714" x14ac:dyDescent="0.3"/>
    <row r="2715" x14ac:dyDescent="0.3"/>
    <row r="2716" x14ac:dyDescent="0.3"/>
    <row r="2717" x14ac:dyDescent="0.3"/>
    <row r="2718" x14ac:dyDescent="0.3"/>
    <row r="2719" x14ac:dyDescent="0.3"/>
    <row r="2720" x14ac:dyDescent="0.3"/>
    <row r="2721" x14ac:dyDescent="0.3"/>
    <row r="2722" x14ac:dyDescent="0.3"/>
    <row r="2723" x14ac:dyDescent="0.3"/>
    <row r="2724" x14ac:dyDescent="0.3"/>
    <row r="2725" x14ac:dyDescent="0.3"/>
    <row r="2726" x14ac:dyDescent="0.3"/>
    <row r="2727" x14ac:dyDescent="0.3"/>
    <row r="2728" x14ac:dyDescent="0.3"/>
    <row r="2729" x14ac:dyDescent="0.3"/>
    <row r="2730" x14ac:dyDescent="0.3"/>
    <row r="2731" x14ac:dyDescent="0.3"/>
    <row r="2732" x14ac:dyDescent="0.3"/>
    <row r="2733" x14ac:dyDescent="0.3"/>
    <row r="2734" x14ac:dyDescent="0.3"/>
    <row r="2735" x14ac:dyDescent="0.3"/>
    <row r="2736" x14ac:dyDescent="0.3"/>
    <row r="2737" x14ac:dyDescent="0.3"/>
    <row r="2738" x14ac:dyDescent="0.3"/>
    <row r="2739" x14ac:dyDescent="0.3"/>
    <row r="2740" x14ac:dyDescent="0.3"/>
    <row r="2741" x14ac:dyDescent="0.3"/>
    <row r="2742" x14ac:dyDescent="0.3"/>
    <row r="2743" x14ac:dyDescent="0.3"/>
    <row r="2744" x14ac:dyDescent="0.3"/>
    <row r="2745" x14ac:dyDescent="0.3"/>
    <row r="2746" x14ac:dyDescent="0.3"/>
    <row r="2747" x14ac:dyDescent="0.3"/>
    <row r="2748" x14ac:dyDescent="0.3"/>
    <row r="2749" x14ac:dyDescent="0.3"/>
    <row r="2750" x14ac:dyDescent="0.3"/>
    <row r="2751" x14ac:dyDescent="0.3"/>
    <row r="2752" x14ac:dyDescent="0.3"/>
    <row r="2753" x14ac:dyDescent="0.3"/>
    <row r="2754" x14ac:dyDescent="0.3"/>
    <row r="2755" x14ac:dyDescent="0.3"/>
    <row r="2756" x14ac:dyDescent="0.3"/>
    <row r="2757" x14ac:dyDescent="0.3"/>
    <row r="2758" x14ac:dyDescent="0.3"/>
    <row r="2759" x14ac:dyDescent="0.3"/>
    <row r="2760" x14ac:dyDescent="0.3"/>
    <row r="2761" x14ac:dyDescent="0.3"/>
    <row r="2762" x14ac:dyDescent="0.3"/>
    <row r="2763" x14ac:dyDescent="0.3"/>
    <row r="2764" x14ac:dyDescent="0.3"/>
    <row r="2765" x14ac:dyDescent="0.3"/>
    <row r="2766" x14ac:dyDescent="0.3"/>
    <row r="2767" x14ac:dyDescent="0.3"/>
    <row r="2768" x14ac:dyDescent="0.3"/>
    <row r="2769" x14ac:dyDescent="0.3"/>
    <row r="2770" x14ac:dyDescent="0.3"/>
    <row r="2771" x14ac:dyDescent="0.3"/>
    <row r="2772" x14ac:dyDescent="0.3"/>
    <row r="2773" x14ac:dyDescent="0.3"/>
    <row r="2774" x14ac:dyDescent="0.3"/>
    <row r="2775" x14ac:dyDescent="0.3"/>
    <row r="2776" x14ac:dyDescent="0.3"/>
    <row r="2777" x14ac:dyDescent="0.3"/>
    <row r="2778" x14ac:dyDescent="0.3"/>
    <row r="2779" x14ac:dyDescent="0.3"/>
    <row r="2780" x14ac:dyDescent="0.3"/>
    <row r="2781" x14ac:dyDescent="0.3"/>
    <row r="2782" x14ac:dyDescent="0.3"/>
    <row r="2783" x14ac:dyDescent="0.3"/>
    <row r="2784" x14ac:dyDescent="0.3"/>
    <row r="2785" x14ac:dyDescent="0.3"/>
    <row r="2786" x14ac:dyDescent="0.3"/>
    <row r="2787" x14ac:dyDescent="0.3"/>
    <row r="2788" x14ac:dyDescent="0.3"/>
    <row r="2789" x14ac:dyDescent="0.3"/>
    <row r="2790" x14ac:dyDescent="0.3"/>
    <row r="2791" x14ac:dyDescent="0.3"/>
    <row r="2792" x14ac:dyDescent="0.3"/>
    <row r="2793" x14ac:dyDescent="0.3"/>
    <row r="2794" x14ac:dyDescent="0.3"/>
    <row r="2795" x14ac:dyDescent="0.3"/>
    <row r="2796" x14ac:dyDescent="0.3"/>
    <row r="2797" x14ac:dyDescent="0.3"/>
    <row r="2798" x14ac:dyDescent="0.3"/>
    <row r="2799" x14ac:dyDescent="0.3"/>
    <row r="2800" x14ac:dyDescent="0.3"/>
    <row r="2801" x14ac:dyDescent="0.3"/>
    <row r="2802" x14ac:dyDescent="0.3"/>
    <row r="2803" x14ac:dyDescent="0.3"/>
    <row r="2804" x14ac:dyDescent="0.3"/>
    <row r="2805" x14ac:dyDescent="0.3"/>
    <row r="2806" x14ac:dyDescent="0.3"/>
    <row r="2807" x14ac:dyDescent="0.3"/>
    <row r="2808" x14ac:dyDescent="0.3"/>
    <row r="2809" x14ac:dyDescent="0.3"/>
    <row r="2810" x14ac:dyDescent="0.3"/>
    <row r="2811" x14ac:dyDescent="0.3"/>
    <row r="2812" x14ac:dyDescent="0.3"/>
    <row r="2813" x14ac:dyDescent="0.3"/>
    <row r="2814" x14ac:dyDescent="0.3"/>
    <row r="2815" x14ac:dyDescent="0.3"/>
    <row r="2816" x14ac:dyDescent="0.3"/>
    <row r="2817" x14ac:dyDescent="0.3"/>
    <row r="2818" x14ac:dyDescent="0.3"/>
    <row r="2819" x14ac:dyDescent="0.3"/>
    <row r="2820" x14ac:dyDescent="0.3"/>
    <row r="2821" x14ac:dyDescent="0.3"/>
    <row r="2822" x14ac:dyDescent="0.3"/>
    <row r="2823" x14ac:dyDescent="0.3"/>
    <row r="2824" x14ac:dyDescent="0.3"/>
    <row r="2825" x14ac:dyDescent="0.3"/>
    <row r="2826" x14ac:dyDescent="0.3"/>
    <row r="2827" x14ac:dyDescent="0.3"/>
    <row r="2828" x14ac:dyDescent="0.3"/>
    <row r="2829" x14ac:dyDescent="0.3"/>
    <row r="2830" x14ac:dyDescent="0.3"/>
    <row r="2831" x14ac:dyDescent="0.3"/>
    <row r="2832" x14ac:dyDescent="0.3"/>
    <row r="2833" x14ac:dyDescent="0.3"/>
    <row r="2834" x14ac:dyDescent="0.3"/>
    <row r="2835" x14ac:dyDescent="0.3"/>
    <row r="2836" x14ac:dyDescent="0.3"/>
    <row r="2837" x14ac:dyDescent="0.3"/>
    <row r="2838" x14ac:dyDescent="0.3"/>
    <row r="2839" x14ac:dyDescent="0.3"/>
    <row r="2840" x14ac:dyDescent="0.3"/>
    <row r="2841" x14ac:dyDescent="0.3"/>
    <row r="2842" x14ac:dyDescent="0.3"/>
    <row r="2843" x14ac:dyDescent="0.3"/>
    <row r="2844" x14ac:dyDescent="0.3"/>
    <row r="2845" x14ac:dyDescent="0.3"/>
    <row r="2846" x14ac:dyDescent="0.3"/>
    <row r="2847" x14ac:dyDescent="0.3"/>
    <row r="2848" x14ac:dyDescent="0.3"/>
    <row r="2849" x14ac:dyDescent="0.3"/>
    <row r="2850" x14ac:dyDescent="0.3"/>
    <row r="2851" x14ac:dyDescent="0.3"/>
    <row r="2852" x14ac:dyDescent="0.3"/>
    <row r="2853" x14ac:dyDescent="0.3"/>
    <row r="2854" x14ac:dyDescent="0.3"/>
    <row r="2855" x14ac:dyDescent="0.3"/>
    <row r="2856" x14ac:dyDescent="0.3"/>
    <row r="2857" x14ac:dyDescent="0.3"/>
    <row r="2858" x14ac:dyDescent="0.3"/>
    <row r="2859" x14ac:dyDescent="0.3"/>
    <row r="2860" x14ac:dyDescent="0.3"/>
    <row r="2861" x14ac:dyDescent="0.3"/>
    <row r="2862" x14ac:dyDescent="0.3"/>
    <row r="2863" x14ac:dyDescent="0.3"/>
    <row r="2864" x14ac:dyDescent="0.3"/>
    <row r="2865" x14ac:dyDescent="0.3"/>
    <row r="2866" x14ac:dyDescent="0.3"/>
    <row r="2867" x14ac:dyDescent="0.3"/>
    <row r="2868" x14ac:dyDescent="0.3"/>
    <row r="2869" x14ac:dyDescent="0.3"/>
    <row r="2870" x14ac:dyDescent="0.3"/>
    <row r="2871" x14ac:dyDescent="0.3"/>
    <row r="2872" x14ac:dyDescent="0.3"/>
    <row r="2873" x14ac:dyDescent="0.3"/>
    <row r="2874" x14ac:dyDescent="0.3"/>
    <row r="2875" x14ac:dyDescent="0.3"/>
    <row r="2876" x14ac:dyDescent="0.3"/>
    <row r="2877" x14ac:dyDescent="0.3"/>
    <row r="2878" x14ac:dyDescent="0.3"/>
    <row r="2879" x14ac:dyDescent="0.3"/>
    <row r="2880" x14ac:dyDescent="0.3"/>
    <row r="2881" x14ac:dyDescent="0.3"/>
    <row r="2882" x14ac:dyDescent="0.3"/>
    <row r="2883" x14ac:dyDescent="0.3"/>
    <row r="2884" x14ac:dyDescent="0.3"/>
    <row r="2885" x14ac:dyDescent="0.3"/>
    <row r="2886" x14ac:dyDescent="0.3"/>
    <row r="2887" x14ac:dyDescent="0.3"/>
    <row r="2888" x14ac:dyDescent="0.3"/>
    <row r="2889" x14ac:dyDescent="0.3"/>
    <row r="2890" x14ac:dyDescent="0.3"/>
    <row r="2891" x14ac:dyDescent="0.3"/>
    <row r="2892" x14ac:dyDescent="0.3"/>
    <row r="2893" x14ac:dyDescent="0.3"/>
    <row r="2894" x14ac:dyDescent="0.3"/>
    <row r="2895" x14ac:dyDescent="0.3"/>
    <row r="2896" x14ac:dyDescent="0.3"/>
    <row r="2897" x14ac:dyDescent="0.3"/>
    <row r="2898" x14ac:dyDescent="0.3"/>
    <row r="2899" x14ac:dyDescent="0.3"/>
    <row r="2900" x14ac:dyDescent="0.3"/>
    <row r="2901" x14ac:dyDescent="0.3"/>
    <row r="2902" x14ac:dyDescent="0.3"/>
    <row r="2903" x14ac:dyDescent="0.3"/>
    <row r="2904" x14ac:dyDescent="0.3"/>
    <row r="2905" x14ac:dyDescent="0.3"/>
    <row r="2906" x14ac:dyDescent="0.3"/>
    <row r="2907" x14ac:dyDescent="0.3"/>
    <row r="2908" x14ac:dyDescent="0.3"/>
    <row r="2909" x14ac:dyDescent="0.3"/>
    <row r="2910" x14ac:dyDescent="0.3"/>
    <row r="2911" x14ac:dyDescent="0.3"/>
    <row r="2912" x14ac:dyDescent="0.3"/>
    <row r="2913" x14ac:dyDescent="0.3"/>
    <row r="2914" x14ac:dyDescent="0.3"/>
    <row r="2915" x14ac:dyDescent="0.3"/>
    <row r="2916" x14ac:dyDescent="0.3"/>
    <row r="2917" x14ac:dyDescent="0.3"/>
    <row r="2918" x14ac:dyDescent="0.3"/>
    <row r="2919" x14ac:dyDescent="0.3"/>
    <row r="2920" x14ac:dyDescent="0.3"/>
    <row r="2921" x14ac:dyDescent="0.3"/>
    <row r="2922" x14ac:dyDescent="0.3"/>
    <row r="2923" x14ac:dyDescent="0.3"/>
    <row r="2924" x14ac:dyDescent="0.3"/>
    <row r="2925" x14ac:dyDescent="0.3"/>
    <row r="2926" x14ac:dyDescent="0.3"/>
    <row r="2927" x14ac:dyDescent="0.3"/>
    <row r="2928" x14ac:dyDescent="0.3"/>
    <row r="2929" x14ac:dyDescent="0.3"/>
    <row r="2930" x14ac:dyDescent="0.3"/>
    <row r="2931" x14ac:dyDescent="0.3"/>
    <row r="2932" x14ac:dyDescent="0.3"/>
    <row r="2933" x14ac:dyDescent="0.3"/>
    <row r="2934" x14ac:dyDescent="0.3"/>
    <row r="2935" x14ac:dyDescent="0.3"/>
    <row r="2936" x14ac:dyDescent="0.3"/>
    <row r="2937" x14ac:dyDescent="0.3"/>
    <row r="2938" x14ac:dyDescent="0.3"/>
    <row r="2939" x14ac:dyDescent="0.3"/>
    <row r="2940" x14ac:dyDescent="0.3"/>
    <row r="2941" x14ac:dyDescent="0.3"/>
    <row r="2942" x14ac:dyDescent="0.3"/>
    <row r="2943" x14ac:dyDescent="0.3"/>
    <row r="2944" x14ac:dyDescent="0.3"/>
    <row r="2945" x14ac:dyDescent="0.3"/>
    <row r="2946" x14ac:dyDescent="0.3"/>
    <row r="2947" x14ac:dyDescent="0.3"/>
    <row r="2948" x14ac:dyDescent="0.3"/>
    <row r="2949" x14ac:dyDescent="0.3"/>
    <row r="2950" x14ac:dyDescent="0.3"/>
    <row r="2951" x14ac:dyDescent="0.3"/>
    <row r="2952" x14ac:dyDescent="0.3"/>
    <row r="2953" x14ac:dyDescent="0.3"/>
    <row r="2954" x14ac:dyDescent="0.3"/>
    <row r="2955" x14ac:dyDescent="0.3"/>
    <row r="2956" x14ac:dyDescent="0.3"/>
    <row r="2957" x14ac:dyDescent="0.3"/>
    <row r="2958" x14ac:dyDescent="0.3"/>
    <row r="2959" x14ac:dyDescent="0.3"/>
    <row r="2960" x14ac:dyDescent="0.3"/>
    <row r="2961" x14ac:dyDescent="0.3"/>
    <row r="2962" x14ac:dyDescent="0.3"/>
    <row r="2963" x14ac:dyDescent="0.3"/>
    <row r="2964" x14ac:dyDescent="0.3"/>
    <row r="2965" x14ac:dyDescent="0.3"/>
    <row r="2966" x14ac:dyDescent="0.3"/>
    <row r="2967" x14ac:dyDescent="0.3"/>
    <row r="2968" x14ac:dyDescent="0.3"/>
    <row r="2969" x14ac:dyDescent="0.3"/>
    <row r="2970" x14ac:dyDescent="0.3"/>
    <row r="2971" x14ac:dyDescent="0.3"/>
    <row r="2972" x14ac:dyDescent="0.3"/>
    <row r="2973" x14ac:dyDescent="0.3"/>
    <row r="2974" x14ac:dyDescent="0.3"/>
    <row r="2975" x14ac:dyDescent="0.3"/>
    <row r="2976" x14ac:dyDescent="0.3"/>
    <row r="2977" x14ac:dyDescent="0.3"/>
    <row r="2978" x14ac:dyDescent="0.3"/>
    <row r="2979" x14ac:dyDescent="0.3"/>
    <row r="2980" x14ac:dyDescent="0.3"/>
    <row r="2981" x14ac:dyDescent="0.3"/>
    <row r="2982" x14ac:dyDescent="0.3"/>
    <row r="2983" x14ac:dyDescent="0.3"/>
    <row r="2984" x14ac:dyDescent="0.3"/>
    <row r="2985" x14ac:dyDescent="0.3"/>
    <row r="2986" x14ac:dyDescent="0.3"/>
    <row r="2987" x14ac:dyDescent="0.3"/>
    <row r="2988" x14ac:dyDescent="0.3"/>
    <row r="2989" x14ac:dyDescent="0.3"/>
    <row r="2990" x14ac:dyDescent="0.3"/>
    <row r="2991" x14ac:dyDescent="0.3"/>
    <row r="2992" x14ac:dyDescent="0.3"/>
    <row r="2993" x14ac:dyDescent="0.3"/>
    <row r="2994" x14ac:dyDescent="0.3"/>
    <row r="2995" x14ac:dyDescent="0.3"/>
    <row r="2996" x14ac:dyDescent="0.3"/>
    <row r="2997" x14ac:dyDescent="0.3"/>
    <row r="2998" x14ac:dyDescent="0.3"/>
    <row r="2999" x14ac:dyDescent="0.3"/>
    <row r="3000" x14ac:dyDescent="0.3"/>
    <row r="3001" x14ac:dyDescent="0.3"/>
    <row r="3002" x14ac:dyDescent="0.3"/>
    <row r="3003" x14ac:dyDescent="0.3"/>
    <row r="3004" x14ac:dyDescent="0.3"/>
    <row r="3005" x14ac:dyDescent="0.3"/>
    <row r="3006" x14ac:dyDescent="0.3"/>
    <row r="3007" x14ac:dyDescent="0.3"/>
    <row r="3008" x14ac:dyDescent="0.3"/>
    <row r="3009" x14ac:dyDescent="0.3"/>
    <row r="3010" x14ac:dyDescent="0.3"/>
    <row r="3011" x14ac:dyDescent="0.3"/>
    <row r="3012" x14ac:dyDescent="0.3"/>
    <row r="3013" x14ac:dyDescent="0.3"/>
    <row r="3014" x14ac:dyDescent="0.3"/>
    <row r="3015" x14ac:dyDescent="0.3"/>
    <row r="3016" x14ac:dyDescent="0.3"/>
    <row r="3017" x14ac:dyDescent="0.3"/>
    <row r="3018" x14ac:dyDescent="0.3"/>
    <row r="3019" x14ac:dyDescent="0.3"/>
    <row r="3020" x14ac:dyDescent="0.3"/>
    <row r="3021" x14ac:dyDescent="0.3"/>
    <row r="3022" x14ac:dyDescent="0.3"/>
    <row r="3023" x14ac:dyDescent="0.3"/>
    <row r="3024" x14ac:dyDescent="0.3"/>
    <row r="3025" x14ac:dyDescent="0.3"/>
    <row r="3026" x14ac:dyDescent="0.3"/>
    <row r="3027" x14ac:dyDescent="0.3"/>
    <row r="3028" x14ac:dyDescent="0.3"/>
    <row r="3029" x14ac:dyDescent="0.3"/>
    <row r="3030" x14ac:dyDescent="0.3"/>
    <row r="3031" x14ac:dyDescent="0.3"/>
    <row r="3032" x14ac:dyDescent="0.3"/>
    <row r="3033" x14ac:dyDescent="0.3"/>
    <row r="3034" x14ac:dyDescent="0.3"/>
    <row r="3035" x14ac:dyDescent="0.3"/>
    <row r="3036" x14ac:dyDescent="0.3"/>
    <row r="3037" x14ac:dyDescent="0.3"/>
    <row r="3038" x14ac:dyDescent="0.3"/>
    <row r="3039" x14ac:dyDescent="0.3"/>
    <row r="3040" x14ac:dyDescent="0.3"/>
    <row r="3041" x14ac:dyDescent="0.3"/>
    <row r="3042" x14ac:dyDescent="0.3"/>
    <row r="3043" x14ac:dyDescent="0.3"/>
    <row r="3044" x14ac:dyDescent="0.3"/>
    <row r="3045" x14ac:dyDescent="0.3"/>
    <row r="3046" x14ac:dyDescent="0.3"/>
    <row r="3047" x14ac:dyDescent="0.3"/>
    <row r="3048" x14ac:dyDescent="0.3"/>
    <row r="3049" x14ac:dyDescent="0.3"/>
    <row r="3050" x14ac:dyDescent="0.3"/>
    <row r="3051" x14ac:dyDescent="0.3"/>
    <row r="3052" x14ac:dyDescent="0.3"/>
    <row r="3053" x14ac:dyDescent="0.3"/>
    <row r="3054" x14ac:dyDescent="0.3"/>
    <row r="3055" x14ac:dyDescent="0.3"/>
    <row r="3056" x14ac:dyDescent="0.3"/>
    <row r="3057" x14ac:dyDescent="0.3"/>
    <row r="3058" x14ac:dyDescent="0.3"/>
    <row r="3059" x14ac:dyDescent="0.3"/>
    <row r="3060" x14ac:dyDescent="0.3"/>
    <row r="3061" x14ac:dyDescent="0.3"/>
    <row r="3062" x14ac:dyDescent="0.3"/>
    <row r="3063" x14ac:dyDescent="0.3"/>
    <row r="3064" x14ac:dyDescent="0.3"/>
    <row r="3065" x14ac:dyDescent="0.3"/>
    <row r="3066" x14ac:dyDescent="0.3"/>
    <row r="3067" x14ac:dyDescent="0.3"/>
    <row r="3068" x14ac:dyDescent="0.3"/>
    <row r="3069" x14ac:dyDescent="0.3"/>
    <row r="3070" x14ac:dyDescent="0.3"/>
    <row r="3071" x14ac:dyDescent="0.3"/>
    <row r="3072" x14ac:dyDescent="0.3"/>
    <row r="3073" x14ac:dyDescent="0.3"/>
    <row r="3074" x14ac:dyDescent="0.3"/>
    <row r="3075" x14ac:dyDescent="0.3"/>
    <row r="3076" x14ac:dyDescent="0.3"/>
    <row r="3077" x14ac:dyDescent="0.3"/>
    <row r="3078" x14ac:dyDescent="0.3"/>
    <row r="3079" x14ac:dyDescent="0.3"/>
    <row r="3080" x14ac:dyDescent="0.3"/>
    <row r="3081" x14ac:dyDescent="0.3"/>
    <row r="3082" x14ac:dyDescent="0.3"/>
    <row r="3083" x14ac:dyDescent="0.3"/>
    <row r="3084" x14ac:dyDescent="0.3"/>
    <row r="3085" x14ac:dyDescent="0.3"/>
    <row r="3086" x14ac:dyDescent="0.3"/>
    <row r="3087" x14ac:dyDescent="0.3"/>
    <row r="3088" x14ac:dyDescent="0.3"/>
    <row r="3089" x14ac:dyDescent="0.3"/>
    <row r="3090" x14ac:dyDescent="0.3"/>
    <row r="3091" x14ac:dyDescent="0.3"/>
    <row r="3092" x14ac:dyDescent="0.3"/>
    <row r="3093" x14ac:dyDescent="0.3"/>
    <row r="3094" x14ac:dyDescent="0.3"/>
    <row r="3095" x14ac:dyDescent="0.3"/>
    <row r="3096" x14ac:dyDescent="0.3"/>
    <row r="3097" x14ac:dyDescent="0.3"/>
    <row r="3098" x14ac:dyDescent="0.3"/>
    <row r="3099" x14ac:dyDescent="0.3"/>
    <row r="3100" x14ac:dyDescent="0.3"/>
    <row r="3101" x14ac:dyDescent="0.3"/>
    <row r="3102" x14ac:dyDescent="0.3"/>
    <row r="3103" x14ac:dyDescent="0.3"/>
    <row r="3104" x14ac:dyDescent="0.3"/>
    <row r="3105" x14ac:dyDescent="0.3"/>
    <row r="3106" x14ac:dyDescent="0.3"/>
    <row r="3107" x14ac:dyDescent="0.3"/>
    <row r="3108" x14ac:dyDescent="0.3"/>
    <row r="3109" x14ac:dyDescent="0.3"/>
    <row r="3110" x14ac:dyDescent="0.3"/>
    <row r="3111" x14ac:dyDescent="0.3"/>
    <row r="3112" x14ac:dyDescent="0.3"/>
    <row r="3113" x14ac:dyDescent="0.3"/>
    <row r="3114" x14ac:dyDescent="0.3"/>
    <row r="3115" x14ac:dyDescent="0.3"/>
    <row r="3116" x14ac:dyDescent="0.3"/>
    <row r="3117" x14ac:dyDescent="0.3"/>
    <row r="3118" x14ac:dyDescent="0.3"/>
    <row r="3119" x14ac:dyDescent="0.3"/>
    <row r="3120" x14ac:dyDescent="0.3"/>
    <row r="3121" x14ac:dyDescent="0.3"/>
    <row r="3122" x14ac:dyDescent="0.3"/>
    <row r="3123" x14ac:dyDescent="0.3"/>
    <row r="3124" x14ac:dyDescent="0.3"/>
    <row r="3125" x14ac:dyDescent="0.3"/>
    <row r="3126" x14ac:dyDescent="0.3"/>
    <row r="3127" x14ac:dyDescent="0.3"/>
    <row r="3128" x14ac:dyDescent="0.3"/>
    <row r="3129" x14ac:dyDescent="0.3"/>
    <row r="3130" x14ac:dyDescent="0.3"/>
    <row r="3131" x14ac:dyDescent="0.3"/>
    <row r="3132" x14ac:dyDescent="0.3"/>
    <row r="3133" x14ac:dyDescent="0.3"/>
    <row r="3134" x14ac:dyDescent="0.3"/>
    <row r="3135" x14ac:dyDescent="0.3"/>
    <row r="3136" x14ac:dyDescent="0.3"/>
    <row r="3137" x14ac:dyDescent="0.3"/>
    <row r="3138" x14ac:dyDescent="0.3"/>
    <row r="3139" x14ac:dyDescent="0.3"/>
    <row r="3140" x14ac:dyDescent="0.3"/>
    <row r="3141" x14ac:dyDescent="0.3"/>
    <row r="3142" x14ac:dyDescent="0.3"/>
    <row r="3143" x14ac:dyDescent="0.3"/>
    <row r="3144" x14ac:dyDescent="0.3"/>
    <row r="3145" x14ac:dyDescent="0.3"/>
    <row r="3146" x14ac:dyDescent="0.3"/>
    <row r="3147" x14ac:dyDescent="0.3"/>
    <row r="3148" x14ac:dyDescent="0.3"/>
    <row r="3149" x14ac:dyDescent="0.3"/>
    <row r="3150" x14ac:dyDescent="0.3"/>
    <row r="3151" x14ac:dyDescent="0.3"/>
    <row r="3152" x14ac:dyDescent="0.3"/>
    <row r="3153" x14ac:dyDescent="0.3"/>
    <row r="3154" x14ac:dyDescent="0.3"/>
    <row r="3155" x14ac:dyDescent="0.3"/>
    <row r="3156" x14ac:dyDescent="0.3"/>
    <row r="3157" x14ac:dyDescent="0.3"/>
    <row r="3158" x14ac:dyDescent="0.3"/>
    <row r="3159" x14ac:dyDescent="0.3"/>
    <row r="3160" x14ac:dyDescent="0.3"/>
    <row r="3161" x14ac:dyDescent="0.3"/>
    <row r="3162" x14ac:dyDescent="0.3"/>
    <row r="3163" x14ac:dyDescent="0.3"/>
    <row r="3164" x14ac:dyDescent="0.3"/>
    <row r="3165" x14ac:dyDescent="0.3"/>
    <row r="3166" x14ac:dyDescent="0.3"/>
    <row r="3167" x14ac:dyDescent="0.3"/>
    <row r="3168" x14ac:dyDescent="0.3"/>
    <row r="3169" x14ac:dyDescent="0.3"/>
    <row r="3170" x14ac:dyDescent="0.3"/>
    <row r="3171" x14ac:dyDescent="0.3"/>
    <row r="3172" x14ac:dyDescent="0.3"/>
    <row r="3173" x14ac:dyDescent="0.3"/>
    <row r="3174" x14ac:dyDescent="0.3"/>
    <row r="3175" x14ac:dyDescent="0.3"/>
    <row r="3176" x14ac:dyDescent="0.3"/>
    <row r="3177" x14ac:dyDescent="0.3"/>
    <row r="3178" x14ac:dyDescent="0.3"/>
    <row r="3179" x14ac:dyDescent="0.3"/>
    <row r="3180" x14ac:dyDescent="0.3"/>
    <row r="3181" x14ac:dyDescent="0.3"/>
    <row r="3182" x14ac:dyDescent="0.3"/>
    <row r="3183" x14ac:dyDescent="0.3"/>
    <row r="3184" x14ac:dyDescent="0.3"/>
    <row r="3185" x14ac:dyDescent="0.3"/>
    <row r="3186" x14ac:dyDescent="0.3"/>
    <row r="3187" x14ac:dyDescent="0.3"/>
    <row r="3188" x14ac:dyDescent="0.3"/>
    <row r="3189" x14ac:dyDescent="0.3"/>
    <row r="3190" x14ac:dyDescent="0.3"/>
    <row r="3191" x14ac:dyDescent="0.3"/>
    <row r="3192" x14ac:dyDescent="0.3"/>
    <row r="3193" x14ac:dyDescent="0.3"/>
    <row r="3194" x14ac:dyDescent="0.3"/>
    <row r="3195" x14ac:dyDescent="0.3"/>
    <row r="3196" x14ac:dyDescent="0.3"/>
    <row r="3197" x14ac:dyDescent="0.3"/>
    <row r="3198" x14ac:dyDescent="0.3"/>
    <row r="3199" x14ac:dyDescent="0.3"/>
    <row r="3200" x14ac:dyDescent="0.3"/>
    <row r="3201" x14ac:dyDescent="0.3"/>
    <row r="3202" x14ac:dyDescent="0.3"/>
    <row r="3203" x14ac:dyDescent="0.3"/>
    <row r="3204" x14ac:dyDescent="0.3"/>
    <row r="3205" x14ac:dyDescent="0.3"/>
    <row r="3206" x14ac:dyDescent="0.3"/>
    <row r="3207" x14ac:dyDescent="0.3"/>
    <row r="3208" x14ac:dyDescent="0.3"/>
    <row r="3209" x14ac:dyDescent="0.3"/>
    <row r="3210" x14ac:dyDescent="0.3"/>
    <row r="3211" x14ac:dyDescent="0.3"/>
    <row r="3212" x14ac:dyDescent="0.3"/>
    <row r="3213" x14ac:dyDescent="0.3"/>
    <row r="3214" x14ac:dyDescent="0.3"/>
    <row r="3215" x14ac:dyDescent="0.3"/>
    <row r="3216" x14ac:dyDescent="0.3"/>
    <row r="3217" x14ac:dyDescent="0.3"/>
    <row r="3218" x14ac:dyDescent="0.3"/>
    <row r="3219" x14ac:dyDescent="0.3"/>
    <row r="3220" x14ac:dyDescent="0.3"/>
    <row r="3221" x14ac:dyDescent="0.3"/>
    <row r="3222" x14ac:dyDescent="0.3"/>
    <row r="3223" x14ac:dyDescent="0.3"/>
    <row r="3224" x14ac:dyDescent="0.3"/>
    <row r="3225" x14ac:dyDescent="0.3"/>
    <row r="3226" x14ac:dyDescent="0.3"/>
    <row r="3227" x14ac:dyDescent="0.3"/>
    <row r="3228" x14ac:dyDescent="0.3"/>
    <row r="3229" x14ac:dyDescent="0.3"/>
    <row r="3230" x14ac:dyDescent="0.3"/>
    <row r="3231" x14ac:dyDescent="0.3"/>
    <row r="3232" x14ac:dyDescent="0.3"/>
    <row r="3233" x14ac:dyDescent="0.3"/>
    <row r="3234" x14ac:dyDescent="0.3"/>
    <row r="3235" x14ac:dyDescent="0.3"/>
    <row r="3236" x14ac:dyDescent="0.3"/>
    <row r="3237" x14ac:dyDescent="0.3"/>
    <row r="3238" x14ac:dyDescent="0.3"/>
    <row r="3239" x14ac:dyDescent="0.3"/>
    <row r="3240" x14ac:dyDescent="0.3"/>
    <row r="3241" x14ac:dyDescent="0.3"/>
    <row r="3242" x14ac:dyDescent="0.3"/>
    <row r="3243" x14ac:dyDescent="0.3"/>
    <row r="3244" x14ac:dyDescent="0.3"/>
    <row r="3245" x14ac:dyDescent="0.3"/>
    <row r="3246" x14ac:dyDescent="0.3"/>
    <row r="3247" x14ac:dyDescent="0.3"/>
    <row r="3248" x14ac:dyDescent="0.3"/>
    <row r="3249" x14ac:dyDescent="0.3"/>
    <row r="3250" x14ac:dyDescent="0.3"/>
    <row r="3251" x14ac:dyDescent="0.3"/>
    <row r="3252" x14ac:dyDescent="0.3"/>
    <row r="3253" x14ac:dyDescent="0.3"/>
    <row r="3254" x14ac:dyDescent="0.3"/>
    <row r="3255" x14ac:dyDescent="0.3"/>
    <row r="3256" x14ac:dyDescent="0.3"/>
    <row r="3257" x14ac:dyDescent="0.3"/>
    <row r="3258" x14ac:dyDescent="0.3"/>
    <row r="3259" x14ac:dyDescent="0.3"/>
    <row r="3260" x14ac:dyDescent="0.3"/>
    <row r="3261" x14ac:dyDescent="0.3"/>
    <row r="3262" x14ac:dyDescent="0.3"/>
    <row r="3263" x14ac:dyDescent="0.3"/>
    <row r="3264" x14ac:dyDescent="0.3"/>
    <row r="3265" x14ac:dyDescent="0.3"/>
    <row r="3266" x14ac:dyDescent="0.3"/>
    <row r="3267" x14ac:dyDescent="0.3"/>
    <row r="3268" x14ac:dyDescent="0.3"/>
    <row r="3269" x14ac:dyDescent="0.3"/>
    <row r="3270" x14ac:dyDescent="0.3"/>
    <row r="3271" x14ac:dyDescent="0.3"/>
    <row r="3272" x14ac:dyDescent="0.3"/>
    <row r="3273" x14ac:dyDescent="0.3"/>
    <row r="3274" x14ac:dyDescent="0.3"/>
    <row r="3275" x14ac:dyDescent="0.3"/>
    <row r="3276" x14ac:dyDescent="0.3"/>
    <row r="3277" x14ac:dyDescent="0.3"/>
    <row r="3278" x14ac:dyDescent="0.3"/>
    <row r="3279" x14ac:dyDescent="0.3"/>
    <row r="3280" x14ac:dyDescent="0.3"/>
    <row r="3281" x14ac:dyDescent="0.3"/>
    <row r="3282" x14ac:dyDescent="0.3"/>
    <row r="3283" x14ac:dyDescent="0.3"/>
    <row r="3284" x14ac:dyDescent="0.3"/>
    <row r="3285" x14ac:dyDescent="0.3"/>
    <row r="3286" x14ac:dyDescent="0.3"/>
    <row r="3287" x14ac:dyDescent="0.3"/>
    <row r="3288" x14ac:dyDescent="0.3"/>
    <row r="3289" x14ac:dyDescent="0.3"/>
    <row r="3290" x14ac:dyDescent="0.3"/>
    <row r="3291" x14ac:dyDescent="0.3"/>
    <row r="3292" x14ac:dyDescent="0.3"/>
    <row r="3293" x14ac:dyDescent="0.3"/>
    <row r="3294" x14ac:dyDescent="0.3"/>
    <row r="3295" x14ac:dyDescent="0.3"/>
    <row r="3296" x14ac:dyDescent="0.3"/>
    <row r="3297" x14ac:dyDescent="0.3"/>
    <row r="3298" x14ac:dyDescent="0.3"/>
    <row r="3299" x14ac:dyDescent="0.3"/>
    <row r="3300" x14ac:dyDescent="0.3"/>
    <row r="3301" x14ac:dyDescent="0.3"/>
    <row r="3302" x14ac:dyDescent="0.3"/>
    <row r="3303" x14ac:dyDescent="0.3"/>
    <row r="3304" x14ac:dyDescent="0.3"/>
    <row r="3305" x14ac:dyDescent="0.3"/>
    <row r="3306" x14ac:dyDescent="0.3"/>
    <row r="3307" x14ac:dyDescent="0.3"/>
    <row r="3308" x14ac:dyDescent="0.3"/>
    <row r="3309" x14ac:dyDescent="0.3"/>
    <row r="3310" x14ac:dyDescent="0.3"/>
    <row r="3311" x14ac:dyDescent="0.3"/>
    <row r="3312" x14ac:dyDescent="0.3"/>
    <row r="3313" x14ac:dyDescent="0.3"/>
    <row r="3314" x14ac:dyDescent="0.3"/>
    <row r="3315" x14ac:dyDescent="0.3"/>
    <row r="3316" x14ac:dyDescent="0.3"/>
    <row r="3317" x14ac:dyDescent="0.3"/>
    <row r="3318" x14ac:dyDescent="0.3"/>
    <row r="3319" x14ac:dyDescent="0.3"/>
    <row r="3320" x14ac:dyDescent="0.3"/>
    <row r="3321" x14ac:dyDescent="0.3"/>
    <row r="3322" x14ac:dyDescent="0.3"/>
    <row r="3323" x14ac:dyDescent="0.3"/>
    <row r="3324" x14ac:dyDescent="0.3"/>
    <row r="3325" x14ac:dyDescent="0.3"/>
    <row r="3326" x14ac:dyDescent="0.3"/>
    <row r="3327" x14ac:dyDescent="0.3"/>
    <row r="3328" x14ac:dyDescent="0.3"/>
    <row r="3329" x14ac:dyDescent="0.3"/>
    <row r="3330" x14ac:dyDescent="0.3"/>
    <row r="3331" x14ac:dyDescent="0.3"/>
    <row r="3332" x14ac:dyDescent="0.3"/>
    <row r="3333" x14ac:dyDescent="0.3"/>
    <row r="3334" x14ac:dyDescent="0.3"/>
    <row r="3335" x14ac:dyDescent="0.3"/>
    <row r="3336" x14ac:dyDescent="0.3"/>
    <row r="3337" x14ac:dyDescent="0.3"/>
    <row r="3338" x14ac:dyDescent="0.3"/>
    <row r="3339" x14ac:dyDescent="0.3"/>
    <row r="3340" x14ac:dyDescent="0.3"/>
    <row r="3341" x14ac:dyDescent="0.3"/>
    <row r="3342" x14ac:dyDescent="0.3"/>
    <row r="3343" x14ac:dyDescent="0.3"/>
    <row r="3344" x14ac:dyDescent="0.3"/>
    <row r="3345" x14ac:dyDescent="0.3"/>
    <row r="3346" x14ac:dyDescent="0.3"/>
    <row r="3347" x14ac:dyDescent="0.3"/>
    <row r="3348" x14ac:dyDescent="0.3"/>
    <row r="3349" x14ac:dyDescent="0.3"/>
    <row r="3350" x14ac:dyDescent="0.3"/>
    <row r="3351" x14ac:dyDescent="0.3"/>
    <row r="3352" x14ac:dyDescent="0.3"/>
    <row r="3353" x14ac:dyDescent="0.3"/>
    <row r="3354" x14ac:dyDescent="0.3"/>
    <row r="3355" x14ac:dyDescent="0.3"/>
    <row r="3356" x14ac:dyDescent="0.3"/>
    <row r="3357" x14ac:dyDescent="0.3"/>
    <row r="3358" x14ac:dyDescent="0.3"/>
    <row r="3359" x14ac:dyDescent="0.3"/>
    <row r="3360" x14ac:dyDescent="0.3"/>
    <row r="3361" x14ac:dyDescent="0.3"/>
    <row r="3362" x14ac:dyDescent="0.3"/>
    <row r="3363" x14ac:dyDescent="0.3"/>
    <row r="3364" x14ac:dyDescent="0.3"/>
    <row r="3365" x14ac:dyDescent="0.3"/>
    <row r="3366" x14ac:dyDescent="0.3"/>
    <row r="3367" x14ac:dyDescent="0.3"/>
    <row r="3368" x14ac:dyDescent="0.3"/>
    <row r="3369" x14ac:dyDescent="0.3"/>
    <row r="3370" x14ac:dyDescent="0.3"/>
    <row r="3371" x14ac:dyDescent="0.3"/>
    <row r="3372" x14ac:dyDescent="0.3"/>
    <row r="3373" x14ac:dyDescent="0.3"/>
    <row r="3374" x14ac:dyDescent="0.3"/>
    <row r="3375" x14ac:dyDescent="0.3"/>
    <row r="3376" x14ac:dyDescent="0.3"/>
    <row r="3377" x14ac:dyDescent="0.3"/>
    <row r="3378" x14ac:dyDescent="0.3"/>
    <row r="3379" x14ac:dyDescent="0.3"/>
    <row r="3380" x14ac:dyDescent="0.3"/>
    <row r="3381" x14ac:dyDescent="0.3"/>
    <row r="3382" x14ac:dyDescent="0.3"/>
    <row r="3383" x14ac:dyDescent="0.3"/>
    <row r="3384" x14ac:dyDescent="0.3"/>
    <row r="3385" x14ac:dyDescent="0.3"/>
    <row r="3386" x14ac:dyDescent="0.3"/>
    <row r="3387" x14ac:dyDescent="0.3"/>
    <row r="3388" x14ac:dyDescent="0.3"/>
    <row r="3389" x14ac:dyDescent="0.3"/>
    <row r="3390" x14ac:dyDescent="0.3"/>
    <row r="3391" x14ac:dyDescent="0.3"/>
    <row r="3392" x14ac:dyDescent="0.3"/>
    <row r="3393" x14ac:dyDescent="0.3"/>
    <row r="3394" x14ac:dyDescent="0.3"/>
    <row r="3395" x14ac:dyDescent="0.3"/>
    <row r="3396" x14ac:dyDescent="0.3"/>
    <row r="3397" x14ac:dyDescent="0.3"/>
    <row r="3398" x14ac:dyDescent="0.3"/>
    <row r="3399" x14ac:dyDescent="0.3"/>
    <row r="3400" x14ac:dyDescent="0.3"/>
    <row r="3401" x14ac:dyDescent="0.3"/>
    <row r="3402" x14ac:dyDescent="0.3"/>
    <row r="3403" x14ac:dyDescent="0.3"/>
    <row r="3404" x14ac:dyDescent="0.3"/>
    <row r="3405" x14ac:dyDescent="0.3"/>
    <row r="3406" x14ac:dyDescent="0.3"/>
    <row r="3407" x14ac:dyDescent="0.3"/>
    <row r="3408" x14ac:dyDescent="0.3"/>
    <row r="3409" x14ac:dyDescent="0.3"/>
    <row r="3410" x14ac:dyDescent="0.3"/>
    <row r="3411" x14ac:dyDescent="0.3"/>
    <row r="3412" x14ac:dyDescent="0.3"/>
    <row r="3413" x14ac:dyDescent="0.3"/>
    <row r="3414" x14ac:dyDescent="0.3"/>
    <row r="3415" x14ac:dyDescent="0.3"/>
    <row r="3416" x14ac:dyDescent="0.3"/>
    <row r="3417" x14ac:dyDescent="0.3"/>
    <row r="3418" x14ac:dyDescent="0.3"/>
    <row r="3419" x14ac:dyDescent="0.3"/>
    <row r="3420" x14ac:dyDescent="0.3"/>
    <row r="3421" x14ac:dyDescent="0.3"/>
    <row r="3422" x14ac:dyDescent="0.3"/>
    <row r="3423" x14ac:dyDescent="0.3"/>
    <row r="3424" x14ac:dyDescent="0.3"/>
    <row r="3425" x14ac:dyDescent="0.3"/>
    <row r="3426" x14ac:dyDescent="0.3"/>
    <row r="3427" x14ac:dyDescent="0.3"/>
    <row r="3428" x14ac:dyDescent="0.3"/>
    <row r="3429" x14ac:dyDescent="0.3"/>
    <row r="3430" x14ac:dyDescent="0.3"/>
    <row r="3431" x14ac:dyDescent="0.3"/>
    <row r="3432" x14ac:dyDescent="0.3"/>
    <row r="3433" x14ac:dyDescent="0.3"/>
    <row r="3434" x14ac:dyDescent="0.3"/>
    <row r="3435" x14ac:dyDescent="0.3"/>
    <row r="3436" x14ac:dyDescent="0.3"/>
    <row r="3437" x14ac:dyDescent="0.3"/>
    <row r="3438" x14ac:dyDescent="0.3"/>
    <row r="3439" x14ac:dyDescent="0.3"/>
    <row r="3440" x14ac:dyDescent="0.3"/>
    <row r="3441" x14ac:dyDescent="0.3"/>
    <row r="3442" x14ac:dyDescent="0.3"/>
    <row r="3443" x14ac:dyDescent="0.3"/>
    <row r="3444" x14ac:dyDescent="0.3"/>
    <row r="3445" x14ac:dyDescent="0.3"/>
    <row r="3446" x14ac:dyDescent="0.3"/>
    <row r="3447" x14ac:dyDescent="0.3"/>
    <row r="3448" x14ac:dyDescent="0.3"/>
    <row r="3449" x14ac:dyDescent="0.3"/>
    <row r="3450" x14ac:dyDescent="0.3"/>
    <row r="3451" x14ac:dyDescent="0.3"/>
    <row r="3452" x14ac:dyDescent="0.3"/>
    <row r="3453" x14ac:dyDescent="0.3"/>
    <row r="3454" x14ac:dyDescent="0.3"/>
    <row r="3455" x14ac:dyDescent="0.3"/>
    <row r="3456" x14ac:dyDescent="0.3"/>
    <row r="3457" x14ac:dyDescent="0.3"/>
    <row r="3458" x14ac:dyDescent="0.3"/>
    <row r="3459" x14ac:dyDescent="0.3"/>
    <row r="3460" x14ac:dyDescent="0.3"/>
    <row r="3461" x14ac:dyDescent="0.3"/>
    <row r="3462" x14ac:dyDescent="0.3"/>
    <row r="3463" x14ac:dyDescent="0.3"/>
    <row r="3464" x14ac:dyDescent="0.3"/>
    <row r="3465" x14ac:dyDescent="0.3"/>
    <row r="3466" x14ac:dyDescent="0.3"/>
    <row r="3467" x14ac:dyDescent="0.3"/>
    <row r="3468" x14ac:dyDescent="0.3"/>
    <row r="3469" x14ac:dyDescent="0.3"/>
    <row r="3470" x14ac:dyDescent="0.3"/>
    <row r="3471" x14ac:dyDescent="0.3"/>
    <row r="3472" x14ac:dyDescent="0.3"/>
    <row r="3473" x14ac:dyDescent="0.3"/>
    <row r="3474" x14ac:dyDescent="0.3"/>
    <row r="3475" x14ac:dyDescent="0.3"/>
    <row r="3476" x14ac:dyDescent="0.3"/>
    <row r="3477" x14ac:dyDescent="0.3"/>
    <row r="3478" x14ac:dyDescent="0.3"/>
    <row r="3479" x14ac:dyDescent="0.3"/>
    <row r="3480" x14ac:dyDescent="0.3"/>
    <row r="3481" x14ac:dyDescent="0.3"/>
    <row r="3482" x14ac:dyDescent="0.3"/>
    <row r="3483" x14ac:dyDescent="0.3"/>
    <row r="3484" x14ac:dyDescent="0.3"/>
    <row r="3485" x14ac:dyDescent="0.3"/>
    <row r="3486" x14ac:dyDescent="0.3"/>
    <row r="3487" x14ac:dyDescent="0.3"/>
    <row r="3488" x14ac:dyDescent="0.3"/>
    <row r="3489" x14ac:dyDescent="0.3"/>
    <row r="3490" x14ac:dyDescent="0.3"/>
    <row r="3491" x14ac:dyDescent="0.3"/>
    <row r="3492" x14ac:dyDescent="0.3"/>
    <row r="3493" x14ac:dyDescent="0.3"/>
    <row r="3494" x14ac:dyDescent="0.3"/>
    <row r="3495" x14ac:dyDescent="0.3"/>
    <row r="3496" x14ac:dyDescent="0.3"/>
    <row r="3497" x14ac:dyDescent="0.3"/>
    <row r="3498" x14ac:dyDescent="0.3"/>
    <row r="3499" x14ac:dyDescent="0.3"/>
    <row r="3500" x14ac:dyDescent="0.3"/>
    <row r="3501" x14ac:dyDescent="0.3"/>
    <row r="3502" x14ac:dyDescent="0.3"/>
    <row r="3503" x14ac:dyDescent="0.3"/>
    <row r="3504" x14ac:dyDescent="0.3"/>
    <row r="3505" x14ac:dyDescent="0.3"/>
    <row r="3506" x14ac:dyDescent="0.3"/>
    <row r="3507" x14ac:dyDescent="0.3"/>
    <row r="3508" x14ac:dyDescent="0.3"/>
    <row r="3509" x14ac:dyDescent="0.3"/>
    <row r="3510" x14ac:dyDescent="0.3"/>
    <row r="3511" x14ac:dyDescent="0.3"/>
    <row r="3512" x14ac:dyDescent="0.3"/>
    <row r="3513" x14ac:dyDescent="0.3"/>
    <row r="3514" x14ac:dyDescent="0.3"/>
    <row r="3515" x14ac:dyDescent="0.3"/>
    <row r="3516" x14ac:dyDescent="0.3"/>
    <row r="3517" x14ac:dyDescent="0.3"/>
    <row r="3518" x14ac:dyDescent="0.3"/>
    <row r="3519" x14ac:dyDescent="0.3"/>
    <row r="3520" x14ac:dyDescent="0.3"/>
    <row r="3521" x14ac:dyDescent="0.3"/>
    <row r="3522" x14ac:dyDescent="0.3"/>
    <row r="3523" x14ac:dyDescent="0.3"/>
    <row r="3524" x14ac:dyDescent="0.3"/>
    <row r="3525" x14ac:dyDescent="0.3"/>
    <row r="3526" x14ac:dyDescent="0.3"/>
    <row r="3527" x14ac:dyDescent="0.3"/>
    <row r="3528" x14ac:dyDescent="0.3"/>
    <row r="3529" x14ac:dyDescent="0.3"/>
    <row r="3530" x14ac:dyDescent="0.3"/>
    <row r="3531" x14ac:dyDescent="0.3"/>
    <row r="3532" x14ac:dyDescent="0.3"/>
    <row r="3533" x14ac:dyDescent="0.3"/>
    <row r="3534" x14ac:dyDescent="0.3"/>
    <row r="3535" x14ac:dyDescent="0.3"/>
    <row r="3536" x14ac:dyDescent="0.3"/>
    <row r="3537" x14ac:dyDescent="0.3"/>
    <row r="3538" x14ac:dyDescent="0.3"/>
    <row r="3539" x14ac:dyDescent="0.3"/>
    <row r="3540" x14ac:dyDescent="0.3"/>
    <row r="3541" x14ac:dyDescent="0.3"/>
    <row r="3542" x14ac:dyDescent="0.3"/>
    <row r="3543" x14ac:dyDescent="0.3"/>
    <row r="3544" x14ac:dyDescent="0.3"/>
    <row r="3545" x14ac:dyDescent="0.3"/>
    <row r="3546" x14ac:dyDescent="0.3"/>
    <row r="3547" x14ac:dyDescent="0.3"/>
    <row r="3548" x14ac:dyDescent="0.3"/>
    <row r="3549" x14ac:dyDescent="0.3"/>
    <row r="3550" x14ac:dyDescent="0.3"/>
    <row r="3551" x14ac:dyDescent="0.3"/>
    <row r="3552" x14ac:dyDescent="0.3"/>
    <row r="3553" x14ac:dyDescent="0.3"/>
    <row r="3554" x14ac:dyDescent="0.3"/>
    <row r="3555" x14ac:dyDescent="0.3"/>
    <row r="3556" x14ac:dyDescent="0.3"/>
    <row r="3557" x14ac:dyDescent="0.3"/>
    <row r="3558" x14ac:dyDescent="0.3"/>
    <row r="3559" x14ac:dyDescent="0.3"/>
    <row r="3560" x14ac:dyDescent="0.3"/>
    <row r="3561" x14ac:dyDescent="0.3"/>
    <row r="3562" x14ac:dyDescent="0.3"/>
    <row r="3563" x14ac:dyDescent="0.3"/>
    <row r="3564" x14ac:dyDescent="0.3"/>
    <row r="3565" x14ac:dyDescent="0.3"/>
    <row r="3566" x14ac:dyDescent="0.3"/>
    <row r="3567" x14ac:dyDescent="0.3"/>
    <row r="3568" x14ac:dyDescent="0.3"/>
    <row r="3569" x14ac:dyDescent="0.3"/>
    <row r="3570" x14ac:dyDescent="0.3"/>
    <row r="3571" x14ac:dyDescent="0.3"/>
    <row r="3572" x14ac:dyDescent="0.3"/>
    <row r="3573" x14ac:dyDescent="0.3"/>
    <row r="3574" x14ac:dyDescent="0.3"/>
    <row r="3575" x14ac:dyDescent="0.3"/>
    <row r="3576" x14ac:dyDescent="0.3"/>
    <row r="3577" x14ac:dyDescent="0.3"/>
    <row r="3578" x14ac:dyDescent="0.3"/>
    <row r="3579" x14ac:dyDescent="0.3"/>
    <row r="3580" x14ac:dyDescent="0.3"/>
    <row r="3581" x14ac:dyDescent="0.3"/>
    <row r="3582" x14ac:dyDescent="0.3"/>
    <row r="3583" x14ac:dyDescent="0.3"/>
    <row r="3584" x14ac:dyDescent="0.3"/>
    <row r="3585" x14ac:dyDescent="0.3"/>
    <row r="3586" x14ac:dyDescent="0.3"/>
    <row r="3587" x14ac:dyDescent="0.3"/>
    <row r="3588" x14ac:dyDescent="0.3"/>
    <row r="3589" x14ac:dyDescent="0.3"/>
    <row r="3590" x14ac:dyDescent="0.3"/>
    <row r="3591" x14ac:dyDescent="0.3"/>
    <row r="3592" x14ac:dyDescent="0.3"/>
    <row r="3593" x14ac:dyDescent="0.3"/>
    <row r="3594" x14ac:dyDescent="0.3"/>
    <row r="3595" x14ac:dyDescent="0.3"/>
    <row r="3596" x14ac:dyDescent="0.3"/>
    <row r="3597" x14ac:dyDescent="0.3"/>
    <row r="3598" x14ac:dyDescent="0.3"/>
    <row r="3599" x14ac:dyDescent="0.3"/>
    <row r="3600" x14ac:dyDescent="0.3"/>
    <row r="3601" x14ac:dyDescent="0.3"/>
    <row r="3602" x14ac:dyDescent="0.3"/>
    <row r="3603" x14ac:dyDescent="0.3"/>
    <row r="3604" x14ac:dyDescent="0.3"/>
    <row r="3605" x14ac:dyDescent="0.3"/>
    <row r="3606" x14ac:dyDescent="0.3"/>
    <row r="3607" x14ac:dyDescent="0.3"/>
    <row r="3608" x14ac:dyDescent="0.3"/>
    <row r="3609" x14ac:dyDescent="0.3"/>
    <row r="3610" x14ac:dyDescent="0.3"/>
    <row r="3611" x14ac:dyDescent="0.3"/>
    <row r="3612" x14ac:dyDescent="0.3"/>
    <row r="3613" x14ac:dyDescent="0.3"/>
    <row r="3614" x14ac:dyDescent="0.3"/>
    <row r="3615" x14ac:dyDescent="0.3"/>
    <row r="3616" x14ac:dyDescent="0.3"/>
    <row r="3617" x14ac:dyDescent="0.3"/>
    <row r="3618" x14ac:dyDescent="0.3"/>
    <row r="3619" x14ac:dyDescent="0.3"/>
    <row r="3620" x14ac:dyDescent="0.3"/>
    <row r="3621" x14ac:dyDescent="0.3"/>
    <row r="3622" x14ac:dyDescent="0.3"/>
    <row r="3623" x14ac:dyDescent="0.3"/>
    <row r="3624" x14ac:dyDescent="0.3"/>
    <row r="3625" x14ac:dyDescent="0.3"/>
    <row r="3626" x14ac:dyDescent="0.3"/>
    <row r="3627" x14ac:dyDescent="0.3"/>
    <row r="3628" x14ac:dyDescent="0.3"/>
    <row r="3629" x14ac:dyDescent="0.3"/>
    <row r="3630" x14ac:dyDescent="0.3"/>
    <row r="3631" x14ac:dyDescent="0.3"/>
    <row r="3632" x14ac:dyDescent="0.3"/>
    <row r="3633" x14ac:dyDescent="0.3"/>
    <row r="3634" x14ac:dyDescent="0.3"/>
    <row r="3635" x14ac:dyDescent="0.3"/>
    <row r="3636" x14ac:dyDescent="0.3"/>
    <row r="3637" x14ac:dyDescent="0.3"/>
    <row r="3638" x14ac:dyDescent="0.3"/>
    <row r="3639" x14ac:dyDescent="0.3"/>
    <row r="3640" x14ac:dyDescent="0.3"/>
    <row r="3641" x14ac:dyDescent="0.3"/>
    <row r="3642" x14ac:dyDescent="0.3"/>
    <row r="3643" x14ac:dyDescent="0.3"/>
    <row r="3644" x14ac:dyDescent="0.3"/>
    <row r="3645" x14ac:dyDescent="0.3"/>
    <row r="3646" x14ac:dyDescent="0.3"/>
    <row r="3647" x14ac:dyDescent="0.3"/>
    <row r="3648" x14ac:dyDescent="0.3"/>
    <row r="3649" x14ac:dyDescent="0.3"/>
    <row r="3650" x14ac:dyDescent="0.3"/>
    <row r="3651" x14ac:dyDescent="0.3"/>
    <row r="3652" x14ac:dyDescent="0.3"/>
    <row r="3653" x14ac:dyDescent="0.3"/>
    <row r="3654" x14ac:dyDescent="0.3"/>
    <row r="3655" x14ac:dyDescent="0.3"/>
    <row r="3656" x14ac:dyDescent="0.3"/>
    <row r="3657" x14ac:dyDescent="0.3"/>
    <row r="3658" x14ac:dyDescent="0.3"/>
    <row r="3659" x14ac:dyDescent="0.3"/>
    <row r="3660" x14ac:dyDescent="0.3"/>
    <row r="3661" x14ac:dyDescent="0.3"/>
    <row r="3662" x14ac:dyDescent="0.3"/>
    <row r="3663" x14ac:dyDescent="0.3"/>
    <row r="3664" x14ac:dyDescent="0.3"/>
    <row r="3665" x14ac:dyDescent="0.3"/>
    <row r="3666" x14ac:dyDescent="0.3"/>
    <row r="3667" x14ac:dyDescent="0.3"/>
    <row r="3668" x14ac:dyDescent="0.3"/>
    <row r="3669" x14ac:dyDescent="0.3"/>
    <row r="3670" x14ac:dyDescent="0.3"/>
    <row r="3671" x14ac:dyDescent="0.3"/>
    <row r="3672" x14ac:dyDescent="0.3"/>
    <row r="3673" x14ac:dyDescent="0.3"/>
    <row r="3674" x14ac:dyDescent="0.3"/>
    <row r="3675" x14ac:dyDescent="0.3"/>
    <row r="3676" x14ac:dyDescent="0.3"/>
    <row r="3677" x14ac:dyDescent="0.3"/>
    <row r="3678" x14ac:dyDescent="0.3"/>
    <row r="3679" x14ac:dyDescent="0.3"/>
    <row r="3680" x14ac:dyDescent="0.3"/>
    <row r="3681" x14ac:dyDescent="0.3"/>
    <row r="3682" x14ac:dyDescent="0.3"/>
    <row r="3683" x14ac:dyDescent="0.3"/>
    <row r="3684" x14ac:dyDescent="0.3"/>
    <row r="3685" x14ac:dyDescent="0.3"/>
    <row r="3686" x14ac:dyDescent="0.3"/>
    <row r="3687" x14ac:dyDescent="0.3"/>
    <row r="3688" x14ac:dyDescent="0.3"/>
    <row r="3689" x14ac:dyDescent="0.3"/>
    <row r="3690" x14ac:dyDescent="0.3"/>
    <row r="3691" x14ac:dyDescent="0.3"/>
    <row r="3692" x14ac:dyDescent="0.3"/>
    <row r="3693" x14ac:dyDescent="0.3"/>
    <row r="3694" x14ac:dyDescent="0.3"/>
    <row r="3695" x14ac:dyDescent="0.3"/>
    <row r="3696" x14ac:dyDescent="0.3"/>
    <row r="3697" x14ac:dyDescent="0.3"/>
    <row r="3698" x14ac:dyDescent="0.3"/>
    <row r="3699" x14ac:dyDescent="0.3"/>
    <row r="3700" x14ac:dyDescent="0.3"/>
    <row r="3701" x14ac:dyDescent="0.3"/>
    <row r="3702" x14ac:dyDescent="0.3"/>
    <row r="3703" x14ac:dyDescent="0.3"/>
    <row r="3704" x14ac:dyDescent="0.3"/>
    <row r="3705" x14ac:dyDescent="0.3"/>
    <row r="3706" x14ac:dyDescent="0.3"/>
    <row r="3707" x14ac:dyDescent="0.3"/>
    <row r="3708" x14ac:dyDescent="0.3"/>
    <row r="3709" x14ac:dyDescent="0.3"/>
    <row r="3710" x14ac:dyDescent="0.3"/>
    <row r="3711" x14ac:dyDescent="0.3"/>
    <row r="3712" x14ac:dyDescent="0.3"/>
    <row r="3713" x14ac:dyDescent="0.3"/>
    <row r="3714" x14ac:dyDescent="0.3"/>
    <row r="3715" x14ac:dyDescent="0.3"/>
    <row r="3716" x14ac:dyDescent="0.3"/>
    <row r="3717" x14ac:dyDescent="0.3"/>
    <row r="3718" x14ac:dyDescent="0.3"/>
    <row r="3719" x14ac:dyDescent="0.3"/>
    <row r="3720" x14ac:dyDescent="0.3"/>
    <row r="3721" x14ac:dyDescent="0.3"/>
    <row r="3722" x14ac:dyDescent="0.3"/>
    <row r="3723" x14ac:dyDescent="0.3"/>
    <row r="3724" x14ac:dyDescent="0.3"/>
    <row r="3725" x14ac:dyDescent="0.3"/>
    <row r="3726" x14ac:dyDescent="0.3"/>
    <row r="3727" x14ac:dyDescent="0.3"/>
    <row r="3728" x14ac:dyDescent="0.3"/>
    <row r="3729" x14ac:dyDescent="0.3"/>
    <row r="3730" x14ac:dyDescent="0.3"/>
    <row r="3731" x14ac:dyDescent="0.3"/>
    <row r="3732" x14ac:dyDescent="0.3"/>
    <row r="3733" x14ac:dyDescent="0.3"/>
    <row r="3734" x14ac:dyDescent="0.3"/>
    <row r="3735" x14ac:dyDescent="0.3"/>
    <row r="3736" x14ac:dyDescent="0.3"/>
    <row r="3737" x14ac:dyDescent="0.3"/>
    <row r="3738" x14ac:dyDescent="0.3"/>
    <row r="3739" x14ac:dyDescent="0.3"/>
    <row r="3740" x14ac:dyDescent="0.3"/>
    <row r="3741" x14ac:dyDescent="0.3"/>
    <row r="3742" x14ac:dyDescent="0.3"/>
    <row r="3743" x14ac:dyDescent="0.3"/>
    <row r="3744" x14ac:dyDescent="0.3"/>
    <row r="3745" x14ac:dyDescent="0.3"/>
    <row r="3746" x14ac:dyDescent="0.3"/>
    <row r="3747" x14ac:dyDescent="0.3"/>
    <row r="3748" x14ac:dyDescent="0.3"/>
    <row r="3749" x14ac:dyDescent="0.3"/>
    <row r="3750" x14ac:dyDescent="0.3"/>
    <row r="3751" x14ac:dyDescent="0.3"/>
    <row r="3752" x14ac:dyDescent="0.3"/>
    <row r="3753" x14ac:dyDescent="0.3"/>
    <row r="3754" x14ac:dyDescent="0.3"/>
    <row r="3755" x14ac:dyDescent="0.3"/>
    <row r="3756" x14ac:dyDescent="0.3"/>
    <row r="3757" x14ac:dyDescent="0.3"/>
    <row r="3758" x14ac:dyDescent="0.3"/>
    <row r="3759" x14ac:dyDescent="0.3"/>
    <row r="3760" x14ac:dyDescent="0.3"/>
    <row r="3761" x14ac:dyDescent="0.3"/>
    <row r="3762" x14ac:dyDescent="0.3"/>
    <row r="3763" x14ac:dyDescent="0.3"/>
    <row r="3764" x14ac:dyDescent="0.3"/>
    <row r="3765" x14ac:dyDescent="0.3"/>
    <row r="3766" x14ac:dyDescent="0.3"/>
    <row r="3767" x14ac:dyDescent="0.3"/>
    <row r="3768" x14ac:dyDescent="0.3"/>
    <row r="3769" x14ac:dyDescent="0.3"/>
    <row r="3770" x14ac:dyDescent="0.3"/>
    <row r="3771" x14ac:dyDescent="0.3"/>
    <row r="3772" x14ac:dyDescent="0.3"/>
    <row r="3773" x14ac:dyDescent="0.3"/>
    <row r="3774" x14ac:dyDescent="0.3"/>
    <row r="3775" x14ac:dyDescent="0.3"/>
    <row r="3776" x14ac:dyDescent="0.3"/>
    <row r="3777" x14ac:dyDescent="0.3"/>
    <row r="3778" x14ac:dyDescent="0.3"/>
    <row r="3779" x14ac:dyDescent="0.3"/>
    <row r="3780" x14ac:dyDescent="0.3"/>
    <row r="3781" x14ac:dyDescent="0.3"/>
    <row r="3782" x14ac:dyDescent="0.3"/>
    <row r="3783" x14ac:dyDescent="0.3"/>
    <row r="3784" x14ac:dyDescent="0.3"/>
    <row r="3785" x14ac:dyDescent="0.3"/>
    <row r="3786" x14ac:dyDescent="0.3"/>
    <row r="3787" x14ac:dyDescent="0.3"/>
    <row r="3788" x14ac:dyDescent="0.3"/>
    <row r="3789" x14ac:dyDescent="0.3"/>
    <row r="3790" x14ac:dyDescent="0.3"/>
    <row r="3791" x14ac:dyDescent="0.3"/>
    <row r="3792" x14ac:dyDescent="0.3"/>
    <row r="3793" x14ac:dyDescent="0.3"/>
    <row r="3794" x14ac:dyDescent="0.3"/>
    <row r="3795" x14ac:dyDescent="0.3"/>
    <row r="3796" x14ac:dyDescent="0.3"/>
    <row r="3797" x14ac:dyDescent="0.3"/>
    <row r="3798" x14ac:dyDescent="0.3"/>
    <row r="3799" x14ac:dyDescent="0.3"/>
    <row r="3800" x14ac:dyDescent="0.3"/>
    <row r="3801" x14ac:dyDescent="0.3"/>
    <row r="3802" x14ac:dyDescent="0.3"/>
    <row r="3803" x14ac:dyDescent="0.3"/>
    <row r="3804" x14ac:dyDescent="0.3"/>
    <row r="3805" x14ac:dyDescent="0.3"/>
    <row r="3806" x14ac:dyDescent="0.3"/>
    <row r="3807" x14ac:dyDescent="0.3"/>
    <row r="3808" x14ac:dyDescent="0.3"/>
    <row r="3809" x14ac:dyDescent="0.3"/>
    <row r="3810" x14ac:dyDescent="0.3"/>
    <row r="3811" x14ac:dyDescent="0.3"/>
    <row r="3812" x14ac:dyDescent="0.3"/>
    <row r="3813" x14ac:dyDescent="0.3"/>
    <row r="3814" x14ac:dyDescent="0.3"/>
    <row r="3815" x14ac:dyDescent="0.3"/>
    <row r="3816" x14ac:dyDescent="0.3"/>
    <row r="3817" x14ac:dyDescent="0.3"/>
    <row r="3818" x14ac:dyDescent="0.3"/>
    <row r="3819" x14ac:dyDescent="0.3"/>
    <row r="3820" x14ac:dyDescent="0.3"/>
    <row r="3821" x14ac:dyDescent="0.3"/>
    <row r="3822" x14ac:dyDescent="0.3"/>
    <row r="3823" x14ac:dyDescent="0.3"/>
    <row r="3824" x14ac:dyDescent="0.3"/>
    <row r="3825" x14ac:dyDescent="0.3"/>
    <row r="3826" x14ac:dyDescent="0.3"/>
    <row r="3827" x14ac:dyDescent="0.3"/>
    <row r="3828" x14ac:dyDescent="0.3"/>
    <row r="3829" x14ac:dyDescent="0.3"/>
    <row r="3830" x14ac:dyDescent="0.3"/>
    <row r="3831" x14ac:dyDescent="0.3"/>
    <row r="3832" x14ac:dyDescent="0.3"/>
    <row r="3833" x14ac:dyDescent="0.3"/>
    <row r="3834" x14ac:dyDescent="0.3"/>
    <row r="3835" x14ac:dyDescent="0.3"/>
    <row r="3836" x14ac:dyDescent="0.3"/>
    <row r="3837" x14ac:dyDescent="0.3"/>
    <row r="3838" x14ac:dyDescent="0.3"/>
    <row r="3839" x14ac:dyDescent="0.3"/>
    <row r="3840" x14ac:dyDescent="0.3"/>
    <row r="3841" x14ac:dyDescent="0.3"/>
    <row r="3842" x14ac:dyDescent="0.3"/>
    <row r="3843" x14ac:dyDescent="0.3"/>
    <row r="3844" x14ac:dyDescent="0.3"/>
    <row r="3845" x14ac:dyDescent="0.3"/>
    <row r="3846" x14ac:dyDescent="0.3"/>
    <row r="3847" x14ac:dyDescent="0.3"/>
    <row r="3848" x14ac:dyDescent="0.3"/>
    <row r="3849" x14ac:dyDescent="0.3"/>
    <row r="3850" x14ac:dyDescent="0.3"/>
    <row r="3851" x14ac:dyDescent="0.3"/>
    <row r="3852" x14ac:dyDescent="0.3"/>
    <row r="3853" x14ac:dyDescent="0.3"/>
    <row r="3854" x14ac:dyDescent="0.3"/>
    <row r="3855" x14ac:dyDescent="0.3"/>
    <row r="3856" x14ac:dyDescent="0.3"/>
    <row r="3857" x14ac:dyDescent="0.3"/>
    <row r="3858" x14ac:dyDescent="0.3"/>
    <row r="3859" x14ac:dyDescent="0.3"/>
    <row r="3860" x14ac:dyDescent="0.3"/>
    <row r="3861" x14ac:dyDescent="0.3"/>
    <row r="3862" x14ac:dyDescent="0.3"/>
    <row r="3863" x14ac:dyDescent="0.3"/>
    <row r="3864" x14ac:dyDescent="0.3"/>
    <row r="3865" x14ac:dyDescent="0.3"/>
    <row r="3866" x14ac:dyDescent="0.3"/>
    <row r="3867" x14ac:dyDescent="0.3"/>
    <row r="3868" x14ac:dyDescent="0.3"/>
    <row r="3869" x14ac:dyDescent="0.3"/>
    <row r="3870" x14ac:dyDescent="0.3"/>
    <row r="3871" x14ac:dyDescent="0.3"/>
    <row r="3872" x14ac:dyDescent="0.3"/>
    <row r="3873" x14ac:dyDescent="0.3"/>
    <row r="3874" x14ac:dyDescent="0.3"/>
    <row r="3875" x14ac:dyDescent="0.3"/>
    <row r="3876" x14ac:dyDescent="0.3"/>
    <row r="3877" x14ac:dyDescent="0.3"/>
    <row r="3878" x14ac:dyDescent="0.3"/>
    <row r="3879" x14ac:dyDescent="0.3"/>
    <row r="3880" x14ac:dyDescent="0.3"/>
    <row r="3881" x14ac:dyDescent="0.3"/>
    <row r="3882" x14ac:dyDescent="0.3"/>
    <row r="3883" x14ac:dyDescent="0.3"/>
    <row r="3884" x14ac:dyDescent="0.3"/>
    <row r="3885" x14ac:dyDescent="0.3"/>
    <row r="3886" x14ac:dyDescent="0.3"/>
    <row r="3887" x14ac:dyDescent="0.3"/>
    <row r="3888" x14ac:dyDescent="0.3"/>
    <row r="3889" x14ac:dyDescent="0.3"/>
    <row r="3890" x14ac:dyDescent="0.3"/>
    <row r="3891" x14ac:dyDescent="0.3"/>
    <row r="3892" x14ac:dyDescent="0.3"/>
    <row r="3893" x14ac:dyDescent="0.3"/>
    <row r="3894" x14ac:dyDescent="0.3"/>
    <row r="3895" x14ac:dyDescent="0.3"/>
    <row r="3896" x14ac:dyDescent="0.3"/>
    <row r="3897" x14ac:dyDescent="0.3"/>
    <row r="3898" x14ac:dyDescent="0.3"/>
    <row r="3899" x14ac:dyDescent="0.3"/>
    <row r="3900" x14ac:dyDescent="0.3"/>
    <row r="3901" x14ac:dyDescent="0.3"/>
    <row r="3902" x14ac:dyDescent="0.3"/>
    <row r="3903" x14ac:dyDescent="0.3"/>
    <row r="3904" x14ac:dyDescent="0.3"/>
    <row r="3905" x14ac:dyDescent="0.3"/>
    <row r="3906" x14ac:dyDescent="0.3"/>
    <row r="3907" x14ac:dyDescent="0.3"/>
    <row r="3908" x14ac:dyDescent="0.3"/>
    <row r="3909" x14ac:dyDescent="0.3"/>
    <row r="3910" x14ac:dyDescent="0.3"/>
    <row r="3911" x14ac:dyDescent="0.3"/>
    <row r="3912" x14ac:dyDescent="0.3"/>
    <row r="3913" x14ac:dyDescent="0.3"/>
    <row r="3914" x14ac:dyDescent="0.3"/>
    <row r="3915" x14ac:dyDescent="0.3"/>
    <row r="3916" x14ac:dyDescent="0.3"/>
    <row r="3917" x14ac:dyDescent="0.3"/>
    <row r="3918" x14ac:dyDescent="0.3"/>
    <row r="3919" x14ac:dyDescent="0.3"/>
    <row r="3920" x14ac:dyDescent="0.3"/>
    <row r="3921" x14ac:dyDescent="0.3"/>
    <row r="3922" x14ac:dyDescent="0.3"/>
    <row r="3923" x14ac:dyDescent="0.3"/>
    <row r="3924" x14ac:dyDescent="0.3"/>
    <row r="3925" x14ac:dyDescent="0.3"/>
    <row r="3926" x14ac:dyDescent="0.3"/>
    <row r="3927" x14ac:dyDescent="0.3"/>
    <row r="3928" x14ac:dyDescent="0.3"/>
    <row r="3929" x14ac:dyDescent="0.3"/>
    <row r="3930" x14ac:dyDescent="0.3"/>
    <row r="3931" x14ac:dyDescent="0.3"/>
    <row r="3932" x14ac:dyDescent="0.3"/>
    <row r="3933" x14ac:dyDescent="0.3"/>
    <row r="3934" x14ac:dyDescent="0.3"/>
    <row r="3935" x14ac:dyDescent="0.3"/>
    <row r="3936" x14ac:dyDescent="0.3"/>
    <row r="3937" x14ac:dyDescent="0.3"/>
    <row r="3938" x14ac:dyDescent="0.3"/>
    <row r="3939" x14ac:dyDescent="0.3"/>
    <row r="3940" x14ac:dyDescent="0.3"/>
    <row r="3941" x14ac:dyDescent="0.3"/>
    <row r="3942" x14ac:dyDescent="0.3"/>
    <row r="3943" x14ac:dyDescent="0.3"/>
    <row r="3944" x14ac:dyDescent="0.3"/>
    <row r="3945" x14ac:dyDescent="0.3"/>
    <row r="3946" x14ac:dyDescent="0.3"/>
    <row r="3947" x14ac:dyDescent="0.3"/>
    <row r="3948" x14ac:dyDescent="0.3"/>
    <row r="3949" x14ac:dyDescent="0.3"/>
    <row r="3950" x14ac:dyDescent="0.3"/>
    <row r="3951" x14ac:dyDescent="0.3"/>
    <row r="3952" x14ac:dyDescent="0.3"/>
    <row r="3953" x14ac:dyDescent="0.3"/>
    <row r="3954" x14ac:dyDescent="0.3"/>
    <row r="3955" x14ac:dyDescent="0.3"/>
    <row r="3956" x14ac:dyDescent="0.3"/>
    <row r="3957" x14ac:dyDescent="0.3"/>
    <row r="3958" x14ac:dyDescent="0.3"/>
    <row r="3959" x14ac:dyDescent="0.3"/>
    <row r="3960" x14ac:dyDescent="0.3"/>
    <row r="3961" x14ac:dyDescent="0.3"/>
    <row r="3962" x14ac:dyDescent="0.3"/>
    <row r="3963" x14ac:dyDescent="0.3"/>
    <row r="3964" x14ac:dyDescent="0.3"/>
    <row r="3965" x14ac:dyDescent="0.3"/>
    <row r="3966" x14ac:dyDescent="0.3"/>
    <row r="3967" x14ac:dyDescent="0.3"/>
    <row r="3968" x14ac:dyDescent="0.3"/>
    <row r="3969" x14ac:dyDescent="0.3"/>
    <row r="3970" x14ac:dyDescent="0.3"/>
    <row r="3971" x14ac:dyDescent="0.3"/>
    <row r="3972" x14ac:dyDescent="0.3"/>
    <row r="3973" x14ac:dyDescent="0.3"/>
    <row r="3974" x14ac:dyDescent="0.3"/>
    <row r="3975" x14ac:dyDescent="0.3"/>
    <row r="3976" x14ac:dyDescent="0.3"/>
    <row r="3977" x14ac:dyDescent="0.3"/>
    <row r="3978" x14ac:dyDescent="0.3"/>
    <row r="3979" x14ac:dyDescent="0.3"/>
    <row r="3980" x14ac:dyDescent="0.3"/>
    <row r="3981" x14ac:dyDescent="0.3"/>
    <row r="3982" x14ac:dyDescent="0.3"/>
    <row r="3983" x14ac:dyDescent="0.3"/>
    <row r="3984" x14ac:dyDescent="0.3"/>
    <row r="3985" x14ac:dyDescent="0.3"/>
    <row r="3986" x14ac:dyDescent="0.3"/>
    <row r="3987" x14ac:dyDescent="0.3"/>
    <row r="3988" x14ac:dyDescent="0.3"/>
    <row r="3989" x14ac:dyDescent="0.3"/>
    <row r="3990" x14ac:dyDescent="0.3"/>
    <row r="3991" x14ac:dyDescent="0.3"/>
    <row r="3992" x14ac:dyDescent="0.3"/>
    <row r="3993" x14ac:dyDescent="0.3"/>
    <row r="3994" x14ac:dyDescent="0.3"/>
    <row r="3995" x14ac:dyDescent="0.3"/>
    <row r="3996" x14ac:dyDescent="0.3"/>
    <row r="3997" x14ac:dyDescent="0.3"/>
    <row r="3998" x14ac:dyDescent="0.3"/>
    <row r="3999" x14ac:dyDescent="0.3"/>
    <row r="4000" x14ac:dyDescent="0.3"/>
    <row r="4001" x14ac:dyDescent="0.3"/>
    <row r="4002" x14ac:dyDescent="0.3"/>
    <row r="4003" x14ac:dyDescent="0.3"/>
    <row r="4004" x14ac:dyDescent="0.3"/>
    <row r="4005" x14ac:dyDescent="0.3"/>
    <row r="4006" x14ac:dyDescent="0.3"/>
    <row r="4007" x14ac:dyDescent="0.3"/>
    <row r="4008" x14ac:dyDescent="0.3"/>
    <row r="4009" x14ac:dyDescent="0.3"/>
    <row r="4010" x14ac:dyDescent="0.3"/>
    <row r="4011" x14ac:dyDescent="0.3"/>
    <row r="4012" x14ac:dyDescent="0.3"/>
    <row r="4013" x14ac:dyDescent="0.3"/>
    <row r="4014" x14ac:dyDescent="0.3"/>
    <row r="4015" x14ac:dyDescent="0.3"/>
    <row r="4016" x14ac:dyDescent="0.3"/>
    <row r="4017" x14ac:dyDescent="0.3"/>
    <row r="4018" x14ac:dyDescent="0.3"/>
    <row r="4019" x14ac:dyDescent="0.3"/>
    <row r="4020" x14ac:dyDescent="0.3"/>
    <row r="4021" x14ac:dyDescent="0.3"/>
    <row r="4022" x14ac:dyDescent="0.3"/>
    <row r="4023" x14ac:dyDescent="0.3"/>
    <row r="4024" x14ac:dyDescent="0.3"/>
    <row r="4025" x14ac:dyDescent="0.3"/>
    <row r="4026" x14ac:dyDescent="0.3"/>
    <row r="4027" x14ac:dyDescent="0.3"/>
    <row r="4028" x14ac:dyDescent="0.3"/>
    <row r="4029" x14ac:dyDescent="0.3"/>
    <row r="4030" x14ac:dyDescent="0.3"/>
    <row r="4031" x14ac:dyDescent="0.3"/>
    <row r="4032" x14ac:dyDescent="0.3"/>
    <row r="4033" x14ac:dyDescent="0.3"/>
    <row r="4034" x14ac:dyDescent="0.3"/>
    <row r="4035" x14ac:dyDescent="0.3"/>
    <row r="4036" x14ac:dyDescent="0.3"/>
    <row r="4037" x14ac:dyDescent="0.3"/>
    <row r="4038" x14ac:dyDescent="0.3"/>
    <row r="4039" x14ac:dyDescent="0.3"/>
    <row r="4040" x14ac:dyDescent="0.3"/>
    <row r="4041" x14ac:dyDescent="0.3"/>
    <row r="4042" x14ac:dyDescent="0.3"/>
    <row r="4043" x14ac:dyDescent="0.3"/>
    <row r="4044" x14ac:dyDescent="0.3"/>
    <row r="4045" x14ac:dyDescent="0.3"/>
    <row r="4046" x14ac:dyDescent="0.3"/>
    <row r="4047" x14ac:dyDescent="0.3"/>
    <row r="4048" x14ac:dyDescent="0.3"/>
    <row r="4049" x14ac:dyDescent="0.3"/>
    <row r="4050" x14ac:dyDescent="0.3"/>
    <row r="4051" x14ac:dyDescent="0.3"/>
    <row r="4052" x14ac:dyDescent="0.3"/>
    <row r="4053" x14ac:dyDescent="0.3"/>
    <row r="4054" x14ac:dyDescent="0.3"/>
    <row r="4055" x14ac:dyDescent="0.3"/>
    <row r="4056" x14ac:dyDescent="0.3"/>
    <row r="4057" x14ac:dyDescent="0.3"/>
    <row r="4058" x14ac:dyDescent="0.3"/>
    <row r="4059" x14ac:dyDescent="0.3"/>
    <row r="4060" x14ac:dyDescent="0.3"/>
    <row r="4061" x14ac:dyDescent="0.3"/>
    <row r="4062" x14ac:dyDescent="0.3"/>
    <row r="4063" x14ac:dyDescent="0.3"/>
    <row r="4064" x14ac:dyDescent="0.3"/>
    <row r="4065" x14ac:dyDescent="0.3"/>
    <row r="4066" x14ac:dyDescent="0.3"/>
    <row r="4067" x14ac:dyDescent="0.3"/>
    <row r="4068" x14ac:dyDescent="0.3"/>
    <row r="4069" x14ac:dyDescent="0.3"/>
    <row r="4070" x14ac:dyDescent="0.3"/>
    <row r="4071" x14ac:dyDescent="0.3"/>
    <row r="4072" x14ac:dyDescent="0.3"/>
    <row r="4073" x14ac:dyDescent="0.3"/>
    <row r="4074" x14ac:dyDescent="0.3"/>
    <row r="4075" x14ac:dyDescent="0.3"/>
    <row r="4076" x14ac:dyDescent="0.3"/>
    <row r="4077" x14ac:dyDescent="0.3"/>
    <row r="4078" x14ac:dyDescent="0.3"/>
    <row r="4079" x14ac:dyDescent="0.3"/>
    <row r="4080" x14ac:dyDescent="0.3"/>
    <row r="4081" x14ac:dyDescent="0.3"/>
    <row r="4082" x14ac:dyDescent="0.3"/>
    <row r="4083" x14ac:dyDescent="0.3"/>
    <row r="4084" x14ac:dyDescent="0.3"/>
    <row r="4085" x14ac:dyDescent="0.3"/>
    <row r="4086" x14ac:dyDescent="0.3"/>
    <row r="4087" x14ac:dyDescent="0.3"/>
    <row r="4088" x14ac:dyDescent="0.3"/>
    <row r="4089" x14ac:dyDescent="0.3"/>
    <row r="4090" x14ac:dyDescent="0.3"/>
    <row r="4091" x14ac:dyDescent="0.3"/>
    <row r="4092" x14ac:dyDescent="0.3"/>
    <row r="4093" x14ac:dyDescent="0.3"/>
    <row r="4094" x14ac:dyDescent="0.3"/>
    <row r="4095" x14ac:dyDescent="0.3"/>
    <row r="4096" x14ac:dyDescent="0.3"/>
    <row r="4097" x14ac:dyDescent="0.3"/>
    <row r="4098" x14ac:dyDescent="0.3"/>
    <row r="4099" x14ac:dyDescent="0.3"/>
    <row r="4100" x14ac:dyDescent="0.3"/>
    <row r="4101" x14ac:dyDescent="0.3"/>
    <row r="4102" x14ac:dyDescent="0.3"/>
    <row r="4103" x14ac:dyDescent="0.3"/>
    <row r="4104" x14ac:dyDescent="0.3"/>
    <row r="4105" x14ac:dyDescent="0.3"/>
    <row r="4106" x14ac:dyDescent="0.3"/>
    <row r="4107" x14ac:dyDescent="0.3"/>
    <row r="4108" x14ac:dyDescent="0.3"/>
    <row r="4109" x14ac:dyDescent="0.3"/>
    <row r="4110" x14ac:dyDescent="0.3"/>
    <row r="4111" x14ac:dyDescent="0.3"/>
    <row r="4112" x14ac:dyDescent="0.3"/>
    <row r="4113" x14ac:dyDescent="0.3"/>
    <row r="4114" x14ac:dyDescent="0.3"/>
    <row r="4115" x14ac:dyDescent="0.3"/>
    <row r="4116" x14ac:dyDescent="0.3"/>
    <row r="4117" x14ac:dyDescent="0.3"/>
    <row r="4118" x14ac:dyDescent="0.3"/>
    <row r="4119" x14ac:dyDescent="0.3"/>
    <row r="4120" x14ac:dyDescent="0.3"/>
    <row r="4121" x14ac:dyDescent="0.3"/>
    <row r="4122" x14ac:dyDescent="0.3"/>
    <row r="4123" x14ac:dyDescent="0.3"/>
    <row r="4124" x14ac:dyDescent="0.3"/>
    <row r="4125" x14ac:dyDescent="0.3"/>
    <row r="4126" x14ac:dyDescent="0.3"/>
    <row r="4127" x14ac:dyDescent="0.3"/>
    <row r="4128" x14ac:dyDescent="0.3"/>
    <row r="4129" x14ac:dyDescent="0.3"/>
    <row r="4130" x14ac:dyDescent="0.3"/>
    <row r="4131" x14ac:dyDescent="0.3"/>
    <row r="4132" x14ac:dyDescent="0.3"/>
    <row r="4133" x14ac:dyDescent="0.3"/>
    <row r="4134" x14ac:dyDescent="0.3"/>
    <row r="4135" x14ac:dyDescent="0.3"/>
    <row r="4136" x14ac:dyDescent="0.3"/>
    <row r="4137" x14ac:dyDescent="0.3"/>
    <row r="4138" x14ac:dyDescent="0.3"/>
    <row r="4139" x14ac:dyDescent="0.3"/>
    <row r="4140" x14ac:dyDescent="0.3"/>
    <row r="4141" x14ac:dyDescent="0.3"/>
    <row r="4142" x14ac:dyDescent="0.3"/>
    <row r="4143" x14ac:dyDescent="0.3"/>
    <row r="4144" x14ac:dyDescent="0.3"/>
    <row r="4145" x14ac:dyDescent="0.3"/>
    <row r="4146" x14ac:dyDescent="0.3"/>
    <row r="4147" x14ac:dyDescent="0.3"/>
    <row r="4148" x14ac:dyDescent="0.3"/>
    <row r="4149" x14ac:dyDescent="0.3"/>
    <row r="4150" x14ac:dyDescent="0.3"/>
    <row r="4151" x14ac:dyDescent="0.3"/>
    <row r="4152" x14ac:dyDescent="0.3"/>
    <row r="4153" x14ac:dyDescent="0.3"/>
    <row r="4154" x14ac:dyDescent="0.3"/>
    <row r="4155" x14ac:dyDescent="0.3"/>
    <row r="4156" x14ac:dyDescent="0.3"/>
    <row r="4157" x14ac:dyDescent="0.3"/>
    <row r="4158" x14ac:dyDescent="0.3"/>
    <row r="4159" x14ac:dyDescent="0.3"/>
    <row r="4160" x14ac:dyDescent="0.3"/>
    <row r="4161" x14ac:dyDescent="0.3"/>
    <row r="4162" x14ac:dyDescent="0.3"/>
    <row r="4163" x14ac:dyDescent="0.3"/>
    <row r="4164" x14ac:dyDescent="0.3"/>
    <row r="4165" x14ac:dyDescent="0.3"/>
    <row r="4166" x14ac:dyDescent="0.3"/>
    <row r="4167" x14ac:dyDescent="0.3"/>
    <row r="4168" x14ac:dyDescent="0.3"/>
    <row r="4169" x14ac:dyDescent="0.3"/>
    <row r="4170" x14ac:dyDescent="0.3"/>
    <row r="4171" x14ac:dyDescent="0.3"/>
    <row r="4172" x14ac:dyDescent="0.3"/>
    <row r="4173" x14ac:dyDescent="0.3"/>
    <row r="4174" x14ac:dyDescent="0.3"/>
    <row r="4175" x14ac:dyDescent="0.3"/>
    <row r="4176" x14ac:dyDescent="0.3"/>
    <row r="4177" x14ac:dyDescent="0.3"/>
    <row r="4178" x14ac:dyDescent="0.3"/>
    <row r="4179" x14ac:dyDescent="0.3"/>
    <row r="4180" x14ac:dyDescent="0.3"/>
    <row r="4181" x14ac:dyDescent="0.3"/>
    <row r="4182" x14ac:dyDescent="0.3"/>
    <row r="4183" x14ac:dyDescent="0.3"/>
    <row r="4184" x14ac:dyDescent="0.3"/>
    <row r="4185" x14ac:dyDescent="0.3"/>
    <row r="4186" x14ac:dyDescent="0.3"/>
    <row r="4187" x14ac:dyDescent="0.3"/>
    <row r="4188" x14ac:dyDescent="0.3"/>
    <row r="4189" x14ac:dyDescent="0.3"/>
    <row r="4190" x14ac:dyDescent="0.3"/>
    <row r="4191" x14ac:dyDescent="0.3"/>
    <row r="4192" x14ac:dyDescent="0.3"/>
    <row r="4193" x14ac:dyDescent="0.3"/>
    <row r="4194" x14ac:dyDescent="0.3"/>
    <row r="4195" x14ac:dyDescent="0.3"/>
    <row r="4196" x14ac:dyDescent="0.3"/>
    <row r="4197" x14ac:dyDescent="0.3"/>
    <row r="4198" x14ac:dyDescent="0.3"/>
    <row r="4199" x14ac:dyDescent="0.3"/>
    <row r="4200" x14ac:dyDescent="0.3"/>
    <row r="4201" x14ac:dyDescent="0.3"/>
    <row r="4202" x14ac:dyDescent="0.3"/>
    <row r="4203" x14ac:dyDescent="0.3"/>
    <row r="4204" x14ac:dyDescent="0.3"/>
    <row r="4205" x14ac:dyDescent="0.3"/>
    <row r="4206" x14ac:dyDescent="0.3"/>
    <row r="4207" x14ac:dyDescent="0.3"/>
    <row r="4208" x14ac:dyDescent="0.3"/>
    <row r="4209" x14ac:dyDescent="0.3"/>
    <row r="4210" x14ac:dyDescent="0.3"/>
    <row r="4211" x14ac:dyDescent="0.3"/>
    <row r="4212" x14ac:dyDescent="0.3"/>
    <row r="4213" x14ac:dyDescent="0.3"/>
    <row r="4214" x14ac:dyDescent="0.3"/>
    <row r="4215" x14ac:dyDescent="0.3"/>
    <row r="4216" x14ac:dyDescent="0.3"/>
    <row r="4217" x14ac:dyDescent="0.3"/>
    <row r="4218" x14ac:dyDescent="0.3"/>
    <row r="4219" x14ac:dyDescent="0.3"/>
    <row r="4220" x14ac:dyDescent="0.3"/>
    <row r="4221" x14ac:dyDescent="0.3"/>
    <row r="4222" x14ac:dyDescent="0.3"/>
    <row r="4223" x14ac:dyDescent="0.3"/>
    <row r="4224" x14ac:dyDescent="0.3"/>
    <row r="4225" x14ac:dyDescent="0.3"/>
    <row r="4226" x14ac:dyDescent="0.3"/>
    <row r="4227" x14ac:dyDescent="0.3"/>
    <row r="4228" x14ac:dyDescent="0.3"/>
    <row r="4229" x14ac:dyDescent="0.3"/>
    <row r="4230" x14ac:dyDescent="0.3"/>
    <row r="4231" x14ac:dyDescent="0.3"/>
    <row r="4232" x14ac:dyDescent="0.3"/>
    <row r="4233" x14ac:dyDescent="0.3"/>
    <row r="4234" x14ac:dyDescent="0.3"/>
    <row r="4235" x14ac:dyDescent="0.3"/>
    <row r="4236" x14ac:dyDescent="0.3"/>
    <row r="4237" x14ac:dyDescent="0.3"/>
    <row r="4238" x14ac:dyDescent="0.3"/>
    <row r="4239" x14ac:dyDescent="0.3"/>
    <row r="4240" x14ac:dyDescent="0.3"/>
    <row r="4241" x14ac:dyDescent="0.3"/>
    <row r="4242" x14ac:dyDescent="0.3"/>
    <row r="4243" x14ac:dyDescent="0.3"/>
    <row r="4244" x14ac:dyDescent="0.3"/>
    <row r="4245" x14ac:dyDescent="0.3"/>
    <row r="4246" x14ac:dyDescent="0.3"/>
    <row r="4247" x14ac:dyDescent="0.3"/>
    <row r="4248" x14ac:dyDescent="0.3"/>
    <row r="4249" x14ac:dyDescent="0.3"/>
    <row r="4250" x14ac:dyDescent="0.3"/>
    <row r="4251" x14ac:dyDescent="0.3"/>
    <row r="4252" x14ac:dyDescent="0.3"/>
    <row r="4253" x14ac:dyDescent="0.3"/>
    <row r="4254" x14ac:dyDescent="0.3"/>
    <row r="4255" x14ac:dyDescent="0.3"/>
    <row r="4256" x14ac:dyDescent="0.3"/>
    <row r="4257" x14ac:dyDescent="0.3"/>
    <row r="4258" x14ac:dyDescent="0.3"/>
    <row r="4259" x14ac:dyDescent="0.3"/>
    <row r="4260" x14ac:dyDescent="0.3"/>
    <row r="4261" x14ac:dyDescent="0.3"/>
    <row r="4262" x14ac:dyDescent="0.3"/>
    <row r="4263" x14ac:dyDescent="0.3"/>
    <row r="4264" x14ac:dyDescent="0.3"/>
    <row r="4265" x14ac:dyDescent="0.3"/>
    <row r="4266" x14ac:dyDescent="0.3"/>
    <row r="4267" x14ac:dyDescent="0.3"/>
    <row r="4268" x14ac:dyDescent="0.3"/>
    <row r="4269" x14ac:dyDescent="0.3"/>
    <row r="4270" x14ac:dyDescent="0.3"/>
    <row r="4271" x14ac:dyDescent="0.3"/>
    <row r="4272" x14ac:dyDescent="0.3"/>
    <row r="4273" x14ac:dyDescent="0.3"/>
    <row r="4274" x14ac:dyDescent="0.3"/>
    <row r="4275" x14ac:dyDescent="0.3"/>
    <row r="4276" x14ac:dyDescent="0.3"/>
    <row r="4277" x14ac:dyDescent="0.3"/>
    <row r="4278" x14ac:dyDescent="0.3"/>
    <row r="4279" x14ac:dyDescent="0.3"/>
    <row r="4280" x14ac:dyDescent="0.3"/>
    <row r="4281" x14ac:dyDescent="0.3"/>
    <row r="4282" x14ac:dyDescent="0.3"/>
    <row r="4283" x14ac:dyDescent="0.3"/>
    <row r="4284" x14ac:dyDescent="0.3"/>
    <row r="4285" x14ac:dyDescent="0.3"/>
    <row r="4286" x14ac:dyDescent="0.3"/>
    <row r="4287" x14ac:dyDescent="0.3"/>
    <row r="4288" x14ac:dyDescent="0.3"/>
    <row r="4289" x14ac:dyDescent="0.3"/>
    <row r="4290" x14ac:dyDescent="0.3"/>
    <row r="4291" x14ac:dyDescent="0.3"/>
    <row r="4292" x14ac:dyDescent="0.3"/>
    <row r="4293" x14ac:dyDescent="0.3"/>
    <row r="4294" x14ac:dyDescent="0.3"/>
    <row r="4295" x14ac:dyDescent="0.3"/>
    <row r="4296" x14ac:dyDescent="0.3"/>
    <row r="4297" x14ac:dyDescent="0.3"/>
    <row r="4298" x14ac:dyDescent="0.3"/>
    <row r="4299" x14ac:dyDescent="0.3"/>
    <row r="4300" x14ac:dyDescent="0.3"/>
    <row r="4301" x14ac:dyDescent="0.3"/>
    <row r="4302" x14ac:dyDescent="0.3"/>
    <row r="4303" x14ac:dyDescent="0.3"/>
    <row r="4304" x14ac:dyDescent="0.3"/>
    <row r="4305" x14ac:dyDescent="0.3"/>
    <row r="4306" x14ac:dyDescent="0.3"/>
    <row r="4307" x14ac:dyDescent="0.3"/>
    <row r="4308" x14ac:dyDescent="0.3"/>
    <row r="4309" x14ac:dyDescent="0.3"/>
    <row r="4310" x14ac:dyDescent="0.3"/>
    <row r="4311" x14ac:dyDescent="0.3"/>
    <row r="4312" x14ac:dyDescent="0.3"/>
    <row r="4313" x14ac:dyDescent="0.3"/>
    <row r="4314" x14ac:dyDescent="0.3"/>
    <row r="4315" x14ac:dyDescent="0.3"/>
    <row r="4316" x14ac:dyDescent="0.3"/>
    <row r="4317" x14ac:dyDescent="0.3"/>
    <row r="4318" x14ac:dyDescent="0.3"/>
    <row r="4319" x14ac:dyDescent="0.3"/>
    <row r="4320" x14ac:dyDescent="0.3"/>
    <row r="4321" x14ac:dyDescent="0.3"/>
    <row r="4322" x14ac:dyDescent="0.3"/>
    <row r="4323" x14ac:dyDescent="0.3"/>
    <row r="4324" x14ac:dyDescent="0.3"/>
    <row r="4325" x14ac:dyDescent="0.3"/>
    <row r="4326" x14ac:dyDescent="0.3"/>
    <row r="4327" x14ac:dyDescent="0.3"/>
    <row r="4328" x14ac:dyDescent="0.3"/>
    <row r="4329" x14ac:dyDescent="0.3"/>
    <row r="4330" x14ac:dyDescent="0.3"/>
    <row r="4331" x14ac:dyDescent="0.3"/>
    <row r="4332" x14ac:dyDescent="0.3"/>
    <row r="4333" x14ac:dyDescent="0.3"/>
    <row r="4334" x14ac:dyDescent="0.3"/>
    <row r="4335" x14ac:dyDescent="0.3"/>
    <row r="4336" x14ac:dyDescent="0.3"/>
    <row r="4337" x14ac:dyDescent="0.3"/>
    <row r="4338" x14ac:dyDescent="0.3"/>
    <row r="4339" x14ac:dyDescent="0.3"/>
    <row r="4340" x14ac:dyDescent="0.3"/>
    <row r="4341" x14ac:dyDescent="0.3"/>
    <row r="4342" x14ac:dyDescent="0.3"/>
    <row r="4343" x14ac:dyDescent="0.3"/>
    <row r="4344" x14ac:dyDescent="0.3"/>
    <row r="4345" x14ac:dyDescent="0.3"/>
    <row r="4346" x14ac:dyDescent="0.3"/>
    <row r="4347" x14ac:dyDescent="0.3"/>
    <row r="4348" x14ac:dyDescent="0.3"/>
    <row r="4349" x14ac:dyDescent="0.3"/>
    <row r="4350" x14ac:dyDescent="0.3"/>
    <row r="4351" x14ac:dyDescent="0.3"/>
    <row r="4352" x14ac:dyDescent="0.3"/>
    <row r="4353" x14ac:dyDescent="0.3"/>
    <row r="4354" x14ac:dyDescent="0.3"/>
    <row r="4355" x14ac:dyDescent="0.3"/>
    <row r="4356" x14ac:dyDescent="0.3"/>
    <row r="4357" x14ac:dyDescent="0.3"/>
    <row r="4358" x14ac:dyDescent="0.3"/>
    <row r="4359" x14ac:dyDescent="0.3"/>
    <row r="4360" x14ac:dyDescent="0.3"/>
    <row r="4361" x14ac:dyDescent="0.3"/>
    <row r="4362" x14ac:dyDescent="0.3"/>
    <row r="4363" x14ac:dyDescent="0.3"/>
    <row r="4364" x14ac:dyDescent="0.3"/>
    <row r="4365" x14ac:dyDescent="0.3"/>
    <row r="4366" x14ac:dyDescent="0.3"/>
    <row r="4367" x14ac:dyDescent="0.3"/>
    <row r="4368" x14ac:dyDescent="0.3"/>
    <row r="4369" x14ac:dyDescent="0.3"/>
    <row r="4370" x14ac:dyDescent="0.3"/>
    <row r="4371" x14ac:dyDescent="0.3"/>
    <row r="4372" x14ac:dyDescent="0.3"/>
    <row r="4373" x14ac:dyDescent="0.3"/>
    <row r="4374" x14ac:dyDescent="0.3"/>
    <row r="4375" x14ac:dyDescent="0.3"/>
    <row r="4376" x14ac:dyDescent="0.3"/>
    <row r="4377" x14ac:dyDescent="0.3"/>
    <row r="4378" x14ac:dyDescent="0.3"/>
    <row r="4379" x14ac:dyDescent="0.3"/>
    <row r="4380" x14ac:dyDescent="0.3"/>
    <row r="4381" x14ac:dyDescent="0.3"/>
    <row r="4382" x14ac:dyDescent="0.3"/>
    <row r="4383" x14ac:dyDescent="0.3"/>
    <row r="4384" x14ac:dyDescent="0.3"/>
    <row r="4385" x14ac:dyDescent="0.3"/>
    <row r="4386" x14ac:dyDescent="0.3"/>
    <row r="4387" x14ac:dyDescent="0.3"/>
    <row r="4388" x14ac:dyDescent="0.3"/>
    <row r="4389" x14ac:dyDescent="0.3"/>
    <row r="4390" x14ac:dyDescent="0.3"/>
    <row r="4391" x14ac:dyDescent="0.3"/>
    <row r="4392" x14ac:dyDescent="0.3"/>
    <row r="4393" x14ac:dyDescent="0.3"/>
    <row r="4394" x14ac:dyDescent="0.3"/>
    <row r="4395" x14ac:dyDescent="0.3"/>
    <row r="4396" x14ac:dyDescent="0.3"/>
    <row r="4397" x14ac:dyDescent="0.3"/>
    <row r="4398" x14ac:dyDescent="0.3"/>
    <row r="4399" x14ac:dyDescent="0.3"/>
    <row r="4400" x14ac:dyDescent="0.3"/>
    <row r="4401" x14ac:dyDescent="0.3"/>
    <row r="4402" x14ac:dyDescent="0.3"/>
    <row r="4403" x14ac:dyDescent="0.3"/>
    <row r="4404" x14ac:dyDescent="0.3"/>
    <row r="4405" x14ac:dyDescent="0.3"/>
    <row r="4406" x14ac:dyDescent="0.3"/>
    <row r="4407" x14ac:dyDescent="0.3"/>
    <row r="4408" x14ac:dyDescent="0.3"/>
    <row r="4409" x14ac:dyDescent="0.3"/>
    <row r="4410" x14ac:dyDescent="0.3"/>
    <row r="4411" x14ac:dyDescent="0.3"/>
    <row r="4412" x14ac:dyDescent="0.3"/>
    <row r="4413" x14ac:dyDescent="0.3"/>
    <row r="4414" x14ac:dyDescent="0.3"/>
    <row r="4415" x14ac:dyDescent="0.3"/>
    <row r="4416" x14ac:dyDescent="0.3"/>
    <row r="4417" x14ac:dyDescent="0.3"/>
    <row r="4418" x14ac:dyDescent="0.3"/>
    <row r="4419" x14ac:dyDescent="0.3"/>
    <row r="4420" x14ac:dyDescent="0.3"/>
    <row r="4421" x14ac:dyDescent="0.3"/>
    <row r="4422" x14ac:dyDescent="0.3"/>
    <row r="4423" x14ac:dyDescent="0.3"/>
    <row r="4424" x14ac:dyDescent="0.3"/>
    <row r="4425" x14ac:dyDescent="0.3"/>
    <row r="4426" x14ac:dyDescent="0.3"/>
    <row r="4427" x14ac:dyDescent="0.3"/>
    <row r="4428" x14ac:dyDescent="0.3"/>
    <row r="4429" x14ac:dyDescent="0.3"/>
    <row r="4430" x14ac:dyDescent="0.3"/>
    <row r="4431" x14ac:dyDescent="0.3"/>
    <row r="4432" x14ac:dyDescent="0.3"/>
    <row r="4433" x14ac:dyDescent="0.3"/>
    <row r="4434" x14ac:dyDescent="0.3"/>
    <row r="4435" x14ac:dyDescent="0.3"/>
    <row r="4436" x14ac:dyDescent="0.3"/>
    <row r="4437" x14ac:dyDescent="0.3"/>
    <row r="4438" x14ac:dyDescent="0.3"/>
    <row r="4439" x14ac:dyDescent="0.3"/>
    <row r="4440" x14ac:dyDescent="0.3"/>
    <row r="4441" x14ac:dyDescent="0.3"/>
    <row r="4442" x14ac:dyDescent="0.3"/>
    <row r="4443" x14ac:dyDescent="0.3"/>
    <row r="4444" x14ac:dyDescent="0.3"/>
    <row r="4445" x14ac:dyDescent="0.3"/>
    <row r="4446" x14ac:dyDescent="0.3"/>
    <row r="4447" x14ac:dyDescent="0.3"/>
    <row r="4448" x14ac:dyDescent="0.3"/>
    <row r="4449" x14ac:dyDescent="0.3"/>
    <row r="4450" x14ac:dyDescent="0.3"/>
    <row r="4451" x14ac:dyDescent="0.3"/>
    <row r="4452" x14ac:dyDescent="0.3"/>
    <row r="4453" x14ac:dyDescent="0.3"/>
    <row r="4454" x14ac:dyDescent="0.3"/>
    <row r="4455" x14ac:dyDescent="0.3"/>
    <row r="4456" x14ac:dyDescent="0.3"/>
    <row r="4457" x14ac:dyDescent="0.3"/>
    <row r="4458" x14ac:dyDescent="0.3"/>
    <row r="4459" x14ac:dyDescent="0.3"/>
    <row r="4460" x14ac:dyDescent="0.3"/>
    <row r="4461" x14ac:dyDescent="0.3"/>
    <row r="4462" x14ac:dyDescent="0.3"/>
    <row r="4463" x14ac:dyDescent="0.3"/>
    <row r="4464" x14ac:dyDescent="0.3"/>
    <row r="4465" x14ac:dyDescent="0.3"/>
    <row r="4466" x14ac:dyDescent="0.3"/>
    <row r="4467" x14ac:dyDescent="0.3"/>
    <row r="4468" x14ac:dyDescent="0.3"/>
    <row r="4469" x14ac:dyDescent="0.3"/>
    <row r="4470" x14ac:dyDescent="0.3"/>
    <row r="4471" x14ac:dyDescent="0.3"/>
    <row r="4472" x14ac:dyDescent="0.3"/>
    <row r="4473" x14ac:dyDescent="0.3"/>
    <row r="4474" x14ac:dyDescent="0.3"/>
    <row r="4475" x14ac:dyDescent="0.3"/>
    <row r="4476" x14ac:dyDescent="0.3"/>
    <row r="4477" x14ac:dyDescent="0.3"/>
    <row r="4478" x14ac:dyDescent="0.3"/>
    <row r="4479" x14ac:dyDescent="0.3"/>
    <row r="4480" x14ac:dyDescent="0.3"/>
    <row r="4481" x14ac:dyDescent="0.3"/>
    <row r="4482" x14ac:dyDescent="0.3"/>
    <row r="4483" x14ac:dyDescent="0.3"/>
    <row r="4484" x14ac:dyDescent="0.3"/>
    <row r="4485" x14ac:dyDescent="0.3"/>
    <row r="4486" x14ac:dyDescent="0.3"/>
    <row r="4487" x14ac:dyDescent="0.3"/>
    <row r="4488" x14ac:dyDescent="0.3"/>
    <row r="4489" x14ac:dyDescent="0.3"/>
    <row r="4490" x14ac:dyDescent="0.3"/>
    <row r="4491" x14ac:dyDescent="0.3"/>
    <row r="4492" x14ac:dyDescent="0.3"/>
    <row r="4493" x14ac:dyDescent="0.3"/>
    <row r="4494" x14ac:dyDescent="0.3"/>
    <row r="4495" x14ac:dyDescent="0.3"/>
    <row r="4496" x14ac:dyDescent="0.3"/>
    <row r="4497" x14ac:dyDescent="0.3"/>
    <row r="4498" x14ac:dyDescent="0.3"/>
    <row r="4499" x14ac:dyDescent="0.3"/>
    <row r="4500" x14ac:dyDescent="0.3"/>
    <row r="4501" x14ac:dyDescent="0.3"/>
    <row r="4502" x14ac:dyDescent="0.3"/>
    <row r="4503" x14ac:dyDescent="0.3"/>
    <row r="4504" x14ac:dyDescent="0.3"/>
    <row r="4505" x14ac:dyDescent="0.3"/>
    <row r="4506" x14ac:dyDescent="0.3"/>
    <row r="4507" x14ac:dyDescent="0.3"/>
    <row r="4508" x14ac:dyDescent="0.3"/>
    <row r="4509" x14ac:dyDescent="0.3"/>
    <row r="4510" x14ac:dyDescent="0.3"/>
    <row r="4511" x14ac:dyDescent="0.3"/>
    <row r="4512" x14ac:dyDescent="0.3"/>
    <row r="4513" x14ac:dyDescent="0.3"/>
    <row r="4514" x14ac:dyDescent="0.3"/>
    <row r="4515" x14ac:dyDescent="0.3"/>
    <row r="4516" x14ac:dyDescent="0.3"/>
    <row r="4517" x14ac:dyDescent="0.3"/>
    <row r="4518" x14ac:dyDescent="0.3"/>
    <row r="4519" x14ac:dyDescent="0.3"/>
    <row r="4520" x14ac:dyDescent="0.3"/>
    <row r="4521" x14ac:dyDescent="0.3"/>
    <row r="4522" x14ac:dyDescent="0.3"/>
    <row r="4523" x14ac:dyDescent="0.3"/>
    <row r="4524" x14ac:dyDescent="0.3"/>
    <row r="4525" x14ac:dyDescent="0.3"/>
    <row r="4526" x14ac:dyDescent="0.3"/>
    <row r="4527" x14ac:dyDescent="0.3"/>
    <row r="4528" x14ac:dyDescent="0.3"/>
    <row r="4529" x14ac:dyDescent="0.3"/>
    <row r="4530" x14ac:dyDescent="0.3"/>
    <row r="4531" x14ac:dyDescent="0.3"/>
    <row r="4532" x14ac:dyDescent="0.3"/>
    <row r="4533" x14ac:dyDescent="0.3"/>
    <row r="4534" x14ac:dyDescent="0.3"/>
    <row r="4535" x14ac:dyDescent="0.3"/>
    <row r="4536" x14ac:dyDescent="0.3"/>
    <row r="4537" x14ac:dyDescent="0.3"/>
    <row r="4538" x14ac:dyDescent="0.3"/>
    <row r="4539" x14ac:dyDescent="0.3"/>
    <row r="4540" x14ac:dyDescent="0.3"/>
    <row r="4541" x14ac:dyDescent="0.3"/>
    <row r="4542" x14ac:dyDescent="0.3"/>
    <row r="4543" x14ac:dyDescent="0.3"/>
    <row r="4544" x14ac:dyDescent="0.3"/>
    <row r="4545" x14ac:dyDescent="0.3"/>
    <row r="4546" x14ac:dyDescent="0.3"/>
    <row r="4547" x14ac:dyDescent="0.3"/>
    <row r="4548" x14ac:dyDescent="0.3"/>
    <row r="4549" x14ac:dyDescent="0.3"/>
    <row r="4550" x14ac:dyDescent="0.3"/>
    <row r="4551" x14ac:dyDescent="0.3"/>
    <row r="4552" x14ac:dyDescent="0.3"/>
    <row r="4553" x14ac:dyDescent="0.3"/>
    <row r="4554" x14ac:dyDescent="0.3"/>
    <row r="4555" x14ac:dyDescent="0.3"/>
    <row r="4556" x14ac:dyDescent="0.3"/>
    <row r="4557" x14ac:dyDescent="0.3"/>
    <row r="4558" x14ac:dyDescent="0.3"/>
    <row r="4559" x14ac:dyDescent="0.3"/>
    <row r="4560" x14ac:dyDescent="0.3"/>
    <row r="4561" x14ac:dyDescent="0.3"/>
    <row r="4562" x14ac:dyDescent="0.3"/>
    <row r="4563" x14ac:dyDescent="0.3"/>
    <row r="4564" x14ac:dyDescent="0.3"/>
    <row r="4565" x14ac:dyDescent="0.3"/>
    <row r="4566" x14ac:dyDescent="0.3"/>
    <row r="4567" x14ac:dyDescent="0.3"/>
    <row r="4568" x14ac:dyDescent="0.3"/>
    <row r="4569" x14ac:dyDescent="0.3"/>
    <row r="4570" x14ac:dyDescent="0.3"/>
    <row r="4571" x14ac:dyDescent="0.3"/>
    <row r="4572" x14ac:dyDescent="0.3"/>
    <row r="4573" x14ac:dyDescent="0.3"/>
    <row r="4574" x14ac:dyDescent="0.3"/>
    <row r="4575" x14ac:dyDescent="0.3"/>
    <row r="4576" x14ac:dyDescent="0.3"/>
    <row r="4577" x14ac:dyDescent="0.3"/>
    <row r="4578" x14ac:dyDescent="0.3"/>
    <row r="4579" x14ac:dyDescent="0.3"/>
    <row r="4580" x14ac:dyDescent="0.3"/>
    <row r="4581" x14ac:dyDescent="0.3"/>
    <row r="4582" x14ac:dyDescent="0.3"/>
    <row r="4583" x14ac:dyDescent="0.3"/>
    <row r="4584" x14ac:dyDescent="0.3"/>
    <row r="4585" x14ac:dyDescent="0.3"/>
    <row r="4586" x14ac:dyDescent="0.3"/>
    <row r="4587" x14ac:dyDescent="0.3"/>
    <row r="4588" x14ac:dyDescent="0.3"/>
    <row r="4589" x14ac:dyDescent="0.3"/>
    <row r="4590" x14ac:dyDescent="0.3"/>
    <row r="4591" x14ac:dyDescent="0.3"/>
    <row r="4592" x14ac:dyDescent="0.3"/>
    <row r="4593" x14ac:dyDescent="0.3"/>
    <row r="4594" x14ac:dyDescent="0.3"/>
    <row r="4595" x14ac:dyDescent="0.3"/>
    <row r="4596" x14ac:dyDescent="0.3"/>
    <row r="4597" x14ac:dyDescent="0.3"/>
    <row r="4598" x14ac:dyDescent="0.3"/>
    <row r="4599" x14ac:dyDescent="0.3"/>
    <row r="4600" x14ac:dyDescent="0.3"/>
    <row r="4601" x14ac:dyDescent="0.3"/>
    <row r="4602" x14ac:dyDescent="0.3"/>
    <row r="4603" x14ac:dyDescent="0.3"/>
    <row r="4604" x14ac:dyDescent="0.3"/>
    <row r="4605" x14ac:dyDescent="0.3"/>
    <row r="4606" x14ac:dyDescent="0.3"/>
    <row r="4607" x14ac:dyDescent="0.3"/>
    <row r="4608" x14ac:dyDescent="0.3"/>
    <row r="4609" x14ac:dyDescent="0.3"/>
    <row r="4610" x14ac:dyDescent="0.3"/>
    <row r="4611" x14ac:dyDescent="0.3"/>
    <row r="4612" x14ac:dyDescent="0.3"/>
    <row r="4613" x14ac:dyDescent="0.3"/>
    <row r="4614" x14ac:dyDescent="0.3"/>
    <row r="4615" x14ac:dyDescent="0.3"/>
    <row r="4616" x14ac:dyDescent="0.3"/>
    <row r="4617" x14ac:dyDescent="0.3"/>
    <row r="4618" x14ac:dyDescent="0.3"/>
    <row r="4619" x14ac:dyDescent="0.3"/>
    <row r="4620" x14ac:dyDescent="0.3"/>
    <row r="4621" x14ac:dyDescent="0.3"/>
    <row r="4622" x14ac:dyDescent="0.3"/>
    <row r="4623" x14ac:dyDescent="0.3"/>
    <row r="4624" x14ac:dyDescent="0.3"/>
    <row r="4625" x14ac:dyDescent="0.3"/>
    <row r="4626" x14ac:dyDescent="0.3"/>
    <row r="4627" x14ac:dyDescent="0.3"/>
    <row r="4628" x14ac:dyDescent="0.3"/>
    <row r="4629" x14ac:dyDescent="0.3"/>
    <row r="4630" x14ac:dyDescent="0.3"/>
    <row r="4631" x14ac:dyDescent="0.3"/>
    <row r="4632" x14ac:dyDescent="0.3"/>
    <row r="4633" x14ac:dyDescent="0.3"/>
    <row r="4634" x14ac:dyDescent="0.3"/>
    <row r="4635" x14ac:dyDescent="0.3"/>
    <row r="4636" x14ac:dyDescent="0.3"/>
    <row r="4637" x14ac:dyDescent="0.3"/>
    <row r="4638" x14ac:dyDescent="0.3"/>
    <row r="4639" x14ac:dyDescent="0.3"/>
    <row r="4640" x14ac:dyDescent="0.3"/>
    <row r="4641" x14ac:dyDescent="0.3"/>
    <row r="4642" x14ac:dyDescent="0.3"/>
    <row r="4643" x14ac:dyDescent="0.3"/>
    <row r="4644" x14ac:dyDescent="0.3"/>
    <row r="4645" x14ac:dyDescent="0.3"/>
    <row r="4646" x14ac:dyDescent="0.3"/>
    <row r="4647" x14ac:dyDescent="0.3"/>
    <row r="4648" x14ac:dyDescent="0.3"/>
    <row r="4649" x14ac:dyDescent="0.3"/>
    <row r="4650" x14ac:dyDescent="0.3"/>
    <row r="4651" x14ac:dyDescent="0.3"/>
    <row r="4652" x14ac:dyDescent="0.3"/>
    <row r="4653" x14ac:dyDescent="0.3"/>
    <row r="4654" x14ac:dyDescent="0.3"/>
    <row r="4655" x14ac:dyDescent="0.3"/>
    <row r="4656" x14ac:dyDescent="0.3"/>
    <row r="4657" x14ac:dyDescent="0.3"/>
    <row r="4658" x14ac:dyDescent="0.3"/>
    <row r="4659" x14ac:dyDescent="0.3"/>
    <row r="4660" x14ac:dyDescent="0.3"/>
    <row r="4661" x14ac:dyDescent="0.3"/>
    <row r="4662" x14ac:dyDescent="0.3"/>
    <row r="4663" x14ac:dyDescent="0.3"/>
    <row r="4664" x14ac:dyDescent="0.3"/>
    <row r="4665" x14ac:dyDescent="0.3"/>
    <row r="4666" x14ac:dyDescent="0.3"/>
    <row r="4667" x14ac:dyDescent="0.3"/>
    <row r="4668" x14ac:dyDescent="0.3"/>
    <row r="4669" x14ac:dyDescent="0.3"/>
    <row r="4670" x14ac:dyDescent="0.3"/>
    <row r="4671" x14ac:dyDescent="0.3"/>
    <row r="4672" x14ac:dyDescent="0.3"/>
    <row r="4673" x14ac:dyDescent="0.3"/>
    <row r="4674" x14ac:dyDescent="0.3"/>
    <row r="4675" x14ac:dyDescent="0.3"/>
    <row r="4676" x14ac:dyDescent="0.3"/>
    <row r="4677" x14ac:dyDescent="0.3"/>
    <row r="4678" x14ac:dyDescent="0.3"/>
    <row r="4679" x14ac:dyDescent="0.3"/>
    <row r="4680" x14ac:dyDescent="0.3"/>
    <row r="4681" x14ac:dyDescent="0.3"/>
    <row r="4682" x14ac:dyDescent="0.3"/>
    <row r="4683" x14ac:dyDescent="0.3"/>
    <row r="4684" x14ac:dyDescent="0.3"/>
    <row r="4685" x14ac:dyDescent="0.3"/>
    <row r="4686" x14ac:dyDescent="0.3"/>
    <row r="4687" x14ac:dyDescent="0.3"/>
    <row r="4688" x14ac:dyDescent="0.3"/>
    <row r="4689" x14ac:dyDescent="0.3"/>
    <row r="4690" x14ac:dyDescent="0.3"/>
    <row r="4691" x14ac:dyDescent="0.3"/>
    <row r="4692" x14ac:dyDescent="0.3"/>
    <row r="4693" x14ac:dyDescent="0.3"/>
    <row r="4694" x14ac:dyDescent="0.3"/>
    <row r="4695" x14ac:dyDescent="0.3"/>
    <row r="4696" x14ac:dyDescent="0.3"/>
    <row r="4697" x14ac:dyDescent="0.3"/>
    <row r="4698" x14ac:dyDescent="0.3"/>
    <row r="4699" x14ac:dyDescent="0.3"/>
    <row r="4700" x14ac:dyDescent="0.3"/>
    <row r="4701" x14ac:dyDescent="0.3"/>
    <row r="4702" x14ac:dyDescent="0.3"/>
    <row r="4703" x14ac:dyDescent="0.3"/>
    <row r="4704" x14ac:dyDescent="0.3"/>
    <row r="4705" x14ac:dyDescent="0.3"/>
    <row r="4706" x14ac:dyDescent="0.3"/>
    <row r="4707" x14ac:dyDescent="0.3"/>
    <row r="4708" x14ac:dyDescent="0.3"/>
    <row r="4709" x14ac:dyDescent="0.3"/>
    <row r="4710" x14ac:dyDescent="0.3"/>
    <row r="4711" x14ac:dyDescent="0.3"/>
    <row r="4712" x14ac:dyDescent="0.3"/>
    <row r="4713" x14ac:dyDescent="0.3"/>
    <row r="4714" x14ac:dyDescent="0.3"/>
    <row r="4715" x14ac:dyDescent="0.3"/>
    <row r="4716" x14ac:dyDescent="0.3"/>
    <row r="4717" x14ac:dyDescent="0.3"/>
    <row r="4718" x14ac:dyDescent="0.3"/>
    <row r="4719" x14ac:dyDescent="0.3"/>
    <row r="4720" x14ac:dyDescent="0.3"/>
    <row r="4721" x14ac:dyDescent="0.3"/>
    <row r="4722" x14ac:dyDescent="0.3"/>
    <row r="4723" x14ac:dyDescent="0.3"/>
    <row r="4724" x14ac:dyDescent="0.3"/>
    <row r="4725" x14ac:dyDescent="0.3"/>
    <row r="4726" x14ac:dyDescent="0.3"/>
    <row r="4727" x14ac:dyDescent="0.3"/>
    <row r="4728" x14ac:dyDescent="0.3"/>
    <row r="4729" x14ac:dyDescent="0.3"/>
    <row r="4730" x14ac:dyDescent="0.3"/>
    <row r="4731" x14ac:dyDescent="0.3"/>
    <row r="4732" x14ac:dyDescent="0.3"/>
    <row r="4733" x14ac:dyDescent="0.3"/>
    <row r="4734" x14ac:dyDescent="0.3"/>
    <row r="4735" x14ac:dyDescent="0.3"/>
    <row r="4736" x14ac:dyDescent="0.3"/>
    <row r="4737" x14ac:dyDescent="0.3"/>
    <row r="4738" x14ac:dyDescent="0.3"/>
    <row r="4739" x14ac:dyDescent="0.3"/>
    <row r="4740" x14ac:dyDescent="0.3"/>
    <row r="4741" x14ac:dyDescent="0.3"/>
    <row r="4742" x14ac:dyDescent="0.3"/>
    <row r="4743" x14ac:dyDescent="0.3"/>
    <row r="4744" x14ac:dyDescent="0.3"/>
    <row r="4745" x14ac:dyDescent="0.3"/>
    <row r="4746" x14ac:dyDescent="0.3"/>
    <row r="4747" x14ac:dyDescent="0.3"/>
    <row r="4748" x14ac:dyDescent="0.3"/>
    <row r="4749" x14ac:dyDescent="0.3"/>
    <row r="4750" x14ac:dyDescent="0.3"/>
    <row r="4751" x14ac:dyDescent="0.3"/>
    <row r="4752" x14ac:dyDescent="0.3"/>
    <row r="4753" x14ac:dyDescent="0.3"/>
    <row r="4754" x14ac:dyDescent="0.3"/>
    <row r="4755" x14ac:dyDescent="0.3"/>
    <row r="4756" x14ac:dyDescent="0.3"/>
    <row r="4757" x14ac:dyDescent="0.3"/>
    <row r="4758" x14ac:dyDescent="0.3"/>
    <row r="4759" x14ac:dyDescent="0.3"/>
    <row r="4760" x14ac:dyDescent="0.3"/>
    <row r="4761" x14ac:dyDescent="0.3"/>
    <row r="4762" x14ac:dyDescent="0.3"/>
    <row r="4763" x14ac:dyDescent="0.3"/>
    <row r="4764" x14ac:dyDescent="0.3"/>
    <row r="4765" x14ac:dyDescent="0.3"/>
    <row r="4766" x14ac:dyDescent="0.3"/>
    <row r="4767" x14ac:dyDescent="0.3"/>
    <row r="4768" x14ac:dyDescent="0.3"/>
    <row r="4769" x14ac:dyDescent="0.3"/>
    <row r="4770" x14ac:dyDescent="0.3"/>
    <row r="4771" x14ac:dyDescent="0.3"/>
    <row r="4772" x14ac:dyDescent="0.3"/>
    <row r="4773" x14ac:dyDescent="0.3"/>
    <row r="4774" x14ac:dyDescent="0.3"/>
    <row r="4775" x14ac:dyDescent="0.3"/>
    <row r="4776" x14ac:dyDescent="0.3"/>
    <row r="4777" x14ac:dyDescent="0.3"/>
    <row r="4778" x14ac:dyDescent="0.3"/>
    <row r="4779" x14ac:dyDescent="0.3"/>
    <row r="4780" x14ac:dyDescent="0.3"/>
    <row r="4781" x14ac:dyDescent="0.3"/>
    <row r="4782" x14ac:dyDescent="0.3"/>
    <row r="4783" x14ac:dyDescent="0.3"/>
    <row r="4784" x14ac:dyDescent="0.3"/>
    <row r="4785" x14ac:dyDescent="0.3"/>
    <row r="4786" x14ac:dyDescent="0.3"/>
    <row r="4787" x14ac:dyDescent="0.3"/>
    <row r="4788" x14ac:dyDescent="0.3"/>
    <row r="4789" x14ac:dyDescent="0.3"/>
    <row r="4790" x14ac:dyDescent="0.3"/>
    <row r="4791" x14ac:dyDescent="0.3"/>
    <row r="4792" x14ac:dyDescent="0.3"/>
    <row r="4793" x14ac:dyDescent="0.3"/>
    <row r="4794" x14ac:dyDescent="0.3"/>
    <row r="4795" x14ac:dyDescent="0.3"/>
    <row r="4796" x14ac:dyDescent="0.3"/>
    <row r="4797" x14ac:dyDescent="0.3"/>
    <row r="4798" x14ac:dyDescent="0.3"/>
    <row r="4799" x14ac:dyDescent="0.3"/>
    <row r="4800" x14ac:dyDescent="0.3"/>
    <row r="4801" x14ac:dyDescent="0.3"/>
    <row r="4802" x14ac:dyDescent="0.3"/>
    <row r="4803" x14ac:dyDescent="0.3"/>
    <row r="4804" x14ac:dyDescent="0.3"/>
    <row r="4805" x14ac:dyDescent="0.3"/>
    <row r="4806" x14ac:dyDescent="0.3"/>
    <row r="4807" x14ac:dyDescent="0.3"/>
    <row r="4808" x14ac:dyDescent="0.3"/>
    <row r="4809" x14ac:dyDescent="0.3"/>
    <row r="4810" x14ac:dyDescent="0.3"/>
    <row r="4811" x14ac:dyDescent="0.3"/>
    <row r="4812" x14ac:dyDescent="0.3"/>
    <row r="4813" x14ac:dyDescent="0.3"/>
    <row r="4814" x14ac:dyDescent="0.3"/>
    <row r="4815" x14ac:dyDescent="0.3"/>
    <row r="4816" x14ac:dyDescent="0.3"/>
    <row r="4817" x14ac:dyDescent="0.3"/>
    <row r="4818" x14ac:dyDescent="0.3"/>
    <row r="4819" x14ac:dyDescent="0.3"/>
    <row r="4820" x14ac:dyDescent="0.3"/>
    <row r="4821" x14ac:dyDescent="0.3"/>
    <row r="4822" x14ac:dyDescent="0.3"/>
    <row r="4823" x14ac:dyDescent="0.3"/>
    <row r="4824" x14ac:dyDescent="0.3"/>
    <row r="4825" x14ac:dyDescent="0.3"/>
    <row r="4826" x14ac:dyDescent="0.3"/>
    <row r="4827" x14ac:dyDescent="0.3"/>
    <row r="4828" x14ac:dyDescent="0.3"/>
    <row r="4829" x14ac:dyDescent="0.3"/>
    <row r="4830" x14ac:dyDescent="0.3"/>
    <row r="4831" x14ac:dyDescent="0.3"/>
    <row r="4832" x14ac:dyDescent="0.3"/>
    <row r="4833" x14ac:dyDescent="0.3"/>
    <row r="4834" x14ac:dyDescent="0.3"/>
    <row r="4835" x14ac:dyDescent="0.3"/>
    <row r="4836" x14ac:dyDescent="0.3"/>
    <row r="4837" x14ac:dyDescent="0.3"/>
    <row r="4838" x14ac:dyDescent="0.3"/>
    <row r="4839" x14ac:dyDescent="0.3"/>
    <row r="4840" x14ac:dyDescent="0.3"/>
    <row r="4841" x14ac:dyDescent="0.3"/>
    <row r="4842" x14ac:dyDescent="0.3"/>
    <row r="4843" x14ac:dyDescent="0.3"/>
    <row r="4844" x14ac:dyDescent="0.3"/>
    <row r="4845" x14ac:dyDescent="0.3"/>
    <row r="4846" x14ac:dyDescent="0.3"/>
    <row r="4847" x14ac:dyDescent="0.3"/>
    <row r="4848" x14ac:dyDescent="0.3"/>
    <row r="4849" x14ac:dyDescent="0.3"/>
    <row r="4850" x14ac:dyDescent="0.3"/>
    <row r="4851" x14ac:dyDescent="0.3"/>
    <row r="4852" x14ac:dyDescent="0.3"/>
    <row r="4853" x14ac:dyDescent="0.3"/>
    <row r="4854" x14ac:dyDescent="0.3"/>
    <row r="4855" x14ac:dyDescent="0.3"/>
    <row r="4856" x14ac:dyDescent="0.3"/>
    <row r="4857" x14ac:dyDescent="0.3"/>
    <row r="4858" x14ac:dyDescent="0.3"/>
    <row r="4859" x14ac:dyDescent="0.3"/>
    <row r="4860" x14ac:dyDescent="0.3"/>
    <row r="4861" x14ac:dyDescent="0.3"/>
    <row r="4862" x14ac:dyDescent="0.3"/>
    <row r="4863" x14ac:dyDescent="0.3"/>
    <row r="4864" x14ac:dyDescent="0.3"/>
    <row r="4865" x14ac:dyDescent="0.3"/>
    <row r="4866" x14ac:dyDescent="0.3"/>
    <row r="4867" x14ac:dyDescent="0.3"/>
    <row r="4868" x14ac:dyDescent="0.3"/>
    <row r="4869" x14ac:dyDescent="0.3"/>
    <row r="4870" x14ac:dyDescent="0.3"/>
    <row r="4871" x14ac:dyDescent="0.3"/>
    <row r="4872" x14ac:dyDescent="0.3"/>
    <row r="4873" x14ac:dyDescent="0.3"/>
    <row r="4874" x14ac:dyDescent="0.3"/>
    <row r="4875" x14ac:dyDescent="0.3"/>
    <row r="4876" x14ac:dyDescent="0.3"/>
    <row r="4877" x14ac:dyDescent="0.3"/>
    <row r="4878" x14ac:dyDescent="0.3"/>
    <row r="4879" x14ac:dyDescent="0.3"/>
    <row r="4880" x14ac:dyDescent="0.3"/>
    <row r="4881" x14ac:dyDescent="0.3"/>
    <row r="4882" x14ac:dyDescent="0.3"/>
    <row r="4883" x14ac:dyDescent="0.3"/>
    <row r="4884" x14ac:dyDescent="0.3"/>
    <row r="4885" x14ac:dyDescent="0.3"/>
    <row r="4886" x14ac:dyDescent="0.3"/>
    <row r="4887" x14ac:dyDescent="0.3"/>
    <row r="4888" x14ac:dyDescent="0.3"/>
    <row r="4889" x14ac:dyDescent="0.3"/>
    <row r="4890" x14ac:dyDescent="0.3"/>
    <row r="4891" x14ac:dyDescent="0.3"/>
    <row r="4892" x14ac:dyDescent="0.3"/>
    <row r="4893" x14ac:dyDescent="0.3"/>
    <row r="4894" x14ac:dyDescent="0.3"/>
    <row r="4895" x14ac:dyDescent="0.3"/>
    <row r="4896" x14ac:dyDescent="0.3"/>
    <row r="4897" x14ac:dyDescent="0.3"/>
    <row r="4898" x14ac:dyDescent="0.3"/>
    <row r="4899" x14ac:dyDescent="0.3"/>
    <row r="4900" x14ac:dyDescent="0.3"/>
    <row r="4901" x14ac:dyDescent="0.3"/>
    <row r="4902" x14ac:dyDescent="0.3"/>
    <row r="4903" x14ac:dyDescent="0.3"/>
    <row r="4904" x14ac:dyDescent="0.3"/>
    <row r="4905" x14ac:dyDescent="0.3"/>
    <row r="4906" x14ac:dyDescent="0.3"/>
    <row r="4907" x14ac:dyDescent="0.3"/>
    <row r="4908" x14ac:dyDescent="0.3"/>
    <row r="4909" x14ac:dyDescent="0.3"/>
    <row r="4910" x14ac:dyDescent="0.3"/>
    <row r="4911" x14ac:dyDescent="0.3"/>
    <row r="4912" x14ac:dyDescent="0.3"/>
    <row r="4913" x14ac:dyDescent="0.3"/>
    <row r="4914" x14ac:dyDescent="0.3"/>
    <row r="4915" x14ac:dyDescent="0.3"/>
    <row r="4916" x14ac:dyDescent="0.3"/>
    <row r="4917" x14ac:dyDescent="0.3"/>
    <row r="4918" x14ac:dyDescent="0.3"/>
    <row r="4919" x14ac:dyDescent="0.3"/>
    <row r="4920" x14ac:dyDescent="0.3"/>
    <row r="4921" x14ac:dyDescent="0.3"/>
    <row r="4922" x14ac:dyDescent="0.3"/>
    <row r="4923" x14ac:dyDescent="0.3"/>
    <row r="4924" x14ac:dyDescent="0.3"/>
    <row r="4925" x14ac:dyDescent="0.3"/>
    <row r="4926" x14ac:dyDescent="0.3"/>
    <row r="4927" x14ac:dyDescent="0.3"/>
    <row r="4928" x14ac:dyDescent="0.3"/>
    <row r="4929" x14ac:dyDescent="0.3"/>
    <row r="4930" x14ac:dyDescent="0.3"/>
    <row r="4931" x14ac:dyDescent="0.3"/>
    <row r="4932" x14ac:dyDescent="0.3"/>
    <row r="4933" x14ac:dyDescent="0.3"/>
    <row r="4934" x14ac:dyDescent="0.3"/>
    <row r="4935" x14ac:dyDescent="0.3"/>
    <row r="4936" x14ac:dyDescent="0.3"/>
    <row r="4937" x14ac:dyDescent="0.3"/>
    <row r="4938" x14ac:dyDescent="0.3"/>
    <row r="4939" x14ac:dyDescent="0.3"/>
    <row r="4940" x14ac:dyDescent="0.3"/>
    <row r="4941" x14ac:dyDescent="0.3"/>
    <row r="4942" x14ac:dyDescent="0.3"/>
    <row r="4943" x14ac:dyDescent="0.3"/>
    <row r="4944" x14ac:dyDescent="0.3"/>
    <row r="4945" x14ac:dyDescent="0.3"/>
    <row r="4946" x14ac:dyDescent="0.3"/>
    <row r="4947" x14ac:dyDescent="0.3"/>
    <row r="4948" x14ac:dyDescent="0.3"/>
    <row r="4949" x14ac:dyDescent="0.3"/>
    <row r="4950" x14ac:dyDescent="0.3"/>
    <row r="4951" x14ac:dyDescent="0.3"/>
    <row r="4952" x14ac:dyDescent="0.3"/>
    <row r="4953" x14ac:dyDescent="0.3"/>
    <row r="4954" x14ac:dyDescent="0.3"/>
    <row r="4955" x14ac:dyDescent="0.3"/>
    <row r="4956" x14ac:dyDescent="0.3"/>
    <row r="4957" x14ac:dyDescent="0.3"/>
    <row r="4958" x14ac:dyDescent="0.3"/>
    <row r="4959" x14ac:dyDescent="0.3"/>
    <row r="4960" x14ac:dyDescent="0.3"/>
    <row r="4961" x14ac:dyDescent="0.3"/>
    <row r="4962" x14ac:dyDescent="0.3"/>
    <row r="4963" x14ac:dyDescent="0.3"/>
    <row r="4964" x14ac:dyDescent="0.3"/>
    <row r="4965" x14ac:dyDescent="0.3"/>
    <row r="4966" x14ac:dyDescent="0.3"/>
    <row r="4967" x14ac:dyDescent="0.3"/>
    <row r="4968" x14ac:dyDescent="0.3"/>
    <row r="4969" x14ac:dyDescent="0.3"/>
    <row r="4970" x14ac:dyDescent="0.3"/>
    <row r="4971" x14ac:dyDescent="0.3"/>
    <row r="4972" x14ac:dyDescent="0.3"/>
    <row r="4973" x14ac:dyDescent="0.3"/>
    <row r="4974" x14ac:dyDescent="0.3"/>
    <row r="4975" x14ac:dyDescent="0.3"/>
    <row r="4976" x14ac:dyDescent="0.3"/>
    <row r="4977" x14ac:dyDescent="0.3"/>
    <row r="4978" x14ac:dyDescent="0.3"/>
    <row r="4979" x14ac:dyDescent="0.3"/>
    <row r="4980" x14ac:dyDescent="0.3"/>
    <row r="4981" x14ac:dyDescent="0.3"/>
    <row r="4982" x14ac:dyDescent="0.3"/>
    <row r="4983" x14ac:dyDescent="0.3"/>
    <row r="4984" x14ac:dyDescent="0.3"/>
    <row r="4985" x14ac:dyDescent="0.3"/>
    <row r="4986" x14ac:dyDescent="0.3"/>
    <row r="4987" x14ac:dyDescent="0.3"/>
    <row r="4988" x14ac:dyDescent="0.3"/>
    <row r="4989" x14ac:dyDescent="0.3"/>
    <row r="4990" x14ac:dyDescent="0.3"/>
    <row r="4991" x14ac:dyDescent="0.3"/>
    <row r="4992" x14ac:dyDescent="0.3"/>
    <row r="4993" x14ac:dyDescent="0.3"/>
    <row r="4994" x14ac:dyDescent="0.3"/>
    <row r="4995" x14ac:dyDescent="0.3"/>
    <row r="4996" x14ac:dyDescent="0.3"/>
    <row r="4997" x14ac:dyDescent="0.3"/>
    <row r="4998" x14ac:dyDescent="0.3"/>
    <row r="4999" x14ac:dyDescent="0.3"/>
    <row r="5000" x14ac:dyDescent="0.3"/>
    <row r="5001" x14ac:dyDescent="0.3"/>
    <row r="5002" x14ac:dyDescent="0.3"/>
    <row r="5003" x14ac:dyDescent="0.3"/>
    <row r="5004" x14ac:dyDescent="0.3"/>
    <row r="5005" x14ac:dyDescent="0.3"/>
    <row r="5006" x14ac:dyDescent="0.3"/>
    <row r="5007" x14ac:dyDescent="0.3"/>
    <row r="5008" x14ac:dyDescent="0.3"/>
    <row r="5009" x14ac:dyDescent="0.3"/>
    <row r="5010" x14ac:dyDescent="0.3"/>
    <row r="5011" x14ac:dyDescent="0.3"/>
    <row r="5012" x14ac:dyDescent="0.3"/>
    <row r="5013" x14ac:dyDescent="0.3"/>
    <row r="5014" x14ac:dyDescent="0.3"/>
    <row r="5015" x14ac:dyDescent="0.3"/>
    <row r="5016" x14ac:dyDescent="0.3"/>
    <row r="5017" x14ac:dyDescent="0.3"/>
    <row r="5018" x14ac:dyDescent="0.3"/>
    <row r="5019" x14ac:dyDescent="0.3"/>
    <row r="5020" x14ac:dyDescent="0.3"/>
    <row r="5021" x14ac:dyDescent="0.3"/>
    <row r="5022" x14ac:dyDescent="0.3"/>
    <row r="5023" x14ac:dyDescent="0.3"/>
    <row r="5024" x14ac:dyDescent="0.3"/>
    <row r="5025" x14ac:dyDescent="0.3"/>
    <row r="5026" x14ac:dyDescent="0.3"/>
    <row r="5027" x14ac:dyDescent="0.3"/>
    <row r="5028" x14ac:dyDescent="0.3"/>
    <row r="5029" x14ac:dyDescent="0.3"/>
    <row r="5030" x14ac:dyDescent="0.3"/>
    <row r="5031" x14ac:dyDescent="0.3"/>
    <row r="5032" x14ac:dyDescent="0.3"/>
    <row r="5033" x14ac:dyDescent="0.3"/>
    <row r="5034" x14ac:dyDescent="0.3"/>
    <row r="5035" x14ac:dyDescent="0.3"/>
    <row r="5036" x14ac:dyDescent="0.3"/>
    <row r="5037" x14ac:dyDescent="0.3"/>
    <row r="5038" x14ac:dyDescent="0.3"/>
    <row r="5039" x14ac:dyDescent="0.3"/>
    <row r="5040" x14ac:dyDescent="0.3"/>
    <row r="5041" x14ac:dyDescent="0.3"/>
    <row r="5042" x14ac:dyDescent="0.3"/>
    <row r="5043" x14ac:dyDescent="0.3"/>
    <row r="5044" x14ac:dyDescent="0.3"/>
    <row r="5045" x14ac:dyDescent="0.3"/>
    <row r="5046" x14ac:dyDescent="0.3"/>
    <row r="5047" x14ac:dyDescent="0.3"/>
    <row r="5048" x14ac:dyDescent="0.3"/>
    <row r="5049" x14ac:dyDescent="0.3"/>
    <row r="5050" x14ac:dyDescent="0.3"/>
    <row r="5051" x14ac:dyDescent="0.3"/>
    <row r="5052" x14ac:dyDescent="0.3"/>
    <row r="5053" x14ac:dyDescent="0.3"/>
    <row r="5054" x14ac:dyDescent="0.3"/>
    <row r="5055" x14ac:dyDescent="0.3"/>
    <row r="5056" x14ac:dyDescent="0.3"/>
    <row r="5057" x14ac:dyDescent="0.3"/>
    <row r="5058" x14ac:dyDescent="0.3"/>
    <row r="5059" x14ac:dyDescent="0.3"/>
    <row r="5060" x14ac:dyDescent="0.3"/>
    <row r="5061" x14ac:dyDescent="0.3"/>
    <row r="5062" x14ac:dyDescent="0.3"/>
    <row r="5063" x14ac:dyDescent="0.3"/>
    <row r="5064" x14ac:dyDescent="0.3"/>
    <row r="5065" x14ac:dyDescent="0.3"/>
    <row r="5066" x14ac:dyDescent="0.3"/>
    <row r="5067" x14ac:dyDescent="0.3"/>
    <row r="5068" x14ac:dyDescent="0.3"/>
    <row r="5069" x14ac:dyDescent="0.3"/>
    <row r="5070" x14ac:dyDescent="0.3"/>
    <row r="5071" x14ac:dyDescent="0.3"/>
    <row r="5072" x14ac:dyDescent="0.3"/>
    <row r="5073" x14ac:dyDescent="0.3"/>
    <row r="5074" x14ac:dyDescent="0.3"/>
    <row r="5075" x14ac:dyDescent="0.3"/>
    <row r="5076" x14ac:dyDescent="0.3"/>
    <row r="5077" x14ac:dyDescent="0.3"/>
    <row r="5078" x14ac:dyDescent="0.3"/>
    <row r="5079" x14ac:dyDescent="0.3"/>
    <row r="5080" x14ac:dyDescent="0.3"/>
    <row r="5081" x14ac:dyDescent="0.3"/>
    <row r="5082" x14ac:dyDescent="0.3"/>
    <row r="5083" x14ac:dyDescent="0.3"/>
    <row r="5084" x14ac:dyDescent="0.3"/>
    <row r="5085" x14ac:dyDescent="0.3"/>
    <row r="5086" x14ac:dyDescent="0.3"/>
    <row r="5087" x14ac:dyDescent="0.3"/>
    <row r="5088" x14ac:dyDescent="0.3"/>
    <row r="5089" x14ac:dyDescent="0.3"/>
    <row r="5090" x14ac:dyDescent="0.3"/>
    <row r="5091" x14ac:dyDescent="0.3"/>
    <row r="5092" x14ac:dyDescent="0.3"/>
    <row r="5093" x14ac:dyDescent="0.3"/>
    <row r="5094" x14ac:dyDescent="0.3"/>
    <row r="5095" x14ac:dyDescent="0.3"/>
    <row r="5096" x14ac:dyDescent="0.3"/>
    <row r="5097" x14ac:dyDescent="0.3"/>
    <row r="5098" x14ac:dyDescent="0.3"/>
    <row r="5099" x14ac:dyDescent="0.3"/>
    <row r="5100" x14ac:dyDescent="0.3"/>
    <row r="5101" x14ac:dyDescent="0.3"/>
    <row r="5102" x14ac:dyDescent="0.3"/>
    <row r="5103" x14ac:dyDescent="0.3"/>
    <row r="5104" x14ac:dyDescent="0.3"/>
    <row r="5105" x14ac:dyDescent="0.3"/>
    <row r="5106" x14ac:dyDescent="0.3"/>
    <row r="5107" x14ac:dyDescent="0.3"/>
    <row r="5108" x14ac:dyDescent="0.3"/>
    <row r="5109" x14ac:dyDescent="0.3"/>
    <row r="5110" x14ac:dyDescent="0.3"/>
    <row r="5111" x14ac:dyDescent="0.3"/>
    <row r="5112" x14ac:dyDescent="0.3"/>
    <row r="5113" x14ac:dyDescent="0.3"/>
    <row r="5114" x14ac:dyDescent="0.3"/>
    <row r="5115" x14ac:dyDescent="0.3"/>
    <row r="5116" x14ac:dyDescent="0.3"/>
    <row r="5117" x14ac:dyDescent="0.3"/>
    <row r="5118" x14ac:dyDescent="0.3"/>
    <row r="5119" x14ac:dyDescent="0.3"/>
    <row r="5120" x14ac:dyDescent="0.3"/>
    <row r="5121" x14ac:dyDescent="0.3"/>
    <row r="5122" x14ac:dyDescent="0.3"/>
    <row r="5123" x14ac:dyDescent="0.3"/>
    <row r="5124" x14ac:dyDescent="0.3"/>
    <row r="5125" x14ac:dyDescent="0.3"/>
    <row r="5126" x14ac:dyDescent="0.3"/>
    <row r="5127" x14ac:dyDescent="0.3"/>
    <row r="5128" x14ac:dyDescent="0.3"/>
    <row r="5129" x14ac:dyDescent="0.3"/>
    <row r="5130" x14ac:dyDescent="0.3"/>
    <row r="5131" x14ac:dyDescent="0.3"/>
    <row r="5132" x14ac:dyDescent="0.3"/>
    <row r="5133" x14ac:dyDescent="0.3"/>
    <row r="5134" x14ac:dyDescent="0.3"/>
    <row r="5135" x14ac:dyDescent="0.3"/>
    <row r="5136" x14ac:dyDescent="0.3"/>
    <row r="5137" x14ac:dyDescent="0.3"/>
    <row r="5138" x14ac:dyDescent="0.3"/>
    <row r="5139" x14ac:dyDescent="0.3"/>
    <row r="5140" x14ac:dyDescent="0.3"/>
    <row r="5141" x14ac:dyDescent="0.3"/>
    <row r="5142" x14ac:dyDescent="0.3"/>
    <row r="5143" x14ac:dyDescent="0.3"/>
    <row r="5144" x14ac:dyDescent="0.3"/>
    <row r="5145" x14ac:dyDescent="0.3"/>
    <row r="5146" x14ac:dyDescent="0.3"/>
    <row r="5147" x14ac:dyDescent="0.3"/>
    <row r="5148" x14ac:dyDescent="0.3"/>
    <row r="5149" x14ac:dyDescent="0.3"/>
    <row r="5150" x14ac:dyDescent="0.3"/>
    <row r="5151" x14ac:dyDescent="0.3"/>
    <row r="5152" x14ac:dyDescent="0.3"/>
    <row r="5153" x14ac:dyDescent="0.3"/>
    <row r="5154" x14ac:dyDescent="0.3"/>
    <row r="5155" x14ac:dyDescent="0.3"/>
    <row r="5156" x14ac:dyDescent="0.3"/>
    <row r="5157" x14ac:dyDescent="0.3"/>
    <row r="5158" x14ac:dyDescent="0.3"/>
    <row r="5159" x14ac:dyDescent="0.3"/>
    <row r="5160" x14ac:dyDescent="0.3"/>
    <row r="5161" x14ac:dyDescent="0.3"/>
    <row r="5162" x14ac:dyDescent="0.3"/>
    <row r="5163" x14ac:dyDescent="0.3"/>
    <row r="5164" x14ac:dyDescent="0.3"/>
    <row r="5165" x14ac:dyDescent="0.3"/>
    <row r="5166" x14ac:dyDescent="0.3"/>
    <row r="5167" x14ac:dyDescent="0.3"/>
    <row r="5168" x14ac:dyDescent="0.3"/>
    <row r="5169" x14ac:dyDescent="0.3"/>
    <row r="5170" x14ac:dyDescent="0.3"/>
    <row r="5171" x14ac:dyDescent="0.3"/>
    <row r="5172" x14ac:dyDescent="0.3"/>
    <row r="5173" x14ac:dyDescent="0.3"/>
    <row r="5174" x14ac:dyDescent="0.3"/>
    <row r="5175" x14ac:dyDescent="0.3"/>
    <row r="5176" x14ac:dyDescent="0.3"/>
    <row r="5177" x14ac:dyDescent="0.3"/>
    <row r="5178" x14ac:dyDescent="0.3"/>
    <row r="5179" x14ac:dyDescent="0.3"/>
    <row r="5180" x14ac:dyDescent="0.3"/>
    <row r="5181" x14ac:dyDescent="0.3"/>
    <row r="5182" x14ac:dyDescent="0.3"/>
    <row r="5183" x14ac:dyDescent="0.3"/>
    <row r="5184" x14ac:dyDescent="0.3"/>
    <row r="5185" x14ac:dyDescent="0.3"/>
    <row r="5186" x14ac:dyDescent="0.3"/>
    <row r="5187" x14ac:dyDescent="0.3"/>
    <row r="5188" x14ac:dyDescent="0.3"/>
    <row r="5189" x14ac:dyDescent="0.3"/>
    <row r="5190" x14ac:dyDescent="0.3"/>
    <row r="5191" x14ac:dyDescent="0.3"/>
    <row r="5192" x14ac:dyDescent="0.3"/>
    <row r="5193" x14ac:dyDescent="0.3"/>
    <row r="5194" x14ac:dyDescent="0.3"/>
    <row r="5195" x14ac:dyDescent="0.3"/>
    <row r="5196" x14ac:dyDescent="0.3"/>
    <row r="5197" x14ac:dyDescent="0.3"/>
    <row r="5198" x14ac:dyDescent="0.3"/>
    <row r="5199" x14ac:dyDescent="0.3"/>
    <row r="5200" x14ac:dyDescent="0.3"/>
    <row r="5201" x14ac:dyDescent="0.3"/>
    <row r="5202" x14ac:dyDescent="0.3"/>
    <row r="5203" x14ac:dyDescent="0.3"/>
    <row r="5204" x14ac:dyDescent="0.3"/>
    <row r="5205" x14ac:dyDescent="0.3"/>
    <row r="5206" x14ac:dyDescent="0.3"/>
    <row r="5207" x14ac:dyDescent="0.3"/>
    <row r="5208" x14ac:dyDescent="0.3"/>
    <row r="5209" x14ac:dyDescent="0.3"/>
    <row r="5210" x14ac:dyDescent="0.3"/>
    <row r="5211" x14ac:dyDescent="0.3"/>
    <row r="5212" x14ac:dyDescent="0.3"/>
    <row r="5213" x14ac:dyDescent="0.3"/>
    <row r="5214" x14ac:dyDescent="0.3"/>
    <row r="5215" x14ac:dyDescent="0.3"/>
    <row r="5216" x14ac:dyDescent="0.3"/>
    <row r="5217" x14ac:dyDescent="0.3"/>
    <row r="5218" x14ac:dyDescent="0.3"/>
    <row r="5219" x14ac:dyDescent="0.3"/>
    <row r="5220" x14ac:dyDescent="0.3"/>
    <row r="5221" x14ac:dyDescent="0.3"/>
    <row r="5222" x14ac:dyDescent="0.3"/>
    <row r="5223" x14ac:dyDescent="0.3"/>
    <row r="5224" x14ac:dyDescent="0.3"/>
    <row r="5225" x14ac:dyDescent="0.3"/>
    <row r="5226" x14ac:dyDescent="0.3"/>
    <row r="5227" x14ac:dyDescent="0.3"/>
    <row r="5228" x14ac:dyDescent="0.3"/>
    <row r="5229" x14ac:dyDescent="0.3"/>
    <row r="5230" x14ac:dyDescent="0.3"/>
    <row r="5231" x14ac:dyDescent="0.3"/>
    <row r="5232" x14ac:dyDescent="0.3"/>
    <row r="5233" x14ac:dyDescent="0.3"/>
    <row r="5234" x14ac:dyDescent="0.3"/>
    <row r="5235" x14ac:dyDescent="0.3"/>
    <row r="5236" x14ac:dyDescent="0.3"/>
    <row r="5237" x14ac:dyDescent="0.3"/>
    <row r="5238" x14ac:dyDescent="0.3"/>
    <row r="5239" x14ac:dyDescent="0.3"/>
    <row r="5240" x14ac:dyDescent="0.3"/>
    <row r="5241" x14ac:dyDescent="0.3"/>
    <row r="5242" x14ac:dyDescent="0.3"/>
    <row r="5243" x14ac:dyDescent="0.3"/>
    <row r="5244" x14ac:dyDescent="0.3"/>
    <row r="5245" x14ac:dyDescent="0.3"/>
    <row r="5246" x14ac:dyDescent="0.3"/>
    <row r="5247" x14ac:dyDescent="0.3"/>
    <row r="5248" x14ac:dyDescent="0.3"/>
    <row r="5249" x14ac:dyDescent="0.3"/>
    <row r="5250" x14ac:dyDescent="0.3"/>
    <row r="5251" x14ac:dyDescent="0.3"/>
    <row r="5252" x14ac:dyDescent="0.3"/>
    <row r="5253" x14ac:dyDescent="0.3"/>
    <row r="5254" x14ac:dyDescent="0.3"/>
    <row r="5255" x14ac:dyDescent="0.3"/>
    <row r="5256" x14ac:dyDescent="0.3"/>
    <row r="5257" x14ac:dyDescent="0.3"/>
    <row r="5258" x14ac:dyDescent="0.3"/>
    <row r="5259" x14ac:dyDescent="0.3"/>
    <row r="5260" x14ac:dyDescent="0.3"/>
    <row r="5261" x14ac:dyDescent="0.3"/>
    <row r="5262" x14ac:dyDescent="0.3"/>
    <row r="5263" x14ac:dyDescent="0.3"/>
    <row r="5264" x14ac:dyDescent="0.3"/>
    <row r="5265" x14ac:dyDescent="0.3"/>
    <row r="5266" x14ac:dyDescent="0.3"/>
    <row r="5267" x14ac:dyDescent="0.3"/>
    <row r="5268" x14ac:dyDescent="0.3"/>
    <row r="5269" x14ac:dyDescent="0.3"/>
    <row r="5270" x14ac:dyDescent="0.3"/>
    <row r="5271" x14ac:dyDescent="0.3"/>
    <row r="5272" x14ac:dyDescent="0.3"/>
    <row r="5273" x14ac:dyDescent="0.3"/>
    <row r="5274" x14ac:dyDescent="0.3"/>
    <row r="5275" x14ac:dyDescent="0.3"/>
    <row r="5276" x14ac:dyDescent="0.3"/>
    <row r="5277" x14ac:dyDescent="0.3"/>
    <row r="5278" x14ac:dyDescent="0.3"/>
    <row r="5279" x14ac:dyDescent="0.3"/>
    <row r="5280" x14ac:dyDescent="0.3"/>
    <row r="5281" x14ac:dyDescent="0.3"/>
    <row r="5282" x14ac:dyDescent="0.3"/>
    <row r="5283" x14ac:dyDescent="0.3"/>
    <row r="5284" x14ac:dyDescent="0.3"/>
    <row r="5285" x14ac:dyDescent="0.3"/>
    <row r="5286" x14ac:dyDescent="0.3"/>
    <row r="5287" x14ac:dyDescent="0.3"/>
    <row r="5288" x14ac:dyDescent="0.3"/>
    <row r="5289" x14ac:dyDescent="0.3"/>
    <row r="5290" x14ac:dyDescent="0.3"/>
    <row r="5291" x14ac:dyDescent="0.3"/>
    <row r="5292" x14ac:dyDescent="0.3"/>
    <row r="5293" x14ac:dyDescent="0.3"/>
    <row r="5294" x14ac:dyDescent="0.3"/>
    <row r="5295" x14ac:dyDescent="0.3"/>
    <row r="5296" x14ac:dyDescent="0.3"/>
    <row r="5297" x14ac:dyDescent="0.3"/>
    <row r="5298" x14ac:dyDescent="0.3"/>
    <row r="5299" x14ac:dyDescent="0.3"/>
    <row r="5300" x14ac:dyDescent="0.3"/>
    <row r="5301" x14ac:dyDescent="0.3"/>
    <row r="5302" x14ac:dyDescent="0.3"/>
    <row r="5303" x14ac:dyDescent="0.3"/>
    <row r="5304" x14ac:dyDescent="0.3"/>
    <row r="5305" x14ac:dyDescent="0.3"/>
    <row r="5306" x14ac:dyDescent="0.3"/>
    <row r="5307" x14ac:dyDescent="0.3"/>
    <row r="5308" x14ac:dyDescent="0.3"/>
    <row r="5309" x14ac:dyDescent="0.3"/>
    <row r="5310" x14ac:dyDescent="0.3"/>
    <row r="5311" x14ac:dyDescent="0.3"/>
    <row r="5312" x14ac:dyDescent="0.3"/>
    <row r="5313" x14ac:dyDescent="0.3"/>
    <row r="5314" x14ac:dyDescent="0.3"/>
    <row r="5315" x14ac:dyDescent="0.3"/>
    <row r="5316" x14ac:dyDescent="0.3"/>
    <row r="5317" x14ac:dyDescent="0.3"/>
    <row r="5318" x14ac:dyDescent="0.3"/>
    <row r="5319" x14ac:dyDescent="0.3"/>
    <row r="5320" x14ac:dyDescent="0.3"/>
    <row r="5321" x14ac:dyDescent="0.3"/>
    <row r="5322" x14ac:dyDescent="0.3"/>
    <row r="5323" x14ac:dyDescent="0.3"/>
    <row r="5324" x14ac:dyDescent="0.3"/>
    <row r="5325" x14ac:dyDescent="0.3"/>
    <row r="5326" x14ac:dyDescent="0.3"/>
    <row r="5327" x14ac:dyDescent="0.3"/>
    <row r="5328" x14ac:dyDescent="0.3"/>
    <row r="5329" x14ac:dyDescent="0.3"/>
    <row r="5330" x14ac:dyDescent="0.3"/>
    <row r="5331" x14ac:dyDescent="0.3"/>
    <row r="5332" x14ac:dyDescent="0.3"/>
    <row r="5333" x14ac:dyDescent="0.3"/>
    <row r="5334" x14ac:dyDescent="0.3"/>
    <row r="5335" x14ac:dyDescent="0.3"/>
    <row r="5336" x14ac:dyDescent="0.3"/>
    <row r="5337" x14ac:dyDescent="0.3"/>
    <row r="5338" x14ac:dyDescent="0.3"/>
    <row r="5339" x14ac:dyDescent="0.3"/>
    <row r="5340" x14ac:dyDescent="0.3"/>
    <row r="5341" x14ac:dyDescent="0.3"/>
    <row r="5342" x14ac:dyDescent="0.3"/>
    <row r="5343" x14ac:dyDescent="0.3"/>
    <row r="5344" x14ac:dyDescent="0.3"/>
    <row r="5345" x14ac:dyDescent="0.3"/>
    <row r="5346" x14ac:dyDescent="0.3"/>
    <row r="5347" x14ac:dyDescent="0.3"/>
    <row r="5348" x14ac:dyDescent="0.3"/>
    <row r="5349" x14ac:dyDescent="0.3"/>
    <row r="5350" x14ac:dyDescent="0.3"/>
    <row r="5351" x14ac:dyDescent="0.3"/>
    <row r="5352" x14ac:dyDescent="0.3"/>
    <row r="5353" x14ac:dyDescent="0.3"/>
    <row r="5354" x14ac:dyDescent="0.3"/>
    <row r="5355" x14ac:dyDescent="0.3"/>
    <row r="5356" x14ac:dyDescent="0.3"/>
    <row r="5357" x14ac:dyDescent="0.3"/>
    <row r="5358" x14ac:dyDescent="0.3"/>
    <row r="5359" x14ac:dyDescent="0.3"/>
    <row r="5360" x14ac:dyDescent="0.3"/>
    <row r="5361" x14ac:dyDescent="0.3"/>
    <row r="5362" x14ac:dyDescent="0.3"/>
    <row r="5363" x14ac:dyDescent="0.3"/>
    <row r="5364" x14ac:dyDescent="0.3"/>
    <row r="5365" x14ac:dyDescent="0.3"/>
    <row r="5366" x14ac:dyDescent="0.3"/>
    <row r="5367" x14ac:dyDescent="0.3"/>
    <row r="5368" x14ac:dyDescent="0.3"/>
    <row r="5369" x14ac:dyDescent="0.3"/>
    <row r="5370" x14ac:dyDescent="0.3"/>
    <row r="5371" x14ac:dyDescent="0.3"/>
    <row r="5372" x14ac:dyDescent="0.3"/>
    <row r="5373" x14ac:dyDescent="0.3"/>
    <row r="5374" x14ac:dyDescent="0.3"/>
    <row r="5375" x14ac:dyDescent="0.3"/>
    <row r="5376" x14ac:dyDescent="0.3"/>
    <row r="5377" x14ac:dyDescent="0.3"/>
    <row r="5378" x14ac:dyDescent="0.3"/>
    <row r="5379" x14ac:dyDescent="0.3"/>
    <row r="5380" x14ac:dyDescent="0.3"/>
    <row r="5381" x14ac:dyDescent="0.3"/>
    <row r="5382" x14ac:dyDescent="0.3"/>
    <row r="5383" x14ac:dyDescent="0.3"/>
    <row r="5384" x14ac:dyDescent="0.3"/>
    <row r="5385" x14ac:dyDescent="0.3"/>
    <row r="5386" x14ac:dyDescent="0.3"/>
    <row r="5387" x14ac:dyDescent="0.3"/>
    <row r="5388" x14ac:dyDescent="0.3"/>
    <row r="5389" x14ac:dyDescent="0.3"/>
    <row r="5390" x14ac:dyDescent="0.3"/>
    <row r="5391" x14ac:dyDescent="0.3"/>
    <row r="5392" x14ac:dyDescent="0.3"/>
    <row r="5393" x14ac:dyDescent="0.3"/>
    <row r="5394" x14ac:dyDescent="0.3"/>
    <row r="5395" x14ac:dyDescent="0.3"/>
    <row r="5396" x14ac:dyDescent="0.3"/>
    <row r="5397" x14ac:dyDescent="0.3"/>
    <row r="5398" x14ac:dyDescent="0.3"/>
    <row r="5399" x14ac:dyDescent="0.3"/>
    <row r="5400" x14ac:dyDescent="0.3"/>
    <row r="5401" x14ac:dyDescent="0.3"/>
    <row r="5402" x14ac:dyDescent="0.3"/>
    <row r="5403" x14ac:dyDescent="0.3"/>
    <row r="5404" x14ac:dyDescent="0.3"/>
    <row r="5405" x14ac:dyDescent="0.3"/>
    <row r="5406" x14ac:dyDescent="0.3"/>
    <row r="5407" x14ac:dyDescent="0.3"/>
    <row r="5408" x14ac:dyDescent="0.3"/>
    <row r="5409" x14ac:dyDescent="0.3"/>
    <row r="5410" x14ac:dyDescent="0.3"/>
    <row r="5411" x14ac:dyDescent="0.3"/>
    <row r="5412" x14ac:dyDescent="0.3"/>
    <row r="5413" x14ac:dyDescent="0.3"/>
    <row r="5414" x14ac:dyDescent="0.3"/>
    <row r="5415" x14ac:dyDescent="0.3"/>
    <row r="5416" x14ac:dyDescent="0.3"/>
    <row r="5417" x14ac:dyDescent="0.3"/>
    <row r="5418" x14ac:dyDescent="0.3"/>
    <row r="5419" x14ac:dyDescent="0.3"/>
    <row r="5420" x14ac:dyDescent="0.3"/>
    <row r="5421" x14ac:dyDescent="0.3"/>
    <row r="5422" x14ac:dyDescent="0.3"/>
    <row r="5423" x14ac:dyDescent="0.3"/>
    <row r="5424" x14ac:dyDescent="0.3"/>
    <row r="5425" x14ac:dyDescent="0.3"/>
    <row r="5426" x14ac:dyDescent="0.3"/>
    <row r="5427" x14ac:dyDescent="0.3"/>
    <row r="5428" x14ac:dyDescent="0.3"/>
    <row r="5429" x14ac:dyDescent="0.3"/>
    <row r="5430" x14ac:dyDescent="0.3"/>
    <row r="5431" x14ac:dyDescent="0.3"/>
    <row r="5432" x14ac:dyDescent="0.3"/>
    <row r="5433" x14ac:dyDescent="0.3"/>
    <row r="5434" x14ac:dyDescent="0.3"/>
    <row r="5435" x14ac:dyDescent="0.3"/>
    <row r="5436" x14ac:dyDescent="0.3"/>
    <row r="5437" x14ac:dyDescent="0.3"/>
    <row r="5438" x14ac:dyDescent="0.3"/>
    <row r="5439" x14ac:dyDescent="0.3"/>
    <row r="5440" x14ac:dyDescent="0.3"/>
    <row r="5441" x14ac:dyDescent="0.3"/>
    <row r="5442" x14ac:dyDescent="0.3"/>
    <row r="5443" x14ac:dyDescent="0.3"/>
    <row r="5444" x14ac:dyDescent="0.3"/>
    <row r="5445" x14ac:dyDescent="0.3"/>
    <row r="5446" x14ac:dyDescent="0.3"/>
    <row r="5447" x14ac:dyDescent="0.3"/>
    <row r="5448" x14ac:dyDescent="0.3"/>
    <row r="5449" x14ac:dyDescent="0.3"/>
    <row r="5450" x14ac:dyDescent="0.3"/>
    <row r="5451" x14ac:dyDescent="0.3"/>
    <row r="5452" x14ac:dyDescent="0.3"/>
    <row r="5453" x14ac:dyDescent="0.3"/>
    <row r="5454" x14ac:dyDescent="0.3"/>
    <row r="5455" x14ac:dyDescent="0.3"/>
    <row r="5456" x14ac:dyDescent="0.3"/>
    <row r="5457" x14ac:dyDescent="0.3"/>
    <row r="5458" x14ac:dyDescent="0.3"/>
    <row r="5459" x14ac:dyDescent="0.3"/>
    <row r="5460" x14ac:dyDescent="0.3"/>
    <row r="5461" x14ac:dyDescent="0.3"/>
    <row r="5462" x14ac:dyDescent="0.3"/>
    <row r="5463" x14ac:dyDescent="0.3"/>
    <row r="5464" x14ac:dyDescent="0.3"/>
    <row r="5465" x14ac:dyDescent="0.3"/>
    <row r="5466" x14ac:dyDescent="0.3"/>
    <row r="5467" x14ac:dyDescent="0.3"/>
    <row r="5468" x14ac:dyDescent="0.3"/>
    <row r="5469" x14ac:dyDescent="0.3"/>
    <row r="5470" x14ac:dyDescent="0.3"/>
    <row r="5471" x14ac:dyDescent="0.3"/>
    <row r="5472" x14ac:dyDescent="0.3"/>
    <row r="5473" x14ac:dyDescent="0.3"/>
    <row r="5474" x14ac:dyDescent="0.3"/>
    <row r="5475" x14ac:dyDescent="0.3"/>
    <row r="5476" x14ac:dyDescent="0.3"/>
    <row r="5477" x14ac:dyDescent="0.3"/>
    <row r="5478" x14ac:dyDescent="0.3"/>
    <row r="5479" x14ac:dyDescent="0.3"/>
    <row r="5480" x14ac:dyDescent="0.3"/>
    <row r="5481" x14ac:dyDescent="0.3"/>
    <row r="5482" x14ac:dyDescent="0.3"/>
    <row r="5483" x14ac:dyDescent="0.3"/>
    <row r="5484" x14ac:dyDescent="0.3"/>
    <row r="5485" x14ac:dyDescent="0.3"/>
    <row r="5486" x14ac:dyDescent="0.3"/>
    <row r="5487" x14ac:dyDescent="0.3"/>
    <row r="5488" x14ac:dyDescent="0.3"/>
    <row r="5489" x14ac:dyDescent="0.3"/>
    <row r="5490" x14ac:dyDescent="0.3"/>
    <row r="5491" x14ac:dyDescent="0.3"/>
    <row r="5492" x14ac:dyDescent="0.3"/>
    <row r="5493" x14ac:dyDescent="0.3"/>
    <row r="5494" x14ac:dyDescent="0.3"/>
    <row r="5495" x14ac:dyDescent="0.3"/>
    <row r="5496" x14ac:dyDescent="0.3"/>
    <row r="5497" x14ac:dyDescent="0.3"/>
    <row r="5498" x14ac:dyDescent="0.3"/>
    <row r="5499" x14ac:dyDescent="0.3"/>
    <row r="5500" x14ac:dyDescent="0.3"/>
    <row r="5501" x14ac:dyDescent="0.3"/>
    <row r="5502" x14ac:dyDescent="0.3"/>
    <row r="5503" x14ac:dyDescent="0.3"/>
    <row r="5504" x14ac:dyDescent="0.3"/>
    <row r="5505" x14ac:dyDescent="0.3"/>
    <row r="5506" x14ac:dyDescent="0.3"/>
    <row r="5507" x14ac:dyDescent="0.3"/>
    <row r="5508" x14ac:dyDescent="0.3"/>
    <row r="5509" x14ac:dyDescent="0.3"/>
    <row r="5510" x14ac:dyDescent="0.3"/>
    <row r="5511" x14ac:dyDescent="0.3"/>
    <row r="5512" x14ac:dyDescent="0.3"/>
    <row r="5513" x14ac:dyDescent="0.3"/>
    <row r="5514" x14ac:dyDescent="0.3"/>
    <row r="5515" x14ac:dyDescent="0.3"/>
    <row r="5516" x14ac:dyDescent="0.3"/>
    <row r="5517" x14ac:dyDescent="0.3"/>
    <row r="5518" x14ac:dyDescent="0.3"/>
    <row r="5519" x14ac:dyDescent="0.3"/>
    <row r="5520" x14ac:dyDescent="0.3"/>
    <row r="5521" x14ac:dyDescent="0.3"/>
    <row r="5522" x14ac:dyDescent="0.3"/>
    <row r="5523" x14ac:dyDescent="0.3"/>
    <row r="5524" x14ac:dyDescent="0.3"/>
    <row r="5525" x14ac:dyDescent="0.3"/>
    <row r="5526" x14ac:dyDescent="0.3"/>
    <row r="5527" x14ac:dyDescent="0.3"/>
    <row r="5528" x14ac:dyDescent="0.3"/>
    <row r="5529" x14ac:dyDescent="0.3"/>
    <row r="5530" x14ac:dyDescent="0.3"/>
    <row r="5531" x14ac:dyDescent="0.3"/>
    <row r="5532" x14ac:dyDescent="0.3"/>
    <row r="5533" x14ac:dyDescent="0.3"/>
    <row r="5534" x14ac:dyDescent="0.3"/>
    <row r="5535" x14ac:dyDescent="0.3"/>
    <row r="5536" x14ac:dyDescent="0.3"/>
    <row r="5537" x14ac:dyDescent="0.3"/>
    <row r="5538" x14ac:dyDescent="0.3"/>
    <row r="5539" x14ac:dyDescent="0.3"/>
    <row r="5540" x14ac:dyDescent="0.3"/>
    <row r="5541" x14ac:dyDescent="0.3"/>
    <row r="5542" x14ac:dyDescent="0.3"/>
    <row r="5543" x14ac:dyDescent="0.3"/>
    <row r="5544" x14ac:dyDescent="0.3"/>
    <row r="5545" x14ac:dyDescent="0.3"/>
    <row r="5546" x14ac:dyDescent="0.3"/>
    <row r="5547" x14ac:dyDescent="0.3"/>
    <row r="5548" x14ac:dyDescent="0.3"/>
    <row r="5549" x14ac:dyDescent="0.3"/>
    <row r="5550" x14ac:dyDescent="0.3"/>
    <row r="5551" x14ac:dyDescent="0.3"/>
    <row r="5552" x14ac:dyDescent="0.3"/>
    <row r="5553" x14ac:dyDescent="0.3"/>
    <row r="5554" x14ac:dyDescent="0.3"/>
    <row r="5555" x14ac:dyDescent="0.3"/>
    <row r="5556" x14ac:dyDescent="0.3"/>
    <row r="5557" x14ac:dyDescent="0.3"/>
    <row r="5558" x14ac:dyDescent="0.3"/>
    <row r="5559" x14ac:dyDescent="0.3"/>
    <row r="5560" x14ac:dyDescent="0.3"/>
    <row r="5561" x14ac:dyDescent="0.3"/>
    <row r="5562" x14ac:dyDescent="0.3"/>
    <row r="5563" x14ac:dyDescent="0.3"/>
    <row r="5564" x14ac:dyDescent="0.3"/>
    <row r="5565" x14ac:dyDescent="0.3"/>
    <row r="5566" x14ac:dyDescent="0.3"/>
    <row r="5567" x14ac:dyDescent="0.3"/>
    <row r="5568" x14ac:dyDescent="0.3"/>
    <row r="5569" x14ac:dyDescent="0.3"/>
    <row r="5570" x14ac:dyDescent="0.3"/>
    <row r="5571" x14ac:dyDescent="0.3"/>
    <row r="5572" x14ac:dyDescent="0.3"/>
    <row r="5573" x14ac:dyDescent="0.3"/>
    <row r="5574" x14ac:dyDescent="0.3"/>
    <row r="5575" x14ac:dyDescent="0.3"/>
    <row r="5576" x14ac:dyDescent="0.3"/>
    <row r="5577" x14ac:dyDescent="0.3"/>
    <row r="5578" x14ac:dyDescent="0.3"/>
    <row r="5579" x14ac:dyDescent="0.3"/>
    <row r="5580" x14ac:dyDescent="0.3"/>
    <row r="5581" x14ac:dyDescent="0.3"/>
    <row r="5582" x14ac:dyDescent="0.3"/>
    <row r="5583" x14ac:dyDescent="0.3"/>
    <row r="5584" x14ac:dyDescent="0.3"/>
    <row r="5585" x14ac:dyDescent="0.3"/>
    <row r="5586" x14ac:dyDescent="0.3"/>
    <row r="5587" x14ac:dyDescent="0.3"/>
    <row r="5588" x14ac:dyDescent="0.3"/>
    <row r="5589" x14ac:dyDescent="0.3"/>
    <row r="5590" x14ac:dyDescent="0.3"/>
    <row r="5591" x14ac:dyDescent="0.3"/>
    <row r="5592" x14ac:dyDescent="0.3"/>
    <row r="5593" x14ac:dyDescent="0.3"/>
    <row r="5594" x14ac:dyDescent="0.3"/>
    <row r="5595" x14ac:dyDescent="0.3"/>
    <row r="5596" x14ac:dyDescent="0.3"/>
    <row r="5597" x14ac:dyDescent="0.3"/>
    <row r="5598" x14ac:dyDescent="0.3"/>
    <row r="5599" x14ac:dyDescent="0.3"/>
    <row r="5600" x14ac:dyDescent="0.3"/>
    <row r="5601" x14ac:dyDescent="0.3"/>
    <row r="5602" x14ac:dyDescent="0.3"/>
    <row r="5603" x14ac:dyDescent="0.3"/>
    <row r="5604" x14ac:dyDescent="0.3"/>
    <row r="5605" x14ac:dyDescent="0.3"/>
    <row r="5606" x14ac:dyDescent="0.3"/>
    <row r="5607" x14ac:dyDescent="0.3"/>
    <row r="5608" x14ac:dyDescent="0.3"/>
    <row r="5609" x14ac:dyDescent="0.3"/>
    <row r="5610" x14ac:dyDescent="0.3"/>
    <row r="5611" x14ac:dyDescent="0.3"/>
    <row r="5612" x14ac:dyDescent="0.3"/>
    <row r="5613" x14ac:dyDescent="0.3"/>
    <row r="5614" x14ac:dyDescent="0.3"/>
    <row r="5615" x14ac:dyDescent="0.3"/>
    <row r="5616" x14ac:dyDescent="0.3"/>
    <row r="5617" x14ac:dyDescent="0.3"/>
    <row r="5618" x14ac:dyDescent="0.3"/>
    <row r="5619" x14ac:dyDescent="0.3"/>
    <row r="5620" x14ac:dyDescent="0.3"/>
    <row r="5621" x14ac:dyDescent="0.3"/>
    <row r="5622" x14ac:dyDescent="0.3"/>
    <row r="5623" x14ac:dyDescent="0.3"/>
    <row r="5624" x14ac:dyDescent="0.3"/>
    <row r="5625" x14ac:dyDescent="0.3"/>
    <row r="5626" x14ac:dyDescent="0.3"/>
    <row r="5627" x14ac:dyDescent="0.3"/>
    <row r="5628" x14ac:dyDescent="0.3"/>
    <row r="5629" x14ac:dyDescent="0.3"/>
    <row r="5630" x14ac:dyDescent="0.3"/>
    <row r="5631" x14ac:dyDescent="0.3"/>
    <row r="5632" x14ac:dyDescent="0.3"/>
    <row r="5633" x14ac:dyDescent="0.3"/>
    <row r="5634" x14ac:dyDescent="0.3"/>
    <row r="5635" x14ac:dyDescent="0.3"/>
    <row r="5636" x14ac:dyDescent="0.3"/>
    <row r="5637" x14ac:dyDescent="0.3"/>
    <row r="5638" x14ac:dyDescent="0.3"/>
    <row r="5639" x14ac:dyDescent="0.3"/>
    <row r="5640" x14ac:dyDescent="0.3"/>
    <row r="5641" x14ac:dyDescent="0.3"/>
    <row r="5642" x14ac:dyDescent="0.3"/>
    <row r="5643" x14ac:dyDescent="0.3"/>
    <row r="5644" x14ac:dyDescent="0.3"/>
    <row r="5645" x14ac:dyDescent="0.3"/>
    <row r="5646" x14ac:dyDescent="0.3"/>
    <row r="5647" x14ac:dyDescent="0.3"/>
    <row r="5648" x14ac:dyDescent="0.3"/>
    <row r="5649" x14ac:dyDescent="0.3"/>
    <row r="5650" x14ac:dyDescent="0.3"/>
    <row r="5651" x14ac:dyDescent="0.3"/>
    <row r="5652" x14ac:dyDescent="0.3"/>
    <row r="5653" x14ac:dyDescent="0.3"/>
    <row r="5654" x14ac:dyDescent="0.3"/>
    <row r="5655" x14ac:dyDescent="0.3"/>
    <row r="5656" x14ac:dyDescent="0.3"/>
    <row r="5657" x14ac:dyDescent="0.3"/>
    <row r="5658" x14ac:dyDescent="0.3"/>
    <row r="5659" x14ac:dyDescent="0.3"/>
    <row r="5660" x14ac:dyDescent="0.3"/>
    <row r="5661" x14ac:dyDescent="0.3"/>
    <row r="5662" x14ac:dyDescent="0.3"/>
    <row r="5663" x14ac:dyDescent="0.3"/>
    <row r="5664" x14ac:dyDescent="0.3"/>
    <row r="5665" x14ac:dyDescent="0.3"/>
    <row r="5666" x14ac:dyDescent="0.3"/>
    <row r="5667" x14ac:dyDescent="0.3"/>
    <row r="5668" x14ac:dyDescent="0.3"/>
    <row r="5669" x14ac:dyDescent="0.3"/>
    <row r="5670" x14ac:dyDescent="0.3"/>
    <row r="5671" x14ac:dyDescent="0.3"/>
    <row r="5672" x14ac:dyDescent="0.3"/>
    <row r="5673" x14ac:dyDescent="0.3"/>
    <row r="5674" x14ac:dyDescent="0.3"/>
    <row r="5675" x14ac:dyDescent="0.3"/>
    <row r="5676" x14ac:dyDescent="0.3"/>
    <row r="5677" x14ac:dyDescent="0.3"/>
    <row r="5678" x14ac:dyDescent="0.3"/>
    <row r="5679" x14ac:dyDescent="0.3"/>
    <row r="5680" x14ac:dyDescent="0.3"/>
    <row r="5681" x14ac:dyDescent="0.3"/>
    <row r="5682" x14ac:dyDescent="0.3"/>
    <row r="5683" x14ac:dyDescent="0.3"/>
    <row r="5684" x14ac:dyDescent="0.3"/>
    <row r="5685" x14ac:dyDescent="0.3"/>
    <row r="5686" x14ac:dyDescent="0.3"/>
    <row r="5687" x14ac:dyDescent="0.3"/>
    <row r="5688" x14ac:dyDescent="0.3"/>
    <row r="5689" x14ac:dyDescent="0.3"/>
    <row r="5690" x14ac:dyDescent="0.3"/>
    <row r="5691" x14ac:dyDescent="0.3"/>
    <row r="5692" x14ac:dyDescent="0.3"/>
    <row r="5693" x14ac:dyDescent="0.3"/>
    <row r="5694" x14ac:dyDescent="0.3"/>
    <row r="5695" x14ac:dyDescent="0.3"/>
    <row r="5696" x14ac:dyDescent="0.3"/>
    <row r="5697" x14ac:dyDescent="0.3"/>
    <row r="5698" x14ac:dyDescent="0.3"/>
    <row r="5699" x14ac:dyDescent="0.3"/>
    <row r="5700" x14ac:dyDescent="0.3"/>
    <row r="5701" x14ac:dyDescent="0.3"/>
    <row r="5702" x14ac:dyDescent="0.3"/>
    <row r="5703" x14ac:dyDescent="0.3"/>
    <row r="5704" x14ac:dyDescent="0.3"/>
    <row r="5705" x14ac:dyDescent="0.3"/>
    <row r="5706" x14ac:dyDescent="0.3"/>
    <row r="5707" x14ac:dyDescent="0.3"/>
    <row r="5708" x14ac:dyDescent="0.3"/>
    <row r="5709" x14ac:dyDescent="0.3"/>
    <row r="5710" x14ac:dyDescent="0.3"/>
    <row r="5711" x14ac:dyDescent="0.3"/>
    <row r="5712" x14ac:dyDescent="0.3"/>
    <row r="5713" x14ac:dyDescent="0.3"/>
    <row r="5714" x14ac:dyDescent="0.3"/>
    <row r="5715" x14ac:dyDescent="0.3"/>
    <row r="5716" x14ac:dyDescent="0.3"/>
    <row r="5717" x14ac:dyDescent="0.3"/>
    <row r="5718" x14ac:dyDescent="0.3"/>
    <row r="5719" x14ac:dyDescent="0.3"/>
    <row r="5720" x14ac:dyDescent="0.3"/>
    <row r="5721" x14ac:dyDescent="0.3"/>
    <row r="5722" x14ac:dyDescent="0.3"/>
    <row r="5723" x14ac:dyDescent="0.3"/>
    <row r="5724" x14ac:dyDescent="0.3"/>
    <row r="5725" x14ac:dyDescent="0.3"/>
    <row r="5726" x14ac:dyDescent="0.3"/>
    <row r="5727" x14ac:dyDescent="0.3"/>
    <row r="5728" x14ac:dyDescent="0.3"/>
    <row r="5729" x14ac:dyDescent="0.3"/>
    <row r="5730" x14ac:dyDescent="0.3"/>
    <row r="5731" x14ac:dyDescent="0.3"/>
    <row r="5732" x14ac:dyDescent="0.3"/>
    <row r="5733" x14ac:dyDescent="0.3"/>
    <row r="5734" x14ac:dyDescent="0.3"/>
    <row r="5735" x14ac:dyDescent="0.3"/>
    <row r="5736" x14ac:dyDescent="0.3"/>
    <row r="5737" x14ac:dyDescent="0.3"/>
    <row r="5738" x14ac:dyDescent="0.3"/>
    <row r="5739" x14ac:dyDescent="0.3"/>
    <row r="5740" x14ac:dyDescent="0.3"/>
    <row r="5741" x14ac:dyDescent="0.3"/>
    <row r="5742" x14ac:dyDescent="0.3"/>
    <row r="5743" x14ac:dyDescent="0.3"/>
    <row r="5744" x14ac:dyDescent="0.3"/>
    <row r="5745" x14ac:dyDescent="0.3"/>
    <row r="5746" x14ac:dyDescent="0.3"/>
    <row r="5747" x14ac:dyDescent="0.3"/>
    <row r="5748" x14ac:dyDescent="0.3"/>
    <row r="5749" x14ac:dyDescent="0.3"/>
    <row r="5750" x14ac:dyDescent="0.3"/>
    <row r="5751" x14ac:dyDescent="0.3"/>
    <row r="5752" x14ac:dyDescent="0.3"/>
    <row r="5753" x14ac:dyDescent="0.3"/>
    <row r="5754" x14ac:dyDescent="0.3"/>
    <row r="5755" x14ac:dyDescent="0.3"/>
    <row r="5756" x14ac:dyDescent="0.3"/>
    <row r="5757" x14ac:dyDescent="0.3"/>
    <row r="5758" x14ac:dyDescent="0.3"/>
    <row r="5759" x14ac:dyDescent="0.3"/>
    <row r="5760" x14ac:dyDescent="0.3"/>
    <row r="5761" x14ac:dyDescent="0.3"/>
    <row r="5762" x14ac:dyDescent="0.3"/>
    <row r="5763" x14ac:dyDescent="0.3"/>
    <row r="5764" x14ac:dyDescent="0.3"/>
    <row r="5765" x14ac:dyDescent="0.3"/>
    <row r="5766" x14ac:dyDescent="0.3"/>
    <row r="5767" x14ac:dyDescent="0.3"/>
    <row r="5768" x14ac:dyDescent="0.3"/>
    <row r="5769" x14ac:dyDescent="0.3"/>
    <row r="5770" x14ac:dyDescent="0.3"/>
    <row r="5771" x14ac:dyDescent="0.3"/>
    <row r="5772" x14ac:dyDescent="0.3"/>
    <row r="5773" x14ac:dyDescent="0.3"/>
    <row r="5774" x14ac:dyDescent="0.3"/>
    <row r="5775" x14ac:dyDescent="0.3"/>
    <row r="5776" x14ac:dyDescent="0.3"/>
    <row r="5777" x14ac:dyDescent="0.3"/>
    <row r="5778" x14ac:dyDescent="0.3"/>
    <row r="5779" x14ac:dyDescent="0.3"/>
    <row r="5780" x14ac:dyDescent="0.3"/>
    <row r="5781" x14ac:dyDescent="0.3"/>
    <row r="5782" x14ac:dyDescent="0.3"/>
    <row r="5783" x14ac:dyDescent="0.3"/>
    <row r="5784" x14ac:dyDescent="0.3"/>
    <row r="5785" x14ac:dyDescent="0.3"/>
    <row r="5786" x14ac:dyDescent="0.3"/>
    <row r="5787" x14ac:dyDescent="0.3"/>
    <row r="5788" x14ac:dyDescent="0.3"/>
    <row r="5789" x14ac:dyDescent="0.3"/>
    <row r="5790" x14ac:dyDescent="0.3"/>
    <row r="5791" x14ac:dyDescent="0.3"/>
    <row r="5792" x14ac:dyDescent="0.3"/>
    <row r="5793" x14ac:dyDescent="0.3"/>
    <row r="5794" x14ac:dyDescent="0.3"/>
    <row r="5795" x14ac:dyDescent="0.3"/>
    <row r="5796" x14ac:dyDescent="0.3"/>
    <row r="5797" x14ac:dyDescent="0.3"/>
    <row r="5798" x14ac:dyDescent="0.3"/>
    <row r="5799" x14ac:dyDescent="0.3"/>
    <row r="5800" x14ac:dyDescent="0.3"/>
    <row r="5801" x14ac:dyDescent="0.3"/>
    <row r="5802" x14ac:dyDescent="0.3"/>
    <row r="5803" x14ac:dyDescent="0.3"/>
    <row r="5804" x14ac:dyDescent="0.3"/>
    <row r="5805" x14ac:dyDescent="0.3"/>
    <row r="5806" x14ac:dyDescent="0.3"/>
    <row r="5807" x14ac:dyDescent="0.3"/>
    <row r="5808" x14ac:dyDescent="0.3"/>
    <row r="5809" x14ac:dyDescent="0.3"/>
    <row r="5810" x14ac:dyDescent="0.3"/>
    <row r="5811" x14ac:dyDescent="0.3"/>
    <row r="5812" x14ac:dyDescent="0.3"/>
    <row r="5813" x14ac:dyDescent="0.3"/>
    <row r="5814" x14ac:dyDescent="0.3"/>
    <row r="5815" x14ac:dyDescent="0.3"/>
    <row r="5816" x14ac:dyDescent="0.3"/>
    <row r="5817" x14ac:dyDescent="0.3"/>
    <row r="5818" x14ac:dyDescent="0.3"/>
    <row r="5819" x14ac:dyDescent="0.3"/>
    <row r="5820" x14ac:dyDescent="0.3"/>
    <row r="5821" x14ac:dyDescent="0.3"/>
    <row r="5822" x14ac:dyDescent="0.3"/>
    <row r="5823" x14ac:dyDescent="0.3"/>
    <row r="5824" x14ac:dyDescent="0.3"/>
    <row r="5825" x14ac:dyDescent="0.3"/>
    <row r="5826" x14ac:dyDescent="0.3"/>
    <row r="5827" x14ac:dyDescent="0.3"/>
    <row r="5828" x14ac:dyDescent="0.3"/>
    <row r="5829" x14ac:dyDescent="0.3"/>
    <row r="5830" x14ac:dyDescent="0.3"/>
    <row r="5831" x14ac:dyDescent="0.3"/>
    <row r="5832" x14ac:dyDescent="0.3"/>
    <row r="5833" x14ac:dyDescent="0.3"/>
    <row r="5834" x14ac:dyDescent="0.3"/>
    <row r="5835" x14ac:dyDescent="0.3"/>
    <row r="5836" x14ac:dyDescent="0.3"/>
    <row r="5837" x14ac:dyDescent="0.3"/>
    <row r="5838" x14ac:dyDescent="0.3"/>
    <row r="5839" x14ac:dyDescent="0.3"/>
    <row r="5840" x14ac:dyDescent="0.3"/>
    <row r="5841" x14ac:dyDescent="0.3"/>
    <row r="5842" x14ac:dyDescent="0.3"/>
    <row r="5843" x14ac:dyDescent="0.3"/>
    <row r="5844" x14ac:dyDescent="0.3"/>
    <row r="5845" x14ac:dyDescent="0.3"/>
    <row r="5846" x14ac:dyDescent="0.3"/>
    <row r="5847" x14ac:dyDescent="0.3"/>
    <row r="5848" x14ac:dyDescent="0.3"/>
    <row r="5849" x14ac:dyDescent="0.3"/>
    <row r="5850" x14ac:dyDescent="0.3"/>
    <row r="5851" x14ac:dyDescent="0.3"/>
    <row r="5852" x14ac:dyDescent="0.3"/>
    <row r="5853" x14ac:dyDescent="0.3"/>
    <row r="5854" x14ac:dyDescent="0.3"/>
    <row r="5855" x14ac:dyDescent="0.3"/>
    <row r="5856" x14ac:dyDescent="0.3"/>
    <row r="5857" x14ac:dyDescent="0.3"/>
    <row r="5858" x14ac:dyDescent="0.3"/>
    <row r="5859" x14ac:dyDescent="0.3"/>
    <row r="5860" x14ac:dyDescent="0.3"/>
    <row r="5861" x14ac:dyDescent="0.3"/>
    <row r="5862" x14ac:dyDescent="0.3"/>
    <row r="5863" x14ac:dyDescent="0.3"/>
    <row r="5864" x14ac:dyDescent="0.3"/>
    <row r="5865" x14ac:dyDescent="0.3"/>
    <row r="5866" x14ac:dyDescent="0.3"/>
    <row r="5867" x14ac:dyDescent="0.3"/>
    <row r="5868" x14ac:dyDescent="0.3"/>
    <row r="5869" x14ac:dyDescent="0.3"/>
    <row r="5870" x14ac:dyDescent="0.3"/>
    <row r="5871" x14ac:dyDescent="0.3"/>
    <row r="5872" x14ac:dyDescent="0.3"/>
    <row r="5873" x14ac:dyDescent="0.3"/>
    <row r="5874" x14ac:dyDescent="0.3"/>
    <row r="5875" x14ac:dyDescent="0.3"/>
    <row r="5876" x14ac:dyDescent="0.3"/>
    <row r="5877" x14ac:dyDescent="0.3"/>
    <row r="5878" x14ac:dyDescent="0.3"/>
    <row r="5879" x14ac:dyDescent="0.3"/>
    <row r="5880" x14ac:dyDescent="0.3"/>
    <row r="5881" x14ac:dyDescent="0.3"/>
    <row r="5882" x14ac:dyDescent="0.3"/>
    <row r="5883" x14ac:dyDescent="0.3"/>
    <row r="5884" x14ac:dyDescent="0.3"/>
    <row r="5885" x14ac:dyDescent="0.3"/>
    <row r="5886" x14ac:dyDescent="0.3"/>
    <row r="5887" x14ac:dyDescent="0.3"/>
    <row r="5888" x14ac:dyDescent="0.3"/>
    <row r="5889" x14ac:dyDescent="0.3"/>
    <row r="5890" x14ac:dyDescent="0.3"/>
    <row r="5891" x14ac:dyDescent="0.3"/>
    <row r="5892" x14ac:dyDescent="0.3"/>
    <row r="5893" x14ac:dyDescent="0.3"/>
    <row r="5894" x14ac:dyDescent="0.3"/>
    <row r="5895" x14ac:dyDescent="0.3"/>
    <row r="5896" x14ac:dyDescent="0.3"/>
    <row r="5897" x14ac:dyDescent="0.3"/>
    <row r="5898" x14ac:dyDescent="0.3"/>
    <row r="5899" x14ac:dyDescent="0.3"/>
    <row r="5900" x14ac:dyDescent="0.3"/>
    <row r="5901" x14ac:dyDescent="0.3"/>
    <row r="5902" x14ac:dyDescent="0.3"/>
    <row r="5903" x14ac:dyDescent="0.3"/>
    <row r="5904" x14ac:dyDescent="0.3"/>
    <row r="5905" x14ac:dyDescent="0.3"/>
    <row r="5906" x14ac:dyDescent="0.3"/>
    <row r="5907" x14ac:dyDescent="0.3"/>
    <row r="5908" x14ac:dyDescent="0.3"/>
    <row r="5909" x14ac:dyDescent="0.3"/>
    <row r="5910" x14ac:dyDescent="0.3"/>
    <row r="5911" x14ac:dyDescent="0.3"/>
    <row r="5912" x14ac:dyDescent="0.3"/>
    <row r="5913" x14ac:dyDescent="0.3"/>
    <row r="5914" x14ac:dyDescent="0.3"/>
    <row r="5915" x14ac:dyDescent="0.3"/>
    <row r="5916" x14ac:dyDescent="0.3"/>
    <row r="5917" x14ac:dyDescent="0.3"/>
    <row r="5918" x14ac:dyDescent="0.3"/>
    <row r="5919" x14ac:dyDescent="0.3"/>
    <row r="5920" x14ac:dyDescent="0.3"/>
    <row r="5921" x14ac:dyDescent="0.3"/>
    <row r="5922" x14ac:dyDescent="0.3"/>
    <row r="5923" x14ac:dyDescent="0.3"/>
    <row r="5924" x14ac:dyDescent="0.3"/>
    <row r="5925" x14ac:dyDescent="0.3"/>
    <row r="5926" x14ac:dyDescent="0.3"/>
    <row r="5927" x14ac:dyDescent="0.3"/>
    <row r="5928" x14ac:dyDescent="0.3"/>
    <row r="5929" x14ac:dyDescent="0.3"/>
    <row r="5930" x14ac:dyDescent="0.3"/>
    <row r="5931" x14ac:dyDescent="0.3"/>
    <row r="5932" x14ac:dyDescent="0.3"/>
    <row r="5933" x14ac:dyDescent="0.3"/>
    <row r="5934" x14ac:dyDescent="0.3"/>
    <row r="5935" x14ac:dyDescent="0.3"/>
    <row r="5936" x14ac:dyDescent="0.3"/>
    <row r="5937" x14ac:dyDescent="0.3"/>
    <row r="5938" x14ac:dyDescent="0.3"/>
    <row r="5939" x14ac:dyDescent="0.3"/>
    <row r="5940" x14ac:dyDescent="0.3"/>
    <row r="5941" x14ac:dyDescent="0.3"/>
    <row r="5942" x14ac:dyDescent="0.3"/>
    <row r="5943" x14ac:dyDescent="0.3"/>
    <row r="5944" x14ac:dyDescent="0.3"/>
    <row r="5945" x14ac:dyDescent="0.3"/>
    <row r="5946" x14ac:dyDescent="0.3"/>
    <row r="5947" x14ac:dyDescent="0.3"/>
    <row r="5948" x14ac:dyDescent="0.3"/>
    <row r="5949" x14ac:dyDescent="0.3"/>
    <row r="5950" x14ac:dyDescent="0.3"/>
    <row r="5951" x14ac:dyDescent="0.3"/>
    <row r="5952" x14ac:dyDescent="0.3"/>
    <row r="5953" x14ac:dyDescent="0.3"/>
    <row r="5954" x14ac:dyDescent="0.3"/>
    <row r="5955" x14ac:dyDescent="0.3"/>
    <row r="5956" x14ac:dyDescent="0.3"/>
    <row r="5957" x14ac:dyDescent="0.3"/>
    <row r="5958" x14ac:dyDescent="0.3"/>
    <row r="5959" x14ac:dyDescent="0.3"/>
    <row r="5960" x14ac:dyDescent="0.3"/>
    <row r="5961" x14ac:dyDescent="0.3"/>
    <row r="5962" x14ac:dyDescent="0.3"/>
    <row r="5963" x14ac:dyDescent="0.3"/>
    <row r="5964" x14ac:dyDescent="0.3"/>
    <row r="5965" x14ac:dyDescent="0.3"/>
    <row r="5966" x14ac:dyDescent="0.3"/>
    <row r="5967" x14ac:dyDescent="0.3"/>
    <row r="5968" x14ac:dyDescent="0.3"/>
    <row r="5969" x14ac:dyDescent="0.3"/>
    <row r="5970" x14ac:dyDescent="0.3"/>
    <row r="5971" x14ac:dyDescent="0.3"/>
    <row r="5972" x14ac:dyDescent="0.3"/>
    <row r="5973" x14ac:dyDescent="0.3"/>
    <row r="5974" x14ac:dyDescent="0.3"/>
    <row r="5975" x14ac:dyDescent="0.3"/>
    <row r="5976" x14ac:dyDescent="0.3"/>
    <row r="5977" x14ac:dyDescent="0.3"/>
    <row r="5978" x14ac:dyDescent="0.3"/>
    <row r="5979" x14ac:dyDescent="0.3"/>
    <row r="5980" x14ac:dyDescent="0.3"/>
    <row r="5981" x14ac:dyDescent="0.3"/>
    <row r="5982" x14ac:dyDescent="0.3"/>
    <row r="5983" x14ac:dyDescent="0.3"/>
    <row r="5984" x14ac:dyDescent="0.3"/>
    <row r="5985" x14ac:dyDescent="0.3"/>
    <row r="5986" x14ac:dyDescent="0.3"/>
    <row r="5987" x14ac:dyDescent="0.3"/>
    <row r="5988" x14ac:dyDescent="0.3"/>
    <row r="5989" x14ac:dyDescent="0.3"/>
    <row r="5990" x14ac:dyDescent="0.3"/>
    <row r="5991" x14ac:dyDescent="0.3"/>
    <row r="5992" x14ac:dyDescent="0.3"/>
    <row r="5993" x14ac:dyDescent="0.3"/>
    <row r="5994" x14ac:dyDescent="0.3"/>
    <row r="5995" x14ac:dyDescent="0.3"/>
    <row r="5996" x14ac:dyDescent="0.3"/>
    <row r="5997" x14ac:dyDescent="0.3"/>
    <row r="5998" x14ac:dyDescent="0.3"/>
    <row r="5999" x14ac:dyDescent="0.3"/>
    <row r="6000" x14ac:dyDescent="0.3"/>
    <row r="6001" x14ac:dyDescent="0.3"/>
    <row r="6002" x14ac:dyDescent="0.3"/>
    <row r="6003" x14ac:dyDescent="0.3"/>
    <row r="6004" x14ac:dyDescent="0.3"/>
    <row r="6005" x14ac:dyDescent="0.3"/>
    <row r="6006" x14ac:dyDescent="0.3"/>
    <row r="6007" x14ac:dyDescent="0.3"/>
    <row r="6008" x14ac:dyDescent="0.3"/>
    <row r="6009" x14ac:dyDescent="0.3"/>
    <row r="6010" x14ac:dyDescent="0.3"/>
    <row r="6011" x14ac:dyDescent="0.3"/>
    <row r="6012" x14ac:dyDescent="0.3"/>
    <row r="6013" x14ac:dyDescent="0.3"/>
    <row r="6014" x14ac:dyDescent="0.3"/>
    <row r="6015" x14ac:dyDescent="0.3"/>
    <row r="6016" x14ac:dyDescent="0.3"/>
    <row r="6017" x14ac:dyDescent="0.3"/>
    <row r="6018" x14ac:dyDescent="0.3"/>
    <row r="6019" x14ac:dyDescent="0.3"/>
    <row r="6020" x14ac:dyDescent="0.3"/>
    <row r="6021" x14ac:dyDescent="0.3"/>
    <row r="6022" x14ac:dyDescent="0.3"/>
    <row r="6023" x14ac:dyDescent="0.3"/>
    <row r="6024" x14ac:dyDescent="0.3"/>
    <row r="6025" x14ac:dyDescent="0.3"/>
    <row r="6026" x14ac:dyDescent="0.3"/>
    <row r="6027" x14ac:dyDescent="0.3"/>
    <row r="6028" x14ac:dyDescent="0.3"/>
    <row r="6029" x14ac:dyDescent="0.3"/>
    <row r="6030" x14ac:dyDescent="0.3"/>
    <row r="6031" x14ac:dyDescent="0.3"/>
    <row r="6032" x14ac:dyDescent="0.3"/>
    <row r="6033" x14ac:dyDescent="0.3"/>
    <row r="6034" x14ac:dyDescent="0.3"/>
    <row r="6035" x14ac:dyDescent="0.3"/>
    <row r="6036" x14ac:dyDescent="0.3"/>
    <row r="6037" x14ac:dyDescent="0.3"/>
    <row r="6038" x14ac:dyDescent="0.3"/>
    <row r="6039" x14ac:dyDescent="0.3"/>
    <row r="6040" x14ac:dyDescent="0.3"/>
    <row r="6041" x14ac:dyDescent="0.3"/>
    <row r="6042" x14ac:dyDescent="0.3"/>
    <row r="6043" x14ac:dyDescent="0.3"/>
    <row r="6044" x14ac:dyDescent="0.3"/>
    <row r="6045" x14ac:dyDescent="0.3"/>
    <row r="6046" x14ac:dyDescent="0.3"/>
    <row r="6047" x14ac:dyDescent="0.3"/>
    <row r="6048" x14ac:dyDescent="0.3"/>
    <row r="6049" x14ac:dyDescent="0.3"/>
    <row r="6050" x14ac:dyDescent="0.3"/>
    <row r="6051" x14ac:dyDescent="0.3"/>
    <row r="6052" x14ac:dyDescent="0.3"/>
    <row r="6053" x14ac:dyDescent="0.3"/>
    <row r="6054" x14ac:dyDescent="0.3"/>
    <row r="6055" x14ac:dyDescent="0.3"/>
    <row r="6056" x14ac:dyDescent="0.3"/>
    <row r="6057" x14ac:dyDescent="0.3"/>
    <row r="6058" x14ac:dyDescent="0.3"/>
    <row r="6059" x14ac:dyDescent="0.3"/>
    <row r="6060" x14ac:dyDescent="0.3"/>
    <row r="6061" x14ac:dyDescent="0.3"/>
    <row r="6062" x14ac:dyDescent="0.3"/>
    <row r="6063" x14ac:dyDescent="0.3"/>
    <row r="6064" x14ac:dyDescent="0.3"/>
    <row r="6065" x14ac:dyDescent="0.3"/>
    <row r="6066" x14ac:dyDescent="0.3"/>
    <row r="6067" x14ac:dyDescent="0.3"/>
    <row r="6068" x14ac:dyDescent="0.3"/>
    <row r="6069" x14ac:dyDescent="0.3"/>
    <row r="6070" x14ac:dyDescent="0.3"/>
    <row r="6071" x14ac:dyDescent="0.3"/>
    <row r="6072" x14ac:dyDescent="0.3"/>
    <row r="6073" x14ac:dyDescent="0.3"/>
    <row r="6074" x14ac:dyDescent="0.3"/>
    <row r="6075" x14ac:dyDescent="0.3"/>
    <row r="6076" x14ac:dyDescent="0.3"/>
    <row r="6077" x14ac:dyDescent="0.3"/>
    <row r="6078" x14ac:dyDescent="0.3"/>
    <row r="6079" x14ac:dyDescent="0.3"/>
    <row r="6080" x14ac:dyDescent="0.3"/>
    <row r="6081" x14ac:dyDescent="0.3"/>
    <row r="6082" x14ac:dyDescent="0.3"/>
    <row r="6083" x14ac:dyDescent="0.3"/>
    <row r="6084" x14ac:dyDescent="0.3"/>
    <row r="6085" x14ac:dyDescent="0.3"/>
    <row r="6086" x14ac:dyDescent="0.3"/>
    <row r="6087" x14ac:dyDescent="0.3"/>
    <row r="6088" x14ac:dyDescent="0.3"/>
    <row r="6089" x14ac:dyDescent="0.3"/>
    <row r="6090" x14ac:dyDescent="0.3"/>
    <row r="6091" x14ac:dyDescent="0.3"/>
    <row r="6092" x14ac:dyDescent="0.3"/>
    <row r="6093" x14ac:dyDescent="0.3"/>
    <row r="6094" x14ac:dyDescent="0.3"/>
    <row r="6095" x14ac:dyDescent="0.3"/>
    <row r="6096" x14ac:dyDescent="0.3"/>
    <row r="6097" x14ac:dyDescent="0.3"/>
    <row r="6098" x14ac:dyDescent="0.3"/>
    <row r="6099" x14ac:dyDescent="0.3"/>
    <row r="6100" x14ac:dyDescent="0.3"/>
    <row r="6101" x14ac:dyDescent="0.3"/>
    <row r="6102" x14ac:dyDescent="0.3"/>
    <row r="6103" x14ac:dyDescent="0.3"/>
    <row r="6104" x14ac:dyDescent="0.3"/>
    <row r="6105" x14ac:dyDescent="0.3"/>
    <row r="6106" x14ac:dyDescent="0.3"/>
    <row r="6107" x14ac:dyDescent="0.3"/>
    <row r="6108" x14ac:dyDescent="0.3"/>
    <row r="6109" x14ac:dyDescent="0.3"/>
    <row r="6110" x14ac:dyDescent="0.3"/>
    <row r="6111" x14ac:dyDescent="0.3"/>
    <row r="6112" x14ac:dyDescent="0.3"/>
    <row r="6113" x14ac:dyDescent="0.3"/>
    <row r="6114" x14ac:dyDescent="0.3"/>
    <row r="6115" x14ac:dyDescent="0.3"/>
    <row r="6116" x14ac:dyDescent="0.3"/>
    <row r="6117" x14ac:dyDescent="0.3"/>
    <row r="6118" x14ac:dyDescent="0.3"/>
    <row r="6119" x14ac:dyDescent="0.3"/>
    <row r="6120" x14ac:dyDescent="0.3"/>
    <row r="6121" x14ac:dyDescent="0.3"/>
    <row r="6122" x14ac:dyDescent="0.3"/>
    <row r="6123" x14ac:dyDescent="0.3"/>
    <row r="6124" x14ac:dyDescent="0.3"/>
    <row r="6125" x14ac:dyDescent="0.3"/>
    <row r="6126" x14ac:dyDescent="0.3"/>
    <row r="6127" x14ac:dyDescent="0.3"/>
    <row r="6128" x14ac:dyDescent="0.3"/>
    <row r="6129" x14ac:dyDescent="0.3"/>
    <row r="6130" x14ac:dyDescent="0.3"/>
    <row r="6131" x14ac:dyDescent="0.3"/>
    <row r="6132" x14ac:dyDescent="0.3"/>
    <row r="6133" x14ac:dyDescent="0.3"/>
    <row r="6134" x14ac:dyDescent="0.3"/>
    <row r="6135" x14ac:dyDescent="0.3"/>
    <row r="6136" x14ac:dyDescent="0.3"/>
    <row r="6137" x14ac:dyDescent="0.3"/>
    <row r="6138" x14ac:dyDescent="0.3"/>
    <row r="6139" x14ac:dyDescent="0.3"/>
    <row r="6140" x14ac:dyDescent="0.3"/>
    <row r="6141" x14ac:dyDescent="0.3"/>
    <row r="6142" x14ac:dyDescent="0.3"/>
    <row r="6143" x14ac:dyDescent="0.3"/>
    <row r="6144" x14ac:dyDescent="0.3"/>
    <row r="6145" x14ac:dyDescent="0.3"/>
    <row r="6146" x14ac:dyDescent="0.3"/>
    <row r="6147" x14ac:dyDescent="0.3"/>
    <row r="6148" x14ac:dyDescent="0.3"/>
    <row r="6149" x14ac:dyDescent="0.3"/>
    <row r="6150" x14ac:dyDescent="0.3"/>
    <row r="6151" x14ac:dyDescent="0.3"/>
    <row r="6152" x14ac:dyDescent="0.3"/>
    <row r="6153" x14ac:dyDescent="0.3"/>
    <row r="6154" x14ac:dyDescent="0.3"/>
    <row r="6155" x14ac:dyDescent="0.3"/>
    <row r="6156" x14ac:dyDescent="0.3"/>
    <row r="6157" x14ac:dyDescent="0.3"/>
    <row r="6158" x14ac:dyDescent="0.3"/>
    <row r="6159" x14ac:dyDescent="0.3"/>
    <row r="6160" x14ac:dyDescent="0.3"/>
    <row r="6161" x14ac:dyDescent="0.3"/>
    <row r="6162" x14ac:dyDescent="0.3"/>
    <row r="6163" x14ac:dyDescent="0.3"/>
    <row r="6164" x14ac:dyDescent="0.3"/>
    <row r="6165" x14ac:dyDescent="0.3"/>
    <row r="6166" x14ac:dyDescent="0.3"/>
    <row r="6167" x14ac:dyDescent="0.3"/>
    <row r="6168" x14ac:dyDescent="0.3"/>
    <row r="6169" x14ac:dyDescent="0.3"/>
    <row r="6170" x14ac:dyDescent="0.3"/>
    <row r="6171" x14ac:dyDescent="0.3"/>
    <row r="6172" x14ac:dyDescent="0.3"/>
    <row r="6173" x14ac:dyDescent="0.3"/>
    <row r="6174" x14ac:dyDescent="0.3"/>
    <row r="6175" x14ac:dyDescent="0.3"/>
    <row r="6176" x14ac:dyDescent="0.3"/>
    <row r="6177" x14ac:dyDescent="0.3"/>
    <row r="6178" x14ac:dyDescent="0.3"/>
    <row r="6179" x14ac:dyDescent="0.3"/>
    <row r="6180" x14ac:dyDescent="0.3"/>
    <row r="6181" x14ac:dyDescent="0.3"/>
    <row r="6182" x14ac:dyDescent="0.3"/>
    <row r="6183" x14ac:dyDescent="0.3"/>
    <row r="6184" x14ac:dyDescent="0.3"/>
    <row r="6185" x14ac:dyDescent="0.3"/>
    <row r="6186" x14ac:dyDescent="0.3"/>
    <row r="6187" x14ac:dyDescent="0.3"/>
    <row r="6188" x14ac:dyDescent="0.3"/>
    <row r="6189" x14ac:dyDescent="0.3"/>
    <row r="6190" x14ac:dyDescent="0.3"/>
    <row r="6191" x14ac:dyDescent="0.3"/>
    <row r="6192" x14ac:dyDescent="0.3"/>
    <row r="6193" x14ac:dyDescent="0.3"/>
    <row r="6194" x14ac:dyDescent="0.3"/>
    <row r="6195" x14ac:dyDescent="0.3"/>
    <row r="6196" x14ac:dyDescent="0.3"/>
    <row r="6197" x14ac:dyDescent="0.3"/>
    <row r="6198" x14ac:dyDescent="0.3"/>
    <row r="6199" x14ac:dyDescent="0.3"/>
    <row r="6200" x14ac:dyDescent="0.3"/>
    <row r="6201" x14ac:dyDescent="0.3"/>
    <row r="6202" x14ac:dyDescent="0.3"/>
    <row r="6203" x14ac:dyDescent="0.3"/>
    <row r="6204" x14ac:dyDescent="0.3"/>
    <row r="6205" x14ac:dyDescent="0.3"/>
    <row r="6206" x14ac:dyDescent="0.3"/>
    <row r="6207" x14ac:dyDescent="0.3"/>
    <row r="6208" x14ac:dyDescent="0.3"/>
    <row r="6209" x14ac:dyDescent="0.3"/>
    <row r="6210" x14ac:dyDescent="0.3"/>
    <row r="6211" x14ac:dyDescent="0.3"/>
    <row r="6212" x14ac:dyDescent="0.3"/>
    <row r="6213" x14ac:dyDescent="0.3"/>
    <row r="6214" x14ac:dyDescent="0.3"/>
    <row r="6215" x14ac:dyDescent="0.3"/>
    <row r="6216" x14ac:dyDescent="0.3"/>
    <row r="6217" x14ac:dyDescent="0.3"/>
    <row r="6218" x14ac:dyDescent="0.3"/>
    <row r="6219" x14ac:dyDescent="0.3"/>
    <row r="6220" x14ac:dyDescent="0.3"/>
    <row r="6221" x14ac:dyDescent="0.3"/>
    <row r="6222" x14ac:dyDescent="0.3"/>
    <row r="6223" x14ac:dyDescent="0.3"/>
    <row r="6224" x14ac:dyDescent="0.3"/>
    <row r="6225" x14ac:dyDescent="0.3"/>
    <row r="6226" x14ac:dyDescent="0.3"/>
    <row r="6227" x14ac:dyDescent="0.3"/>
    <row r="6228" x14ac:dyDescent="0.3"/>
    <row r="6229" x14ac:dyDescent="0.3"/>
    <row r="6230" x14ac:dyDescent="0.3"/>
    <row r="6231" x14ac:dyDescent="0.3"/>
    <row r="6232" x14ac:dyDescent="0.3"/>
    <row r="6233" x14ac:dyDescent="0.3"/>
    <row r="6234" x14ac:dyDescent="0.3"/>
    <row r="6235" x14ac:dyDescent="0.3"/>
    <row r="6236" x14ac:dyDescent="0.3"/>
    <row r="6237" x14ac:dyDescent="0.3"/>
    <row r="6238" x14ac:dyDescent="0.3"/>
    <row r="6239" x14ac:dyDescent="0.3"/>
    <row r="6240" x14ac:dyDescent="0.3"/>
    <row r="6241" x14ac:dyDescent="0.3"/>
    <row r="6242" x14ac:dyDescent="0.3"/>
    <row r="6243" x14ac:dyDescent="0.3"/>
    <row r="6244" x14ac:dyDescent="0.3"/>
    <row r="6245" x14ac:dyDescent="0.3"/>
    <row r="6246" x14ac:dyDescent="0.3"/>
    <row r="6247" x14ac:dyDescent="0.3"/>
    <row r="6248" x14ac:dyDescent="0.3"/>
    <row r="6249" x14ac:dyDescent="0.3"/>
    <row r="6250" x14ac:dyDescent="0.3"/>
    <row r="6251" x14ac:dyDescent="0.3"/>
    <row r="6252" x14ac:dyDescent="0.3"/>
    <row r="6253" x14ac:dyDescent="0.3"/>
    <row r="6254" x14ac:dyDescent="0.3"/>
    <row r="6255" x14ac:dyDescent="0.3"/>
    <row r="6256" x14ac:dyDescent="0.3"/>
    <row r="6257" x14ac:dyDescent="0.3"/>
    <row r="6258" x14ac:dyDescent="0.3"/>
    <row r="6259" x14ac:dyDescent="0.3"/>
    <row r="6260" x14ac:dyDescent="0.3"/>
    <row r="6261" x14ac:dyDescent="0.3"/>
    <row r="6262" x14ac:dyDescent="0.3"/>
    <row r="6263" x14ac:dyDescent="0.3"/>
    <row r="6264" x14ac:dyDescent="0.3"/>
    <row r="6265" x14ac:dyDescent="0.3"/>
    <row r="6266" x14ac:dyDescent="0.3"/>
    <row r="6267" x14ac:dyDescent="0.3"/>
    <row r="6268" x14ac:dyDescent="0.3"/>
    <row r="6269" x14ac:dyDescent="0.3"/>
    <row r="6270" x14ac:dyDescent="0.3"/>
    <row r="6271" x14ac:dyDescent="0.3"/>
    <row r="6272" x14ac:dyDescent="0.3"/>
    <row r="6273" x14ac:dyDescent="0.3"/>
    <row r="6274" x14ac:dyDescent="0.3"/>
    <row r="6275" x14ac:dyDescent="0.3"/>
    <row r="6276" x14ac:dyDescent="0.3"/>
    <row r="6277" x14ac:dyDescent="0.3"/>
    <row r="6278" x14ac:dyDescent="0.3"/>
    <row r="6279" x14ac:dyDescent="0.3"/>
    <row r="6280" x14ac:dyDescent="0.3"/>
    <row r="6281" x14ac:dyDescent="0.3"/>
    <row r="6282" x14ac:dyDescent="0.3"/>
    <row r="6283" x14ac:dyDescent="0.3"/>
    <row r="6284" x14ac:dyDescent="0.3"/>
    <row r="6285" x14ac:dyDescent="0.3"/>
    <row r="6286" x14ac:dyDescent="0.3"/>
    <row r="6287" x14ac:dyDescent="0.3"/>
    <row r="6288" x14ac:dyDescent="0.3"/>
    <row r="6289" x14ac:dyDescent="0.3"/>
    <row r="6290" x14ac:dyDescent="0.3"/>
    <row r="6291" x14ac:dyDescent="0.3"/>
    <row r="6292" x14ac:dyDescent="0.3"/>
    <row r="6293" x14ac:dyDescent="0.3"/>
    <row r="6294" x14ac:dyDescent="0.3"/>
    <row r="6295" x14ac:dyDescent="0.3"/>
    <row r="6296" x14ac:dyDescent="0.3"/>
    <row r="6297" x14ac:dyDescent="0.3"/>
    <row r="6298" x14ac:dyDescent="0.3"/>
    <row r="6299" x14ac:dyDescent="0.3"/>
    <row r="6300" x14ac:dyDescent="0.3"/>
    <row r="6301" x14ac:dyDescent="0.3"/>
    <row r="6302" x14ac:dyDescent="0.3"/>
    <row r="6303" x14ac:dyDescent="0.3"/>
    <row r="6304" x14ac:dyDescent="0.3"/>
    <row r="6305" x14ac:dyDescent="0.3"/>
    <row r="6306" x14ac:dyDescent="0.3"/>
    <row r="6307" x14ac:dyDescent="0.3"/>
    <row r="6308" x14ac:dyDescent="0.3"/>
    <row r="6309" x14ac:dyDescent="0.3"/>
    <row r="6310" x14ac:dyDescent="0.3"/>
    <row r="6311" x14ac:dyDescent="0.3"/>
    <row r="6312" x14ac:dyDescent="0.3"/>
    <row r="6313" x14ac:dyDescent="0.3"/>
    <row r="6314" x14ac:dyDescent="0.3"/>
    <row r="6315" x14ac:dyDescent="0.3"/>
    <row r="6316" x14ac:dyDescent="0.3"/>
    <row r="6317" x14ac:dyDescent="0.3"/>
    <row r="6318" x14ac:dyDescent="0.3"/>
    <row r="6319" x14ac:dyDescent="0.3"/>
    <row r="6320" x14ac:dyDescent="0.3"/>
    <row r="6321" x14ac:dyDescent="0.3"/>
    <row r="6322" x14ac:dyDescent="0.3"/>
    <row r="6323" x14ac:dyDescent="0.3"/>
    <row r="6324" x14ac:dyDescent="0.3"/>
    <row r="6325" x14ac:dyDescent="0.3"/>
    <row r="6326" x14ac:dyDescent="0.3"/>
    <row r="6327" x14ac:dyDescent="0.3"/>
    <row r="6328" x14ac:dyDescent="0.3"/>
    <row r="6329" x14ac:dyDescent="0.3"/>
    <row r="6330" x14ac:dyDescent="0.3"/>
    <row r="6331" x14ac:dyDescent="0.3"/>
    <row r="6332" x14ac:dyDescent="0.3"/>
    <row r="6333" x14ac:dyDescent="0.3"/>
    <row r="6334" x14ac:dyDescent="0.3"/>
    <row r="6335" x14ac:dyDescent="0.3"/>
    <row r="6336" x14ac:dyDescent="0.3"/>
    <row r="6337" x14ac:dyDescent="0.3"/>
    <row r="6338" x14ac:dyDescent="0.3"/>
    <row r="6339" x14ac:dyDescent="0.3"/>
    <row r="6340" x14ac:dyDescent="0.3"/>
    <row r="6341" x14ac:dyDescent="0.3"/>
    <row r="6342" x14ac:dyDescent="0.3"/>
    <row r="6343" x14ac:dyDescent="0.3"/>
    <row r="6344" x14ac:dyDescent="0.3"/>
    <row r="6345" x14ac:dyDescent="0.3"/>
    <row r="6346" x14ac:dyDescent="0.3"/>
    <row r="6347" x14ac:dyDescent="0.3"/>
    <row r="6348" x14ac:dyDescent="0.3"/>
    <row r="6349" x14ac:dyDescent="0.3"/>
    <row r="6350" x14ac:dyDescent="0.3"/>
    <row r="6351" x14ac:dyDescent="0.3"/>
    <row r="6352" x14ac:dyDescent="0.3"/>
    <row r="6353" x14ac:dyDescent="0.3"/>
    <row r="6354" x14ac:dyDescent="0.3"/>
    <row r="6355" x14ac:dyDescent="0.3"/>
    <row r="6356" x14ac:dyDescent="0.3"/>
    <row r="6357" x14ac:dyDescent="0.3"/>
    <row r="6358" x14ac:dyDescent="0.3"/>
    <row r="6359" x14ac:dyDescent="0.3"/>
    <row r="6360" x14ac:dyDescent="0.3"/>
    <row r="6361" x14ac:dyDescent="0.3"/>
    <row r="6362" x14ac:dyDescent="0.3"/>
    <row r="6363" x14ac:dyDescent="0.3"/>
    <row r="6364" x14ac:dyDescent="0.3"/>
    <row r="6365" x14ac:dyDescent="0.3"/>
    <row r="6366" x14ac:dyDescent="0.3"/>
    <row r="6367" x14ac:dyDescent="0.3"/>
    <row r="6368" x14ac:dyDescent="0.3"/>
    <row r="6369" x14ac:dyDescent="0.3"/>
    <row r="6370" x14ac:dyDescent="0.3"/>
    <row r="6371" x14ac:dyDescent="0.3"/>
    <row r="6372" x14ac:dyDescent="0.3"/>
    <row r="6373" x14ac:dyDescent="0.3"/>
    <row r="6374" x14ac:dyDescent="0.3"/>
    <row r="6375" x14ac:dyDescent="0.3"/>
    <row r="6376" x14ac:dyDescent="0.3"/>
    <row r="6377" x14ac:dyDescent="0.3"/>
    <row r="6378" x14ac:dyDescent="0.3"/>
    <row r="6379" x14ac:dyDescent="0.3"/>
    <row r="6380" x14ac:dyDescent="0.3"/>
    <row r="6381" x14ac:dyDescent="0.3"/>
    <row r="6382" x14ac:dyDescent="0.3"/>
    <row r="6383" x14ac:dyDescent="0.3"/>
    <row r="6384" x14ac:dyDescent="0.3"/>
    <row r="6385" x14ac:dyDescent="0.3"/>
    <row r="6386" x14ac:dyDescent="0.3"/>
    <row r="6387" x14ac:dyDescent="0.3"/>
    <row r="6388" x14ac:dyDescent="0.3"/>
    <row r="6389" x14ac:dyDescent="0.3"/>
    <row r="6390" x14ac:dyDescent="0.3"/>
    <row r="6391" x14ac:dyDescent="0.3"/>
    <row r="6392" x14ac:dyDescent="0.3"/>
    <row r="6393" x14ac:dyDescent="0.3"/>
    <row r="6394" x14ac:dyDescent="0.3"/>
    <row r="6395" x14ac:dyDescent="0.3"/>
    <row r="6396" x14ac:dyDescent="0.3"/>
    <row r="6397" x14ac:dyDescent="0.3"/>
    <row r="6398" x14ac:dyDescent="0.3"/>
    <row r="6399" x14ac:dyDescent="0.3"/>
    <row r="6400" x14ac:dyDescent="0.3"/>
    <row r="6401" x14ac:dyDescent="0.3"/>
    <row r="6402" x14ac:dyDescent="0.3"/>
    <row r="6403" x14ac:dyDescent="0.3"/>
    <row r="6404" x14ac:dyDescent="0.3"/>
    <row r="6405" x14ac:dyDescent="0.3"/>
    <row r="6406" x14ac:dyDescent="0.3"/>
    <row r="6407" x14ac:dyDescent="0.3"/>
    <row r="6408" x14ac:dyDescent="0.3"/>
    <row r="6409" x14ac:dyDescent="0.3"/>
    <row r="6410" x14ac:dyDescent="0.3"/>
    <row r="6411" x14ac:dyDescent="0.3"/>
    <row r="6412" x14ac:dyDescent="0.3"/>
    <row r="6413" x14ac:dyDescent="0.3"/>
    <row r="6414" x14ac:dyDescent="0.3"/>
    <row r="6415" x14ac:dyDescent="0.3"/>
    <row r="6416" x14ac:dyDescent="0.3"/>
    <row r="6417" x14ac:dyDescent="0.3"/>
    <row r="6418" x14ac:dyDescent="0.3"/>
    <row r="6419" x14ac:dyDescent="0.3"/>
    <row r="6420" x14ac:dyDescent="0.3"/>
    <row r="6421" x14ac:dyDescent="0.3"/>
    <row r="6422" x14ac:dyDescent="0.3"/>
    <row r="6423" x14ac:dyDescent="0.3"/>
    <row r="6424" x14ac:dyDescent="0.3"/>
    <row r="6425" x14ac:dyDescent="0.3"/>
    <row r="6426" x14ac:dyDescent="0.3"/>
    <row r="6427" x14ac:dyDescent="0.3"/>
    <row r="6428" x14ac:dyDescent="0.3"/>
    <row r="6429" x14ac:dyDescent="0.3"/>
    <row r="6430" x14ac:dyDescent="0.3"/>
    <row r="6431" x14ac:dyDescent="0.3"/>
    <row r="6432" x14ac:dyDescent="0.3"/>
    <row r="6433" x14ac:dyDescent="0.3"/>
    <row r="6434" x14ac:dyDescent="0.3"/>
    <row r="6435" x14ac:dyDescent="0.3"/>
    <row r="6436" x14ac:dyDescent="0.3"/>
    <row r="6437" x14ac:dyDescent="0.3"/>
    <row r="6438" x14ac:dyDescent="0.3"/>
    <row r="6439" x14ac:dyDescent="0.3"/>
    <row r="6440" x14ac:dyDescent="0.3"/>
    <row r="6441" x14ac:dyDescent="0.3"/>
    <row r="6442" x14ac:dyDescent="0.3"/>
    <row r="6443" x14ac:dyDescent="0.3"/>
    <row r="6444" x14ac:dyDescent="0.3"/>
    <row r="6445" x14ac:dyDescent="0.3"/>
    <row r="6446" x14ac:dyDescent="0.3"/>
    <row r="6447" x14ac:dyDescent="0.3"/>
    <row r="6448" x14ac:dyDescent="0.3"/>
    <row r="6449" x14ac:dyDescent="0.3"/>
    <row r="6450" x14ac:dyDescent="0.3"/>
    <row r="6451" x14ac:dyDescent="0.3"/>
    <row r="6452" x14ac:dyDescent="0.3"/>
    <row r="6453" x14ac:dyDescent="0.3"/>
    <row r="6454" x14ac:dyDescent="0.3"/>
    <row r="6455" x14ac:dyDescent="0.3"/>
    <row r="6456" x14ac:dyDescent="0.3"/>
    <row r="6457" x14ac:dyDescent="0.3"/>
    <row r="6458" x14ac:dyDescent="0.3"/>
    <row r="6459" x14ac:dyDescent="0.3"/>
    <row r="6460" x14ac:dyDescent="0.3"/>
    <row r="6461" x14ac:dyDescent="0.3"/>
    <row r="6462" x14ac:dyDescent="0.3"/>
    <row r="6463" x14ac:dyDescent="0.3"/>
    <row r="6464" x14ac:dyDescent="0.3"/>
    <row r="6465" x14ac:dyDescent="0.3"/>
    <row r="6466" x14ac:dyDescent="0.3"/>
    <row r="6467" x14ac:dyDescent="0.3"/>
    <row r="6468" x14ac:dyDescent="0.3"/>
    <row r="6469" x14ac:dyDescent="0.3"/>
    <row r="6470" x14ac:dyDescent="0.3"/>
    <row r="6471" x14ac:dyDescent="0.3"/>
    <row r="6472" x14ac:dyDescent="0.3"/>
    <row r="6473" x14ac:dyDescent="0.3"/>
    <row r="6474" x14ac:dyDescent="0.3"/>
    <row r="6475" x14ac:dyDescent="0.3"/>
    <row r="6476" x14ac:dyDescent="0.3"/>
    <row r="6477" x14ac:dyDescent="0.3"/>
    <row r="6478" x14ac:dyDescent="0.3"/>
    <row r="6479" x14ac:dyDescent="0.3"/>
    <row r="6480" x14ac:dyDescent="0.3"/>
    <row r="6481" x14ac:dyDescent="0.3"/>
    <row r="6482" x14ac:dyDescent="0.3"/>
    <row r="6483" x14ac:dyDescent="0.3"/>
    <row r="6484" x14ac:dyDescent="0.3"/>
    <row r="6485" x14ac:dyDescent="0.3"/>
    <row r="6486" x14ac:dyDescent="0.3"/>
    <row r="6487" x14ac:dyDescent="0.3"/>
    <row r="6488" x14ac:dyDescent="0.3"/>
    <row r="6489" x14ac:dyDescent="0.3"/>
    <row r="6490" x14ac:dyDescent="0.3"/>
    <row r="6491" x14ac:dyDescent="0.3"/>
    <row r="6492" x14ac:dyDescent="0.3"/>
    <row r="6493" x14ac:dyDescent="0.3"/>
    <row r="6494" x14ac:dyDescent="0.3"/>
    <row r="6495" x14ac:dyDescent="0.3"/>
    <row r="6496" x14ac:dyDescent="0.3"/>
    <row r="6497" x14ac:dyDescent="0.3"/>
    <row r="6498" x14ac:dyDescent="0.3"/>
    <row r="6499" x14ac:dyDescent="0.3"/>
    <row r="6500" x14ac:dyDescent="0.3"/>
    <row r="6501" x14ac:dyDescent="0.3"/>
    <row r="6502" x14ac:dyDescent="0.3"/>
    <row r="6503" x14ac:dyDescent="0.3"/>
    <row r="6504" x14ac:dyDescent="0.3"/>
    <row r="6505" x14ac:dyDescent="0.3"/>
    <row r="6506" x14ac:dyDescent="0.3"/>
    <row r="6507" x14ac:dyDescent="0.3"/>
    <row r="6508" x14ac:dyDescent="0.3"/>
    <row r="6509" x14ac:dyDescent="0.3"/>
    <row r="6510" x14ac:dyDescent="0.3"/>
    <row r="6511" x14ac:dyDescent="0.3"/>
    <row r="6512" x14ac:dyDescent="0.3"/>
    <row r="6513" x14ac:dyDescent="0.3"/>
    <row r="6514" x14ac:dyDescent="0.3"/>
    <row r="6515" x14ac:dyDescent="0.3"/>
    <row r="6516" x14ac:dyDescent="0.3"/>
    <row r="6517" x14ac:dyDescent="0.3"/>
    <row r="6518" x14ac:dyDescent="0.3"/>
    <row r="6519" x14ac:dyDescent="0.3"/>
    <row r="6520" x14ac:dyDescent="0.3"/>
    <row r="6521" x14ac:dyDescent="0.3"/>
    <row r="6522" x14ac:dyDescent="0.3"/>
    <row r="6523" x14ac:dyDescent="0.3"/>
    <row r="6524" x14ac:dyDescent="0.3"/>
    <row r="6525" x14ac:dyDescent="0.3"/>
    <row r="6526" x14ac:dyDescent="0.3"/>
    <row r="6527" x14ac:dyDescent="0.3"/>
    <row r="6528" x14ac:dyDescent="0.3"/>
    <row r="6529" x14ac:dyDescent="0.3"/>
    <row r="6530" x14ac:dyDescent="0.3"/>
    <row r="6531" x14ac:dyDescent="0.3"/>
    <row r="6532" x14ac:dyDescent="0.3"/>
    <row r="6533" x14ac:dyDescent="0.3"/>
    <row r="6534" x14ac:dyDescent="0.3"/>
    <row r="6535" x14ac:dyDescent="0.3"/>
    <row r="6536" x14ac:dyDescent="0.3"/>
    <row r="6537" x14ac:dyDescent="0.3"/>
    <row r="6538" x14ac:dyDescent="0.3"/>
    <row r="6539" x14ac:dyDescent="0.3"/>
    <row r="6540" x14ac:dyDescent="0.3"/>
    <row r="6541" x14ac:dyDescent="0.3"/>
    <row r="6542" x14ac:dyDescent="0.3"/>
    <row r="6543" x14ac:dyDescent="0.3"/>
    <row r="6544" x14ac:dyDescent="0.3"/>
    <row r="6545" x14ac:dyDescent="0.3"/>
    <row r="6546" x14ac:dyDescent="0.3"/>
    <row r="6547" x14ac:dyDescent="0.3"/>
    <row r="6548" x14ac:dyDescent="0.3"/>
    <row r="6549" x14ac:dyDescent="0.3"/>
    <row r="6550" x14ac:dyDescent="0.3"/>
    <row r="6551" x14ac:dyDescent="0.3"/>
    <row r="6552" x14ac:dyDescent="0.3"/>
    <row r="6553" x14ac:dyDescent="0.3"/>
    <row r="6554" x14ac:dyDescent="0.3"/>
    <row r="6555" x14ac:dyDescent="0.3"/>
    <row r="6556" x14ac:dyDescent="0.3"/>
    <row r="6557" x14ac:dyDescent="0.3"/>
    <row r="6558" x14ac:dyDescent="0.3"/>
    <row r="6559" x14ac:dyDescent="0.3"/>
    <row r="6560" x14ac:dyDescent="0.3"/>
    <row r="6561" x14ac:dyDescent="0.3"/>
    <row r="6562" x14ac:dyDescent="0.3"/>
    <row r="6563" x14ac:dyDescent="0.3"/>
    <row r="6564" x14ac:dyDescent="0.3"/>
    <row r="6565" x14ac:dyDescent="0.3"/>
    <row r="6566" x14ac:dyDescent="0.3"/>
    <row r="6567" x14ac:dyDescent="0.3"/>
    <row r="6568" x14ac:dyDescent="0.3"/>
    <row r="6569" x14ac:dyDescent="0.3"/>
    <row r="6570" x14ac:dyDescent="0.3"/>
    <row r="6571" x14ac:dyDescent="0.3"/>
    <row r="6572" x14ac:dyDescent="0.3"/>
    <row r="6573" x14ac:dyDescent="0.3"/>
    <row r="6574" x14ac:dyDescent="0.3"/>
    <row r="6575" x14ac:dyDescent="0.3"/>
    <row r="6576" x14ac:dyDescent="0.3"/>
    <row r="6577" x14ac:dyDescent="0.3"/>
    <row r="6578" x14ac:dyDescent="0.3"/>
    <row r="6579" x14ac:dyDescent="0.3"/>
    <row r="6580" x14ac:dyDescent="0.3"/>
    <row r="6581" x14ac:dyDescent="0.3"/>
    <row r="6582" x14ac:dyDescent="0.3"/>
    <row r="6583" x14ac:dyDescent="0.3"/>
    <row r="6584" x14ac:dyDescent="0.3"/>
    <row r="6585" x14ac:dyDescent="0.3"/>
    <row r="6586" x14ac:dyDescent="0.3"/>
    <row r="6587" x14ac:dyDescent="0.3"/>
    <row r="6588" x14ac:dyDescent="0.3"/>
    <row r="6589" x14ac:dyDescent="0.3"/>
    <row r="6590" x14ac:dyDescent="0.3"/>
    <row r="6591" x14ac:dyDescent="0.3"/>
    <row r="6592" x14ac:dyDescent="0.3"/>
    <row r="6593" x14ac:dyDescent="0.3"/>
    <row r="6594" x14ac:dyDescent="0.3"/>
    <row r="6595" x14ac:dyDescent="0.3"/>
    <row r="6596" x14ac:dyDescent="0.3"/>
    <row r="6597" x14ac:dyDescent="0.3"/>
    <row r="6598" x14ac:dyDescent="0.3"/>
    <row r="6599" x14ac:dyDescent="0.3"/>
    <row r="6600" x14ac:dyDescent="0.3"/>
    <row r="6601" x14ac:dyDescent="0.3"/>
    <row r="6602" x14ac:dyDescent="0.3"/>
    <row r="6603" x14ac:dyDescent="0.3"/>
    <row r="6604" x14ac:dyDescent="0.3"/>
    <row r="6605" x14ac:dyDescent="0.3"/>
    <row r="6606" x14ac:dyDescent="0.3"/>
    <row r="6607" x14ac:dyDescent="0.3"/>
    <row r="6608" x14ac:dyDescent="0.3"/>
    <row r="6609" x14ac:dyDescent="0.3"/>
    <row r="6610" x14ac:dyDescent="0.3"/>
    <row r="6611" x14ac:dyDescent="0.3"/>
    <row r="6612" x14ac:dyDescent="0.3"/>
    <row r="6613" x14ac:dyDescent="0.3"/>
    <row r="6614" x14ac:dyDescent="0.3"/>
    <row r="6615" x14ac:dyDescent="0.3"/>
    <row r="6616" x14ac:dyDescent="0.3"/>
    <row r="6617" x14ac:dyDescent="0.3"/>
    <row r="6618" x14ac:dyDescent="0.3"/>
    <row r="6619" x14ac:dyDescent="0.3"/>
    <row r="6620" x14ac:dyDescent="0.3"/>
    <row r="6621" x14ac:dyDescent="0.3"/>
    <row r="6622" x14ac:dyDescent="0.3"/>
    <row r="6623" x14ac:dyDescent="0.3"/>
    <row r="6624" x14ac:dyDescent="0.3"/>
    <row r="6625" x14ac:dyDescent="0.3"/>
    <row r="6626" x14ac:dyDescent="0.3"/>
    <row r="6627" x14ac:dyDescent="0.3"/>
    <row r="6628" x14ac:dyDescent="0.3"/>
    <row r="6629" x14ac:dyDescent="0.3"/>
    <row r="6630" x14ac:dyDescent="0.3"/>
    <row r="6631" x14ac:dyDescent="0.3"/>
    <row r="6632" x14ac:dyDescent="0.3"/>
    <row r="6633" x14ac:dyDescent="0.3"/>
    <row r="6634" x14ac:dyDescent="0.3"/>
    <row r="6635" x14ac:dyDescent="0.3"/>
    <row r="6636" x14ac:dyDescent="0.3"/>
    <row r="6637" x14ac:dyDescent="0.3"/>
    <row r="6638" x14ac:dyDescent="0.3"/>
    <row r="6639" x14ac:dyDescent="0.3"/>
    <row r="6640" x14ac:dyDescent="0.3"/>
    <row r="6641" x14ac:dyDescent="0.3"/>
    <row r="6642" x14ac:dyDescent="0.3"/>
    <row r="6643" x14ac:dyDescent="0.3"/>
    <row r="6644" x14ac:dyDescent="0.3"/>
    <row r="6645" x14ac:dyDescent="0.3"/>
    <row r="6646" x14ac:dyDescent="0.3"/>
    <row r="6647" x14ac:dyDescent="0.3"/>
    <row r="6648" x14ac:dyDescent="0.3"/>
    <row r="6649" x14ac:dyDescent="0.3"/>
    <row r="6650" x14ac:dyDescent="0.3"/>
    <row r="6651" x14ac:dyDescent="0.3"/>
    <row r="6652" x14ac:dyDescent="0.3"/>
    <row r="6653" x14ac:dyDescent="0.3"/>
    <row r="6654" x14ac:dyDescent="0.3"/>
    <row r="6655" x14ac:dyDescent="0.3"/>
    <row r="6656" x14ac:dyDescent="0.3"/>
    <row r="6657" x14ac:dyDescent="0.3"/>
    <row r="6658" x14ac:dyDescent="0.3"/>
    <row r="6659" x14ac:dyDescent="0.3"/>
    <row r="6660" x14ac:dyDescent="0.3"/>
    <row r="6661" x14ac:dyDescent="0.3"/>
    <row r="6662" x14ac:dyDescent="0.3"/>
    <row r="6663" x14ac:dyDescent="0.3"/>
    <row r="6664" x14ac:dyDescent="0.3"/>
    <row r="6665" x14ac:dyDescent="0.3"/>
    <row r="6666" x14ac:dyDescent="0.3"/>
    <row r="6667" x14ac:dyDescent="0.3"/>
    <row r="6668" x14ac:dyDescent="0.3"/>
    <row r="6669" x14ac:dyDescent="0.3"/>
    <row r="6670" x14ac:dyDescent="0.3"/>
    <row r="6671" x14ac:dyDescent="0.3"/>
    <row r="6672" x14ac:dyDescent="0.3"/>
    <row r="6673" x14ac:dyDescent="0.3"/>
    <row r="6674" x14ac:dyDescent="0.3"/>
    <row r="6675" x14ac:dyDescent="0.3"/>
    <row r="6676" x14ac:dyDescent="0.3"/>
    <row r="6677" x14ac:dyDescent="0.3"/>
    <row r="6678" x14ac:dyDescent="0.3"/>
    <row r="6679" x14ac:dyDescent="0.3"/>
    <row r="6680" x14ac:dyDescent="0.3"/>
    <row r="6681" x14ac:dyDescent="0.3"/>
    <row r="6682" x14ac:dyDescent="0.3"/>
    <row r="6683" x14ac:dyDescent="0.3"/>
    <row r="6684" x14ac:dyDescent="0.3"/>
    <row r="6685" x14ac:dyDescent="0.3"/>
    <row r="6686" x14ac:dyDescent="0.3"/>
    <row r="6687" x14ac:dyDescent="0.3"/>
    <row r="6688" x14ac:dyDescent="0.3"/>
    <row r="6689" x14ac:dyDescent="0.3"/>
    <row r="6690" x14ac:dyDescent="0.3"/>
    <row r="6691" x14ac:dyDescent="0.3"/>
    <row r="6692" x14ac:dyDescent="0.3"/>
    <row r="6693" x14ac:dyDescent="0.3"/>
    <row r="6694" x14ac:dyDescent="0.3"/>
    <row r="6695" x14ac:dyDescent="0.3"/>
    <row r="6696" x14ac:dyDescent="0.3"/>
    <row r="6697" x14ac:dyDescent="0.3"/>
    <row r="6698" x14ac:dyDescent="0.3"/>
    <row r="6699" x14ac:dyDescent="0.3"/>
    <row r="6700" x14ac:dyDescent="0.3"/>
    <row r="6701" x14ac:dyDescent="0.3"/>
    <row r="6702" x14ac:dyDescent="0.3"/>
    <row r="6703" x14ac:dyDescent="0.3"/>
    <row r="6704" x14ac:dyDescent="0.3"/>
    <row r="6705" x14ac:dyDescent="0.3"/>
    <row r="6706" x14ac:dyDescent="0.3"/>
    <row r="6707" x14ac:dyDescent="0.3"/>
    <row r="6708" x14ac:dyDescent="0.3"/>
    <row r="6709" x14ac:dyDescent="0.3"/>
    <row r="6710" x14ac:dyDescent="0.3"/>
    <row r="6711" x14ac:dyDescent="0.3"/>
    <row r="6712" x14ac:dyDescent="0.3"/>
    <row r="6713" x14ac:dyDescent="0.3"/>
    <row r="6714" x14ac:dyDescent="0.3"/>
    <row r="6715" x14ac:dyDescent="0.3"/>
    <row r="6716" x14ac:dyDescent="0.3"/>
    <row r="6717" x14ac:dyDescent="0.3"/>
    <row r="6718" x14ac:dyDescent="0.3"/>
    <row r="6719" x14ac:dyDescent="0.3"/>
    <row r="6720" x14ac:dyDescent="0.3"/>
    <row r="6721" x14ac:dyDescent="0.3"/>
    <row r="6722" x14ac:dyDescent="0.3"/>
    <row r="6723" x14ac:dyDescent="0.3"/>
    <row r="6724" x14ac:dyDescent="0.3"/>
    <row r="6725" x14ac:dyDescent="0.3"/>
    <row r="6726" x14ac:dyDescent="0.3"/>
    <row r="6727" x14ac:dyDescent="0.3"/>
    <row r="6728" x14ac:dyDescent="0.3"/>
    <row r="6729" x14ac:dyDescent="0.3"/>
    <row r="6730" x14ac:dyDescent="0.3"/>
    <row r="6731" x14ac:dyDescent="0.3"/>
    <row r="6732" x14ac:dyDescent="0.3"/>
    <row r="6733" x14ac:dyDescent="0.3"/>
    <row r="6734" x14ac:dyDescent="0.3"/>
    <row r="6735" x14ac:dyDescent="0.3"/>
    <row r="6736" x14ac:dyDescent="0.3"/>
    <row r="6737" x14ac:dyDescent="0.3"/>
    <row r="6738" x14ac:dyDescent="0.3"/>
    <row r="6739" x14ac:dyDescent="0.3"/>
    <row r="6740" x14ac:dyDescent="0.3"/>
    <row r="6741" x14ac:dyDescent="0.3"/>
    <row r="6742" x14ac:dyDescent="0.3"/>
    <row r="6743" x14ac:dyDescent="0.3"/>
    <row r="6744" x14ac:dyDescent="0.3"/>
    <row r="6745" x14ac:dyDescent="0.3"/>
    <row r="6746" x14ac:dyDescent="0.3"/>
    <row r="6747" x14ac:dyDescent="0.3"/>
    <row r="6748" x14ac:dyDescent="0.3"/>
    <row r="6749" x14ac:dyDescent="0.3"/>
    <row r="6750" x14ac:dyDescent="0.3"/>
    <row r="6751" x14ac:dyDescent="0.3"/>
    <row r="6752" x14ac:dyDescent="0.3"/>
    <row r="6753" x14ac:dyDescent="0.3"/>
    <row r="6754" x14ac:dyDescent="0.3"/>
    <row r="6755" x14ac:dyDescent="0.3"/>
    <row r="6756" x14ac:dyDescent="0.3"/>
    <row r="6757" x14ac:dyDescent="0.3"/>
    <row r="6758" x14ac:dyDescent="0.3"/>
    <row r="6759" x14ac:dyDescent="0.3"/>
    <row r="6760" x14ac:dyDescent="0.3"/>
    <row r="6761" x14ac:dyDescent="0.3"/>
    <row r="6762" x14ac:dyDescent="0.3"/>
    <row r="6763" x14ac:dyDescent="0.3"/>
    <row r="6764" x14ac:dyDescent="0.3"/>
    <row r="6765" x14ac:dyDescent="0.3"/>
    <row r="6766" x14ac:dyDescent="0.3"/>
    <row r="6767" x14ac:dyDescent="0.3"/>
    <row r="6768" x14ac:dyDescent="0.3"/>
    <row r="6769" x14ac:dyDescent="0.3"/>
    <row r="6770" x14ac:dyDescent="0.3"/>
    <row r="6771" x14ac:dyDescent="0.3"/>
    <row r="6772" x14ac:dyDescent="0.3"/>
    <row r="6773" x14ac:dyDescent="0.3"/>
    <row r="6774" x14ac:dyDescent="0.3"/>
    <row r="6775" x14ac:dyDescent="0.3"/>
    <row r="6776" x14ac:dyDescent="0.3"/>
    <row r="6777" x14ac:dyDescent="0.3"/>
    <row r="6778" x14ac:dyDescent="0.3"/>
    <row r="6779" x14ac:dyDescent="0.3"/>
    <row r="6780" x14ac:dyDescent="0.3"/>
    <row r="6781" x14ac:dyDescent="0.3"/>
    <row r="6782" x14ac:dyDescent="0.3"/>
    <row r="6783" x14ac:dyDescent="0.3"/>
    <row r="6784" x14ac:dyDescent="0.3"/>
    <row r="6785" x14ac:dyDescent="0.3"/>
    <row r="6786" x14ac:dyDescent="0.3"/>
    <row r="6787" x14ac:dyDescent="0.3"/>
    <row r="6788" x14ac:dyDescent="0.3"/>
    <row r="6789" x14ac:dyDescent="0.3"/>
    <row r="6790" x14ac:dyDescent="0.3"/>
    <row r="6791" x14ac:dyDescent="0.3"/>
    <row r="6792" x14ac:dyDescent="0.3"/>
    <row r="6793" x14ac:dyDescent="0.3"/>
    <row r="6794" x14ac:dyDescent="0.3"/>
    <row r="6795" x14ac:dyDescent="0.3"/>
    <row r="6796" x14ac:dyDescent="0.3"/>
    <row r="6797" x14ac:dyDescent="0.3"/>
    <row r="6798" x14ac:dyDescent="0.3"/>
    <row r="6799" x14ac:dyDescent="0.3"/>
    <row r="6800" x14ac:dyDescent="0.3"/>
    <row r="6801" x14ac:dyDescent="0.3"/>
    <row r="6802" x14ac:dyDescent="0.3"/>
    <row r="6803" x14ac:dyDescent="0.3"/>
    <row r="6804" x14ac:dyDescent="0.3"/>
    <row r="6805" x14ac:dyDescent="0.3"/>
    <row r="6806" x14ac:dyDescent="0.3"/>
    <row r="6807" x14ac:dyDescent="0.3"/>
    <row r="6808" x14ac:dyDescent="0.3"/>
    <row r="6809" x14ac:dyDescent="0.3"/>
    <row r="6810" x14ac:dyDescent="0.3"/>
    <row r="6811" x14ac:dyDescent="0.3"/>
    <row r="6812" x14ac:dyDescent="0.3"/>
    <row r="6813" x14ac:dyDescent="0.3"/>
    <row r="6814" x14ac:dyDescent="0.3"/>
    <row r="6815" x14ac:dyDescent="0.3"/>
    <row r="6816" x14ac:dyDescent="0.3"/>
    <row r="6817" x14ac:dyDescent="0.3"/>
    <row r="6818" x14ac:dyDescent="0.3"/>
    <row r="6819" x14ac:dyDescent="0.3"/>
    <row r="6820" x14ac:dyDescent="0.3"/>
    <row r="6821" x14ac:dyDescent="0.3"/>
    <row r="6822" x14ac:dyDescent="0.3"/>
    <row r="6823" x14ac:dyDescent="0.3"/>
    <row r="6824" x14ac:dyDescent="0.3"/>
    <row r="6825" x14ac:dyDescent="0.3"/>
    <row r="6826" x14ac:dyDescent="0.3"/>
    <row r="6827" x14ac:dyDescent="0.3"/>
    <row r="6828" x14ac:dyDescent="0.3"/>
    <row r="6829" x14ac:dyDescent="0.3"/>
    <row r="6830" x14ac:dyDescent="0.3"/>
    <row r="6831" x14ac:dyDescent="0.3"/>
    <row r="6832" x14ac:dyDescent="0.3"/>
    <row r="6833" x14ac:dyDescent="0.3"/>
    <row r="6834" x14ac:dyDescent="0.3"/>
    <row r="6835" x14ac:dyDescent="0.3"/>
    <row r="6836" x14ac:dyDescent="0.3"/>
    <row r="6837" x14ac:dyDescent="0.3"/>
    <row r="6838" x14ac:dyDescent="0.3"/>
    <row r="6839" x14ac:dyDescent="0.3"/>
    <row r="6840" x14ac:dyDescent="0.3"/>
    <row r="6841" x14ac:dyDescent="0.3"/>
    <row r="6842" x14ac:dyDescent="0.3"/>
    <row r="6843" x14ac:dyDescent="0.3"/>
    <row r="6844" x14ac:dyDescent="0.3"/>
    <row r="6845" x14ac:dyDescent="0.3"/>
    <row r="6846" x14ac:dyDescent="0.3"/>
    <row r="6847" x14ac:dyDescent="0.3"/>
    <row r="6848" x14ac:dyDescent="0.3"/>
    <row r="6849" x14ac:dyDescent="0.3"/>
    <row r="6850" x14ac:dyDescent="0.3"/>
    <row r="6851" x14ac:dyDescent="0.3"/>
    <row r="6852" x14ac:dyDescent="0.3"/>
    <row r="6853" x14ac:dyDescent="0.3"/>
    <row r="6854" x14ac:dyDescent="0.3"/>
    <row r="6855" x14ac:dyDescent="0.3"/>
    <row r="6856" x14ac:dyDescent="0.3"/>
    <row r="6857" x14ac:dyDescent="0.3"/>
    <row r="6858" x14ac:dyDescent="0.3"/>
    <row r="6859" x14ac:dyDescent="0.3"/>
    <row r="6860" x14ac:dyDescent="0.3"/>
    <row r="6861" x14ac:dyDescent="0.3"/>
    <row r="6862" x14ac:dyDescent="0.3"/>
    <row r="6863" x14ac:dyDescent="0.3"/>
    <row r="6864" x14ac:dyDescent="0.3"/>
    <row r="6865" x14ac:dyDescent="0.3"/>
    <row r="6866" x14ac:dyDescent="0.3"/>
    <row r="6867" x14ac:dyDescent="0.3"/>
    <row r="6868" x14ac:dyDescent="0.3"/>
    <row r="6869" x14ac:dyDescent="0.3"/>
    <row r="6870" x14ac:dyDescent="0.3"/>
    <row r="6871" x14ac:dyDescent="0.3"/>
    <row r="6872" x14ac:dyDescent="0.3"/>
    <row r="6873" x14ac:dyDescent="0.3"/>
    <row r="6874" x14ac:dyDescent="0.3"/>
    <row r="6875" x14ac:dyDescent="0.3"/>
    <row r="6876" x14ac:dyDescent="0.3"/>
    <row r="6877" x14ac:dyDescent="0.3"/>
    <row r="6878" x14ac:dyDescent="0.3"/>
    <row r="6879" x14ac:dyDescent="0.3"/>
    <row r="6880" x14ac:dyDescent="0.3"/>
    <row r="6881" x14ac:dyDescent="0.3"/>
    <row r="6882" x14ac:dyDescent="0.3"/>
    <row r="6883" x14ac:dyDescent="0.3"/>
    <row r="6884" x14ac:dyDescent="0.3"/>
    <row r="6885" x14ac:dyDescent="0.3"/>
    <row r="6886" x14ac:dyDescent="0.3"/>
    <row r="6887" x14ac:dyDescent="0.3"/>
    <row r="6888" x14ac:dyDescent="0.3"/>
    <row r="6889" x14ac:dyDescent="0.3"/>
    <row r="6890" x14ac:dyDescent="0.3"/>
    <row r="6891" x14ac:dyDescent="0.3"/>
    <row r="6892" x14ac:dyDescent="0.3"/>
    <row r="6893" x14ac:dyDescent="0.3"/>
    <row r="6894" x14ac:dyDescent="0.3"/>
    <row r="6895" x14ac:dyDescent="0.3"/>
    <row r="6896" x14ac:dyDescent="0.3"/>
    <row r="6897" x14ac:dyDescent="0.3"/>
    <row r="6898" x14ac:dyDescent="0.3"/>
    <row r="6899" x14ac:dyDescent="0.3"/>
    <row r="6900" x14ac:dyDescent="0.3"/>
    <row r="6901" x14ac:dyDescent="0.3"/>
    <row r="6902" x14ac:dyDescent="0.3"/>
    <row r="6903" x14ac:dyDescent="0.3"/>
    <row r="6904" x14ac:dyDescent="0.3"/>
    <row r="6905" x14ac:dyDescent="0.3"/>
    <row r="6906" x14ac:dyDescent="0.3"/>
    <row r="6907" x14ac:dyDescent="0.3"/>
    <row r="6908" x14ac:dyDescent="0.3"/>
    <row r="6909" x14ac:dyDescent="0.3"/>
    <row r="6910" x14ac:dyDescent="0.3"/>
    <row r="6911" x14ac:dyDescent="0.3"/>
    <row r="6912" x14ac:dyDescent="0.3"/>
    <row r="6913" x14ac:dyDescent="0.3"/>
    <row r="6914" x14ac:dyDescent="0.3"/>
    <row r="6915" x14ac:dyDescent="0.3"/>
    <row r="6916" x14ac:dyDescent="0.3"/>
    <row r="6917" x14ac:dyDescent="0.3"/>
    <row r="6918" x14ac:dyDescent="0.3"/>
    <row r="6919" x14ac:dyDescent="0.3"/>
    <row r="6920" x14ac:dyDescent="0.3"/>
    <row r="6921" x14ac:dyDescent="0.3"/>
    <row r="6922" x14ac:dyDescent="0.3"/>
    <row r="6923" x14ac:dyDescent="0.3"/>
    <row r="6924" x14ac:dyDescent="0.3"/>
    <row r="6925" x14ac:dyDescent="0.3"/>
    <row r="6926" x14ac:dyDescent="0.3"/>
    <row r="6927" x14ac:dyDescent="0.3"/>
    <row r="6928" x14ac:dyDescent="0.3"/>
    <row r="6929" x14ac:dyDescent="0.3"/>
    <row r="6930" x14ac:dyDescent="0.3"/>
    <row r="6931" x14ac:dyDescent="0.3"/>
    <row r="6932" x14ac:dyDescent="0.3"/>
    <row r="6933" x14ac:dyDescent="0.3"/>
    <row r="6934" x14ac:dyDescent="0.3"/>
    <row r="6935" x14ac:dyDescent="0.3"/>
    <row r="6936" x14ac:dyDescent="0.3"/>
    <row r="6937" x14ac:dyDescent="0.3"/>
    <row r="6938" x14ac:dyDescent="0.3"/>
    <row r="6939" x14ac:dyDescent="0.3"/>
    <row r="6940" x14ac:dyDescent="0.3"/>
    <row r="6941" x14ac:dyDescent="0.3"/>
    <row r="6942" x14ac:dyDescent="0.3"/>
    <row r="6943" x14ac:dyDescent="0.3"/>
    <row r="6944" x14ac:dyDescent="0.3"/>
    <row r="6945" x14ac:dyDescent="0.3"/>
    <row r="6946" x14ac:dyDescent="0.3"/>
    <row r="6947" x14ac:dyDescent="0.3"/>
    <row r="6948" x14ac:dyDescent="0.3"/>
    <row r="6949" x14ac:dyDescent="0.3"/>
    <row r="6950" x14ac:dyDescent="0.3"/>
    <row r="6951" x14ac:dyDescent="0.3"/>
    <row r="6952" x14ac:dyDescent="0.3"/>
    <row r="6953" x14ac:dyDescent="0.3"/>
    <row r="6954" x14ac:dyDescent="0.3"/>
    <row r="6955" x14ac:dyDescent="0.3"/>
    <row r="6956" x14ac:dyDescent="0.3"/>
    <row r="6957" x14ac:dyDescent="0.3"/>
    <row r="6958" x14ac:dyDescent="0.3"/>
    <row r="6959" x14ac:dyDescent="0.3"/>
    <row r="6960" x14ac:dyDescent="0.3"/>
    <row r="6961" x14ac:dyDescent="0.3"/>
    <row r="6962" x14ac:dyDescent="0.3"/>
    <row r="6963" x14ac:dyDescent="0.3"/>
    <row r="6964" x14ac:dyDescent="0.3"/>
    <row r="6965" x14ac:dyDescent="0.3"/>
    <row r="6966" x14ac:dyDescent="0.3"/>
    <row r="6967" x14ac:dyDescent="0.3"/>
    <row r="6968" x14ac:dyDescent="0.3"/>
    <row r="6969" x14ac:dyDescent="0.3"/>
    <row r="6970" x14ac:dyDescent="0.3"/>
    <row r="6971" x14ac:dyDescent="0.3"/>
    <row r="6972" x14ac:dyDescent="0.3"/>
    <row r="6973" x14ac:dyDescent="0.3"/>
    <row r="6974" x14ac:dyDescent="0.3"/>
    <row r="6975" x14ac:dyDescent="0.3"/>
    <row r="6976" x14ac:dyDescent="0.3"/>
    <row r="6977" x14ac:dyDescent="0.3"/>
    <row r="6978" x14ac:dyDescent="0.3"/>
    <row r="6979" x14ac:dyDescent="0.3"/>
    <row r="6980" x14ac:dyDescent="0.3"/>
    <row r="6981" x14ac:dyDescent="0.3"/>
    <row r="6982" x14ac:dyDescent="0.3"/>
    <row r="6983" x14ac:dyDescent="0.3"/>
    <row r="6984" x14ac:dyDescent="0.3"/>
    <row r="6985" x14ac:dyDescent="0.3"/>
    <row r="6986" x14ac:dyDescent="0.3"/>
    <row r="6987" x14ac:dyDescent="0.3"/>
    <row r="6988" x14ac:dyDescent="0.3"/>
    <row r="6989" x14ac:dyDescent="0.3"/>
    <row r="6990" x14ac:dyDescent="0.3"/>
    <row r="6991" x14ac:dyDescent="0.3"/>
    <row r="6992" x14ac:dyDescent="0.3"/>
    <row r="6993" x14ac:dyDescent="0.3"/>
    <row r="6994" x14ac:dyDescent="0.3"/>
    <row r="6995" x14ac:dyDescent="0.3"/>
    <row r="6996" x14ac:dyDescent="0.3"/>
    <row r="6997" x14ac:dyDescent="0.3"/>
    <row r="6998" x14ac:dyDescent="0.3"/>
    <row r="6999" x14ac:dyDescent="0.3"/>
    <row r="7000" x14ac:dyDescent="0.3"/>
    <row r="7001" x14ac:dyDescent="0.3"/>
    <row r="7002" x14ac:dyDescent="0.3"/>
    <row r="7003" x14ac:dyDescent="0.3"/>
    <row r="7004" x14ac:dyDescent="0.3"/>
    <row r="7005" x14ac:dyDescent="0.3"/>
    <row r="7006" x14ac:dyDescent="0.3"/>
    <row r="7007" x14ac:dyDescent="0.3"/>
    <row r="7008" x14ac:dyDescent="0.3"/>
    <row r="7009" x14ac:dyDescent="0.3"/>
    <row r="7010" x14ac:dyDescent="0.3"/>
    <row r="7011" x14ac:dyDescent="0.3"/>
    <row r="7012" x14ac:dyDescent="0.3"/>
    <row r="7013" x14ac:dyDescent="0.3"/>
    <row r="7014" x14ac:dyDescent="0.3"/>
    <row r="7015" x14ac:dyDescent="0.3"/>
    <row r="7016" x14ac:dyDescent="0.3"/>
    <row r="7017" x14ac:dyDescent="0.3"/>
    <row r="7018" x14ac:dyDescent="0.3"/>
    <row r="7019" x14ac:dyDescent="0.3"/>
    <row r="7020" x14ac:dyDescent="0.3"/>
    <row r="7021" x14ac:dyDescent="0.3"/>
    <row r="7022" x14ac:dyDescent="0.3"/>
    <row r="7023" x14ac:dyDescent="0.3"/>
    <row r="7024" x14ac:dyDescent="0.3"/>
    <row r="7025" x14ac:dyDescent="0.3"/>
    <row r="7026" x14ac:dyDescent="0.3"/>
    <row r="7027" x14ac:dyDescent="0.3"/>
    <row r="7028" x14ac:dyDescent="0.3"/>
    <row r="7029" x14ac:dyDescent="0.3"/>
    <row r="7030" x14ac:dyDescent="0.3"/>
    <row r="7031" x14ac:dyDescent="0.3"/>
    <row r="7032" x14ac:dyDescent="0.3"/>
    <row r="7033" x14ac:dyDescent="0.3"/>
    <row r="7034" x14ac:dyDescent="0.3"/>
    <row r="7035" x14ac:dyDescent="0.3"/>
    <row r="7036" x14ac:dyDescent="0.3"/>
    <row r="7037" x14ac:dyDescent="0.3"/>
    <row r="7038" x14ac:dyDescent="0.3"/>
    <row r="7039" x14ac:dyDescent="0.3"/>
    <row r="7040" x14ac:dyDescent="0.3"/>
    <row r="7041" x14ac:dyDescent="0.3"/>
    <row r="7042" x14ac:dyDescent="0.3"/>
    <row r="7043" x14ac:dyDescent="0.3"/>
    <row r="7044" x14ac:dyDescent="0.3"/>
    <row r="7045" x14ac:dyDescent="0.3"/>
    <row r="7046" x14ac:dyDescent="0.3"/>
    <row r="7047" x14ac:dyDescent="0.3"/>
    <row r="7048" x14ac:dyDescent="0.3"/>
    <row r="7049" x14ac:dyDescent="0.3"/>
    <row r="7050" x14ac:dyDescent="0.3"/>
    <row r="7051" x14ac:dyDescent="0.3"/>
    <row r="7052" x14ac:dyDescent="0.3"/>
    <row r="7053" x14ac:dyDescent="0.3"/>
    <row r="7054" x14ac:dyDescent="0.3"/>
    <row r="7055" x14ac:dyDescent="0.3"/>
    <row r="7056" x14ac:dyDescent="0.3"/>
    <row r="7057" x14ac:dyDescent="0.3"/>
    <row r="7058" x14ac:dyDescent="0.3"/>
    <row r="7059" x14ac:dyDescent="0.3"/>
    <row r="7060" x14ac:dyDescent="0.3"/>
    <row r="7061" x14ac:dyDescent="0.3"/>
    <row r="7062" x14ac:dyDescent="0.3"/>
    <row r="7063" x14ac:dyDescent="0.3"/>
    <row r="7064" x14ac:dyDescent="0.3"/>
    <row r="7065" x14ac:dyDescent="0.3"/>
    <row r="7066" x14ac:dyDescent="0.3"/>
    <row r="7067" x14ac:dyDescent="0.3"/>
    <row r="7068" x14ac:dyDescent="0.3"/>
    <row r="7069" x14ac:dyDescent="0.3"/>
    <row r="7070" x14ac:dyDescent="0.3"/>
    <row r="7071" x14ac:dyDescent="0.3"/>
    <row r="7072" x14ac:dyDescent="0.3"/>
    <row r="7073" x14ac:dyDescent="0.3"/>
    <row r="7074" x14ac:dyDescent="0.3"/>
    <row r="7075" x14ac:dyDescent="0.3"/>
    <row r="7076" x14ac:dyDescent="0.3"/>
    <row r="7077" x14ac:dyDescent="0.3"/>
    <row r="7078" x14ac:dyDescent="0.3"/>
    <row r="7079" x14ac:dyDescent="0.3"/>
    <row r="7080" x14ac:dyDescent="0.3"/>
    <row r="7081" x14ac:dyDescent="0.3"/>
    <row r="7082" x14ac:dyDescent="0.3"/>
    <row r="7083" x14ac:dyDescent="0.3"/>
    <row r="7084" x14ac:dyDescent="0.3"/>
    <row r="7085" x14ac:dyDescent="0.3"/>
    <row r="7086" x14ac:dyDescent="0.3"/>
    <row r="7087" x14ac:dyDescent="0.3"/>
    <row r="7088" x14ac:dyDescent="0.3"/>
    <row r="7089" x14ac:dyDescent="0.3"/>
    <row r="7090" x14ac:dyDescent="0.3"/>
    <row r="7091" x14ac:dyDescent="0.3"/>
    <row r="7092" x14ac:dyDescent="0.3"/>
    <row r="7093" x14ac:dyDescent="0.3"/>
    <row r="7094" x14ac:dyDescent="0.3"/>
    <row r="7095" x14ac:dyDescent="0.3"/>
    <row r="7096" x14ac:dyDescent="0.3"/>
    <row r="7097" x14ac:dyDescent="0.3"/>
    <row r="7098" x14ac:dyDescent="0.3"/>
    <row r="7099" x14ac:dyDescent="0.3"/>
    <row r="7100" x14ac:dyDescent="0.3"/>
    <row r="7101" x14ac:dyDescent="0.3"/>
    <row r="7102" x14ac:dyDescent="0.3"/>
    <row r="7103" x14ac:dyDescent="0.3"/>
    <row r="7104" x14ac:dyDescent="0.3"/>
    <row r="7105" x14ac:dyDescent="0.3"/>
    <row r="7106" x14ac:dyDescent="0.3"/>
    <row r="7107" x14ac:dyDescent="0.3"/>
    <row r="7108" x14ac:dyDescent="0.3"/>
    <row r="7109" x14ac:dyDescent="0.3"/>
    <row r="7110" x14ac:dyDescent="0.3"/>
    <row r="7111" x14ac:dyDescent="0.3"/>
    <row r="7112" x14ac:dyDescent="0.3"/>
    <row r="7113" x14ac:dyDescent="0.3"/>
    <row r="7114" x14ac:dyDescent="0.3"/>
    <row r="7115" x14ac:dyDescent="0.3"/>
    <row r="7116" x14ac:dyDescent="0.3"/>
    <row r="7117" x14ac:dyDescent="0.3"/>
    <row r="7118" x14ac:dyDescent="0.3"/>
    <row r="7119" x14ac:dyDescent="0.3"/>
    <row r="7120" x14ac:dyDescent="0.3"/>
    <row r="7121" x14ac:dyDescent="0.3"/>
    <row r="7122" x14ac:dyDescent="0.3"/>
    <row r="7123" x14ac:dyDescent="0.3"/>
    <row r="7124" x14ac:dyDescent="0.3"/>
    <row r="7125" x14ac:dyDescent="0.3"/>
    <row r="7126" x14ac:dyDescent="0.3"/>
    <row r="7127" x14ac:dyDescent="0.3"/>
    <row r="7128" x14ac:dyDescent="0.3"/>
    <row r="7129" x14ac:dyDescent="0.3"/>
    <row r="7130" x14ac:dyDescent="0.3"/>
    <row r="7131" x14ac:dyDescent="0.3"/>
    <row r="7132" x14ac:dyDescent="0.3"/>
    <row r="7133" x14ac:dyDescent="0.3"/>
    <row r="7134" x14ac:dyDescent="0.3"/>
    <row r="7135" x14ac:dyDescent="0.3"/>
    <row r="7136" x14ac:dyDescent="0.3"/>
    <row r="7137" x14ac:dyDescent="0.3"/>
    <row r="7138" x14ac:dyDescent="0.3"/>
    <row r="7139" x14ac:dyDescent="0.3"/>
    <row r="7140" x14ac:dyDescent="0.3"/>
    <row r="7141" x14ac:dyDescent="0.3"/>
    <row r="7142" x14ac:dyDescent="0.3"/>
    <row r="7143" x14ac:dyDescent="0.3"/>
    <row r="7144" x14ac:dyDescent="0.3"/>
    <row r="7145" x14ac:dyDescent="0.3"/>
    <row r="7146" x14ac:dyDescent="0.3"/>
    <row r="7147" x14ac:dyDescent="0.3"/>
    <row r="7148" x14ac:dyDescent="0.3"/>
    <row r="7149" x14ac:dyDescent="0.3"/>
    <row r="7150" x14ac:dyDescent="0.3"/>
    <row r="7151" x14ac:dyDescent="0.3"/>
    <row r="7152" x14ac:dyDescent="0.3"/>
    <row r="7153" x14ac:dyDescent="0.3"/>
    <row r="7154" x14ac:dyDescent="0.3"/>
    <row r="7155" x14ac:dyDescent="0.3"/>
    <row r="7156" x14ac:dyDescent="0.3"/>
    <row r="7157" x14ac:dyDescent="0.3"/>
    <row r="7158" x14ac:dyDescent="0.3"/>
    <row r="7159" x14ac:dyDescent="0.3"/>
    <row r="7160" x14ac:dyDescent="0.3"/>
    <row r="7161" x14ac:dyDescent="0.3"/>
    <row r="7162" x14ac:dyDescent="0.3"/>
    <row r="7163" x14ac:dyDescent="0.3"/>
    <row r="7164" x14ac:dyDescent="0.3"/>
    <row r="7165" x14ac:dyDescent="0.3"/>
    <row r="7166" x14ac:dyDescent="0.3"/>
    <row r="7167" x14ac:dyDescent="0.3"/>
    <row r="7168" x14ac:dyDescent="0.3"/>
    <row r="7169" x14ac:dyDescent="0.3"/>
    <row r="7170" x14ac:dyDescent="0.3"/>
    <row r="7171" x14ac:dyDescent="0.3"/>
    <row r="7172" x14ac:dyDescent="0.3"/>
    <row r="7173" x14ac:dyDescent="0.3"/>
    <row r="7174" x14ac:dyDescent="0.3"/>
    <row r="7175" x14ac:dyDescent="0.3"/>
    <row r="7176" x14ac:dyDescent="0.3"/>
    <row r="7177" x14ac:dyDescent="0.3"/>
    <row r="7178" x14ac:dyDescent="0.3"/>
    <row r="7179" x14ac:dyDescent="0.3"/>
    <row r="7180" x14ac:dyDescent="0.3"/>
    <row r="7181" x14ac:dyDescent="0.3"/>
    <row r="7182" x14ac:dyDescent="0.3"/>
    <row r="7183" x14ac:dyDescent="0.3"/>
    <row r="7184" x14ac:dyDescent="0.3"/>
    <row r="7185" x14ac:dyDescent="0.3"/>
    <row r="7186" x14ac:dyDescent="0.3"/>
    <row r="7187" x14ac:dyDescent="0.3"/>
    <row r="7188" x14ac:dyDescent="0.3"/>
    <row r="7189" x14ac:dyDescent="0.3"/>
    <row r="7190" x14ac:dyDescent="0.3"/>
    <row r="7191" x14ac:dyDescent="0.3"/>
    <row r="7192" x14ac:dyDescent="0.3"/>
    <row r="7193" x14ac:dyDescent="0.3"/>
    <row r="7194" x14ac:dyDescent="0.3"/>
    <row r="7195" x14ac:dyDescent="0.3"/>
    <row r="7196" x14ac:dyDescent="0.3"/>
    <row r="7197" x14ac:dyDescent="0.3"/>
    <row r="7198" x14ac:dyDescent="0.3"/>
    <row r="7199" x14ac:dyDescent="0.3"/>
    <row r="7200" x14ac:dyDescent="0.3"/>
    <row r="7201" x14ac:dyDescent="0.3"/>
    <row r="7202" x14ac:dyDescent="0.3"/>
    <row r="7203" x14ac:dyDescent="0.3"/>
    <row r="7204" x14ac:dyDescent="0.3"/>
    <row r="7205" x14ac:dyDescent="0.3"/>
    <row r="7206" x14ac:dyDescent="0.3"/>
    <row r="7207" x14ac:dyDescent="0.3"/>
    <row r="7208" x14ac:dyDescent="0.3"/>
    <row r="7209" x14ac:dyDescent="0.3"/>
    <row r="7210" x14ac:dyDescent="0.3"/>
    <row r="7211" x14ac:dyDescent="0.3"/>
    <row r="7212" x14ac:dyDescent="0.3"/>
    <row r="7213" x14ac:dyDescent="0.3"/>
    <row r="7214" x14ac:dyDescent="0.3"/>
    <row r="7215" x14ac:dyDescent="0.3"/>
    <row r="7216" x14ac:dyDescent="0.3"/>
    <row r="7217" x14ac:dyDescent="0.3"/>
    <row r="7218" x14ac:dyDescent="0.3"/>
    <row r="7219" x14ac:dyDescent="0.3"/>
    <row r="7220" x14ac:dyDescent="0.3"/>
    <row r="7221" x14ac:dyDescent="0.3"/>
    <row r="7222" x14ac:dyDescent="0.3"/>
    <row r="7223" x14ac:dyDescent="0.3"/>
    <row r="7224" x14ac:dyDescent="0.3"/>
    <row r="7225" x14ac:dyDescent="0.3"/>
    <row r="7226" x14ac:dyDescent="0.3"/>
    <row r="7227" x14ac:dyDescent="0.3"/>
    <row r="7228" x14ac:dyDescent="0.3"/>
    <row r="7229" x14ac:dyDescent="0.3"/>
    <row r="7230" x14ac:dyDescent="0.3"/>
    <row r="7231" x14ac:dyDescent="0.3"/>
    <row r="7232" x14ac:dyDescent="0.3"/>
    <row r="7233" x14ac:dyDescent="0.3"/>
    <row r="7234" x14ac:dyDescent="0.3"/>
    <row r="7235" x14ac:dyDescent="0.3"/>
    <row r="7236" x14ac:dyDescent="0.3"/>
    <row r="7237" x14ac:dyDescent="0.3"/>
    <row r="7238" x14ac:dyDescent="0.3"/>
    <row r="7239" x14ac:dyDescent="0.3"/>
    <row r="7240" x14ac:dyDescent="0.3"/>
    <row r="7241" x14ac:dyDescent="0.3"/>
    <row r="7242" x14ac:dyDescent="0.3"/>
    <row r="7243" x14ac:dyDescent="0.3"/>
    <row r="7244" x14ac:dyDescent="0.3"/>
    <row r="7245" x14ac:dyDescent="0.3"/>
    <row r="7246" x14ac:dyDescent="0.3"/>
    <row r="7247" x14ac:dyDescent="0.3"/>
    <row r="7248" x14ac:dyDescent="0.3"/>
    <row r="7249" x14ac:dyDescent="0.3"/>
    <row r="7250" x14ac:dyDescent="0.3"/>
    <row r="7251" x14ac:dyDescent="0.3"/>
    <row r="7252" x14ac:dyDescent="0.3"/>
    <row r="7253" x14ac:dyDescent="0.3"/>
    <row r="7254" x14ac:dyDescent="0.3"/>
    <row r="7255" x14ac:dyDescent="0.3"/>
    <row r="7256" x14ac:dyDescent="0.3"/>
    <row r="7257" x14ac:dyDescent="0.3"/>
    <row r="7258" x14ac:dyDescent="0.3"/>
    <row r="7259" x14ac:dyDescent="0.3"/>
    <row r="7260" x14ac:dyDescent="0.3"/>
    <row r="7261" x14ac:dyDescent="0.3"/>
    <row r="7262" x14ac:dyDescent="0.3"/>
    <row r="7263" x14ac:dyDescent="0.3"/>
    <row r="7264" x14ac:dyDescent="0.3"/>
    <row r="7265" x14ac:dyDescent="0.3"/>
    <row r="7266" x14ac:dyDescent="0.3"/>
    <row r="7267" x14ac:dyDescent="0.3"/>
    <row r="7268" x14ac:dyDescent="0.3"/>
    <row r="7269" x14ac:dyDescent="0.3"/>
    <row r="7270" x14ac:dyDescent="0.3"/>
    <row r="7271" x14ac:dyDescent="0.3"/>
    <row r="7272" x14ac:dyDescent="0.3"/>
    <row r="7273" x14ac:dyDescent="0.3"/>
    <row r="7274" x14ac:dyDescent="0.3"/>
    <row r="7275" x14ac:dyDescent="0.3"/>
    <row r="7276" x14ac:dyDescent="0.3"/>
    <row r="7277" x14ac:dyDescent="0.3"/>
    <row r="7278" x14ac:dyDescent="0.3"/>
    <row r="7279" x14ac:dyDescent="0.3"/>
    <row r="7280" x14ac:dyDescent="0.3"/>
    <row r="7281" x14ac:dyDescent="0.3"/>
    <row r="7282" x14ac:dyDescent="0.3"/>
    <row r="7283" x14ac:dyDescent="0.3"/>
    <row r="7284" x14ac:dyDescent="0.3"/>
    <row r="7285" x14ac:dyDescent="0.3"/>
    <row r="7286" x14ac:dyDescent="0.3"/>
    <row r="7287" x14ac:dyDescent="0.3"/>
    <row r="7288" x14ac:dyDescent="0.3"/>
    <row r="7289" x14ac:dyDescent="0.3"/>
    <row r="7290" x14ac:dyDescent="0.3"/>
    <row r="7291" x14ac:dyDescent="0.3"/>
    <row r="7292" x14ac:dyDescent="0.3"/>
    <row r="7293" x14ac:dyDescent="0.3"/>
    <row r="7294" x14ac:dyDescent="0.3"/>
    <row r="7295" x14ac:dyDescent="0.3"/>
    <row r="7296" x14ac:dyDescent="0.3"/>
    <row r="7297" x14ac:dyDescent="0.3"/>
    <row r="7298" x14ac:dyDescent="0.3"/>
    <row r="7299" x14ac:dyDescent="0.3"/>
    <row r="7300" x14ac:dyDescent="0.3"/>
    <row r="7301" x14ac:dyDescent="0.3"/>
    <row r="7302" x14ac:dyDescent="0.3"/>
    <row r="7303" x14ac:dyDescent="0.3"/>
    <row r="7304" x14ac:dyDescent="0.3"/>
    <row r="7305" x14ac:dyDescent="0.3"/>
    <row r="7306" x14ac:dyDescent="0.3"/>
    <row r="7307" x14ac:dyDescent="0.3"/>
    <row r="7308" x14ac:dyDescent="0.3"/>
    <row r="7309" x14ac:dyDescent="0.3"/>
    <row r="7310" x14ac:dyDescent="0.3"/>
    <row r="7311" x14ac:dyDescent="0.3"/>
    <row r="7312" x14ac:dyDescent="0.3"/>
    <row r="7313" x14ac:dyDescent="0.3"/>
    <row r="7314" x14ac:dyDescent="0.3"/>
    <row r="7315" x14ac:dyDescent="0.3"/>
    <row r="7316" x14ac:dyDescent="0.3"/>
    <row r="7317" x14ac:dyDescent="0.3"/>
    <row r="7318" x14ac:dyDescent="0.3"/>
    <row r="7319" x14ac:dyDescent="0.3"/>
    <row r="7320" x14ac:dyDescent="0.3"/>
    <row r="7321" x14ac:dyDescent="0.3"/>
    <row r="7322" x14ac:dyDescent="0.3"/>
    <row r="7323" x14ac:dyDescent="0.3"/>
    <row r="7324" x14ac:dyDescent="0.3"/>
    <row r="7325" x14ac:dyDescent="0.3"/>
    <row r="7326" x14ac:dyDescent="0.3"/>
    <row r="7327" x14ac:dyDescent="0.3"/>
    <row r="7328" x14ac:dyDescent="0.3"/>
    <row r="7329" x14ac:dyDescent="0.3"/>
    <row r="7330" x14ac:dyDescent="0.3"/>
    <row r="7331" x14ac:dyDescent="0.3"/>
    <row r="7332" x14ac:dyDescent="0.3"/>
    <row r="7333" x14ac:dyDescent="0.3"/>
    <row r="7334" x14ac:dyDescent="0.3"/>
    <row r="7335" x14ac:dyDescent="0.3"/>
    <row r="7336" x14ac:dyDescent="0.3"/>
    <row r="7337" x14ac:dyDescent="0.3"/>
    <row r="7338" x14ac:dyDescent="0.3"/>
    <row r="7339" x14ac:dyDescent="0.3"/>
    <row r="7340" x14ac:dyDescent="0.3"/>
    <row r="7341" x14ac:dyDescent="0.3"/>
    <row r="7342" x14ac:dyDescent="0.3"/>
    <row r="7343" x14ac:dyDescent="0.3"/>
    <row r="7344" x14ac:dyDescent="0.3"/>
    <row r="7345" x14ac:dyDescent="0.3"/>
    <row r="7346" x14ac:dyDescent="0.3"/>
    <row r="7347" x14ac:dyDescent="0.3"/>
    <row r="7348" x14ac:dyDescent="0.3"/>
    <row r="7349" x14ac:dyDescent="0.3"/>
    <row r="7350" x14ac:dyDescent="0.3"/>
    <row r="7351" x14ac:dyDescent="0.3"/>
    <row r="7352" x14ac:dyDescent="0.3"/>
    <row r="7353" x14ac:dyDescent="0.3"/>
    <row r="7354" x14ac:dyDescent="0.3"/>
    <row r="7355" x14ac:dyDescent="0.3"/>
    <row r="7356" x14ac:dyDescent="0.3"/>
    <row r="7357" x14ac:dyDescent="0.3"/>
    <row r="7358" x14ac:dyDescent="0.3"/>
    <row r="7359" x14ac:dyDescent="0.3"/>
    <row r="7360" x14ac:dyDescent="0.3"/>
    <row r="7361" x14ac:dyDescent="0.3"/>
    <row r="7362" x14ac:dyDescent="0.3"/>
    <row r="7363" x14ac:dyDescent="0.3"/>
    <row r="7364" x14ac:dyDescent="0.3"/>
    <row r="7365" x14ac:dyDescent="0.3"/>
    <row r="7366" x14ac:dyDescent="0.3"/>
    <row r="7367" x14ac:dyDescent="0.3"/>
    <row r="7368" x14ac:dyDescent="0.3"/>
    <row r="7369" x14ac:dyDescent="0.3"/>
    <row r="7370" x14ac:dyDescent="0.3"/>
    <row r="7371" x14ac:dyDescent="0.3"/>
    <row r="7372" x14ac:dyDescent="0.3"/>
    <row r="7373" x14ac:dyDescent="0.3"/>
    <row r="7374" x14ac:dyDescent="0.3"/>
    <row r="7375" x14ac:dyDescent="0.3"/>
    <row r="7376" x14ac:dyDescent="0.3"/>
    <row r="7377" x14ac:dyDescent="0.3"/>
    <row r="7378" x14ac:dyDescent="0.3"/>
    <row r="7379" x14ac:dyDescent="0.3"/>
    <row r="7380" x14ac:dyDescent="0.3"/>
    <row r="7381" x14ac:dyDescent="0.3"/>
    <row r="7382" x14ac:dyDescent="0.3"/>
    <row r="7383" x14ac:dyDescent="0.3"/>
    <row r="7384" x14ac:dyDescent="0.3"/>
    <row r="7385" x14ac:dyDescent="0.3"/>
    <row r="7386" x14ac:dyDescent="0.3"/>
    <row r="7387" x14ac:dyDescent="0.3"/>
    <row r="7388" x14ac:dyDescent="0.3"/>
    <row r="7389" x14ac:dyDescent="0.3"/>
    <row r="7390" x14ac:dyDescent="0.3"/>
    <row r="7391" x14ac:dyDescent="0.3"/>
    <row r="7392" x14ac:dyDescent="0.3"/>
    <row r="7393" x14ac:dyDescent="0.3"/>
    <row r="7394" x14ac:dyDescent="0.3"/>
    <row r="7395" x14ac:dyDescent="0.3"/>
    <row r="7396" x14ac:dyDescent="0.3"/>
    <row r="7397" x14ac:dyDescent="0.3"/>
    <row r="7398" x14ac:dyDescent="0.3"/>
    <row r="7399" x14ac:dyDescent="0.3"/>
    <row r="7400" x14ac:dyDescent="0.3"/>
    <row r="7401" x14ac:dyDescent="0.3"/>
    <row r="7402" x14ac:dyDescent="0.3"/>
    <row r="7403" x14ac:dyDescent="0.3"/>
    <row r="7404" x14ac:dyDescent="0.3"/>
    <row r="7405" x14ac:dyDescent="0.3"/>
    <row r="7406" x14ac:dyDescent="0.3"/>
    <row r="7407" x14ac:dyDescent="0.3"/>
    <row r="7408" x14ac:dyDescent="0.3"/>
    <row r="7409" x14ac:dyDescent="0.3"/>
    <row r="7410" x14ac:dyDescent="0.3"/>
    <row r="7411" x14ac:dyDescent="0.3"/>
    <row r="7412" x14ac:dyDescent="0.3"/>
    <row r="7413" x14ac:dyDescent="0.3"/>
    <row r="7414" x14ac:dyDescent="0.3"/>
    <row r="7415" x14ac:dyDescent="0.3"/>
    <row r="7416" x14ac:dyDescent="0.3"/>
    <row r="7417" x14ac:dyDescent="0.3"/>
    <row r="7418" x14ac:dyDescent="0.3"/>
    <row r="7419" x14ac:dyDescent="0.3"/>
    <row r="7420" x14ac:dyDescent="0.3"/>
    <row r="7421" x14ac:dyDescent="0.3"/>
    <row r="7422" x14ac:dyDescent="0.3"/>
    <row r="7423" x14ac:dyDescent="0.3"/>
    <row r="7424" x14ac:dyDescent="0.3"/>
    <row r="7425" x14ac:dyDescent="0.3"/>
    <row r="7426" x14ac:dyDescent="0.3"/>
    <row r="7427" x14ac:dyDescent="0.3"/>
    <row r="7428" x14ac:dyDescent="0.3"/>
    <row r="7429" x14ac:dyDescent="0.3"/>
    <row r="7430" x14ac:dyDescent="0.3"/>
    <row r="7431" x14ac:dyDescent="0.3"/>
    <row r="7432" x14ac:dyDescent="0.3"/>
    <row r="7433" x14ac:dyDescent="0.3"/>
    <row r="7434" x14ac:dyDescent="0.3"/>
    <row r="7435" x14ac:dyDescent="0.3"/>
    <row r="7436" x14ac:dyDescent="0.3"/>
    <row r="7437" x14ac:dyDescent="0.3"/>
    <row r="7438" x14ac:dyDescent="0.3"/>
    <row r="7439" x14ac:dyDescent="0.3"/>
    <row r="7440" x14ac:dyDescent="0.3"/>
    <row r="7441" x14ac:dyDescent="0.3"/>
    <row r="7442" x14ac:dyDescent="0.3"/>
    <row r="7443" x14ac:dyDescent="0.3"/>
    <row r="7444" x14ac:dyDescent="0.3"/>
    <row r="7445" x14ac:dyDescent="0.3"/>
    <row r="7446" x14ac:dyDescent="0.3"/>
    <row r="7447" x14ac:dyDescent="0.3"/>
    <row r="7448" x14ac:dyDescent="0.3"/>
    <row r="7449" x14ac:dyDescent="0.3"/>
    <row r="7450" x14ac:dyDescent="0.3"/>
    <row r="7451" x14ac:dyDescent="0.3"/>
    <row r="7452" x14ac:dyDescent="0.3"/>
    <row r="7453" x14ac:dyDescent="0.3"/>
    <row r="7454" x14ac:dyDescent="0.3"/>
    <row r="7455" x14ac:dyDescent="0.3"/>
    <row r="7456" x14ac:dyDescent="0.3"/>
    <row r="7457" x14ac:dyDescent="0.3"/>
    <row r="7458" x14ac:dyDescent="0.3"/>
    <row r="7459" x14ac:dyDescent="0.3"/>
    <row r="7460" x14ac:dyDescent="0.3"/>
    <row r="7461" x14ac:dyDescent="0.3"/>
    <row r="7462" x14ac:dyDescent="0.3"/>
    <row r="7463" x14ac:dyDescent="0.3"/>
    <row r="7464" x14ac:dyDescent="0.3"/>
    <row r="7465" x14ac:dyDescent="0.3"/>
    <row r="7466" x14ac:dyDescent="0.3"/>
    <row r="7467" x14ac:dyDescent="0.3"/>
    <row r="7468" x14ac:dyDescent="0.3"/>
    <row r="7469" x14ac:dyDescent="0.3"/>
    <row r="7470" x14ac:dyDescent="0.3"/>
    <row r="7471" x14ac:dyDescent="0.3"/>
    <row r="7472" x14ac:dyDescent="0.3"/>
    <row r="7473" x14ac:dyDescent="0.3"/>
    <row r="7474" x14ac:dyDescent="0.3"/>
    <row r="7475" x14ac:dyDescent="0.3"/>
    <row r="7476" x14ac:dyDescent="0.3"/>
    <row r="7477" x14ac:dyDescent="0.3"/>
    <row r="7478" x14ac:dyDescent="0.3"/>
    <row r="7479" x14ac:dyDescent="0.3"/>
    <row r="7480" x14ac:dyDescent="0.3"/>
    <row r="7481" x14ac:dyDescent="0.3"/>
    <row r="7482" x14ac:dyDescent="0.3"/>
    <row r="7483" x14ac:dyDescent="0.3"/>
    <row r="7484" x14ac:dyDescent="0.3"/>
    <row r="7485" x14ac:dyDescent="0.3"/>
    <row r="7486" x14ac:dyDescent="0.3"/>
    <row r="7487" x14ac:dyDescent="0.3"/>
    <row r="7488" x14ac:dyDescent="0.3"/>
    <row r="7489" x14ac:dyDescent="0.3"/>
    <row r="7490" x14ac:dyDescent="0.3"/>
    <row r="7491" x14ac:dyDescent="0.3"/>
    <row r="7492" x14ac:dyDescent="0.3"/>
    <row r="7493" x14ac:dyDescent="0.3"/>
    <row r="7494" x14ac:dyDescent="0.3"/>
    <row r="7495" x14ac:dyDescent="0.3"/>
    <row r="7496" x14ac:dyDescent="0.3"/>
    <row r="7497" x14ac:dyDescent="0.3"/>
    <row r="7498" x14ac:dyDescent="0.3"/>
    <row r="7499" x14ac:dyDescent="0.3"/>
    <row r="7500" x14ac:dyDescent="0.3"/>
    <row r="7501" x14ac:dyDescent="0.3"/>
    <row r="7502" x14ac:dyDescent="0.3"/>
    <row r="7503" x14ac:dyDescent="0.3"/>
    <row r="7504" x14ac:dyDescent="0.3"/>
    <row r="7505" x14ac:dyDescent="0.3"/>
    <row r="7506" x14ac:dyDescent="0.3"/>
    <row r="7507" x14ac:dyDescent="0.3"/>
    <row r="7508" x14ac:dyDescent="0.3"/>
    <row r="7509" x14ac:dyDescent="0.3"/>
    <row r="7510" x14ac:dyDescent="0.3"/>
    <row r="7511" x14ac:dyDescent="0.3"/>
    <row r="7512" x14ac:dyDescent="0.3"/>
    <row r="7513" x14ac:dyDescent="0.3"/>
    <row r="7514" x14ac:dyDescent="0.3"/>
    <row r="7515" x14ac:dyDescent="0.3"/>
    <row r="7516" x14ac:dyDescent="0.3"/>
    <row r="7517" x14ac:dyDescent="0.3"/>
    <row r="7518" x14ac:dyDescent="0.3"/>
    <row r="7519" x14ac:dyDescent="0.3"/>
    <row r="7520" x14ac:dyDescent="0.3"/>
    <row r="7521" x14ac:dyDescent="0.3"/>
    <row r="7522" x14ac:dyDescent="0.3"/>
    <row r="7523" x14ac:dyDescent="0.3"/>
    <row r="7524" x14ac:dyDescent="0.3"/>
    <row r="7525" x14ac:dyDescent="0.3"/>
    <row r="7526" x14ac:dyDescent="0.3"/>
    <row r="7527" x14ac:dyDescent="0.3"/>
    <row r="7528" x14ac:dyDescent="0.3"/>
    <row r="7529" x14ac:dyDescent="0.3"/>
    <row r="7530" x14ac:dyDescent="0.3"/>
    <row r="7531" x14ac:dyDescent="0.3"/>
    <row r="7532" x14ac:dyDescent="0.3"/>
    <row r="7533" x14ac:dyDescent="0.3"/>
    <row r="7534" x14ac:dyDescent="0.3"/>
    <row r="7535" x14ac:dyDescent="0.3"/>
    <row r="7536" x14ac:dyDescent="0.3"/>
    <row r="7537" x14ac:dyDescent="0.3"/>
    <row r="7538" x14ac:dyDescent="0.3"/>
    <row r="7539" x14ac:dyDescent="0.3"/>
    <row r="7540" x14ac:dyDescent="0.3"/>
    <row r="7541" x14ac:dyDescent="0.3"/>
    <row r="7542" x14ac:dyDescent="0.3"/>
    <row r="7543" x14ac:dyDescent="0.3"/>
    <row r="7544" x14ac:dyDescent="0.3"/>
    <row r="7545" x14ac:dyDescent="0.3"/>
    <row r="7546" x14ac:dyDescent="0.3"/>
    <row r="7547" x14ac:dyDescent="0.3"/>
    <row r="7548" x14ac:dyDescent="0.3"/>
    <row r="7549" x14ac:dyDescent="0.3"/>
    <row r="7550" x14ac:dyDescent="0.3"/>
    <row r="7551" x14ac:dyDescent="0.3"/>
    <row r="7552" x14ac:dyDescent="0.3"/>
    <row r="7553" x14ac:dyDescent="0.3"/>
    <row r="7554" x14ac:dyDescent="0.3"/>
    <row r="7555" x14ac:dyDescent="0.3"/>
    <row r="7556" x14ac:dyDescent="0.3"/>
    <row r="7557" x14ac:dyDescent="0.3"/>
    <row r="7558" x14ac:dyDescent="0.3"/>
    <row r="7559" x14ac:dyDescent="0.3"/>
    <row r="7560" x14ac:dyDescent="0.3"/>
    <row r="7561" x14ac:dyDescent="0.3"/>
    <row r="7562" x14ac:dyDescent="0.3"/>
    <row r="7563" x14ac:dyDescent="0.3"/>
    <row r="7564" x14ac:dyDescent="0.3"/>
    <row r="7565" x14ac:dyDescent="0.3"/>
    <row r="7566" x14ac:dyDescent="0.3"/>
    <row r="7567" x14ac:dyDescent="0.3"/>
    <row r="7568" x14ac:dyDescent="0.3"/>
    <row r="7569" x14ac:dyDescent="0.3"/>
    <row r="7570" x14ac:dyDescent="0.3"/>
    <row r="7571" x14ac:dyDescent="0.3"/>
    <row r="7572" x14ac:dyDescent="0.3"/>
    <row r="7573" x14ac:dyDescent="0.3"/>
    <row r="7574" x14ac:dyDescent="0.3"/>
    <row r="7575" x14ac:dyDescent="0.3"/>
    <row r="7576" x14ac:dyDescent="0.3"/>
    <row r="7577" x14ac:dyDescent="0.3"/>
    <row r="7578" x14ac:dyDescent="0.3"/>
    <row r="7579" x14ac:dyDescent="0.3"/>
    <row r="7580" x14ac:dyDescent="0.3"/>
    <row r="7581" x14ac:dyDescent="0.3"/>
    <row r="7582" x14ac:dyDescent="0.3"/>
    <row r="7583" x14ac:dyDescent="0.3"/>
    <row r="7584" x14ac:dyDescent="0.3"/>
    <row r="7585" x14ac:dyDescent="0.3"/>
    <row r="7586" x14ac:dyDescent="0.3"/>
    <row r="7587" x14ac:dyDescent="0.3"/>
    <row r="7588" x14ac:dyDescent="0.3"/>
    <row r="7589" x14ac:dyDescent="0.3"/>
    <row r="7590" x14ac:dyDescent="0.3"/>
    <row r="7591" x14ac:dyDescent="0.3"/>
    <row r="7592" x14ac:dyDescent="0.3"/>
    <row r="7593" x14ac:dyDescent="0.3"/>
    <row r="7594" x14ac:dyDescent="0.3"/>
    <row r="7595" x14ac:dyDescent="0.3"/>
    <row r="7596" x14ac:dyDescent="0.3"/>
    <row r="7597" x14ac:dyDescent="0.3"/>
    <row r="7598" x14ac:dyDescent="0.3"/>
    <row r="7599" x14ac:dyDescent="0.3"/>
    <row r="7600" x14ac:dyDescent="0.3"/>
    <row r="7601" x14ac:dyDescent="0.3"/>
    <row r="7602" x14ac:dyDescent="0.3"/>
    <row r="7603" x14ac:dyDescent="0.3"/>
    <row r="7604" x14ac:dyDescent="0.3"/>
    <row r="7605" x14ac:dyDescent="0.3"/>
    <row r="7606" x14ac:dyDescent="0.3"/>
    <row r="7607" x14ac:dyDescent="0.3"/>
    <row r="7608" x14ac:dyDescent="0.3"/>
    <row r="7609" x14ac:dyDescent="0.3"/>
    <row r="7610" x14ac:dyDescent="0.3"/>
    <row r="7611" x14ac:dyDescent="0.3"/>
    <row r="7612" x14ac:dyDescent="0.3"/>
    <row r="7613" x14ac:dyDescent="0.3"/>
    <row r="7614" x14ac:dyDescent="0.3"/>
    <row r="7615" x14ac:dyDescent="0.3"/>
    <row r="7616" x14ac:dyDescent="0.3"/>
    <row r="7617" x14ac:dyDescent="0.3"/>
    <row r="7618" x14ac:dyDescent="0.3"/>
    <row r="7619" x14ac:dyDescent="0.3"/>
    <row r="7620" x14ac:dyDescent="0.3"/>
    <row r="7621" x14ac:dyDescent="0.3"/>
    <row r="7622" x14ac:dyDescent="0.3"/>
    <row r="7623" x14ac:dyDescent="0.3"/>
    <row r="7624" x14ac:dyDescent="0.3"/>
    <row r="7625" x14ac:dyDescent="0.3"/>
    <row r="7626" x14ac:dyDescent="0.3"/>
    <row r="7627" x14ac:dyDescent="0.3"/>
    <row r="7628" x14ac:dyDescent="0.3"/>
    <row r="7629" x14ac:dyDescent="0.3"/>
    <row r="7630" x14ac:dyDescent="0.3"/>
    <row r="7631" x14ac:dyDescent="0.3"/>
    <row r="7632" x14ac:dyDescent="0.3"/>
    <row r="7633" x14ac:dyDescent="0.3"/>
    <row r="7634" x14ac:dyDescent="0.3"/>
    <row r="7635" x14ac:dyDescent="0.3"/>
    <row r="7636" x14ac:dyDescent="0.3"/>
    <row r="7637" x14ac:dyDescent="0.3"/>
    <row r="7638" x14ac:dyDescent="0.3"/>
    <row r="7639" x14ac:dyDescent="0.3"/>
    <row r="7640" x14ac:dyDescent="0.3"/>
    <row r="7641" x14ac:dyDescent="0.3"/>
    <row r="7642" x14ac:dyDescent="0.3"/>
    <row r="7643" x14ac:dyDescent="0.3"/>
    <row r="7644" x14ac:dyDescent="0.3"/>
    <row r="7645" x14ac:dyDescent="0.3"/>
    <row r="7646" x14ac:dyDescent="0.3"/>
    <row r="7647" x14ac:dyDescent="0.3"/>
    <row r="7648" x14ac:dyDescent="0.3"/>
    <row r="7649" x14ac:dyDescent="0.3"/>
    <row r="7650" x14ac:dyDescent="0.3"/>
    <row r="7651" x14ac:dyDescent="0.3"/>
    <row r="7652" x14ac:dyDescent="0.3"/>
    <row r="7653" x14ac:dyDescent="0.3"/>
    <row r="7654" x14ac:dyDescent="0.3"/>
    <row r="7655" x14ac:dyDescent="0.3"/>
    <row r="7656" x14ac:dyDescent="0.3"/>
    <row r="7657" x14ac:dyDescent="0.3"/>
    <row r="7658" x14ac:dyDescent="0.3"/>
    <row r="7659" x14ac:dyDescent="0.3"/>
    <row r="7660" x14ac:dyDescent="0.3"/>
    <row r="7661" x14ac:dyDescent="0.3"/>
    <row r="7662" x14ac:dyDescent="0.3"/>
    <row r="7663" x14ac:dyDescent="0.3"/>
    <row r="7664" x14ac:dyDescent="0.3"/>
    <row r="7665" x14ac:dyDescent="0.3"/>
    <row r="7666" x14ac:dyDescent="0.3"/>
    <row r="7667" x14ac:dyDescent="0.3"/>
    <row r="7668" x14ac:dyDescent="0.3"/>
    <row r="7669" x14ac:dyDescent="0.3"/>
    <row r="7670" x14ac:dyDescent="0.3"/>
    <row r="7671" x14ac:dyDescent="0.3"/>
    <row r="7672" x14ac:dyDescent="0.3"/>
    <row r="7673" x14ac:dyDescent="0.3"/>
    <row r="7674" x14ac:dyDescent="0.3"/>
    <row r="7675" x14ac:dyDescent="0.3"/>
    <row r="7676" x14ac:dyDescent="0.3"/>
    <row r="7677" x14ac:dyDescent="0.3"/>
    <row r="7678" x14ac:dyDescent="0.3"/>
    <row r="7679" x14ac:dyDescent="0.3"/>
    <row r="7680" x14ac:dyDescent="0.3"/>
    <row r="7681" x14ac:dyDescent="0.3"/>
    <row r="7682" x14ac:dyDescent="0.3"/>
    <row r="7683" x14ac:dyDescent="0.3"/>
    <row r="7684" x14ac:dyDescent="0.3"/>
    <row r="7685" x14ac:dyDescent="0.3"/>
    <row r="7686" x14ac:dyDescent="0.3"/>
    <row r="7687" x14ac:dyDescent="0.3"/>
    <row r="7688" x14ac:dyDescent="0.3"/>
    <row r="7689" x14ac:dyDescent="0.3"/>
    <row r="7690" x14ac:dyDescent="0.3"/>
    <row r="7691" x14ac:dyDescent="0.3"/>
    <row r="7692" x14ac:dyDescent="0.3"/>
    <row r="7693" x14ac:dyDescent="0.3"/>
    <row r="7694" x14ac:dyDescent="0.3"/>
    <row r="7695" x14ac:dyDescent="0.3"/>
    <row r="7696" x14ac:dyDescent="0.3"/>
    <row r="7697" x14ac:dyDescent="0.3"/>
    <row r="7698" x14ac:dyDescent="0.3"/>
    <row r="7699" x14ac:dyDescent="0.3"/>
    <row r="7700" x14ac:dyDescent="0.3"/>
    <row r="7701" x14ac:dyDescent="0.3"/>
    <row r="7702" x14ac:dyDescent="0.3"/>
    <row r="7703" x14ac:dyDescent="0.3"/>
    <row r="7704" x14ac:dyDescent="0.3"/>
    <row r="7705" x14ac:dyDescent="0.3"/>
    <row r="7706" x14ac:dyDescent="0.3"/>
    <row r="7707" x14ac:dyDescent="0.3"/>
    <row r="7708" x14ac:dyDescent="0.3"/>
    <row r="7709" x14ac:dyDescent="0.3"/>
    <row r="7710" x14ac:dyDescent="0.3"/>
    <row r="7711" x14ac:dyDescent="0.3"/>
    <row r="7712" x14ac:dyDescent="0.3"/>
    <row r="7713" x14ac:dyDescent="0.3"/>
    <row r="7714" x14ac:dyDescent="0.3"/>
    <row r="7715" x14ac:dyDescent="0.3"/>
    <row r="7716" x14ac:dyDescent="0.3"/>
    <row r="7717" x14ac:dyDescent="0.3"/>
    <row r="7718" x14ac:dyDescent="0.3"/>
    <row r="7719" x14ac:dyDescent="0.3"/>
    <row r="7720" x14ac:dyDescent="0.3"/>
    <row r="7721" x14ac:dyDescent="0.3"/>
    <row r="7722" x14ac:dyDescent="0.3"/>
    <row r="7723" x14ac:dyDescent="0.3"/>
    <row r="7724" x14ac:dyDescent="0.3"/>
    <row r="7725" x14ac:dyDescent="0.3"/>
    <row r="7726" x14ac:dyDescent="0.3"/>
    <row r="7727" x14ac:dyDescent="0.3"/>
    <row r="7728" x14ac:dyDescent="0.3"/>
    <row r="7729" x14ac:dyDescent="0.3"/>
    <row r="7730" x14ac:dyDescent="0.3"/>
    <row r="7731" x14ac:dyDescent="0.3"/>
    <row r="7732" x14ac:dyDescent="0.3"/>
    <row r="7733" x14ac:dyDescent="0.3"/>
    <row r="7734" x14ac:dyDescent="0.3"/>
    <row r="7735" x14ac:dyDescent="0.3"/>
    <row r="7736" x14ac:dyDescent="0.3"/>
    <row r="7737" x14ac:dyDescent="0.3"/>
    <row r="7738" x14ac:dyDescent="0.3"/>
    <row r="7739" x14ac:dyDescent="0.3"/>
    <row r="7740" x14ac:dyDescent="0.3"/>
    <row r="7741" x14ac:dyDescent="0.3"/>
    <row r="7742" x14ac:dyDescent="0.3"/>
    <row r="7743" x14ac:dyDescent="0.3"/>
    <row r="7744" x14ac:dyDescent="0.3"/>
    <row r="7745" x14ac:dyDescent="0.3"/>
    <row r="7746" x14ac:dyDescent="0.3"/>
    <row r="7747" x14ac:dyDescent="0.3"/>
    <row r="7748" x14ac:dyDescent="0.3"/>
    <row r="7749" x14ac:dyDescent="0.3"/>
    <row r="7750" x14ac:dyDescent="0.3"/>
    <row r="7751" x14ac:dyDescent="0.3"/>
    <row r="7752" x14ac:dyDescent="0.3"/>
    <row r="7753" x14ac:dyDescent="0.3"/>
    <row r="7754" x14ac:dyDescent="0.3"/>
    <row r="7755" x14ac:dyDescent="0.3"/>
    <row r="7756" x14ac:dyDescent="0.3"/>
    <row r="7757" x14ac:dyDescent="0.3"/>
    <row r="7758" x14ac:dyDescent="0.3"/>
    <row r="7759" x14ac:dyDescent="0.3"/>
    <row r="7760" x14ac:dyDescent="0.3"/>
    <row r="7761" x14ac:dyDescent="0.3"/>
    <row r="7762" x14ac:dyDescent="0.3"/>
    <row r="7763" x14ac:dyDescent="0.3"/>
    <row r="7764" x14ac:dyDescent="0.3"/>
    <row r="7765" x14ac:dyDescent="0.3"/>
    <row r="7766" x14ac:dyDescent="0.3"/>
    <row r="7767" x14ac:dyDescent="0.3"/>
    <row r="7768" x14ac:dyDescent="0.3"/>
    <row r="7769" x14ac:dyDescent="0.3"/>
    <row r="7770" x14ac:dyDescent="0.3"/>
    <row r="7771" x14ac:dyDescent="0.3"/>
    <row r="7772" x14ac:dyDescent="0.3"/>
    <row r="7773" x14ac:dyDescent="0.3"/>
    <row r="7774" x14ac:dyDescent="0.3"/>
    <row r="7775" x14ac:dyDescent="0.3"/>
    <row r="7776" x14ac:dyDescent="0.3"/>
    <row r="7777" x14ac:dyDescent="0.3"/>
    <row r="7778" x14ac:dyDescent="0.3"/>
    <row r="7779" x14ac:dyDescent="0.3"/>
    <row r="7780" x14ac:dyDescent="0.3"/>
    <row r="7781" x14ac:dyDescent="0.3"/>
    <row r="7782" x14ac:dyDescent="0.3"/>
    <row r="7783" x14ac:dyDescent="0.3"/>
    <row r="7784" x14ac:dyDescent="0.3"/>
    <row r="7785" x14ac:dyDescent="0.3"/>
    <row r="7786" x14ac:dyDescent="0.3"/>
    <row r="7787" x14ac:dyDescent="0.3"/>
    <row r="7788" x14ac:dyDescent="0.3"/>
    <row r="7789" x14ac:dyDescent="0.3"/>
    <row r="7790" x14ac:dyDescent="0.3"/>
    <row r="7791" x14ac:dyDescent="0.3"/>
    <row r="7792" x14ac:dyDescent="0.3"/>
    <row r="7793" x14ac:dyDescent="0.3"/>
    <row r="7794" x14ac:dyDescent="0.3"/>
    <row r="7795" x14ac:dyDescent="0.3"/>
    <row r="7796" x14ac:dyDescent="0.3"/>
    <row r="7797" x14ac:dyDescent="0.3"/>
    <row r="7798" x14ac:dyDescent="0.3"/>
    <row r="7799" x14ac:dyDescent="0.3"/>
    <row r="7800" x14ac:dyDescent="0.3"/>
    <row r="7801" x14ac:dyDescent="0.3"/>
    <row r="7802" x14ac:dyDescent="0.3"/>
    <row r="7803" x14ac:dyDescent="0.3"/>
    <row r="7804" x14ac:dyDescent="0.3"/>
    <row r="7805" x14ac:dyDescent="0.3"/>
    <row r="7806" x14ac:dyDescent="0.3"/>
    <row r="7807" x14ac:dyDescent="0.3"/>
    <row r="7808" x14ac:dyDescent="0.3"/>
    <row r="7809" x14ac:dyDescent="0.3"/>
    <row r="7810" x14ac:dyDescent="0.3"/>
    <row r="7811" x14ac:dyDescent="0.3"/>
    <row r="7812" x14ac:dyDescent="0.3"/>
    <row r="7813" x14ac:dyDescent="0.3"/>
    <row r="7814" x14ac:dyDescent="0.3"/>
    <row r="7815" x14ac:dyDescent="0.3"/>
    <row r="7816" x14ac:dyDescent="0.3"/>
    <row r="7817" x14ac:dyDescent="0.3"/>
    <row r="7818" x14ac:dyDescent="0.3"/>
    <row r="7819" x14ac:dyDescent="0.3"/>
    <row r="7820" x14ac:dyDescent="0.3"/>
    <row r="7821" x14ac:dyDescent="0.3"/>
    <row r="7822" x14ac:dyDescent="0.3"/>
    <row r="7823" x14ac:dyDescent="0.3"/>
    <row r="7824" x14ac:dyDescent="0.3"/>
    <row r="7825" x14ac:dyDescent="0.3"/>
    <row r="7826" x14ac:dyDescent="0.3"/>
    <row r="7827" x14ac:dyDescent="0.3"/>
    <row r="7828" x14ac:dyDescent="0.3"/>
    <row r="7829" x14ac:dyDescent="0.3"/>
    <row r="7830" x14ac:dyDescent="0.3"/>
    <row r="7831" x14ac:dyDescent="0.3"/>
    <row r="7832" x14ac:dyDescent="0.3"/>
    <row r="7833" x14ac:dyDescent="0.3"/>
    <row r="7834" x14ac:dyDescent="0.3"/>
    <row r="7835" x14ac:dyDescent="0.3"/>
    <row r="7836" x14ac:dyDescent="0.3"/>
    <row r="7837" x14ac:dyDescent="0.3"/>
    <row r="7838" x14ac:dyDescent="0.3"/>
    <row r="7839" x14ac:dyDescent="0.3"/>
    <row r="7840" x14ac:dyDescent="0.3"/>
    <row r="7841" x14ac:dyDescent="0.3"/>
    <row r="7842" x14ac:dyDescent="0.3"/>
    <row r="7843" x14ac:dyDescent="0.3"/>
    <row r="7844" x14ac:dyDescent="0.3"/>
    <row r="7845" x14ac:dyDescent="0.3"/>
    <row r="7846" x14ac:dyDescent="0.3"/>
    <row r="7847" x14ac:dyDescent="0.3"/>
    <row r="7848" x14ac:dyDescent="0.3"/>
    <row r="7849" x14ac:dyDescent="0.3"/>
    <row r="7850" x14ac:dyDescent="0.3"/>
    <row r="7851" x14ac:dyDescent="0.3"/>
    <row r="7852" x14ac:dyDescent="0.3"/>
    <row r="7853" x14ac:dyDescent="0.3"/>
    <row r="7854" x14ac:dyDescent="0.3"/>
    <row r="7855" x14ac:dyDescent="0.3"/>
    <row r="7856" x14ac:dyDescent="0.3"/>
    <row r="7857" x14ac:dyDescent="0.3"/>
    <row r="7858" x14ac:dyDescent="0.3"/>
    <row r="7859" x14ac:dyDescent="0.3"/>
    <row r="7860" x14ac:dyDescent="0.3"/>
    <row r="7861" x14ac:dyDescent="0.3"/>
    <row r="7862" x14ac:dyDescent="0.3"/>
    <row r="7863" x14ac:dyDescent="0.3"/>
    <row r="7864" x14ac:dyDescent="0.3"/>
    <row r="7865" x14ac:dyDescent="0.3"/>
    <row r="7866" x14ac:dyDescent="0.3"/>
    <row r="7867" x14ac:dyDescent="0.3"/>
    <row r="7868" x14ac:dyDescent="0.3"/>
    <row r="7869" x14ac:dyDescent="0.3"/>
    <row r="7870" x14ac:dyDescent="0.3"/>
    <row r="7871" x14ac:dyDescent="0.3"/>
    <row r="7872" x14ac:dyDescent="0.3"/>
    <row r="7873" x14ac:dyDescent="0.3"/>
    <row r="7874" x14ac:dyDescent="0.3"/>
    <row r="7875" x14ac:dyDescent="0.3"/>
    <row r="7876" x14ac:dyDescent="0.3"/>
    <row r="7877" x14ac:dyDescent="0.3"/>
    <row r="7878" x14ac:dyDescent="0.3"/>
    <row r="7879" x14ac:dyDescent="0.3"/>
    <row r="7880" x14ac:dyDescent="0.3"/>
    <row r="7881" x14ac:dyDescent="0.3"/>
    <row r="7882" x14ac:dyDescent="0.3"/>
    <row r="7883" x14ac:dyDescent="0.3"/>
    <row r="7884" x14ac:dyDescent="0.3"/>
    <row r="7885" x14ac:dyDescent="0.3"/>
    <row r="7886" x14ac:dyDescent="0.3"/>
    <row r="7887" x14ac:dyDescent="0.3"/>
    <row r="7888" x14ac:dyDescent="0.3"/>
    <row r="7889" x14ac:dyDescent="0.3"/>
    <row r="7890" x14ac:dyDescent="0.3"/>
    <row r="7891" x14ac:dyDescent="0.3"/>
    <row r="7892" x14ac:dyDescent="0.3"/>
    <row r="7893" x14ac:dyDescent="0.3"/>
    <row r="7894" x14ac:dyDescent="0.3"/>
    <row r="7895" x14ac:dyDescent="0.3"/>
    <row r="7896" x14ac:dyDescent="0.3"/>
    <row r="7897" x14ac:dyDescent="0.3"/>
    <row r="7898" x14ac:dyDescent="0.3"/>
    <row r="7899" x14ac:dyDescent="0.3"/>
    <row r="7900" x14ac:dyDescent="0.3"/>
    <row r="7901" x14ac:dyDescent="0.3"/>
    <row r="7902" x14ac:dyDescent="0.3"/>
    <row r="7903" x14ac:dyDescent="0.3"/>
    <row r="7904" x14ac:dyDescent="0.3"/>
    <row r="7905" x14ac:dyDescent="0.3"/>
    <row r="7906" x14ac:dyDescent="0.3"/>
    <row r="7907" x14ac:dyDescent="0.3"/>
    <row r="7908" x14ac:dyDescent="0.3"/>
    <row r="7909" x14ac:dyDescent="0.3"/>
    <row r="7910" x14ac:dyDescent="0.3"/>
    <row r="7911" x14ac:dyDescent="0.3"/>
    <row r="7912" x14ac:dyDescent="0.3"/>
    <row r="7913" x14ac:dyDescent="0.3"/>
    <row r="7914" x14ac:dyDescent="0.3"/>
    <row r="7915" x14ac:dyDescent="0.3"/>
    <row r="7916" x14ac:dyDescent="0.3"/>
    <row r="7917" x14ac:dyDescent="0.3"/>
    <row r="7918" x14ac:dyDescent="0.3"/>
    <row r="7919" x14ac:dyDescent="0.3"/>
    <row r="7920" x14ac:dyDescent="0.3"/>
    <row r="7921" x14ac:dyDescent="0.3"/>
    <row r="7922" x14ac:dyDescent="0.3"/>
    <row r="7923" x14ac:dyDescent="0.3"/>
    <row r="7924" x14ac:dyDescent="0.3"/>
    <row r="7925" x14ac:dyDescent="0.3"/>
    <row r="7926" x14ac:dyDescent="0.3"/>
    <row r="7927" x14ac:dyDescent="0.3"/>
    <row r="7928" x14ac:dyDescent="0.3"/>
    <row r="7929" x14ac:dyDescent="0.3"/>
    <row r="7930" x14ac:dyDescent="0.3"/>
    <row r="7931" x14ac:dyDescent="0.3"/>
    <row r="7932" x14ac:dyDescent="0.3"/>
    <row r="7933" x14ac:dyDescent="0.3"/>
    <row r="7934" x14ac:dyDescent="0.3"/>
    <row r="7935" x14ac:dyDescent="0.3"/>
    <row r="7936" x14ac:dyDescent="0.3"/>
    <row r="7937" x14ac:dyDescent="0.3"/>
    <row r="7938" x14ac:dyDescent="0.3"/>
    <row r="7939" x14ac:dyDescent="0.3"/>
    <row r="7940" x14ac:dyDescent="0.3"/>
    <row r="7941" x14ac:dyDescent="0.3"/>
    <row r="7942" x14ac:dyDescent="0.3"/>
    <row r="7943" x14ac:dyDescent="0.3"/>
    <row r="7944" x14ac:dyDescent="0.3"/>
    <row r="7945" x14ac:dyDescent="0.3"/>
    <row r="7946" x14ac:dyDescent="0.3"/>
    <row r="7947" x14ac:dyDescent="0.3"/>
    <row r="7948" x14ac:dyDescent="0.3"/>
    <row r="7949" x14ac:dyDescent="0.3"/>
    <row r="7950" x14ac:dyDescent="0.3"/>
    <row r="7951" x14ac:dyDescent="0.3"/>
    <row r="7952" x14ac:dyDescent="0.3"/>
    <row r="7953" x14ac:dyDescent="0.3"/>
    <row r="7954" x14ac:dyDescent="0.3"/>
    <row r="7955" x14ac:dyDescent="0.3"/>
    <row r="7956" x14ac:dyDescent="0.3"/>
    <row r="7957" x14ac:dyDescent="0.3"/>
    <row r="7958" x14ac:dyDescent="0.3"/>
    <row r="7959" x14ac:dyDescent="0.3"/>
    <row r="7960" x14ac:dyDescent="0.3"/>
    <row r="7961" x14ac:dyDescent="0.3"/>
    <row r="7962" x14ac:dyDescent="0.3"/>
    <row r="7963" x14ac:dyDescent="0.3"/>
    <row r="7964" x14ac:dyDescent="0.3"/>
    <row r="7965" x14ac:dyDescent="0.3"/>
    <row r="7966" x14ac:dyDescent="0.3"/>
    <row r="7967" x14ac:dyDescent="0.3"/>
    <row r="7968" x14ac:dyDescent="0.3"/>
    <row r="7969" x14ac:dyDescent="0.3"/>
    <row r="7970" x14ac:dyDescent="0.3"/>
    <row r="7971" x14ac:dyDescent="0.3"/>
    <row r="7972" x14ac:dyDescent="0.3"/>
    <row r="7973" x14ac:dyDescent="0.3"/>
    <row r="7974" x14ac:dyDescent="0.3"/>
    <row r="7975" x14ac:dyDescent="0.3"/>
    <row r="7976" x14ac:dyDescent="0.3"/>
    <row r="7977" x14ac:dyDescent="0.3"/>
    <row r="7978" x14ac:dyDescent="0.3"/>
    <row r="7979" x14ac:dyDescent="0.3"/>
    <row r="7980" x14ac:dyDescent="0.3"/>
    <row r="7981" x14ac:dyDescent="0.3"/>
    <row r="7982" x14ac:dyDescent="0.3"/>
    <row r="7983" x14ac:dyDescent="0.3"/>
    <row r="7984" x14ac:dyDescent="0.3"/>
    <row r="7985" x14ac:dyDescent="0.3"/>
    <row r="7986" x14ac:dyDescent="0.3"/>
    <row r="7987" x14ac:dyDescent="0.3"/>
    <row r="7988" x14ac:dyDescent="0.3"/>
    <row r="7989" x14ac:dyDescent="0.3"/>
    <row r="7990" x14ac:dyDescent="0.3"/>
    <row r="7991" x14ac:dyDescent="0.3"/>
    <row r="7992" x14ac:dyDescent="0.3"/>
    <row r="7993" x14ac:dyDescent="0.3"/>
    <row r="7994" x14ac:dyDescent="0.3"/>
    <row r="7995" x14ac:dyDescent="0.3"/>
    <row r="7996" x14ac:dyDescent="0.3"/>
    <row r="7997" x14ac:dyDescent="0.3"/>
    <row r="7998" x14ac:dyDescent="0.3"/>
    <row r="7999" x14ac:dyDescent="0.3"/>
    <row r="8000" x14ac:dyDescent="0.3"/>
    <row r="8001" x14ac:dyDescent="0.3"/>
    <row r="8002" x14ac:dyDescent="0.3"/>
    <row r="8003" x14ac:dyDescent="0.3"/>
    <row r="8004" x14ac:dyDescent="0.3"/>
    <row r="8005" x14ac:dyDescent="0.3"/>
    <row r="8006" x14ac:dyDescent="0.3"/>
    <row r="8007" x14ac:dyDescent="0.3"/>
    <row r="8008" x14ac:dyDescent="0.3"/>
    <row r="8009" x14ac:dyDescent="0.3"/>
    <row r="8010" x14ac:dyDescent="0.3"/>
    <row r="8011" x14ac:dyDescent="0.3"/>
    <row r="8012" x14ac:dyDescent="0.3"/>
    <row r="8013" x14ac:dyDescent="0.3"/>
    <row r="8014" x14ac:dyDescent="0.3"/>
    <row r="8015" x14ac:dyDescent="0.3"/>
    <row r="8016" x14ac:dyDescent="0.3"/>
    <row r="8017" x14ac:dyDescent="0.3"/>
    <row r="8018" x14ac:dyDescent="0.3"/>
    <row r="8019" x14ac:dyDescent="0.3"/>
    <row r="8020" x14ac:dyDescent="0.3"/>
    <row r="8021" x14ac:dyDescent="0.3"/>
    <row r="8022" x14ac:dyDescent="0.3"/>
    <row r="8023" x14ac:dyDescent="0.3"/>
    <row r="8024" x14ac:dyDescent="0.3"/>
    <row r="8025" x14ac:dyDescent="0.3"/>
    <row r="8026" x14ac:dyDescent="0.3"/>
    <row r="8027" x14ac:dyDescent="0.3"/>
    <row r="8028" x14ac:dyDescent="0.3"/>
    <row r="8029" x14ac:dyDescent="0.3"/>
    <row r="8030" x14ac:dyDescent="0.3"/>
    <row r="8031" x14ac:dyDescent="0.3"/>
    <row r="8032" x14ac:dyDescent="0.3"/>
    <row r="8033" x14ac:dyDescent="0.3"/>
    <row r="8034" x14ac:dyDescent="0.3"/>
    <row r="8035" x14ac:dyDescent="0.3"/>
    <row r="8036" x14ac:dyDescent="0.3"/>
    <row r="8037" x14ac:dyDescent="0.3"/>
    <row r="8038" x14ac:dyDescent="0.3"/>
    <row r="8039" x14ac:dyDescent="0.3"/>
    <row r="8040" x14ac:dyDescent="0.3"/>
    <row r="8041" x14ac:dyDescent="0.3"/>
    <row r="8042" x14ac:dyDescent="0.3"/>
    <row r="8043" x14ac:dyDescent="0.3"/>
    <row r="8044" x14ac:dyDescent="0.3"/>
    <row r="8045" x14ac:dyDescent="0.3"/>
    <row r="8046" x14ac:dyDescent="0.3"/>
    <row r="8047" x14ac:dyDescent="0.3"/>
    <row r="8048" x14ac:dyDescent="0.3"/>
    <row r="8049" x14ac:dyDescent="0.3"/>
    <row r="8050" x14ac:dyDescent="0.3"/>
    <row r="8051" x14ac:dyDescent="0.3"/>
    <row r="8052" x14ac:dyDescent="0.3"/>
    <row r="8053" x14ac:dyDescent="0.3"/>
    <row r="8054" x14ac:dyDescent="0.3"/>
    <row r="8055" x14ac:dyDescent="0.3"/>
    <row r="8056" x14ac:dyDescent="0.3"/>
    <row r="8057" x14ac:dyDescent="0.3"/>
    <row r="8058" x14ac:dyDescent="0.3"/>
    <row r="8059" x14ac:dyDescent="0.3"/>
    <row r="8060" x14ac:dyDescent="0.3"/>
    <row r="8061" x14ac:dyDescent="0.3"/>
    <row r="8062" x14ac:dyDescent="0.3"/>
    <row r="8063" x14ac:dyDescent="0.3"/>
    <row r="8064" x14ac:dyDescent="0.3"/>
    <row r="8065" x14ac:dyDescent="0.3"/>
    <row r="8066" x14ac:dyDescent="0.3"/>
    <row r="8067" x14ac:dyDescent="0.3"/>
    <row r="8068" x14ac:dyDescent="0.3"/>
    <row r="8069" x14ac:dyDescent="0.3"/>
    <row r="8070" x14ac:dyDescent="0.3"/>
    <row r="8071" x14ac:dyDescent="0.3"/>
    <row r="8072" x14ac:dyDescent="0.3"/>
    <row r="8073" x14ac:dyDescent="0.3"/>
    <row r="8074" x14ac:dyDescent="0.3"/>
    <row r="8075" x14ac:dyDescent="0.3"/>
    <row r="8076" x14ac:dyDescent="0.3"/>
    <row r="8077" x14ac:dyDescent="0.3"/>
    <row r="8078" x14ac:dyDescent="0.3"/>
    <row r="8079" x14ac:dyDescent="0.3"/>
    <row r="8080" x14ac:dyDescent="0.3"/>
    <row r="8081" x14ac:dyDescent="0.3"/>
    <row r="8082" x14ac:dyDescent="0.3"/>
    <row r="8083" x14ac:dyDescent="0.3"/>
    <row r="8084" x14ac:dyDescent="0.3"/>
    <row r="8085" x14ac:dyDescent="0.3"/>
    <row r="8086" x14ac:dyDescent="0.3"/>
    <row r="8087" x14ac:dyDescent="0.3"/>
    <row r="8088" x14ac:dyDescent="0.3"/>
    <row r="8089" x14ac:dyDescent="0.3"/>
    <row r="8090" x14ac:dyDescent="0.3"/>
    <row r="8091" x14ac:dyDescent="0.3"/>
    <row r="8092" x14ac:dyDescent="0.3"/>
    <row r="8093" x14ac:dyDescent="0.3"/>
    <row r="8094" x14ac:dyDescent="0.3"/>
    <row r="8095" x14ac:dyDescent="0.3"/>
    <row r="8096" x14ac:dyDescent="0.3"/>
    <row r="8097" x14ac:dyDescent="0.3"/>
    <row r="8098" x14ac:dyDescent="0.3"/>
    <row r="8099" x14ac:dyDescent="0.3"/>
    <row r="8100" x14ac:dyDescent="0.3"/>
    <row r="8101" x14ac:dyDescent="0.3"/>
    <row r="8102" x14ac:dyDescent="0.3"/>
    <row r="8103" x14ac:dyDescent="0.3"/>
    <row r="8104" x14ac:dyDescent="0.3"/>
    <row r="8105" x14ac:dyDescent="0.3"/>
    <row r="8106" x14ac:dyDescent="0.3"/>
    <row r="8107" x14ac:dyDescent="0.3"/>
    <row r="8108" x14ac:dyDescent="0.3"/>
    <row r="8109" x14ac:dyDescent="0.3"/>
    <row r="8110" x14ac:dyDescent="0.3"/>
    <row r="8111" x14ac:dyDescent="0.3"/>
    <row r="8112" x14ac:dyDescent="0.3"/>
    <row r="8113" x14ac:dyDescent="0.3"/>
    <row r="8114" x14ac:dyDescent="0.3"/>
    <row r="8115" x14ac:dyDescent="0.3"/>
    <row r="8116" x14ac:dyDescent="0.3"/>
    <row r="8117" x14ac:dyDescent="0.3"/>
    <row r="8118" x14ac:dyDescent="0.3"/>
    <row r="8119" x14ac:dyDescent="0.3"/>
    <row r="8120" x14ac:dyDescent="0.3"/>
    <row r="8121" x14ac:dyDescent="0.3"/>
    <row r="8122" x14ac:dyDescent="0.3"/>
    <row r="8123" x14ac:dyDescent="0.3"/>
    <row r="8124" x14ac:dyDescent="0.3"/>
    <row r="8125" x14ac:dyDescent="0.3"/>
    <row r="8126" x14ac:dyDescent="0.3"/>
    <row r="8127" x14ac:dyDescent="0.3"/>
    <row r="8128" x14ac:dyDescent="0.3"/>
    <row r="8129" x14ac:dyDescent="0.3"/>
    <row r="8130" x14ac:dyDescent="0.3"/>
    <row r="8131" x14ac:dyDescent="0.3"/>
    <row r="8132" x14ac:dyDescent="0.3"/>
    <row r="8133" x14ac:dyDescent="0.3"/>
    <row r="8134" x14ac:dyDescent="0.3"/>
    <row r="8135" x14ac:dyDescent="0.3"/>
    <row r="8136" x14ac:dyDescent="0.3"/>
    <row r="8137" x14ac:dyDescent="0.3"/>
    <row r="8138" x14ac:dyDescent="0.3"/>
    <row r="8139" x14ac:dyDescent="0.3"/>
    <row r="8140" x14ac:dyDescent="0.3"/>
    <row r="8141" x14ac:dyDescent="0.3"/>
    <row r="8142" x14ac:dyDescent="0.3"/>
    <row r="8143" x14ac:dyDescent="0.3"/>
    <row r="8144" x14ac:dyDescent="0.3"/>
    <row r="8145" x14ac:dyDescent="0.3"/>
    <row r="8146" x14ac:dyDescent="0.3"/>
    <row r="8147" x14ac:dyDescent="0.3"/>
    <row r="8148" x14ac:dyDescent="0.3"/>
    <row r="8149" x14ac:dyDescent="0.3"/>
    <row r="8150" x14ac:dyDescent="0.3"/>
    <row r="8151" x14ac:dyDescent="0.3"/>
    <row r="8152" x14ac:dyDescent="0.3"/>
    <row r="8153" x14ac:dyDescent="0.3"/>
    <row r="8154" x14ac:dyDescent="0.3"/>
    <row r="8155" x14ac:dyDescent="0.3"/>
    <row r="8156" x14ac:dyDescent="0.3"/>
    <row r="8157" x14ac:dyDescent="0.3"/>
    <row r="8158" x14ac:dyDescent="0.3"/>
    <row r="8159" x14ac:dyDescent="0.3"/>
    <row r="8160" x14ac:dyDescent="0.3"/>
    <row r="8161" x14ac:dyDescent="0.3"/>
    <row r="8162" x14ac:dyDescent="0.3"/>
    <row r="8163" x14ac:dyDescent="0.3"/>
    <row r="8164" x14ac:dyDescent="0.3"/>
    <row r="8165" x14ac:dyDescent="0.3"/>
    <row r="8166" x14ac:dyDescent="0.3"/>
    <row r="8167" x14ac:dyDescent="0.3"/>
    <row r="8168" x14ac:dyDescent="0.3"/>
    <row r="8169" x14ac:dyDescent="0.3"/>
    <row r="8170" x14ac:dyDescent="0.3"/>
    <row r="8171" x14ac:dyDescent="0.3"/>
    <row r="8172" x14ac:dyDescent="0.3"/>
    <row r="8173" x14ac:dyDescent="0.3"/>
    <row r="8174" x14ac:dyDescent="0.3"/>
    <row r="8175" x14ac:dyDescent="0.3"/>
    <row r="8176" x14ac:dyDescent="0.3"/>
    <row r="8177" x14ac:dyDescent="0.3"/>
    <row r="8178" x14ac:dyDescent="0.3"/>
    <row r="8179" x14ac:dyDescent="0.3"/>
    <row r="8180" x14ac:dyDescent="0.3"/>
    <row r="8181" x14ac:dyDescent="0.3"/>
    <row r="8182" x14ac:dyDescent="0.3"/>
    <row r="8183" x14ac:dyDescent="0.3"/>
    <row r="8184" x14ac:dyDescent="0.3"/>
    <row r="8185" x14ac:dyDescent="0.3"/>
    <row r="8186" x14ac:dyDescent="0.3"/>
    <row r="8187" x14ac:dyDescent="0.3"/>
    <row r="8188" x14ac:dyDescent="0.3"/>
    <row r="8189" x14ac:dyDescent="0.3"/>
    <row r="8190" x14ac:dyDescent="0.3"/>
    <row r="8191" x14ac:dyDescent="0.3"/>
    <row r="8192" x14ac:dyDescent="0.3"/>
    <row r="8193" x14ac:dyDescent="0.3"/>
    <row r="8194" x14ac:dyDescent="0.3"/>
    <row r="8195" x14ac:dyDescent="0.3"/>
    <row r="8196" x14ac:dyDescent="0.3"/>
    <row r="8197" x14ac:dyDescent="0.3"/>
    <row r="8198" x14ac:dyDescent="0.3"/>
    <row r="8199" x14ac:dyDescent="0.3"/>
    <row r="8200" x14ac:dyDescent="0.3"/>
    <row r="8201" x14ac:dyDescent="0.3"/>
    <row r="8202" x14ac:dyDescent="0.3"/>
    <row r="8203" x14ac:dyDescent="0.3"/>
    <row r="8204" x14ac:dyDescent="0.3"/>
    <row r="8205" x14ac:dyDescent="0.3"/>
    <row r="8206" x14ac:dyDescent="0.3"/>
    <row r="8207" x14ac:dyDescent="0.3"/>
    <row r="8208" x14ac:dyDescent="0.3"/>
    <row r="8209" x14ac:dyDescent="0.3"/>
    <row r="8210" x14ac:dyDescent="0.3"/>
    <row r="8211" x14ac:dyDescent="0.3"/>
    <row r="8212" x14ac:dyDescent="0.3"/>
    <row r="8213" x14ac:dyDescent="0.3"/>
    <row r="8214" x14ac:dyDescent="0.3"/>
    <row r="8215" x14ac:dyDescent="0.3"/>
    <row r="8216" x14ac:dyDescent="0.3"/>
    <row r="8217" x14ac:dyDescent="0.3"/>
    <row r="8218" x14ac:dyDescent="0.3"/>
    <row r="8219" x14ac:dyDescent="0.3"/>
    <row r="8220" x14ac:dyDescent="0.3"/>
    <row r="8221" x14ac:dyDescent="0.3"/>
    <row r="8222" x14ac:dyDescent="0.3"/>
    <row r="8223" x14ac:dyDescent="0.3"/>
    <row r="8224" x14ac:dyDescent="0.3"/>
    <row r="8225" x14ac:dyDescent="0.3"/>
    <row r="8226" x14ac:dyDescent="0.3"/>
    <row r="8227" x14ac:dyDescent="0.3"/>
    <row r="8228" x14ac:dyDescent="0.3"/>
    <row r="8229" x14ac:dyDescent="0.3"/>
    <row r="8230" x14ac:dyDescent="0.3"/>
    <row r="8231" x14ac:dyDescent="0.3"/>
    <row r="8232" x14ac:dyDescent="0.3"/>
    <row r="8233" x14ac:dyDescent="0.3"/>
    <row r="8234" x14ac:dyDescent="0.3"/>
    <row r="8235" x14ac:dyDescent="0.3"/>
    <row r="8236" x14ac:dyDescent="0.3"/>
    <row r="8237" x14ac:dyDescent="0.3"/>
    <row r="8238" x14ac:dyDescent="0.3"/>
    <row r="8239" x14ac:dyDescent="0.3"/>
    <row r="8240" x14ac:dyDescent="0.3"/>
    <row r="8241" x14ac:dyDescent="0.3"/>
    <row r="8242" x14ac:dyDescent="0.3"/>
    <row r="8243" x14ac:dyDescent="0.3"/>
    <row r="8244" x14ac:dyDescent="0.3"/>
    <row r="8245" x14ac:dyDescent="0.3"/>
    <row r="8246" x14ac:dyDescent="0.3"/>
    <row r="8247" x14ac:dyDescent="0.3"/>
    <row r="8248" x14ac:dyDescent="0.3"/>
    <row r="8249" x14ac:dyDescent="0.3"/>
    <row r="8250" x14ac:dyDescent="0.3"/>
    <row r="8251" x14ac:dyDescent="0.3"/>
    <row r="8252" x14ac:dyDescent="0.3"/>
    <row r="8253" x14ac:dyDescent="0.3"/>
    <row r="8254" x14ac:dyDescent="0.3"/>
    <row r="8255" x14ac:dyDescent="0.3"/>
    <row r="8256" x14ac:dyDescent="0.3"/>
    <row r="8257" x14ac:dyDescent="0.3"/>
    <row r="8258" x14ac:dyDescent="0.3"/>
    <row r="8259" x14ac:dyDescent="0.3"/>
    <row r="8260" x14ac:dyDescent="0.3"/>
    <row r="8261" x14ac:dyDescent="0.3"/>
    <row r="8262" x14ac:dyDescent="0.3"/>
    <row r="8263" x14ac:dyDescent="0.3"/>
    <row r="8264" x14ac:dyDescent="0.3"/>
    <row r="8265" x14ac:dyDescent="0.3"/>
    <row r="8266" x14ac:dyDescent="0.3"/>
    <row r="8267" x14ac:dyDescent="0.3"/>
    <row r="8268" x14ac:dyDescent="0.3"/>
    <row r="8269" x14ac:dyDescent="0.3"/>
    <row r="8270" x14ac:dyDescent="0.3"/>
    <row r="8271" x14ac:dyDescent="0.3"/>
    <row r="8272" x14ac:dyDescent="0.3"/>
    <row r="8273" x14ac:dyDescent="0.3"/>
    <row r="8274" x14ac:dyDescent="0.3"/>
    <row r="8275" x14ac:dyDescent="0.3"/>
    <row r="8276" x14ac:dyDescent="0.3"/>
    <row r="8277" x14ac:dyDescent="0.3"/>
    <row r="8278" x14ac:dyDescent="0.3"/>
    <row r="8279" x14ac:dyDescent="0.3"/>
    <row r="8280" x14ac:dyDescent="0.3"/>
    <row r="8281" x14ac:dyDescent="0.3"/>
    <row r="8282" x14ac:dyDescent="0.3"/>
    <row r="8283" x14ac:dyDescent="0.3"/>
    <row r="8284" x14ac:dyDescent="0.3"/>
    <row r="8285" x14ac:dyDescent="0.3"/>
    <row r="8286" x14ac:dyDescent="0.3"/>
    <row r="8287" x14ac:dyDescent="0.3"/>
    <row r="8288" x14ac:dyDescent="0.3"/>
    <row r="8289" x14ac:dyDescent="0.3"/>
    <row r="8290" x14ac:dyDescent="0.3"/>
    <row r="8291" x14ac:dyDescent="0.3"/>
    <row r="8292" x14ac:dyDescent="0.3"/>
    <row r="8293" x14ac:dyDescent="0.3"/>
    <row r="8294" x14ac:dyDescent="0.3"/>
    <row r="8295" x14ac:dyDescent="0.3"/>
    <row r="8296" x14ac:dyDescent="0.3"/>
    <row r="8297" x14ac:dyDescent="0.3"/>
    <row r="8298" x14ac:dyDescent="0.3"/>
    <row r="8299" x14ac:dyDescent="0.3"/>
    <row r="8300" x14ac:dyDescent="0.3"/>
    <row r="8301" x14ac:dyDescent="0.3"/>
    <row r="8302" x14ac:dyDescent="0.3"/>
    <row r="8303" x14ac:dyDescent="0.3"/>
    <row r="8304" x14ac:dyDescent="0.3"/>
    <row r="8305" x14ac:dyDescent="0.3"/>
    <row r="8306" x14ac:dyDescent="0.3"/>
    <row r="8307" x14ac:dyDescent="0.3"/>
    <row r="8308" x14ac:dyDescent="0.3"/>
    <row r="8309" x14ac:dyDescent="0.3"/>
    <row r="8310" x14ac:dyDescent="0.3"/>
    <row r="8311" x14ac:dyDescent="0.3"/>
    <row r="8312" x14ac:dyDescent="0.3"/>
    <row r="8313" x14ac:dyDescent="0.3"/>
    <row r="8314" x14ac:dyDescent="0.3"/>
    <row r="8315" x14ac:dyDescent="0.3"/>
    <row r="8316" x14ac:dyDescent="0.3"/>
    <row r="8317" x14ac:dyDescent="0.3"/>
    <row r="8318" x14ac:dyDescent="0.3"/>
    <row r="8319" x14ac:dyDescent="0.3"/>
    <row r="8320" x14ac:dyDescent="0.3"/>
    <row r="8321" x14ac:dyDescent="0.3"/>
    <row r="8322" x14ac:dyDescent="0.3"/>
    <row r="8323" x14ac:dyDescent="0.3"/>
    <row r="8324" x14ac:dyDescent="0.3"/>
    <row r="8325" x14ac:dyDescent="0.3"/>
    <row r="8326" x14ac:dyDescent="0.3"/>
    <row r="8327" x14ac:dyDescent="0.3"/>
    <row r="8328" x14ac:dyDescent="0.3"/>
    <row r="8329" x14ac:dyDescent="0.3"/>
    <row r="8330" x14ac:dyDescent="0.3"/>
    <row r="8331" x14ac:dyDescent="0.3"/>
    <row r="8332" x14ac:dyDescent="0.3"/>
    <row r="8333" x14ac:dyDescent="0.3"/>
    <row r="8334" x14ac:dyDescent="0.3"/>
    <row r="8335" x14ac:dyDescent="0.3"/>
    <row r="8336" x14ac:dyDescent="0.3"/>
    <row r="8337" x14ac:dyDescent="0.3"/>
    <row r="8338" x14ac:dyDescent="0.3"/>
    <row r="8339" x14ac:dyDescent="0.3"/>
    <row r="8340" x14ac:dyDescent="0.3"/>
    <row r="8341" x14ac:dyDescent="0.3"/>
    <row r="8342" x14ac:dyDescent="0.3"/>
    <row r="8343" x14ac:dyDescent="0.3"/>
    <row r="8344" x14ac:dyDescent="0.3"/>
    <row r="8345" x14ac:dyDescent="0.3"/>
    <row r="8346" x14ac:dyDescent="0.3"/>
    <row r="8347" x14ac:dyDescent="0.3"/>
    <row r="8348" x14ac:dyDescent="0.3"/>
    <row r="8349" x14ac:dyDescent="0.3"/>
    <row r="8350" x14ac:dyDescent="0.3"/>
    <row r="8351" x14ac:dyDescent="0.3"/>
    <row r="8352" x14ac:dyDescent="0.3"/>
    <row r="8353" x14ac:dyDescent="0.3"/>
    <row r="8354" x14ac:dyDescent="0.3"/>
    <row r="8355" x14ac:dyDescent="0.3"/>
    <row r="8356" x14ac:dyDescent="0.3"/>
    <row r="8357" x14ac:dyDescent="0.3"/>
    <row r="8358" x14ac:dyDescent="0.3"/>
    <row r="8359" x14ac:dyDescent="0.3"/>
    <row r="8360" x14ac:dyDescent="0.3"/>
    <row r="8361" x14ac:dyDescent="0.3"/>
    <row r="8362" x14ac:dyDescent="0.3"/>
    <row r="8363" x14ac:dyDescent="0.3"/>
    <row r="8364" x14ac:dyDescent="0.3"/>
    <row r="8365" x14ac:dyDescent="0.3"/>
    <row r="8366" x14ac:dyDescent="0.3"/>
    <row r="8367" x14ac:dyDescent="0.3"/>
    <row r="8368" x14ac:dyDescent="0.3"/>
    <row r="8369" x14ac:dyDescent="0.3"/>
    <row r="8370" x14ac:dyDescent="0.3"/>
    <row r="8371" x14ac:dyDescent="0.3"/>
    <row r="8372" x14ac:dyDescent="0.3"/>
    <row r="8373" x14ac:dyDescent="0.3"/>
    <row r="8374" x14ac:dyDescent="0.3"/>
    <row r="8375" x14ac:dyDescent="0.3"/>
    <row r="8376" x14ac:dyDescent="0.3"/>
    <row r="8377" x14ac:dyDescent="0.3"/>
    <row r="8378" x14ac:dyDescent="0.3"/>
    <row r="8379" x14ac:dyDescent="0.3"/>
    <row r="8380" x14ac:dyDescent="0.3"/>
    <row r="8381" x14ac:dyDescent="0.3"/>
    <row r="8382" x14ac:dyDescent="0.3"/>
    <row r="8383" x14ac:dyDescent="0.3"/>
    <row r="8384" x14ac:dyDescent="0.3"/>
    <row r="8385" x14ac:dyDescent="0.3"/>
    <row r="8386" x14ac:dyDescent="0.3"/>
    <row r="8387" x14ac:dyDescent="0.3"/>
    <row r="8388" x14ac:dyDescent="0.3"/>
    <row r="8389" x14ac:dyDescent="0.3"/>
    <row r="8390" x14ac:dyDescent="0.3"/>
    <row r="8391" x14ac:dyDescent="0.3"/>
    <row r="8392" x14ac:dyDescent="0.3"/>
    <row r="8393" x14ac:dyDescent="0.3"/>
    <row r="8394" x14ac:dyDescent="0.3"/>
    <row r="8395" x14ac:dyDescent="0.3"/>
    <row r="8396" x14ac:dyDescent="0.3"/>
    <row r="8397" x14ac:dyDescent="0.3"/>
    <row r="8398" x14ac:dyDescent="0.3"/>
    <row r="8399" x14ac:dyDescent="0.3"/>
    <row r="8400" x14ac:dyDescent="0.3"/>
    <row r="8401" x14ac:dyDescent="0.3"/>
    <row r="8402" x14ac:dyDescent="0.3"/>
    <row r="8403" x14ac:dyDescent="0.3"/>
    <row r="8404" x14ac:dyDescent="0.3"/>
    <row r="8405" x14ac:dyDescent="0.3"/>
    <row r="8406" x14ac:dyDescent="0.3"/>
    <row r="8407" x14ac:dyDescent="0.3"/>
    <row r="8408" x14ac:dyDescent="0.3"/>
    <row r="8409" x14ac:dyDescent="0.3"/>
    <row r="8410" x14ac:dyDescent="0.3"/>
    <row r="8411" x14ac:dyDescent="0.3"/>
    <row r="8412" x14ac:dyDescent="0.3"/>
    <row r="8413" x14ac:dyDescent="0.3"/>
    <row r="8414" x14ac:dyDescent="0.3"/>
    <row r="8415" x14ac:dyDescent="0.3"/>
    <row r="8416" x14ac:dyDescent="0.3"/>
    <row r="8417" x14ac:dyDescent="0.3"/>
    <row r="8418" x14ac:dyDescent="0.3"/>
    <row r="8419" x14ac:dyDescent="0.3"/>
    <row r="8420" x14ac:dyDescent="0.3"/>
    <row r="8421" x14ac:dyDescent="0.3"/>
    <row r="8422" x14ac:dyDescent="0.3"/>
    <row r="8423" x14ac:dyDescent="0.3"/>
    <row r="8424" x14ac:dyDescent="0.3"/>
    <row r="8425" x14ac:dyDescent="0.3"/>
    <row r="8426" x14ac:dyDescent="0.3"/>
    <row r="8427" x14ac:dyDescent="0.3"/>
    <row r="8428" x14ac:dyDescent="0.3"/>
    <row r="8429" x14ac:dyDescent="0.3"/>
    <row r="8430" x14ac:dyDescent="0.3"/>
    <row r="8431" x14ac:dyDescent="0.3"/>
    <row r="8432" x14ac:dyDescent="0.3"/>
    <row r="8433" x14ac:dyDescent="0.3"/>
    <row r="8434" x14ac:dyDescent="0.3"/>
    <row r="8435" x14ac:dyDescent="0.3"/>
    <row r="8436" x14ac:dyDescent="0.3"/>
    <row r="8437" x14ac:dyDescent="0.3"/>
    <row r="8438" x14ac:dyDescent="0.3"/>
    <row r="8439" x14ac:dyDescent="0.3"/>
    <row r="8440" x14ac:dyDescent="0.3"/>
    <row r="8441" x14ac:dyDescent="0.3"/>
    <row r="8442" x14ac:dyDescent="0.3"/>
    <row r="8443" x14ac:dyDescent="0.3"/>
    <row r="8444" x14ac:dyDescent="0.3"/>
    <row r="8445" x14ac:dyDescent="0.3"/>
    <row r="8446" x14ac:dyDescent="0.3"/>
    <row r="8447" x14ac:dyDescent="0.3"/>
    <row r="8448" x14ac:dyDescent="0.3"/>
    <row r="8449" x14ac:dyDescent="0.3"/>
    <row r="8450" x14ac:dyDescent="0.3"/>
    <row r="8451" x14ac:dyDescent="0.3"/>
    <row r="8452" x14ac:dyDescent="0.3"/>
    <row r="8453" x14ac:dyDescent="0.3"/>
    <row r="8454" x14ac:dyDescent="0.3"/>
    <row r="8455" x14ac:dyDescent="0.3"/>
    <row r="8456" x14ac:dyDescent="0.3"/>
    <row r="8457" x14ac:dyDescent="0.3"/>
    <row r="8458" x14ac:dyDescent="0.3"/>
    <row r="8459" x14ac:dyDescent="0.3"/>
    <row r="8460" x14ac:dyDescent="0.3"/>
    <row r="8461" x14ac:dyDescent="0.3"/>
    <row r="8462" x14ac:dyDescent="0.3"/>
    <row r="8463" x14ac:dyDescent="0.3"/>
    <row r="8464" x14ac:dyDescent="0.3"/>
    <row r="8465" x14ac:dyDescent="0.3"/>
    <row r="8466" x14ac:dyDescent="0.3"/>
    <row r="8467" x14ac:dyDescent="0.3"/>
    <row r="8468" x14ac:dyDescent="0.3"/>
    <row r="8469" x14ac:dyDescent="0.3"/>
    <row r="8470" x14ac:dyDescent="0.3"/>
    <row r="8471" x14ac:dyDescent="0.3"/>
    <row r="8472" x14ac:dyDescent="0.3"/>
    <row r="8473" x14ac:dyDescent="0.3"/>
    <row r="8474" x14ac:dyDescent="0.3"/>
    <row r="8475" x14ac:dyDescent="0.3"/>
    <row r="8476" x14ac:dyDescent="0.3"/>
    <row r="8477" x14ac:dyDescent="0.3"/>
    <row r="8478" x14ac:dyDescent="0.3"/>
    <row r="8479" x14ac:dyDescent="0.3"/>
    <row r="8480" x14ac:dyDescent="0.3"/>
    <row r="8481" x14ac:dyDescent="0.3"/>
    <row r="8482" x14ac:dyDescent="0.3"/>
    <row r="8483" x14ac:dyDescent="0.3"/>
    <row r="8484" x14ac:dyDescent="0.3"/>
    <row r="8485" x14ac:dyDescent="0.3"/>
    <row r="8486" x14ac:dyDescent="0.3"/>
    <row r="8487" x14ac:dyDescent="0.3"/>
    <row r="8488" x14ac:dyDescent="0.3"/>
    <row r="8489" x14ac:dyDescent="0.3"/>
    <row r="8490" x14ac:dyDescent="0.3"/>
    <row r="8491" x14ac:dyDescent="0.3"/>
    <row r="8492" x14ac:dyDescent="0.3"/>
    <row r="8493" x14ac:dyDescent="0.3"/>
    <row r="8494" x14ac:dyDescent="0.3"/>
    <row r="8495" x14ac:dyDescent="0.3"/>
    <row r="8496" x14ac:dyDescent="0.3"/>
    <row r="8497" x14ac:dyDescent="0.3"/>
    <row r="8498" x14ac:dyDescent="0.3"/>
    <row r="8499" x14ac:dyDescent="0.3"/>
    <row r="8500" x14ac:dyDescent="0.3"/>
    <row r="8501" x14ac:dyDescent="0.3"/>
    <row r="8502" x14ac:dyDescent="0.3"/>
    <row r="8503" x14ac:dyDescent="0.3"/>
    <row r="8504" x14ac:dyDescent="0.3"/>
    <row r="8505" x14ac:dyDescent="0.3"/>
    <row r="8506" x14ac:dyDescent="0.3"/>
    <row r="8507" x14ac:dyDescent="0.3"/>
    <row r="8508" x14ac:dyDescent="0.3"/>
    <row r="8509" x14ac:dyDescent="0.3"/>
    <row r="8510" x14ac:dyDescent="0.3"/>
    <row r="8511" x14ac:dyDescent="0.3"/>
    <row r="8512" x14ac:dyDescent="0.3"/>
    <row r="8513" x14ac:dyDescent="0.3"/>
    <row r="8514" x14ac:dyDescent="0.3"/>
    <row r="8515" x14ac:dyDescent="0.3"/>
    <row r="8516" x14ac:dyDescent="0.3"/>
    <row r="8517" x14ac:dyDescent="0.3"/>
    <row r="8518" x14ac:dyDescent="0.3"/>
    <row r="8519" x14ac:dyDescent="0.3"/>
    <row r="8520" x14ac:dyDescent="0.3"/>
    <row r="8521" x14ac:dyDescent="0.3"/>
    <row r="8522" x14ac:dyDescent="0.3"/>
    <row r="8523" x14ac:dyDescent="0.3"/>
    <row r="8524" x14ac:dyDescent="0.3"/>
    <row r="8525" x14ac:dyDescent="0.3"/>
    <row r="8526" x14ac:dyDescent="0.3"/>
    <row r="8527" x14ac:dyDescent="0.3"/>
    <row r="8528" x14ac:dyDescent="0.3"/>
    <row r="8529" x14ac:dyDescent="0.3"/>
    <row r="8530" x14ac:dyDescent="0.3"/>
    <row r="8531" x14ac:dyDescent="0.3"/>
    <row r="8532" x14ac:dyDescent="0.3"/>
    <row r="8533" x14ac:dyDescent="0.3"/>
    <row r="8534" x14ac:dyDescent="0.3"/>
    <row r="8535" x14ac:dyDescent="0.3"/>
    <row r="8536" x14ac:dyDescent="0.3"/>
    <row r="8537" x14ac:dyDescent="0.3"/>
    <row r="8538" x14ac:dyDescent="0.3"/>
    <row r="8539" x14ac:dyDescent="0.3"/>
    <row r="8540" x14ac:dyDescent="0.3"/>
    <row r="8541" x14ac:dyDescent="0.3"/>
    <row r="8542" x14ac:dyDescent="0.3"/>
    <row r="8543" x14ac:dyDescent="0.3"/>
    <row r="8544" x14ac:dyDescent="0.3"/>
    <row r="8545" x14ac:dyDescent="0.3"/>
    <row r="8546" x14ac:dyDescent="0.3"/>
    <row r="8547" x14ac:dyDescent="0.3"/>
    <row r="8548" x14ac:dyDescent="0.3"/>
    <row r="8549" x14ac:dyDescent="0.3"/>
    <row r="8550" x14ac:dyDescent="0.3"/>
    <row r="8551" x14ac:dyDescent="0.3"/>
    <row r="8552" x14ac:dyDescent="0.3"/>
    <row r="8553" x14ac:dyDescent="0.3"/>
    <row r="8554" x14ac:dyDescent="0.3"/>
    <row r="8555" x14ac:dyDescent="0.3"/>
    <row r="8556" x14ac:dyDescent="0.3"/>
    <row r="8557" x14ac:dyDescent="0.3"/>
    <row r="8558" x14ac:dyDescent="0.3"/>
    <row r="8559" x14ac:dyDescent="0.3"/>
    <row r="8560" x14ac:dyDescent="0.3"/>
    <row r="8561" x14ac:dyDescent="0.3"/>
    <row r="8562" x14ac:dyDescent="0.3"/>
    <row r="8563" x14ac:dyDescent="0.3"/>
    <row r="8564" x14ac:dyDescent="0.3"/>
    <row r="8565" x14ac:dyDescent="0.3"/>
    <row r="8566" x14ac:dyDescent="0.3"/>
    <row r="8567" x14ac:dyDescent="0.3"/>
    <row r="8568" x14ac:dyDescent="0.3"/>
    <row r="8569" x14ac:dyDescent="0.3"/>
    <row r="8570" x14ac:dyDescent="0.3"/>
    <row r="8571" x14ac:dyDescent="0.3"/>
    <row r="8572" x14ac:dyDescent="0.3"/>
    <row r="8573" x14ac:dyDescent="0.3"/>
    <row r="8574" x14ac:dyDescent="0.3"/>
    <row r="8575" x14ac:dyDescent="0.3"/>
    <row r="8576" x14ac:dyDescent="0.3"/>
    <row r="8577" x14ac:dyDescent="0.3"/>
    <row r="8578" x14ac:dyDescent="0.3"/>
    <row r="8579" x14ac:dyDescent="0.3"/>
    <row r="8580" x14ac:dyDescent="0.3"/>
    <row r="8581" x14ac:dyDescent="0.3"/>
    <row r="8582" x14ac:dyDescent="0.3"/>
    <row r="8583" x14ac:dyDescent="0.3"/>
    <row r="8584" x14ac:dyDescent="0.3"/>
    <row r="8585" x14ac:dyDescent="0.3"/>
    <row r="8586" x14ac:dyDescent="0.3"/>
    <row r="8587" x14ac:dyDescent="0.3"/>
    <row r="8588" x14ac:dyDescent="0.3"/>
    <row r="8589" x14ac:dyDescent="0.3"/>
    <row r="8590" x14ac:dyDescent="0.3"/>
    <row r="8591" x14ac:dyDescent="0.3"/>
    <row r="8592" x14ac:dyDescent="0.3"/>
    <row r="8593" x14ac:dyDescent="0.3"/>
    <row r="8594" x14ac:dyDescent="0.3"/>
    <row r="8595" x14ac:dyDescent="0.3"/>
    <row r="8596" x14ac:dyDescent="0.3"/>
    <row r="8597" x14ac:dyDescent="0.3"/>
    <row r="8598" x14ac:dyDescent="0.3"/>
    <row r="8599" x14ac:dyDescent="0.3"/>
    <row r="8600" x14ac:dyDescent="0.3"/>
    <row r="8601" x14ac:dyDescent="0.3"/>
    <row r="8602" x14ac:dyDescent="0.3"/>
    <row r="8603" x14ac:dyDescent="0.3"/>
    <row r="8604" x14ac:dyDescent="0.3"/>
    <row r="8605" x14ac:dyDescent="0.3"/>
    <row r="8606" x14ac:dyDescent="0.3"/>
    <row r="8607" x14ac:dyDescent="0.3"/>
    <row r="8608" x14ac:dyDescent="0.3"/>
    <row r="8609" x14ac:dyDescent="0.3"/>
    <row r="8610" x14ac:dyDescent="0.3"/>
    <row r="8611" x14ac:dyDescent="0.3"/>
    <row r="8612" x14ac:dyDescent="0.3"/>
    <row r="8613" x14ac:dyDescent="0.3"/>
    <row r="8614" x14ac:dyDescent="0.3"/>
    <row r="8615" x14ac:dyDescent="0.3"/>
    <row r="8616" x14ac:dyDescent="0.3"/>
    <row r="8617" x14ac:dyDescent="0.3"/>
    <row r="8618" x14ac:dyDescent="0.3"/>
    <row r="8619" x14ac:dyDescent="0.3"/>
    <row r="8620" x14ac:dyDescent="0.3"/>
    <row r="8621" x14ac:dyDescent="0.3"/>
    <row r="8622" x14ac:dyDescent="0.3"/>
    <row r="8623" x14ac:dyDescent="0.3"/>
    <row r="8624" x14ac:dyDescent="0.3"/>
    <row r="8625" x14ac:dyDescent="0.3"/>
    <row r="8626" x14ac:dyDescent="0.3"/>
    <row r="8627" x14ac:dyDescent="0.3"/>
    <row r="8628" x14ac:dyDescent="0.3"/>
    <row r="8629" x14ac:dyDescent="0.3"/>
    <row r="8630" x14ac:dyDescent="0.3"/>
    <row r="8631" x14ac:dyDescent="0.3"/>
    <row r="8632" x14ac:dyDescent="0.3"/>
    <row r="8633" x14ac:dyDescent="0.3"/>
    <row r="8634" x14ac:dyDescent="0.3"/>
    <row r="8635" x14ac:dyDescent="0.3"/>
    <row r="8636" x14ac:dyDescent="0.3"/>
    <row r="8637" x14ac:dyDescent="0.3"/>
    <row r="8638" x14ac:dyDescent="0.3"/>
    <row r="8639" x14ac:dyDescent="0.3"/>
    <row r="8640" x14ac:dyDescent="0.3"/>
    <row r="8641" x14ac:dyDescent="0.3"/>
    <row r="8642" x14ac:dyDescent="0.3"/>
    <row r="8643" x14ac:dyDescent="0.3"/>
    <row r="8644" x14ac:dyDescent="0.3"/>
    <row r="8645" x14ac:dyDescent="0.3"/>
    <row r="8646" x14ac:dyDescent="0.3"/>
    <row r="8647" x14ac:dyDescent="0.3"/>
    <row r="8648" x14ac:dyDescent="0.3"/>
    <row r="8649" x14ac:dyDescent="0.3"/>
    <row r="8650" x14ac:dyDescent="0.3"/>
    <row r="8651" x14ac:dyDescent="0.3"/>
    <row r="8652" x14ac:dyDescent="0.3"/>
    <row r="8653" x14ac:dyDescent="0.3"/>
    <row r="8654" x14ac:dyDescent="0.3"/>
    <row r="8655" x14ac:dyDescent="0.3"/>
    <row r="8656" x14ac:dyDescent="0.3"/>
    <row r="8657" x14ac:dyDescent="0.3"/>
    <row r="8658" x14ac:dyDescent="0.3"/>
    <row r="8659" x14ac:dyDescent="0.3"/>
    <row r="8660" x14ac:dyDescent="0.3"/>
    <row r="8661" x14ac:dyDescent="0.3"/>
    <row r="8662" x14ac:dyDescent="0.3"/>
    <row r="8663" x14ac:dyDescent="0.3"/>
    <row r="8664" x14ac:dyDescent="0.3"/>
    <row r="8665" x14ac:dyDescent="0.3"/>
    <row r="8666" x14ac:dyDescent="0.3"/>
    <row r="8667" x14ac:dyDescent="0.3"/>
    <row r="8668" x14ac:dyDescent="0.3"/>
    <row r="8669" x14ac:dyDescent="0.3"/>
    <row r="8670" x14ac:dyDescent="0.3"/>
    <row r="8671" x14ac:dyDescent="0.3"/>
    <row r="8672" x14ac:dyDescent="0.3"/>
    <row r="8673" x14ac:dyDescent="0.3"/>
    <row r="8674" x14ac:dyDescent="0.3"/>
    <row r="8675" x14ac:dyDescent="0.3"/>
    <row r="8676" x14ac:dyDescent="0.3"/>
    <row r="8677" x14ac:dyDescent="0.3"/>
    <row r="8678" x14ac:dyDescent="0.3"/>
    <row r="8679" x14ac:dyDescent="0.3"/>
    <row r="8680" x14ac:dyDescent="0.3"/>
    <row r="8681" x14ac:dyDescent="0.3"/>
    <row r="8682" x14ac:dyDescent="0.3"/>
    <row r="8683" x14ac:dyDescent="0.3"/>
    <row r="8684" x14ac:dyDescent="0.3"/>
    <row r="8685" x14ac:dyDescent="0.3"/>
    <row r="8686" x14ac:dyDescent="0.3"/>
    <row r="8687" x14ac:dyDescent="0.3"/>
    <row r="8688" x14ac:dyDescent="0.3"/>
    <row r="8689" x14ac:dyDescent="0.3"/>
    <row r="8690" x14ac:dyDescent="0.3"/>
    <row r="8691" x14ac:dyDescent="0.3"/>
    <row r="8692" x14ac:dyDescent="0.3"/>
    <row r="8693" x14ac:dyDescent="0.3"/>
    <row r="8694" x14ac:dyDescent="0.3"/>
    <row r="8695" x14ac:dyDescent="0.3"/>
    <row r="8696" x14ac:dyDescent="0.3"/>
    <row r="8697" x14ac:dyDescent="0.3"/>
    <row r="8698" x14ac:dyDescent="0.3"/>
    <row r="8699" x14ac:dyDescent="0.3"/>
    <row r="8700" x14ac:dyDescent="0.3"/>
    <row r="8701" x14ac:dyDescent="0.3"/>
    <row r="8702" x14ac:dyDescent="0.3"/>
    <row r="8703" x14ac:dyDescent="0.3"/>
    <row r="8704" x14ac:dyDescent="0.3"/>
    <row r="8705" x14ac:dyDescent="0.3"/>
    <row r="8706" x14ac:dyDescent="0.3"/>
    <row r="8707" x14ac:dyDescent="0.3"/>
    <row r="8708" x14ac:dyDescent="0.3"/>
    <row r="8709" x14ac:dyDescent="0.3"/>
    <row r="8710" x14ac:dyDescent="0.3"/>
    <row r="8711" x14ac:dyDescent="0.3"/>
    <row r="8712" x14ac:dyDescent="0.3"/>
    <row r="8713" x14ac:dyDescent="0.3"/>
    <row r="8714" x14ac:dyDescent="0.3"/>
    <row r="8715" x14ac:dyDescent="0.3"/>
    <row r="8716" x14ac:dyDescent="0.3"/>
    <row r="8717" x14ac:dyDescent="0.3"/>
    <row r="8718" x14ac:dyDescent="0.3"/>
    <row r="8719" x14ac:dyDescent="0.3"/>
    <row r="8720" x14ac:dyDescent="0.3"/>
    <row r="8721" x14ac:dyDescent="0.3"/>
    <row r="8722" x14ac:dyDescent="0.3"/>
    <row r="8723" x14ac:dyDescent="0.3"/>
    <row r="8724" x14ac:dyDescent="0.3"/>
    <row r="8725" x14ac:dyDescent="0.3"/>
    <row r="8726" x14ac:dyDescent="0.3"/>
    <row r="8727" x14ac:dyDescent="0.3"/>
    <row r="8728" x14ac:dyDescent="0.3"/>
    <row r="8729" x14ac:dyDescent="0.3"/>
    <row r="8730" x14ac:dyDescent="0.3"/>
    <row r="8731" x14ac:dyDescent="0.3"/>
    <row r="8732" x14ac:dyDescent="0.3"/>
    <row r="8733" x14ac:dyDescent="0.3"/>
    <row r="8734" x14ac:dyDescent="0.3"/>
    <row r="8735" x14ac:dyDescent="0.3"/>
    <row r="8736" x14ac:dyDescent="0.3"/>
    <row r="8737" x14ac:dyDescent="0.3"/>
    <row r="8738" x14ac:dyDescent="0.3"/>
    <row r="8739" x14ac:dyDescent="0.3"/>
    <row r="8740" x14ac:dyDescent="0.3"/>
    <row r="8741" x14ac:dyDescent="0.3"/>
    <row r="8742" x14ac:dyDescent="0.3"/>
    <row r="8743" x14ac:dyDescent="0.3"/>
    <row r="8744" x14ac:dyDescent="0.3"/>
    <row r="8745" x14ac:dyDescent="0.3"/>
    <row r="8746" x14ac:dyDescent="0.3"/>
    <row r="8747" x14ac:dyDescent="0.3"/>
    <row r="8748" x14ac:dyDescent="0.3"/>
    <row r="8749" x14ac:dyDescent="0.3"/>
    <row r="8750" x14ac:dyDescent="0.3"/>
    <row r="8751" x14ac:dyDescent="0.3"/>
    <row r="8752" x14ac:dyDescent="0.3"/>
    <row r="8753" x14ac:dyDescent="0.3"/>
    <row r="8754" x14ac:dyDescent="0.3"/>
    <row r="8755" x14ac:dyDescent="0.3"/>
    <row r="8756" x14ac:dyDescent="0.3"/>
    <row r="8757" x14ac:dyDescent="0.3"/>
    <row r="8758" x14ac:dyDescent="0.3"/>
    <row r="8759" x14ac:dyDescent="0.3"/>
    <row r="8760" x14ac:dyDescent="0.3"/>
    <row r="8761" x14ac:dyDescent="0.3"/>
    <row r="8762" x14ac:dyDescent="0.3"/>
    <row r="8763" x14ac:dyDescent="0.3"/>
    <row r="8764" x14ac:dyDescent="0.3"/>
    <row r="8765" x14ac:dyDescent="0.3"/>
    <row r="8766" x14ac:dyDescent="0.3"/>
    <row r="8767" x14ac:dyDescent="0.3"/>
    <row r="8768" x14ac:dyDescent="0.3"/>
    <row r="8769" x14ac:dyDescent="0.3"/>
    <row r="8770" x14ac:dyDescent="0.3"/>
    <row r="8771" x14ac:dyDescent="0.3"/>
    <row r="8772" x14ac:dyDescent="0.3"/>
    <row r="8773" x14ac:dyDescent="0.3"/>
    <row r="8774" x14ac:dyDescent="0.3"/>
    <row r="8775" x14ac:dyDescent="0.3"/>
    <row r="8776" x14ac:dyDescent="0.3"/>
    <row r="8777" x14ac:dyDescent="0.3"/>
    <row r="8778" x14ac:dyDescent="0.3"/>
    <row r="8779" x14ac:dyDescent="0.3"/>
    <row r="8780" x14ac:dyDescent="0.3"/>
    <row r="8781" x14ac:dyDescent="0.3"/>
    <row r="8782" x14ac:dyDescent="0.3"/>
    <row r="8783" x14ac:dyDescent="0.3"/>
    <row r="8784" x14ac:dyDescent="0.3"/>
    <row r="8785" x14ac:dyDescent="0.3"/>
    <row r="8786" x14ac:dyDescent="0.3"/>
    <row r="8787" x14ac:dyDescent="0.3"/>
    <row r="8788" x14ac:dyDescent="0.3"/>
    <row r="8789" x14ac:dyDescent="0.3"/>
    <row r="8790" x14ac:dyDescent="0.3"/>
    <row r="8791" x14ac:dyDescent="0.3"/>
    <row r="8792" x14ac:dyDescent="0.3"/>
    <row r="8793" x14ac:dyDescent="0.3"/>
    <row r="8794" x14ac:dyDescent="0.3"/>
    <row r="8795" x14ac:dyDescent="0.3"/>
    <row r="8796" x14ac:dyDescent="0.3"/>
    <row r="8797" x14ac:dyDescent="0.3"/>
    <row r="8798" x14ac:dyDescent="0.3"/>
    <row r="8799" x14ac:dyDescent="0.3"/>
    <row r="8800" x14ac:dyDescent="0.3"/>
    <row r="8801" x14ac:dyDescent="0.3"/>
    <row r="8802" x14ac:dyDescent="0.3"/>
    <row r="8803" x14ac:dyDescent="0.3"/>
    <row r="8804" x14ac:dyDescent="0.3"/>
    <row r="8805" x14ac:dyDescent="0.3"/>
    <row r="8806" x14ac:dyDescent="0.3"/>
    <row r="8807" x14ac:dyDescent="0.3"/>
    <row r="8808" x14ac:dyDescent="0.3"/>
    <row r="8809" x14ac:dyDescent="0.3"/>
    <row r="8810" x14ac:dyDescent="0.3"/>
    <row r="8811" x14ac:dyDescent="0.3"/>
    <row r="8812" x14ac:dyDescent="0.3"/>
    <row r="8813" x14ac:dyDescent="0.3"/>
    <row r="8814" x14ac:dyDescent="0.3"/>
    <row r="8815" x14ac:dyDescent="0.3"/>
    <row r="8816" x14ac:dyDescent="0.3"/>
    <row r="8817" x14ac:dyDescent="0.3"/>
    <row r="8818" x14ac:dyDescent="0.3"/>
    <row r="8819" x14ac:dyDescent="0.3"/>
    <row r="8820" x14ac:dyDescent="0.3"/>
    <row r="8821" x14ac:dyDescent="0.3"/>
    <row r="8822" x14ac:dyDescent="0.3"/>
    <row r="8823" x14ac:dyDescent="0.3"/>
    <row r="8824" x14ac:dyDescent="0.3"/>
    <row r="8825" x14ac:dyDescent="0.3"/>
    <row r="8826" x14ac:dyDescent="0.3"/>
    <row r="8827" x14ac:dyDescent="0.3"/>
    <row r="8828" x14ac:dyDescent="0.3"/>
    <row r="8829" x14ac:dyDescent="0.3"/>
    <row r="8830" x14ac:dyDescent="0.3"/>
    <row r="8831" x14ac:dyDescent="0.3"/>
    <row r="8832" x14ac:dyDescent="0.3"/>
    <row r="8833" x14ac:dyDescent="0.3"/>
    <row r="8834" x14ac:dyDescent="0.3"/>
    <row r="8835" x14ac:dyDescent="0.3"/>
    <row r="8836" x14ac:dyDescent="0.3"/>
    <row r="8837" x14ac:dyDescent="0.3"/>
    <row r="8838" x14ac:dyDescent="0.3"/>
    <row r="8839" x14ac:dyDescent="0.3"/>
    <row r="8840" x14ac:dyDescent="0.3"/>
    <row r="8841" x14ac:dyDescent="0.3"/>
    <row r="8842" x14ac:dyDescent="0.3"/>
    <row r="8843" x14ac:dyDescent="0.3"/>
    <row r="8844" x14ac:dyDescent="0.3"/>
    <row r="8845" x14ac:dyDescent="0.3"/>
    <row r="8846" x14ac:dyDescent="0.3"/>
    <row r="8847" x14ac:dyDescent="0.3"/>
    <row r="8848" x14ac:dyDescent="0.3"/>
    <row r="8849" x14ac:dyDescent="0.3"/>
    <row r="8850" x14ac:dyDescent="0.3"/>
    <row r="8851" x14ac:dyDescent="0.3"/>
    <row r="8852" x14ac:dyDescent="0.3"/>
    <row r="8853" x14ac:dyDescent="0.3"/>
    <row r="8854" x14ac:dyDescent="0.3"/>
    <row r="8855" x14ac:dyDescent="0.3"/>
    <row r="8856" x14ac:dyDescent="0.3"/>
    <row r="8857" x14ac:dyDescent="0.3"/>
    <row r="8858" x14ac:dyDescent="0.3"/>
    <row r="8859" x14ac:dyDescent="0.3"/>
    <row r="8860" x14ac:dyDescent="0.3"/>
    <row r="8861" x14ac:dyDescent="0.3"/>
    <row r="8862" x14ac:dyDescent="0.3"/>
    <row r="8863" x14ac:dyDescent="0.3"/>
    <row r="8864" x14ac:dyDescent="0.3"/>
    <row r="8865" x14ac:dyDescent="0.3"/>
    <row r="8866" x14ac:dyDescent="0.3"/>
    <row r="8867" x14ac:dyDescent="0.3"/>
    <row r="8868" x14ac:dyDescent="0.3"/>
    <row r="8869" x14ac:dyDescent="0.3"/>
    <row r="8870" x14ac:dyDescent="0.3"/>
    <row r="8871" x14ac:dyDescent="0.3"/>
    <row r="8872" x14ac:dyDescent="0.3"/>
    <row r="8873" x14ac:dyDescent="0.3"/>
    <row r="8874" x14ac:dyDescent="0.3"/>
    <row r="8875" x14ac:dyDescent="0.3"/>
    <row r="8876" x14ac:dyDescent="0.3"/>
    <row r="8877" x14ac:dyDescent="0.3"/>
    <row r="8878" x14ac:dyDescent="0.3"/>
    <row r="8879" x14ac:dyDescent="0.3"/>
    <row r="8880" x14ac:dyDescent="0.3"/>
    <row r="8881" x14ac:dyDescent="0.3"/>
    <row r="8882" x14ac:dyDescent="0.3"/>
    <row r="8883" x14ac:dyDescent="0.3"/>
    <row r="8884" x14ac:dyDescent="0.3"/>
    <row r="8885" x14ac:dyDescent="0.3"/>
    <row r="8886" x14ac:dyDescent="0.3"/>
    <row r="8887" x14ac:dyDescent="0.3"/>
    <row r="8888" x14ac:dyDescent="0.3"/>
    <row r="8889" x14ac:dyDescent="0.3"/>
    <row r="8890" x14ac:dyDescent="0.3"/>
    <row r="8891" x14ac:dyDescent="0.3"/>
    <row r="8892" x14ac:dyDescent="0.3"/>
    <row r="8893" x14ac:dyDescent="0.3"/>
    <row r="8894" x14ac:dyDescent="0.3"/>
    <row r="8895" x14ac:dyDescent="0.3"/>
    <row r="8896" x14ac:dyDescent="0.3"/>
    <row r="8897" x14ac:dyDescent="0.3"/>
    <row r="8898" x14ac:dyDescent="0.3"/>
    <row r="8899" x14ac:dyDescent="0.3"/>
    <row r="8900" x14ac:dyDescent="0.3"/>
    <row r="8901" x14ac:dyDescent="0.3"/>
    <row r="8902" x14ac:dyDescent="0.3"/>
    <row r="8903" x14ac:dyDescent="0.3"/>
    <row r="8904" x14ac:dyDescent="0.3"/>
    <row r="8905" x14ac:dyDescent="0.3"/>
    <row r="8906" x14ac:dyDescent="0.3"/>
    <row r="8907" x14ac:dyDescent="0.3"/>
    <row r="8908" x14ac:dyDescent="0.3"/>
    <row r="8909" x14ac:dyDescent="0.3"/>
    <row r="8910" x14ac:dyDescent="0.3"/>
    <row r="8911" x14ac:dyDescent="0.3"/>
    <row r="8912" x14ac:dyDescent="0.3"/>
    <row r="8913" x14ac:dyDescent="0.3"/>
    <row r="8914" x14ac:dyDescent="0.3"/>
    <row r="8915" x14ac:dyDescent="0.3"/>
    <row r="8916" x14ac:dyDescent="0.3"/>
    <row r="8917" x14ac:dyDescent="0.3"/>
    <row r="8918" x14ac:dyDescent="0.3"/>
    <row r="8919" x14ac:dyDescent="0.3"/>
    <row r="8920" x14ac:dyDescent="0.3"/>
    <row r="8921" x14ac:dyDescent="0.3"/>
    <row r="8922" x14ac:dyDescent="0.3"/>
    <row r="8923" x14ac:dyDescent="0.3"/>
    <row r="8924" x14ac:dyDescent="0.3"/>
    <row r="8925" x14ac:dyDescent="0.3"/>
    <row r="8926" x14ac:dyDescent="0.3"/>
    <row r="8927" x14ac:dyDescent="0.3"/>
    <row r="8928" x14ac:dyDescent="0.3"/>
    <row r="8929" x14ac:dyDescent="0.3"/>
    <row r="8930" x14ac:dyDescent="0.3"/>
    <row r="8931" x14ac:dyDescent="0.3"/>
    <row r="8932" x14ac:dyDescent="0.3"/>
    <row r="8933" x14ac:dyDescent="0.3"/>
    <row r="8934" x14ac:dyDescent="0.3"/>
    <row r="8935" x14ac:dyDescent="0.3"/>
    <row r="8936" x14ac:dyDescent="0.3"/>
    <row r="8937" x14ac:dyDescent="0.3"/>
    <row r="8938" x14ac:dyDescent="0.3"/>
    <row r="8939" x14ac:dyDescent="0.3"/>
    <row r="8940" x14ac:dyDescent="0.3"/>
    <row r="8941" x14ac:dyDescent="0.3"/>
    <row r="8942" x14ac:dyDescent="0.3"/>
    <row r="8943" x14ac:dyDescent="0.3"/>
    <row r="8944" x14ac:dyDescent="0.3"/>
    <row r="8945" x14ac:dyDescent="0.3"/>
    <row r="8946" x14ac:dyDescent="0.3"/>
    <row r="8947" x14ac:dyDescent="0.3"/>
    <row r="8948" x14ac:dyDescent="0.3"/>
    <row r="8949" x14ac:dyDescent="0.3"/>
    <row r="8950" x14ac:dyDescent="0.3"/>
    <row r="8951" x14ac:dyDescent="0.3"/>
    <row r="8952" x14ac:dyDescent="0.3"/>
    <row r="8953" x14ac:dyDescent="0.3"/>
    <row r="8954" x14ac:dyDescent="0.3"/>
    <row r="8955" x14ac:dyDescent="0.3"/>
    <row r="8956" x14ac:dyDescent="0.3"/>
    <row r="8957" x14ac:dyDescent="0.3"/>
    <row r="8958" x14ac:dyDescent="0.3"/>
    <row r="8959" x14ac:dyDescent="0.3"/>
    <row r="8960" x14ac:dyDescent="0.3"/>
    <row r="8961" x14ac:dyDescent="0.3"/>
    <row r="8962" x14ac:dyDescent="0.3"/>
    <row r="8963" x14ac:dyDescent="0.3"/>
    <row r="8964" x14ac:dyDescent="0.3"/>
    <row r="8965" x14ac:dyDescent="0.3"/>
    <row r="8966" x14ac:dyDescent="0.3"/>
    <row r="8967" x14ac:dyDescent="0.3"/>
    <row r="8968" x14ac:dyDescent="0.3"/>
    <row r="8969" x14ac:dyDescent="0.3"/>
    <row r="8970" x14ac:dyDescent="0.3"/>
    <row r="8971" x14ac:dyDescent="0.3"/>
    <row r="8972" x14ac:dyDescent="0.3"/>
    <row r="8973" x14ac:dyDescent="0.3"/>
    <row r="8974" x14ac:dyDescent="0.3"/>
    <row r="8975" x14ac:dyDescent="0.3"/>
    <row r="8976" x14ac:dyDescent="0.3"/>
    <row r="8977" x14ac:dyDescent="0.3"/>
    <row r="8978" x14ac:dyDescent="0.3"/>
    <row r="8979" x14ac:dyDescent="0.3"/>
    <row r="8980" x14ac:dyDescent="0.3"/>
    <row r="8981" x14ac:dyDescent="0.3"/>
    <row r="8982" x14ac:dyDescent="0.3"/>
    <row r="8983" x14ac:dyDescent="0.3"/>
    <row r="8984" x14ac:dyDescent="0.3"/>
    <row r="8985" x14ac:dyDescent="0.3"/>
    <row r="8986" x14ac:dyDescent="0.3"/>
    <row r="8987" x14ac:dyDescent="0.3"/>
    <row r="8988" x14ac:dyDescent="0.3"/>
    <row r="8989" x14ac:dyDescent="0.3"/>
    <row r="8990" x14ac:dyDescent="0.3"/>
    <row r="8991" x14ac:dyDescent="0.3"/>
    <row r="8992" x14ac:dyDescent="0.3"/>
    <row r="8993" x14ac:dyDescent="0.3"/>
    <row r="8994" x14ac:dyDescent="0.3"/>
    <row r="8995" x14ac:dyDescent="0.3"/>
    <row r="8996" x14ac:dyDescent="0.3"/>
    <row r="8997" x14ac:dyDescent="0.3"/>
    <row r="8998" x14ac:dyDescent="0.3"/>
    <row r="8999" x14ac:dyDescent="0.3"/>
    <row r="9000" x14ac:dyDescent="0.3"/>
    <row r="9001" x14ac:dyDescent="0.3"/>
    <row r="9002" x14ac:dyDescent="0.3"/>
    <row r="9003" x14ac:dyDescent="0.3"/>
    <row r="9004" x14ac:dyDescent="0.3"/>
    <row r="9005" x14ac:dyDescent="0.3"/>
    <row r="9006" x14ac:dyDescent="0.3"/>
    <row r="9007" x14ac:dyDescent="0.3"/>
    <row r="9008" x14ac:dyDescent="0.3"/>
    <row r="9009" x14ac:dyDescent="0.3"/>
    <row r="9010" x14ac:dyDescent="0.3"/>
    <row r="9011" x14ac:dyDescent="0.3"/>
    <row r="9012" x14ac:dyDescent="0.3"/>
    <row r="9013" x14ac:dyDescent="0.3"/>
    <row r="9014" x14ac:dyDescent="0.3"/>
    <row r="9015" x14ac:dyDescent="0.3"/>
    <row r="9016" x14ac:dyDescent="0.3"/>
    <row r="9017" x14ac:dyDescent="0.3"/>
    <row r="9018" x14ac:dyDescent="0.3"/>
    <row r="9019" x14ac:dyDescent="0.3"/>
    <row r="9020" x14ac:dyDescent="0.3"/>
    <row r="9021" x14ac:dyDescent="0.3"/>
    <row r="9022" x14ac:dyDescent="0.3"/>
    <row r="9023" x14ac:dyDescent="0.3"/>
    <row r="9024" x14ac:dyDescent="0.3"/>
    <row r="9025" x14ac:dyDescent="0.3"/>
    <row r="9026" x14ac:dyDescent="0.3"/>
    <row r="9027" x14ac:dyDescent="0.3"/>
    <row r="9028" x14ac:dyDescent="0.3"/>
    <row r="9029" x14ac:dyDescent="0.3"/>
    <row r="9030" x14ac:dyDescent="0.3"/>
    <row r="9031" x14ac:dyDescent="0.3"/>
    <row r="9032" x14ac:dyDescent="0.3"/>
    <row r="9033" x14ac:dyDescent="0.3"/>
    <row r="9034" x14ac:dyDescent="0.3"/>
    <row r="9035" x14ac:dyDescent="0.3"/>
    <row r="9036" x14ac:dyDescent="0.3"/>
    <row r="9037" x14ac:dyDescent="0.3"/>
    <row r="9038" x14ac:dyDescent="0.3"/>
    <row r="9039" x14ac:dyDescent="0.3"/>
    <row r="9040" x14ac:dyDescent="0.3"/>
    <row r="9041" x14ac:dyDescent="0.3"/>
    <row r="9042" x14ac:dyDescent="0.3"/>
    <row r="9043" x14ac:dyDescent="0.3"/>
    <row r="9044" x14ac:dyDescent="0.3"/>
    <row r="9045" x14ac:dyDescent="0.3"/>
    <row r="9046" x14ac:dyDescent="0.3"/>
    <row r="9047" x14ac:dyDescent="0.3"/>
    <row r="9048" x14ac:dyDescent="0.3"/>
    <row r="9049" x14ac:dyDescent="0.3"/>
    <row r="9050" x14ac:dyDescent="0.3"/>
    <row r="9051" x14ac:dyDescent="0.3"/>
    <row r="9052" x14ac:dyDescent="0.3"/>
    <row r="9053" x14ac:dyDescent="0.3"/>
    <row r="9054" x14ac:dyDescent="0.3"/>
    <row r="9055" x14ac:dyDescent="0.3"/>
    <row r="9056" x14ac:dyDescent="0.3"/>
    <row r="9057" x14ac:dyDescent="0.3"/>
    <row r="9058" x14ac:dyDescent="0.3"/>
    <row r="9059" x14ac:dyDescent="0.3"/>
    <row r="9060" x14ac:dyDescent="0.3"/>
    <row r="9061" x14ac:dyDescent="0.3"/>
    <row r="9062" x14ac:dyDescent="0.3"/>
    <row r="9063" x14ac:dyDescent="0.3"/>
    <row r="9064" x14ac:dyDescent="0.3"/>
    <row r="9065" x14ac:dyDescent="0.3"/>
    <row r="9066" x14ac:dyDescent="0.3"/>
    <row r="9067" x14ac:dyDescent="0.3"/>
    <row r="9068" x14ac:dyDescent="0.3"/>
    <row r="9069" x14ac:dyDescent="0.3"/>
    <row r="9070" x14ac:dyDescent="0.3"/>
    <row r="9071" x14ac:dyDescent="0.3"/>
    <row r="9072" x14ac:dyDescent="0.3"/>
    <row r="9073" x14ac:dyDescent="0.3"/>
    <row r="9074" x14ac:dyDescent="0.3"/>
    <row r="9075" x14ac:dyDescent="0.3"/>
    <row r="9076" x14ac:dyDescent="0.3"/>
    <row r="9077" x14ac:dyDescent="0.3"/>
    <row r="9078" x14ac:dyDescent="0.3"/>
    <row r="9079" x14ac:dyDescent="0.3"/>
    <row r="9080" x14ac:dyDescent="0.3"/>
    <row r="9081" x14ac:dyDescent="0.3"/>
    <row r="9082" x14ac:dyDescent="0.3"/>
    <row r="9083" x14ac:dyDescent="0.3"/>
    <row r="9084" x14ac:dyDescent="0.3"/>
    <row r="9085" x14ac:dyDescent="0.3"/>
    <row r="9086" x14ac:dyDescent="0.3"/>
    <row r="9087" x14ac:dyDescent="0.3"/>
    <row r="9088" x14ac:dyDescent="0.3"/>
    <row r="9089" x14ac:dyDescent="0.3"/>
    <row r="9090" x14ac:dyDescent="0.3"/>
    <row r="9091" x14ac:dyDescent="0.3"/>
    <row r="9092" x14ac:dyDescent="0.3"/>
    <row r="9093" x14ac:dyDescent="0.3"/>
    <row r="9094" x14ac:dyDescent="0.3"/>
    <row r="9095" x14ac:dyDescent="0.3"/>
    <row r="9096" x14ac:dyDescent="0.3"/>
    <row r="9097" x14ac:dyDescent="0.3"/>
    <row r="9098" x14ac:dyDescent="0.3"/>
    <row r="9099" x14ac:dyDescent="0.3"/>
    <row r="9100" x14ac:dyDescent="0.3"/>
    <row r="9101" x14ac:dyDescent="0.3"/>
    <row r="9102" x14ac:dyDescent="0.3"/>
    <row r="9103" x14ac:dyDescent="0.3"/>
    <row r="9104" x14ac:dyDescent="0.3"/>
    <row r="9105" x14ac:dyDescent="0.3"/>
    <row r="9106" x14ac:dyDescent="0.3"/>
    <row r="9107" x14ac:dyDescent="0.3"/>
    <row r="9108" x14ac:dyDescent="0.3"/>
    <row r="9109" x14ac:dyDescent="0.3"/>
    <row r="9110" x14ac:dyDescent="0.3"/>
    <row r="9111" x14ac:dyDescent="0.3"/>
    <row r="9112" x14ac:dyDescent="0.3"/>
    <row r="9113" x14ac:dyDescent="0.3"/>
    <row r="9114" x14ac:dyDescent="0.3"/>
    <row r="9115" x14ac:dyDescent="0.3"/>
    <row r="9116" x14ac:dyDescent="0.3"/>
    <row r="9117" x14ac:dyDescent="0.3"/>
    <row r="9118" x14ac:dyDescent="0.3"/>
    <row r="9119" x14ac:dyDescent="0.3"/>
    <row r="9120" x14ac:dyDescent="0.3"/>
    <row r="9121" x14ac:dyDescent="0.3"/>
    <row r="9122" x14ac:dyDescent="0.3"/>
    <row r="9123" x14ac:dyDescent="0.3"/>
    <row r="9124" x14ac:dyDescent="0.3"/>
    <row r="9125" x14ac:dyDescent="0.3"/>
    <row r="9126" x14ac:dyDescent="0.3"/>
    <row r="9127" x14ac:dyDescent="0.3"/>
    <row r="9128" x14ac:dyDescent="0.3"/>
    <row r="9129" x14ac:dyDescent="0.3"/>
    <row r="9130" x14ac:dyDescent="0.3"/>
    <row r="9131" x14ac:dyDescent="0.3"/>
    <row r="9132" x14ac:dyDescent="0.3"/>
    <row r="9133" x14ac:dyDescent="0.3"/>
    <row r="9134" x14ac:dyDescent="0.3"/>
    <row r="9135" x14ac:dyDescent="0.3"/>
    <row r="9136" x14ac:dyDescent="0.3"/>
    <row r="9137" x14ac:dyDescent="0.3"/>
    <row r="9138" x14ac:dyDescent="0.3"/>
    <row r="9139" x14ac:dyDescent="0.3"/>
    <row r="9140" x14ac:dyDescent="0.3"/>
    <row r="9141" x14ac:dyDescent="0.3"/>
    <row r="9142" x14ac:dyDescent="0.3"/>
    <row r="9143" x14ac:dyDescent="0.3"/>
    <row r="9144" x14ac:dyDescent="0.3"/>
    <row r="9145" x14ac:dyDescent="0.3"/>
    <row r="9146" x14ac:dyDescent="0.3"/>
    <row r="9147" x14ac:dyDescent="0.3"/>
    <row r="9148" x14ac:dyDescent="0.3"/>
    <row r="9149" x14ac:dyDescent="0.3"/>
    <row r="9150" x14ac:dyDescent="0.3"/>
    <row r="9151" x14ac:dyDescent="0.3"/>
    <row r="9152" x14ac:dyDescent="0.3"/>
    <row r="9153" x14ac:dyDescent="0.3"/>
    <row r="9154" x14ac:dyDescent="0.3"/>
    <row r="9155" x14ac:dyDescent="0.3"/>
    <row r="9156" x14ac:dyDescent="0.3"/>
    <row r="9157" x14ac:dyDescent="0.3"/>
    <row r="9158" x14ac:dyDescent="0.3"/>
    <row r="9159" x14ac:dyDescent="0.3"/>
    <row r="9160" x14ac:dyDescent="0.3"/>
    <row r="9161" x14ac:dyDescent="0.3"/>
    <row r="9162" x14ac:dyDescent="0.3"/>
    <row r="9163" x14ac:dyDescent="0.3"/>
    <row r="9164" x14ac:dyDescent="0.3"/>
    <row r="9165" x14ac:dyDescent="0.3"/>
    <row r="9166" x14ac:dyDescent="0.3"/>
    <row r="9167" x14ac:dyDescent="0.3"/>
    <row r="9168" x14ac:dyDescent="0.3"/>
    <row r="9169" x14ac:dyDescent="0.3"/>
    <row r="9170" x14ac:dyDescent="0.3"/>
    <row r="9171" x14ac:dyDescent="0.3"/>
    <row r="9172" x14ac:dyDescent="0.3"/>
    <row r="9173" x14ac:dyDescent="0.3"/>
    <row r="9174" x14ac:dyDescent="0.3"/>
    <row r="9175" x14ac:dyDescent="0.3"/>
    <row r="9176" x14ac:dyDescent="0.3"/>
    <row r="9177" x14ac:dyDescent="0.3"/>
    <row r="9178" x14ac:dyDescent="0.3"/>
    <row r="9179" x14ac:dyDescent="0.3"/>
    <row r="9180" x14ac:dyDescent="0.3"/>
    <row r="9181" x14ac:dyDescent="0.3"/>
    <row r="9182" x14ac:dyDescent="0.3"/>
    <row r="9183" x14ac:dyDescent="0.3"/>
    <row r="9184" x14ac:dyDescent="0.3"/>
    <row r="9185" x14ac:dyDescent="0.3"/>
    <row r="9186" x14ac:dyDescent="0.3"/>
    <row r="9187" x14ac:dyDescent="0.3"/>
    <row r="9188" x14ac:dyDescent="0.3"/>
    <row r="9189" x14ac:dyDescent="0.3"/>
    <row r="9190" x14ac:dyDescent="0.3"/>
    <row r="9191" x14ac:dyDescent="0.3"/>
    <row r="9192" x14ac:dyDescent="0.3"/>
    <row r="9193" x14ac:dyDescent="0.3"/>
    <row r="9194" x14ac:dyDescent="0.3"/>
    <row r="9195" x14ac:dyDescent="0.3"/>
    <row r="9196" x14ac:dyDescent="0.3"/>
    <row r="9197" x14ac:dyDescent="0.3"/>
    <row r="9198" x14ac:dyDescent="0.3"/>
    <row r="9199" x14ac:dyDescent="0.3"/>
    <row r="9200" x14ac:dyDescent="0.3"/>
    <row r="9201" x14ac:dyDescent="0.3"/>
    <row r="9202" x14ac:dyDescent="0.3"/>
    <row r="9203" x14ac:dyDescent="0.3"/>
    <row r="9204" x14ac:dyDescent="0.3"/>
    <row r="9205" x14ac:dyDescent="0.3"/>
    <row r="9206" x14ac:dyDescent="0.3"/>
    <row r="9207" x14ac:dyDescent="0.3"/>
    <row r="9208" x14ac:dyDescent="0.3"/>
    <row r="9209" x14ac:dyDescent="0.3"/>
    <row r="9210" x14ac:dyDescent="0.3"/>
    <row r="9211" x14ac:dyDescent="0.3"/>
    <row r="9212" x14ac:dyDescent="0.3"/>
    <row r="9213" x14ac:dyDescent="0.3"/>
    <row r="9214" x14ac:dyDescent="0.3"/>
    <row r="9215" x14ac:dyDescent="0.3"/>
    <row r="9216" x14ac:dyDescent="0.3"/>
    <row r="9217" x14ac:dyDescent="0.3"/>
    <row r="9218" x14ac:dyDescent="0.3"/>
    <row r="9219" x14ac:dyDescent="0.3"/>
    <row r="9220" x14ac:dyDescent="0.3"/>
    <row r="9221" x14ac:dyDescent="0.3"/>
    <row r="9222" x14ac:dyDescent="0.3"/>
    <row r="9223" x14ac:dyDescent="0.3"/>
    <row r="9224" x14ac:dyDescent="0.3"/>
    <row r="9225" x14ac:dyDescent="0.3"/>
    <row r="9226" x14ac:dyDescent="0.3"/>
    <row r="9227" x14ac:dyDescent="0.3"/>
    <row r="9228" x14ac:dyDescent="0.3"/>
    <row r="9229" x14ac:dyDescent="0.3"/>
    <row r="9230" x14ac:dyDescent="0.3"/>
    <row r="9231" x14ac:dyDescent="0.3"/>
    <row r="9232" x14ac:dyDescent="0.3"/>
    <row r="9233" x14ac:dyDescent="0.3"/>
    <row r="9234" x14ac:dyDescent="0.3"/>
    <row r="9235" x14ac:dyDescent="0.3"/>
    <row r="9236" x14ac:dyDescent="0.3"/>
    <row r="9237" x14ac:dyDescent="0.3"/>
    <row r="9238" x14ac:dyDescent="0.3"/>
    <row r="9239" x14ac:dyDescent="0.3"/>
    <row r="9240" x14ac:dyDescent="0.3"/>
    <row r="9241" x14ac:dyDescent="0.3"/>
    <row r="9242" x14ac:dyDescent="0.3"/>
    <row r="9243" x14ac:dyDescent="0.3"/>
    <row r="9244" x14ac:dyDescent="0.3"/>
    <row r="9245" x14ac:dyDescent="0.3"/>
    <row r="9246" x14ac:dyDescent="0.3"/>
    <row r="9247" x14ac:dyDescent="0.3"/>
    <row r="9248" x14ac:dyDescent="0.3"/>
    <row r="9249" x14ac:dyDescent="0.3"/>
    <row r="9250" x14ac:dyDescent="0.3"/>
    <row r="9251" x14ac:dyDescent="0.3"/>
    <row r="9252" x14ac:dyDescent="0.3"/>
    <row r="9253" x14ac:dyDescent="0.3"/>
    <row r="9254" x14ac:dyDescent="0.3"/>
    <row r="9255" x14ac:dyDescent="0.3"/>
    <row r="9256" x14ac:dyDescent="0.3"/>
    <row r="9257" x14ac:dyDescent="0.3"/>
    <row r="9258" x14ac:dyDescent="0.3"/>
    <row r="9259" x14ac:dyDescent="0.3"/>
    <row r="9260" x14ac:dyDescent="0.3"/>
    <row r="9261" x14ac:dyDescent="0.3"/>
    <row r="9262" x14ac:dyDescent="0.3"/>
    <row r="9263" x14ac:dyDescent="0.3"/>
    <row r="9264" x14ac:dyDescent="0.3"/>
    <row r="9265" x14ac:dyDescent="0.3"/>
    <row r="9266" x14ac:dyDescent="0.3"/>
    <row r="9267" x14ac:dyDescent="0.3"/>
    <row r="9268" x14ac:dyDescent="0.3"/>
    <row r="9269" x14ac:dyDescent="0.3"/>
    <row r="9270" x14ac:dyDescent="0.3"/>
    <row r="9271" x14ac:dyDescent="0.3"/>
    <row r="9272" x14ac:dyDescent="0.3"/>
    <row r="9273" x14ac:dyDescent="0.3"/>
    <row r="9274" x14ac:dyDescent="0.3"/>
    <row r="9275" x14ac:dyDescent="0.3"/>
    <row r="9276" x14ac:dyDescent="0.3"/>
    <row r="9277" x14ac:dyDescent="0.3"/>
    <row r="9278" x14ac:dyDescent="0.3"/>
    <row r="9279" x14ac:dyDescent="0.3"/>
    <row r="9280" x14ac:dyDescent="0.3"/>
    <row r="9281" x14ac:dyDescent="0.3"/>
    <row r="9282" x14ac:dyDescent="0.3"/>
    <row r="9283" x14ac:dyDescent="0.3"/>
    <row r="9284" x14ac:dyDescent="0.3"/>
    <row r="9285" x14ac:dyDescent="0.3"/>
    <row r="9286" x14ac:dyDescent="0.3"/>
    <row r="9287" x14ac:dyDescent="0.3"/>
    <row r="9288" x14ac:dyDescent="0.3"/>
    <row r="9289" x14ac:dyDescent="0.3"/>
    <row r="9290" x14ac:dyDescent="0.3"/>
    <row r="9291" x14ac:dyDescent="0.3"/>
    <row r="9292" x14ac:dyDescent="0.3"/>
    <row r="9293" x14ac:dyDescent="0.3"/>
    <row r="9294" x14ac:dyDescent="0.3"/>
    <row r="9295" x14ac:dyDescent="0.3"/>
    <row r="9296" x14ac:dyDescent="0.3"/>
    <row r="9297" x14ac:dyDescent="0.3"/>
    <row r="9298" x14ac:dyDescent="0.3"/>
    <row r="9299" x14ac:dyDescent="0.3"/>
    <row r="9300" x14ac:dyDescent="0.3"/>
    <row r="9301" x14ac:dyDescent="0.3"/>
    <row r="9302" x14ac:dyDescent="0.3"/>
    <row r="9303" x14ac:dyDescent="0.3"/>
    <row r="9304" x14ac:dyDescent="0.3"/>
    <row r="9305" x14ac:dyDescent="0.3"/>
    <row r="9306" x14ac:dyDescent="0.3"/>
    <row r="9307" x14ac:dyDescent="0.3"/>
    <row r="9308" x14ac:dyDescent="0.3"/>
    <row r="9309" x14ac:dyDescent="0.3"/>
    <row r="9310" x14ac:dyDescent="0.3"/>
    <row r="9311" x14ac:dyDescent="0.3"/>
    <row r="9312" x14ac:dyDescent="0.3"/>
    <row r="9313" x14ac:dyDescent="0.3"/>
    <row r="9314" x14ac:dyDescent="0.3"/>
    <row r="9315" x14ac:dyDescent="0.3"/>
    <row r="9316" x14ac:dyDescent="0.3"/>
    <row r="9317" x14ac:dyDescent="0.3"/>
    <row r="9318" x14ac:dyDescent="0.3"/>
    <row r="9319" x14ac:dyDescent="0.3"/>
    <row r="9320" x14ac:dyDescent="0.3"/>
    <row r="9321" x14ac:dyDescent="0.3"/>
    <row r="9322" x14ac:dyDescent="0.3"/>
    <row r="9323" x14ac:dyDescent="0.3"/>
    <row r="9324" x14ac:dyDescent="0.3"/>
    <row r="9325" x14ac:dyDescent="0.3"/>
    <row r="9326" x14ac:dyDescent="0.3"/>
    <row r="9327" x14ac:dyDescent="0.3"/>
    <row r="9328" x14ac:dyDescent="0.3"/>
    <row r="9329" x14ac:dyDescent="0.3"/>
    <row r="9330" x14ac:dyDescent="0.3"/>
    <row r="9331" x14ac:dyDescent="0.3"/>
    <row r="9332" x14ac:dyDescent="0.3"/>
    <row r="9333" x14ac:dyDescent="0.3"/>
    <row r="9334" x14ac:dyDescent="0.3"/>
    <row r="9335" x14ac:dyDescent="0.3"/>
    <row r="9336" x14ac:dyDescent="0.3"/>
    <row r="9337" x14ac:dyDescent="0.3"/>
    <row r="9338" x14ac:dyDescent="0.3"/>
    <row r="9339" x14ac:dyDescent="0.3"/>
    <row r="9340" x14ac:dyDescent="0.3"/>
    <row r="9341" x14ac:dyDescent="0.3"/>
    <row r="9342" x14ac:dyDescent="0.3"/>
    <row r="9343" x14ac:dyDescent="0.3"/>
    <row r="9344" x14ac:dyDescent="0.3"/>
    <row r="9345" x14ac:dyDescent="0.3"/>
    <row r="9346" x14ac:dyDescent="0.3"/>
    <row r="9347" x14ac:dyDescent="0.3"/>
    <row r="9348" x14ac:dyDescent="0.3"/>
    <row r="9349" x14ac:dyDescent="0.3"/>
    <row r="9350" x14ac:dyDescent="0.3"/>
    <row r="9351" x14ac:dyDescent="0.3"/>
    <row r="9352" x14ac:dyDescent="0.3"/>
    <row r="9353" x14ac:dyDescent="0.3"/>
    <row r="9354" x14ac:dyDescent="0.3"/>
    <row r="9355" x14ac:dyDescent="0.3"/>
    <row r="9356" x14ac:dyDescent="0.3"/>
    <row r="9357" x14ac:dyDescent="0.3"/>
    <row r="9358" x14ac:dyDescent="0.3"/>
    <row r="9359" x14ac:dyDescent="0.3"/>
    <row r="9360" x14ac:dyDescent="0.3"/>
    <row r="9361" x14ac:dyDescent="0.3"/>
    <row r="9362" x14ac:dyDescent="0.3"/>
    <row r="9363" x14ac:dyDescent="0.3"/>
    <row r="9364" x14ac:dyDescent="0.3"/>
    <row r="9365" x14ac:dyDescent="0.3"/>
    <row r="9366" x14ac:dyDescent="0.3"/>
    <row r="9367" x14ac:dyDescent="0.3"/>
    <row r="9368" x14ac:dyDescent="0.3"/>
    <row r="9369" x14ac:dyDescent="0.3"/>
    <row r="9370" x14ac:dyDescent="0.3"/>
    <row r="9371" x14ac:dyDescent="0.3"/>
    <row r="9372" x14ac:dyDescent="0.3"/>
    <row r="9373" x14ac:dyDescent="0.3"/>
    <row r="9374" x14ac:dyDescent="0.3"/>
    <row r="9375" x14ac:dyDescent="0.3"/>
    <row r="9376" x14ac:dyDescent="0.3"/>
    <row r="9377" x14ac:dyDescent="0.3"/>
    <row r="9378" x14ac:dyDescent="0.3"/>
    <row r="9379" x14ac:dyDescent="0.3"/>
    <row r="9380" x14ac:dyDescent="0.3"/>
    <row r="9381" x14ac:dyDescent="0.3"/>
    <row r="9382" x14ac:dyDescent="0.3"/>
    <row r="9383" x14ac:dyDescent="0.3"/>
    <row r="9384" x14ac:dyDescent="0.3"/>
    <row r="9385" x14ac:dyDescent="0.3"/>
    <row r="9386" x14ac:dyDescent="0.3"/>
    <row r="9387" x14ac:dyDescent="0.3"/>
    <row r="9388" x14ac:dyDescent="0.3"/>
    <row r="9389" x14ac:dyDescent="0.3"/>
    <row r="9390" x14ac:dyDescent="0.3"/>
    <row r="9391" x14ac:dyDescent="0.3"/>
    <row r="9392" x14ac:dyDescent="0.3"/>
    <row r="9393" x14ac:dyDescent="0.3"/>
    <row r="9394" x14ac:dyDescent="0.3"/>
    <row r="9395" x14ac:dyDescent="0.3"/>
    <row r="9396" x14ac:dyDescent="0.3"/>
    <row r="9397" x14ac:dyDescent="0.3"/>
    <row r="9398" x14ac:dyDescent="0.3"/>
    <row r="9399" x14ac:dyDescent="0.3"/>
    <row r="9400" x14ac:dyDescent="0.3"/>
    <row r="9401" x14ac:dyDescent="0.3"/>
    <row r="9402" x14ac:dyDescent="0.3"/>
    <row r="9403" x14ac:dyDescent="0.3"/>
    <row r="9404" x14ac:dyDescent="0.3"/>
    <row r="9405" x14ac:dyDescent="0.3"/>
    <row r="9406" x14ac:dyDescent="0.3"/>
    <row r="9407" x14ac:dyDescent="0.3"/>
    <row r="9408" x14ac:dyDescent="0.3"/>
    <row r="9409" x14ac:dyDescent="0.3"/>
    <row r="9410" x14ac:dyDescent="0.3"/>
    <row r="9411" x14ac:dyDescent="0.3"/>
    <row r="9412" x14ac:dyDescent="0.3"/>
    <row r="9413" x14ac:dyDescent="0.3"/>
    <row r="9414" x14ac:dyDescent="0.3"/>
    <row r="9415" x14ac:dyDescent="0.3"/>
    <row r="9416" x14ac:dyDescent="0.3"/>
    <row r="9417" x14ac:dyDescent="0.3"/>
    <row r="9418" x14ac:dyDescent="0.3"/>
    <row r="9419" x14ac:dyDescent="0.3"/>
    <row r="9420" x14ac:dyDescent="0.3"/>
    <row r="9421" x14ac:dyDescent="0.3"/>
    <row r="9422" x14ac:dyDescent="0.3"/>
    <row r="9423" x14ac:dyDescent="0.3"/>
    <row r="9424" x14ac:dyDescent="0.3"/>
    <row r="9425" x14ac:dyDescent="0.3"/>
    <row r="9426" x14ac:dyDescent="0.3"/>
    <row r="9427" x14ac:dyDescent="0.3"/>
    <row r="9428" x14ac:dyDescent="0.3"/>
    <row r="9429" x14ac:dyDescent="0.3"/>
    <row r="9430" x14ac:dyDescent="0.3"/>
    <row r="9431" x14ac:dyDescent="0.3"/>
    <row r="9432" x14ac:dyDescent="0.3"/>
    <row r="9433" x14ac:dyDescent="0.3"/>
    <row r="9434" x14ac:dyDescent="0.3"/>
    <row r="9435" x14ac:dyDescent="0.3"/>
    <row r="9436" x14ac:dyDescent="0.3"/>
    <row r="9437" x14ac:dyDescent="0.3"/>
    <row r="9438" x14ac:dyDescent="0.3"/>
    <row r="9439" x14ac:dyDescent="0.3"/>
    <row r="9440" x14ac:dyDescent="0.3"/>
    <row r="9441" x14ac:dyDescent="0.3"/>
    <row r="9442" x14ac:dyDescent="0.3"/>
    <row r="9443" x14ac:dyDescent="0.3"/>
    <row r="9444" x14ac:dyDescent="0.3"/>
    <row r="9445" x14ac:dyDescent="0.3"/>
    <row r="9446" x14ac:dyDescent="0.3"/>
    <row r="9447" x14ac:dyDescent="0.3"/>
    <row r="9448" x14ac:dyDescent="0.3"/>
    <row r="9449" x14ac:dyDescent="0.3"/>
    <row r="9450" x14ac:dyDescent="0.3"/>
    <row r="9451" x14ac:dyDescent="0.3"/>
    <row r="9452" x14ac:dyDescent="0.3"/>
    <row r="9453" x14ac:dyDescent="0.3"/>
    <row r="9454" x14ac:dyDescent="0.3"/>
    <row r="9455" x14ac:dyDescent="0.3"/>
    <row r="9456" x14ac:dyDescent="0.3"/>
    <row r="9457" x14ac:dyDescent="0.3"/>
    <row r="9458" x14ac:dyDescent="0.3"/>
    <row r="9459" x14ac:dyDescent="0.3"/>
    <row r="9460" x14ac:dyDescent="0.3"/>
    <row r="9461" x14ac:dyDescent="0.3"/>
    <row r="9462" x14ac:dyDescent="0.3"/>
    <row r="9463" x14ac:dyDescent="0.3"/>
    <row r="9464" x14ac:dyDescent="0.3"/>
    <row r="9465" x14ac:dyDescent="0.3"/>
    <row r="9466" x14ac:dyDescent="0.3"/>
    <row r="9467" x14ac:dyDescent="0.3"/>
    <row r="9468" x14ac:dyDescent="0.3"/>
    <row r="9469" x14ac:dyDescent="0.3"/>
    <row r="9470" x14ac:dyDescent="0.3"/>
    <row r="9471" x14ac:dyDescent="0.3"/>
    <row r="9472" x14ac:dyDescent="0.3"/>
    <row r="9473" x14ac:dyDescent="0.3"/>
    <row r="9474" x14ac:dyDescent="0.3"/>
    <row r="9475" x14ac:dyDescent="0.3"/>
    <row r="9476" x14ac:dyDescent="0.3"/>
    <row r="9477" x14ac:dyDescent="0.3"/>
    <row r="9478" x14ac:dyDescent="0.3"/>
    <row r="9479" x14ac:dyDescent="0.3"/>
    <row r="9480" x14ac:dyDescent="0.3"/>
    <row r="9481" x14ac:dyDescent="0.3"/>
    <row r="9482" x14ac:dyDescent="0.3"/>
    <row r="9483" x14ac:dyDescent="0.3"/>
    <row r="9484" x14ac:dyDescent="0.3"/>
    <row r="9485" x14ac:dyDescent="0.3"/>
    <row r="9486" x14ac:dyDescent="0.3"/>
    <row r="9487" x14ac:dyDescent="0.3"/>
    <row r="9488" x14ac:dyDescent="0.3"/>
    <row r="9489" x14ac:dyDescent="0.3"/>
    <row r="9490" x14ac:dyDescent="0.3"/>
    <row r="9491" x14ac:dyDescent="0.3"/>
    <row r="9492" x14ac:dyDescent="0.3"/>
    <row r="9493" x14ac:dyDescent="0.3"/>
    <row r="9494" x14ac:dyDescent="0.3"/>
    <row r="9495" x14ac:dyDescent="0.3"/>
    <row r="9496" x14ac:dyDescent="0.3"/>
    <row r="9497" x14ac:dyDescent="0.3"/>
    <row r="9498" x14ac:dyDescent="0.3"/>
    <row r="9499" x14ac:dyDescent="0.3"/>
    <row r="9500" x14ac:dyDescent="0.3"/>
    <row r="9501" x14ac:dyDescent="0.3"/>
    <row r="9502" x14ac:dyDescent="0.3"/>
    <row r="9503" x14ac:dyDescent="0.3"/>
    <row r="9504" x14ac:dyDescent="0.3"/>
    <row r="9505" x14ac:dyDescent="0.3"/>
    <row r="9506" x14ac:dyDescent="0.3"/>
    <row r="9507" x14ac:dyDescent="0.3"/>
    <row r="9508" x14ac:dyDescent="0.3"/>
    <row r="9509" x14ac:dyDescent="0.3"/>
    <row r="9510" x14ac:dyDescent="0.3"/>
    <row r="9511" x14ac:dyDescent="0.3"/>
    <row r="9512" x14ac:dyDescent="0.3"/>
    <row r="9513" x14ac:dyDescent="0.3"/>
    <row r="9514" x14ac:dyDescent="0.3"/>
    <row r="9515" x14ac:dyDescent="0.3"/>
    <row r="9516" x14ac:dyDescent="0.3"/>
    <row r="9517" x14ac:dyDescent="0.3"/>
    <row r="9518" x14ac:dyDescent="0.3"/>
    <row r="9519" x14ac:dyDescent="0.3"/>
    <row r="9520" x14ac:dyDescent="0.3"/>
    <row r="9521" x14ac:dyDescent="0.3"/>
    <row r="9522" x14ac:dyDescent="0.3"/>
    <row r="9523" x14ac:dyDescent="0.3"/>
    <row r="9524" x14ac:dyDescent="0.3"/>
    <row r="9525" x14ac:dyDescent="0.3"/>
    <row r="9526" x14ac:dyDescent="0.3"/>
    <row r="9527" x14ac:dyDescent="0.3"/>
    <row r="9528" x14ac:dyDescent="0.3"/>
    <row r="9529" x14ac:dyDescent="0.3"/>
    <row r="9530" x14ac:dyDescent="0.3"/>
    <row r="9531" x14ac:dyDescent="0.3"/>
    <row r="9532" x14ac:dyDescent="0.3"/>
    <row r="9533" x14ac:dyDescent="0.3"/>
    <row r="9534" x14ac:dyDescent="0.3"/>
    <row r="9535" x14ac:dyDescent="0.3"/>
    <row r="9536" x14ac:dyDescent="0.3"/>
    <row r="9537" x14ac:dyDescent="0.3"/>
    <row r="9538" x14ac:dyDescent="0.3"/>
    <row r="9539" x14ac:dyDescent="0.3"/>
    <row r="9540" x14ac:dyDescent="0.3"/>
    <row r="9541" x14ac:dyDescent="0.3"/>
    <row r="9542" x14ac:dyDescent="0.3"/>
    <row r="9543" x14ac:dyDescent="0.3"/>
    <row r="9544" x14ac:dyDescent="0.3"/>
    <row r="9545" x14ac:dyDescent="0.3"/>
    <row r="9546" x14ac:dyDescent="0.3"/>
    <row r="9547" x14ac:dyDescent="0.3"/>
    <row r="9548" x14ac:dyDescent="0.3"/>
    <row r="9549" x14ac:dyDescent="0.3"/>
    <row r="9550" x14ac:dyDescent="0.3"/>
    <row r="9551" x14ac:dyDescent="0.3"/>
    <row r="9552" x14ac:dyDescent="0.3"/>
    <row r="9553" x14ac:dyDescent="0.3"/>
    <row r="9554" x14ac:dyDescent="0.3"/>
    <row r="9555" x14ac:dyDescent="0.3"/>
    <row r="9556" x14ac:dyDescent="0.3"/>
    <row r="9557" x14ac:dyDescent="0.3"/>
    <row r="9558" x14ac:dyDescent="0.3"/>
    <row r="9559" x14ac:dyDescent="0.3"/>
    <row r="9560" x14ac:dyDescent="0.3"/>
    <row r="9561" x14ac:dyDescent="0.3"/>
    <row r="9562" x14ac:dyDescent="0.3"/>
    <row r="9563" x14ac:dyDescent="0.3"/>
    <row r="9564" x14ac:dyDescent="0.3"/>
    <row r="9565" x14ac:dyDescent="0.3"/>
    <row r="9566" x14ac:dyDescent="0.3"/>
    <row r="9567" x14ac:dyDescent="0.3"/>
    <row r="9568" x14ac:dyDescent="0.3"/>
    <row r="9569" x14ac:dyDescent="0.3"/>
    <row r="9570" x14ac:dyDescent="0.3"/>
    <row r="9571" x14ac:dyDescent="0.3"/>
    <row r="9572" x14ac:dyDescent="0.3"/>
    <row r="9573" x14ac:dyDescent="0.3"/>
    <row r="9574" x14ac:dyDescent="0.3"/>
    <row r="9575" x14ac:dyDescent="0.3"/>
    <row r="9576" x14ac:dyDescent="0.3"/>
    <row r="9577" x14ac:dyDescent="0.3"/>
    <row r="9578" x14ac:dyDescent="0.3"/>
    <row r="9579" x14ac:dyDescent="0.3"/>
    <row r="9580" x14ac:dyDescent="0.3"/>
    <row r="9581" x14ac:dyDescent="0.3"/>
    <row r="9582" x14ac:dyDescent="0.3"/>
    <row r="9583" x14ac:dyDescent="0.3"/>
    <row r="9584" x14ac:dyDescent="0.3"/>
    <row r="9585" x14ac:dyDescent="0.3"/>
    <row r="9586" x14ac:dyDescent="0.3"/>
    <row r="9587" x14ac:dyDescent="0.3"/>
    <row r="9588" x14ac:dyDescent="0.3"/>
    <row r="9589" x14ac:dyDescent="0.3"/>
    <row r="9590" x14ac:dyDescent="0.3"/>
    <row r="9591" x14ac:dyDescent="0.3"/>
    <row r="9592" x14ac:dyDescent="0.3"/>
    <row r="9593" x14ac:dyDescent="0.3"/>
    <row r="9594" x14ac:dyDescent="0.3"/>
    <row r="9595" x14ac:dyDescent="0.3"/>
    <row r="9596" x14ac:dyDescent="0.3"/>
    <row r="9597" x14ac:dyDescent="0.3"/>
    <row r="9598" x14ac:dyDescent="0.3"/>
    <row r="9599" x14ac:dyDescent="0.3"/>
    <row r="9600" x14ac:dyDescent="0.3"/>
    <row r="9601" x14ac:dyDescent="0.3"/>
    <row r="9602" x14ac:dyDescent="0.3"/>
    <row r="9603" x14ac:dyDescent="0.3"/>
    <row r="9604" x14ac:dyDescent="0.3"/>
    <row r="9605" x14ac:dyDescent="0.3"/>
    <row r="9606" x14ac:dyDescent="0.3"/>
    <row r="9607" x14ac:dyDescent="0.3"/>
    <row r="9608" x14ac:dyDescent="0.3"/>
    <row r="9609" x14ac:dyDescent="0.3"/>
    <row r="9610" x14ac:dyDescent="0.3"/>
    <row r="9611" x14ac:dyDescent="0.3"/>
    <row r="9612" x14ac:dyDescent="0.3"/>
    <row r="9613" x14ac:dyDescent="0.3"/>
    <row r="9614" x14ac:dyDescent="0.3"/>
    <row r="9615" x14ac:dyDescent="0.3"/>
    <row r="9616" x14ac:dyDescent="0.3"/>
    <row r="9617" x14ac:dyDescent="0.3"/>
    <row r="9618" x14ac:dyDescent="0.3"/>
    <row r="9619" x14ac:dyDescent="0.3"/>
    <row r="9620" x14ac:dyDescent="0.3"/>
    <row r="9621" x14ac:dyDescent="0.3"/>
    <row r="9622" x14ac:dyDescent="0.3"/>
    <row r="9623" x14ac:dyDescent="0.3"/>
    <row r="9624" x14ac:dyDescent="0.3"/>
    <row r="9625" x14ac:dyDescent="0.3"/>
    <row r="9626" x14ac:dyDescent="0.3"/>
    <row r="9627" x14ac:dyDescent="0.3"/>
    <row r="9628" x14ac:dyDescent="0.3"/>
    <row r="9629" x14ac:dyDescent="0.3"/>
    <row r="9630" x14ac:dyDescent="0.3"/>
    <row r="9631" x14ac:dyDescent="0.3"/>
    <row r="9632" x14ac:dyDescent="0.3"/>
    <row r="9633" x14ac:dyDescent="0.3"/>
    <row r="9634" x14ac:dyDescent="0.3"/>
    <row r="9635" x14ac:dyDescent="0.3"/>
    <row r="9636" x14ac:dyDescent="0.3"/>
    <row r="9637" x14ac:dyDescent="0.3"/>
    <row r="9638" x14ac:dyDescent="0.3"/>
    <row r="9639" x14ac:dyDescent="0.3"/>
    <row r="9640" x14ac:dyDescent="0.3"/>
    <row r="9641" x14ac:dyDescent="0.3"/>
    <row r="9642" x14ac:dyDescent="0.3"/>
    <row r="9643" x14ac:dyDescent="0.3"/>
    <row r="9644" x14ac:dyDescent="0.3"/>
    <row r="9645" x14ac:dyDescent="0.3"/>
    <row r="9646" x14ac:dyDescent="0.3"/>
    <row r="9647" x14ac:dyDescent="0.3"/>
    <row r="9648" x14ac:dyDescent="0.3"/>
    <row r="9649" x14ac:dyDescent="0.3"/>
    <row r="9650" x14ac:dyDescent="0.3"/>
    <row r="9651" x14ac:dyDescent="0.3"/>
    <row r="9652" x14ac:dyDescent="0.3"/>
    <row r="9653" x14ac:dyDescent="0.3"/>
    <row r="9654" x14ac:dyDescent="0.3"/>
    <row r="9655" x14ac:dyDescent="0.3"/>
    <row r="9656" x14ac:dyDescent="0.3"/>
    <row r="9657" x14ac:dyDescent="0.3"/>
    <row r="9658" x14ac:dyDescent="0.3"/>
    <row r="9659" x14ac:dyDescent="0.3"/>
    <row r="9660" x14ac:dyDescent="0.3"/>
    <row r="9661" x14ac:dyDescent="0.3"/>
    <row r="9662" x14ac:dyDescent="0.3"/>
    <row r="9663" x14ac:dyDescent="0.3"/>
    <row r="9664" x14ac:dyDescent="0.3"/>
    <row r="9665" x14ac:dyDescent="0.3"/>
    <row r="9666" x14ac:dyDescent="0.3"/>
    <row r="9667" x14ac:dyDescent="0.3"/>
    <row r="9668" x14ac:dyDescent="0.3"/>
    <row r="9669" x14ac:dyDescent="0.3"/>
    <row r="9670" x14ac:dyDescent="0.3"/>
    <row r="9671" x14ac:dyDescent="0.3"/>
    <row r="9672" x14ac:dyDescent="0.3"/>
    <row r="9673" x14ac:dyDescent="0.3"/>
    <row r="9674" x14ac:dyDescent="0.3"/>
    <row r="9675" x14ac:dyDescent="0.3"/>
    <row r="9676" x14ac:dyDescent="0.3"/>
    <row r="9677" x14ac:dyDescent="0.3"/>
    <row r="9678" x14ac:dyDescent="0.3"/>
    <row r="9679" x14ac:dyDescent="0.3"/>
    <row r="9680" x14ac:dyDescent="0.3"/>
    <row r="9681" x14ac:dyDescent="0.3"/>
    <row r="9682" x14ac:dyDescent="0.3"/>
    <row r="9683" x14ac:dyDescent="0.3"/>
    <row r="9684" x14ac:dyDescent="0.3"/>
    <row r="9685" x14ac:dyDescent="0.3"/>
    <row r="9686" x14ac:dyDescent="0.3"/>
    <row r="9687" x14ac:dyDescent="0.3"/>
    <row r="9688" x14ac:dyDescent="0.3"/>
    <row r="9689" x14ac:dyDescent="0.3"/>
    <row r="9690" x14ac:dyDescent="0.3"/>
    <row r="9691" x14ac:dyDescent="0.3"/>
    <row r="9692" x14ac:dyDescent="0.3"/>
    <row r="9693" x14ac:dyDescent="0.3"/>
    <row r="9694" x14ac:dyDescent="0.3"/>
    <row r="9695" x14ac:dyDescent="0.3"/>
    <row r="9696" x14ac:dyDescent="0.3"/>
    <row r="9697" x14ac:dyDescent="0.3"/>
    <row r="9698" x14ac:dyDescent="0.3"/>
    <row r="9699" x14ac:dyDescent="0.3"/>
    <row r="9700" x14ac:dyDescent="0.3"/>
    <row r="9701" x14ac:dyDescent="0.3"/>
    <row r="9702" x14ac:dyDescent="0.3"/>
    <row r="9703" x14ac:dyDescent="0.3"/>
    <row r="9704" x14ac:dyDescent="0.3"/>
    <row r="9705" x14ac:dyDescent="0.3"/>
    <row r="9706" x14ac:dyDescent="0.3"/>
    <row r="9707" x14ac:dyDescent="0.3"/>
    <row r="9708" x14ac:dyDescent="0.3"/>
    <row r="9709" x14ac:dyDescent="0.3"/>
    <row r="9710" x14ac:dyDescent="0.3"/>
    <row r="9711" x14ac:dyDescent="0.3"/>
    <row r="9712" x14ac:dyDescent="0.3"/>
    <row r="9713" x14ac:dyDescent="0.3"/>
    <row r="9714" x14ac:dyDescent="0.3"/>
    <row r="9715" x14ac:dyDescent="0.3"/>
    <row r="9716" x14ac:dyDescent="0.3"/>
    <row r="9717" x14ac:dyDescent="0.3"/>
    <row r="9718" x14ac:dyDescent="0.3"/>
    <row r="9719" x14ac:dyDescent="0.3"/>
    <row r="9720" x14ac:dyDescent="0.3"/>
    <row r="9721" x14ac:dyDescent="0.3"/>
    <row r="9722" x14ac:dyDescent="0.3"/>
    <row r="9723" x14ac:dyDescent="0.3"/>
    <row r="9724" x14ac:dyDescent="0.3"/>
    <row r="9725" x14ac:dyDescent="0.3"/>
    <row r="9726" x14ac:dyDescent="0.3"/>
    <row r="9727" x14ac:dyDescent="0.3"/>
    <row r="9728" x14ac:dyDescent="0.3"/>
    <row r="9729" x14ac:dyDescent="0.3"/>
    <row r="9730" x14ac:dyDescent="0.3"/>
    <row r="9731" x14ac:dyDescent="0.3"/>
    <row r="9732" x14ac:dyDescent="0.3"/>
    <row r="9733" x14ac:dyDescent="0.3"/>
    <row r="9734" x14ac:dyDescent="0.3"/>
    <row r="9735" x14ac:dyDescent="0.3"/>
    <row r="9736" x14ac:dyDescent="0.3"/>
    <row r="9737" x14ac:dyDescent="0.3"/>
    <row r="9738" x14ac:dyDescent="0.3"/>
    <row r="9739" x14ac:dyDescent="0.3"/>
    <row r="9740" x14ac:dyDescent="0.3"/>
    <row r="9741" x14ac:dyDescent="0.3"/>
    <row r="9742" x14ac:dyDescent="0.3"/>
    <row r="9743" x14ac:dyDescent="0.3"/>
    <row r="9744" x14ac:dyDescent="0.3"/>
    <row r="9745" x14ac:dyDescent="0.3"/>
    <row r="9746" x14ac:dyDescent="0.3"/>
    <row r="9747" x14ac:dyDescent="0.3"/>
    <row r="9748" x14ac:dyDescent="0.3"/>
    <row r="9749" x14ac:dyDescent="0.3"/>
    <row r="9750" x14ac:dyDescent="0.3"/>
    <row r="9751" x14ac:dyDescent="0.3"/>
    <row r="9752" x14ac:dyDescent="0.3"/>
    <row r="9753" x14ac:dyDescent="0.3"/>
    <row r="9754" x14ac:dyDescent="0.3"/>
    <row r="9755" x14ac:dyDescent="0.3"/>
    <row r="9756" x14ac:dyDescent="0.3"/>
    <row r="9757" x14ac:dyDescent="0.3"/>
    <row r="9758" x14ac:dyDescent="0.3"/>
    <row r="9759" x14ac:dyDescent="0.3"/>
    <row r="9760" x14ac:dyDescent="0.3"/>
    <row r="9761" x14ac:dyDescent="0.3"/>
    <row r="9762" x14ac:dyDescent="0.3"/>
    <row r="9763" x14ac:dyDescent="0.3"/>
    <row r="9764" x14ac:dyDescent="0.3"/>
    <row r="9765" x14ac:dyDescent="0.3"/>
    <row r="9766" x14ac:dyDescent="0.3"/>
    <row r="9767" x14ac:dyDescent="0.3"/>
    <row r="9768" x14ac:dyDescent="0.3"/>
    <row r="9769" x14ac:dyDescent="0.3"/>
    <row r="9770" x14ac:dyDescent="0.3"/>
    <row r="9771" x14ac:dyDescent="0.3"/>
    <row r="9772" x14ac:dyDescent="0.3"/>
    <row r="9773" x14ac:dyDescent="0.3"/>
    <row r="9774" x14ac:dyDescent="0.3"/>
    <row r="9775" x14ac:dyDescent="0.3"/>
    <row r="9776" x14ac:dyDescent="0.3"/>
    <row r="9777" x14ac:dyDescent="0.3"/>
    <row r="9778" x14ac:dyDescent="0.3"/>
    <row r="9779" x14ac:dyDescent="0.3"/>
    <row r="9780" x14ac:dyDescent="0.3"/>
    <row r="9781" x14ac:dyDescent="0.3"/>
    <row r="9782" x14ac:dyDescent="0.3"/>
    <row r="9783" x14ac:dyDescent="0.3"/>
    <row r="9784" x14ac:dyDescent="0.3"/>
    <row r="9785" x14ac:dyDescent="0.3"/>
    <row r="9786" x14ac:dyDescent="0.3"/>
    <row r="9787" x14ac:dyDescent="0.3"/>
    <row r="9788" x14ac:dyDescent="0.3"/>
    <row r="9789" x14ac:dyDescent="0.3"/>
    <row r="9790" x14ac:dyDescent="0.3"/>
    <row r="9791" x14ac:dyDescent="0.3"/>
    <row r="9792" x14ac:dyDescent="0.3"/>
    <row r="9793" x14ac:dyDescent="0.3"/>
    <row r="9794" x14ac:dyDescent="0.3"/>
    <row r="9795" x14ac:dyDescent="0.3"/>
    <row r="9796" x14ac:dyDescent="0.3"/>
    <row r="9797" x14ac:dyDescent="0.3"/>
    <row r="9798" x14ac:dyDescent="0.3"/>
    <row r="9799" x14ac:dyDescent="0.3"/>
    <row r="9800" x14ac:dyDescent="0.3"/>
    <row r="9801" x14ac:dyDescent="0.3"/>
    <row r="9802" x14ac:dyDescent="0.3"/>
    <row r="9803" x14ac:dyDescent="0.3"/>
    <row r="9804" x14ac:dyDescent="0.3"/>
    <row r="9805" x14ac:dyDescent="0.3"/>
    <row r="9806" x14ac:dyDescent="0.3"/>
    <row r="9807" x14ac:dyDescent="0.3"/>
    <row r="9808" x14ac:dyDescent="0.3"/>
    <row r="9809" x14ac:dyDescent="0.3"/>
    <row r="9810" x14ac:dyDescent="0.3"/>
    <row r="9811" x14ac:dyDescent="0.3"/>
    <row r="9812" x14ac:dyDescent="0.3"/>
    <row r="9813" x14ac:dyDescent="0.3"/>
    <row r="9814" x14ac:dyDescent="0.3"/>
    <row r="9815" x14ac:dyDescent="0.3"/>
    <row r="9816" x14ac:dyDescent="0.3"/>
    <row r="9817" x14ac:dyDescent="0.3"/>
    <row r="9818" x14ac:dyDescent="0.3"/>
    <row r="9819" x14ac:dyDescent="0.3"/>
    <row r="9820" x14ac:dyDescent="0.3"/>
    <row r="9821" x14ac:dyDescent="0.3"/>
    <row r="9822" x14ac:dyDescent="0.3"/>
    <row r="9823" x14ac:dyDescent="0.3"/>
    <row r="9824" x14ac:dyDescent="0.3"/>
    <row r="9825" x14ac:dyDescent="0.3"/>
    <row r="9826" x14ac:dyDescent="0.3"/>
    <row r="9827" x14ac:dyDescent="0.3"/>
    <row r="9828" x14ac:dyDescent="0.3"/>
    <row r="9829" x14ac:dyDescent="0.3"/>
    <row r="9830" x14ac:dyDescent="0.3"/>
    <row r="9831" x14ac:dyDescent="0.3"/>
    <row r="9832" x14ac:dyDescent="0.3"/>
    <row r="9833" x14ac:dyDescent="0.3"/>
    <row r="9834" x14ac:dyDescent="0.3"/>
    <row r="9835" x14ac:dyDescent="0.3"/>
    <row r="9836" x14ac:dyDescent="0.3"/>
    <row r="9837" x14ac:dyDescent="0.3"/>
    <row r="9838" x14ac:dyDescent="0.3"/>
    <row r="9839" x14ac:dyDescent="0.3"/>
    <row r="9840" x14ac:dyDescent="0.3"/>
    <row r="9841" x14ac:dyDescent="0.3"/>
    <row r="9842" x14ac:dyDescent="0.3"/>
    <row r="9843" x14ac:dyDescent="0.3"/>
    <row r="9844" x14ac:dyDescent="0.3"/>
    <row r="9845" x14ac:dyDescent="0.3"/>
    <row r="9846" x14ac:dyDescent="0.3"/>
    <row r="9847" x14ac:dyDescent="0.3"/>
    <row r="9848" x14ac:dyDescent="0.3"/>
    <row r="9849" x14ac:dyDescent="0.3"/>
    <row r="9850" x14ac:dyDescent="0.3"/>
    <row r="9851" x14ac:dyDescent="0.3"/>
    <row r="9852" x14ac:dyDescent="0.3"/>
    <row r="9853" x14ac:dyDescent="0.3"/>
    <row r="9854" x14ac:dyDescent="0.3"/>
    <row r="9855" x14ac:dyDescent="0.3"/>
    <row r="9856" x14ac:dyDescent="0.3"/>
    <row r="9857" x14ac:dyDescent="0.3"/>
    <row r="9858" x14ac:dyDescent="0.3"/>
    <row r="9859" x14ac:dyDescent="0.3"/>
    <row r="9860" x14ac:dyDescent="0.3"/>
    <row r="9861" x14ac:dyDescent="0.3"/>
    <row r="9862" x14ac:dyDescent="0.3"/>
    <row r="9863" x14ac:dyDescent="0.3"/>
    <row r="9864" x14ac:dyDescent="0.3"/>
    <row r="9865" x14ac:dyDescent="0.3"/>
    <row r="9866" x14ac:dyDescent="0.3"/>
    <row r="9867" x14ac:dyDescent="0.3"/>
    <row r="9868" x14ac:dyDescent="0.3"/>
    <row r="9869" x14ac:dyDescent="0.3"/>
    <row r="9870" x14ac:dyDescent="0.3"/>
    <row r="9871" x14ac:dyDescent="0.3"/>
    <row r="9872" x14ac:dyDescent="0.3"/>
    <row r="9873" x14ac:dyDescent="0.3"/>
    <row r="9874" x14ac:dyDescent="0.3"/>
    <row r="9875" x14ac:dyDescent="0.3"/>
    <row r="9876" x14ac:dyDescent="0.3"/>
    <row r="9877" x14ac:dyDescent="0.3"/>
    <row r="9878" x14ac:dyDescent="0.3"/>
    <row r="9879" x14ac:dyDescent="0.3"/>
    <row r="9880" x14ac:dyDescent="0.3"/>
    <row r="9881" x14ac:dyDescent="0.3"/>
    <row r="9882" x14ac:dyDescent="0.3"/>
    <row r="9883" x14ac:dyDescent="0.3"/>
    <row r="9884" x14ac:dyDescent="0.3"/>
    <row r="9885" x14ac:dyDescent="0.3"/>
    <row r="9886" x14ac:dyDescent="0.3"/>
    <row r="9887" x14ac:dyDescent="0.3"/>
    <row r="9888" x14ac:dyDescent="0.3"/>
    <row r="9889" x14ac:dyDescent="0.3"/>
    <row r="9890" x14ac:dyDescent="0.3"/>
    <row r="9891" x14ac:dyDescent="0.3"/>
    <row r="9892" x14ac:dyDescent="0.3"/>
    <row r="9893" x14ac:dyDescent="0.3"/>
    <row r="9894" x14ac:dyDescent="0.3"/>
    <row r="9895" x14ac:dyDescent="0.3"/>
    <row r="9896" x14ac:dyDescent="0.3"/>
    <row r="9897" x14ac:dyDescent="0.3"/>
    <row r="9898" x14ac:dyDescent="0.3"/>
    <row r="9899" x14ac:dyDescent="0.3"/>
    <row r="9900" x14ac:dyDescent="0.3"/>
    <row r="9901" x14ac:dyDescent="0.3"/>
    <row r="9902" x14ac:dyDescent="0.3"/>
    <row r="9903" x14ac:dyDescent="0.3"/>
    <row r="9904" x14ac:dyDescent="0.3"/>
    <row r="9905" x14ac:dyDescent="0.3"/>
    <row r="9906" x14ac:dyDescent="0.3"/>
    <row r="9907" x14ac:dyDescent="0.3"/>
    <row r="9908" x14ac:dyDescent="0.3"/>
    <row r="9909" x14ac:dyDescent="0.3"/>
    <row r="9910" x14ac:dyDescent="0.3"/>
    <row r="9911" x14ac:dyDescent="0.3"/>
    <row r="9912" x14ac:dyDescent="0.3"/>
    <row r="9913" x14ac:dyDescent="0.3"/>
    <row r="9914" x14ac:dyDescent="0.3"/>
    <row r="9915" x14ac:dyDescent="0.3"/>
    <row r="9916" x14ac:dyDescent="0.3"/>
    <row r="9917" x14ac:dyDescent="0.3"/>
    <row r="9918" x14ac:dyDescent="0.3"/>
    <row r="9919" x14ac:dyDescent="0.3"/>
    <row r="9920" x14ac:dyDescent="0.3"/>
    <row r="9921" x14ac:dyDescent="0.3"/>
    <row r="9922" x14ac:dyDescent="0.3"/>
    <row r="9923" x14ac:dyDescent="0.3"/>
    <row r="9924" x14ac:dyDescent="0.3"/>
    <row r="9925" x14ac:dyDescent="0.3"/>
    <row r="9926" x14ac:dyDescent="0.3"/>
    <row r="9927" x14ac:dyDescent="0.3"/>
    <row r="9928" x14ac:dyDescent="0.3"/>
    <row r="9929" x14ac:dyDescent="0.3"/>
    <row r="9930" x14ac:dyDescent="0.3"/>
    <row r="9931" x14ac:dyDescent="0.3"/>
    <row r="9932" x14ac:dyDescent="0.3"/>
    <row r="9933" x14ac:dyDescent="0.3"/>
    <row r="9934" x14ac:dyDescent="0.3"/>
    <row r="9935" x14ac:dyDescent="0.3"/>
    <row r="9936" x14ac:dyDescent="0.3"/>
    <row r="9937" x14ac:dyDescent="0.3"/>
    <row r="9938" x14ac:dyDescent="0.3"/>
    <row r="9939" x14ac:dyDescent="0.3"/>
    <row r="9940" x14ac:dyDescent="0.3"/>
    <row r="9941" x14ac:dyDescent="0.3"/>
    <row r="9942" x14ac:dyDescent="0.3"/>
    <row r="9943" x14ac:dyDescent="0.3"/>
    <row r="9944" x14ac:dyDescent="0.3"/>
    <row r="9945" x14ac:dyDescent="0.3"/>
    <row r="9946" x14ac:dyDescent="0.3"/>
    <row r="9947" x14ac:dyDescent="0.3"/>
    <row r="9948" x14ac:dyDescent="0.3"/>
    <row r="9949" x14ac:dyDescent="0.3"/>
    <row r="9950" x14ac:dyDescent="0.3"/>
    <row r="9951" x14ac:dyDescent="0.3"/>
    <row r="9952" x14ac:dyDescent="0.3"/>
    <row r="9953" x14ac:dyDescent="0.3"/>
    <row r="9954" x14ac:dyDescent="0.3"/>
    <row r="9955" x14ac:dyDescent="0.3"/>
    <row r="9956" x14ac:dyDescent="0.3"/>
    <row r="9957" x14ac:dyDescent="0.3"/>
    <row r="9958" x14ac:dyDescent="0.3"/>
    <row r="9959" x14ac:dyDescent="0.3"/>
    <row r="9960" x14ac:dyDescent="0.3"/>
    <row r="9961" x14ac:dyDescent="0.3"/>
    <row r="9962" x14ac:dyDescent="0.3"/>
    <row r="9963" x14ac:dyDescent="0.3"/>
    <row r="9964" x14ac:dyDescent="0.3"/>
    <row r="9965" x14ac:dyDescent="0.3"/>
    <row r="9966" x14ac:dyDescent="0.3"/>
    <row r="9967" x14ac:dyDescent="0.3"/>
    <row r="9968" x14ac:dyDescent="0.3"/>
    <row r="9969" x14ac:dyDescent="0.3"/>
    <row r="9970" x14ac:dyDescent="0.3"/>
    <row r="9971" x14ac:dyDescent="0.3"/>
    <row r="9972" x14ac:dyDescent="0.3"/>
    <row r="9973" x14ac:dyDescent="0.3"/>
    <row r="9974" x14ac:dyDescent="0.3"/>
    <row r="9975" x14ac:dyDescent="0.3"/>
    <row r="9976" x14ac:dyDescent="0.3"/>
    <row r="9977" x14ac:dyDescent="0.3"/>
    <row r="9978" x14ac:dyDescent="0.3"/>
    <row r="9979" x14ac:dyDescent="0.3"/>
    <row r="9980" x14ac:dyDescent="0.3"/>
    <row r="9981" x14ac:dyDescent="0.3"/>
    <row r="9982" x14ac:dyDescent="0.3"/>
    <row r="9983" x14ac:dyDescent="0.3"/>
    <row r="9984" x14ac:dyDescent="0.3"/>
    <row r="9985" x14ac:dyDescent="0.3"/>
    <row r="9986" x14ac:dyDescent="0.3"/>
    <row r="9987" x14ac:dyDescent="0.3"/>
    <row r="9988" x14ac:dyDescent="0.3"/>
    <row r="9989" x14ac:dyDescent="0.3"/>
    <row r="9990" x14ac:dyDescent="0.3"/>
    <row r="9991" x14ac:dyDescent="0.3"/>
    <row r="9992" x14ac:dyDescent="0.3"/>
    <row r="9993" x14ac:dyDescent="0.3"/>
    <row r="9994" x14ac:dyDescent="0.3"/>
    <row r="9995" x14ac:dyDescent="0.3"/>
    <row r="9996" x14ac:dyDescent="0.3"/>
    <row r="9997" x14ac:dyDescent="0.3"/>
    <row r="9998" x14ac:dyDescent="0.3"/>
    <row r="9999" x14ac:dyDescent="0.3"/>
    <row r="10000" x14ac:dyDescent="0.3"/>
    <row r="10001" x14ac:dyDescent="0.3"/>
    <row r="10002" x14ac:dyDescent="0.3"/>
    <row r="10003" x14ac:dyDescent="0.3"/>
    <row r="10004" x14ac:dyDescent="0.3"/>
    <row r="10005" x14ac:dyDescent="0.3"/>
    <row r="10006" x14ac:dyDescent="0.3"/>
    <row r="10007" x14ac:dyDescent="0.3"/>
    <row r="10008" x14ac:dyDescent="0.3"/>
    <row r="10009" x14ac:dyDescent="0.3"/>
    <row r="10010" x14ac:dyDescent="0.3"/>
    <row r="10011" x14ac:dyDescent="0.3"/>
    <row r="10012" x14ac:dyDescent="0.3"/>
    <row r="10013" x14ac:dyDescent="0.3"/>
    <row r="10014" x14ac:dyDescent="0.3"/>
    <row r="10015" x14ac:dyDescent="0.3"/>
    <row r="10016" x14ac:dyDescent="0.3"/>
    <row r="10017" x14ac:dyDescent="0.3"/>
    <row r="10018" x14ac:dyDescent="0.3"/>
    <row r="10019" x14ac:dyDescent="0.3"/>
    <row r="10020" x14ac:dyDescent="0.3"/>
    <row r="10021" x14ac:dyDescent="0.3"/>
    <row r="10022" x14ac:dyDescent="0.3"/>
    <row r="10023" x14ac:dyDescent="0.3"/>
    <row r="10024" x14ac:dyDescent="0.3"/>
    <row r="10025" x14ac:dyDescent="0.3"/>
    <row r="10026" x14ac:dyDescent="0.3"/>
    <row r="10027" x14ac:dyDescent="0.3"/>
    <row r="10028" x14ac:dyDescent="0.3"/>
    <row r="10029" x14ac:dyDescent="0.3"/>
    <row r="10030" x14ac:dyDescent="0.3"/>
    <row r="10031" x14ac:dyDescent="0.3"/>
    <row r="10032" x14ac:dyDescent="0.3"/>
    <row r="10033" x14ac:dyDescent="0.3"/>
    <row r="10034" x14ac:dyDescent="0.3"/>
    <row r="10035" x14ac:dyDescent="0.3"/>
    <row r="10036" x14ac:dyDescent="0.3"/>
    <row r="10037" x14ac:dyDescent="0.3"/>
    <row r="10038" x14ac:dyDescent="0.3"/>
    <row r="10039" x14ac:dyDescent="0.3"/>
    <row r="10040" x14ac:dyDescent="0.3"/>
    <row r="10041" x14ac:dyDescent="0.3"/>
    <row r="10042" x14ac:dyDescent="0.3"/>
    <row r="10043" x14ac:dyDescent="0.3"/>
    <row r="10044" x14ac:dyDescent="0.3"/>
    <row r="10045" x14ac:dyDescent="0.3"/>
    <row r="10046" x14ac:dyDescent="0.3"/>
    <row r="10047" x14ac:dyDescent="0.3"/>
    <row r="10048" x14ac:dyDescent="0.3"/>
    <row r="10049" x14ac:dyDescent="0.3"/>
    <row r="10050" x14ac:dyDescent="0.3"/>
    <row r="10051" x14ac:dyDescent="0.3"/>
    <row r="10052" x14ac:dyDescent="0.3"/>
    <row r="10053" x14ac:dyDescent="0.3"/>
    <row r="10054" x14ac:dyDescent="0.3"/>
    <row r="10055" x14ac:dyDescent="0.3"/>
    <row r="10056" x14ac:dyDescent="0.3"/>
    <row r="10057" x14ac:dyDescent="0.3"/>
    <row r="10058" x14ac:dyDescent="0.3"/>
    <row r="10059" x14ac:dyDescent="0.3"/>
    <row r="10060" x14ac:dyDescent="0.3"/>
    <row r="10061" x14ac:dyDescent="0.3"/>
    <row r="10062" x14ac:dyDescent="0.3"/>
    <row r="10063" x14ac:dyDescent="0.3"/>
    <row r="10064" x14ac:dyDescent="0.3"/>
    <row r="10065" x14ac:dyDescent="0.3"/>
    <row r="10066" x14ac:dyDescent="0.3"/>
    <row r="10067" x14ac:dyDescent="0.3"/>
    <row r="10068" x14ac:dyDescent="0.3"/>
    <row r="10069" x14ac:dyDescent="0.3"/>
    <row r="10070" x14ac:dyDescent="0.3"/>
    <row r="10071" x14ac:dyDescent="0.3"/>
    <row r="10072" x14ac:dyDescent="0.3"/>
    <row r="10073" x14ac:dyDescent="0.3"/>
    <row r="10074" x14ac:dyDescent="0.3"/>
    <row r="10075" x14ac:dyDescent="0.3"/>
    <row r="10076" x14ac:dyDescent="0.3"/>
    <row r="10077" x14ac:dyDescent="0.3"/>
    <row r="10078" x14ac:dyDescent="0.3"/>
    <row r="10079" x14ac:dyDescent="0.3"/>
    <row r="10080" x14ac:dyDescent="0.3"/>
    <row r="10081" x14ac:dyDescent="0.3"/>
    <row r="10082" x14ac:dyDescent="0.3"/>
    <row r="10083" x14ac:dyDescent="0.3"/>
    <row r="10084" x14ac:dyDescent="0.3"/>
    <row r="10085" x14ac:dyDescent="0.3"/>
    <row r="10086" x14ac:dyDescent="0.3"/>
    <row r="10087" x14ac:dyDescent="0.3"/>
    <row r="10088" x14ac:dyDescent="0.3"/>
    <row r="10089" x14ac:dyDescent="0.3"/>
    <row r="10090" x14ac:dyDescent="0.3"/>
    <row r="10091" x14ac:dyDescent="0.3"/>
    <row r="10092" x14ac:dyDescent="0.3"/>
    <row r="10093" x14ac:dyDescent="0.3"/>
    <row r="10094" x14ac:dyDescent="0.3"/>
    <row r="10095" x14ac:dyDescent="0.3"/>
    <row r="10096" x14ac:dyDescent="0.3"/>
    <row r="10097" x14ac:dyDescent="0.3"/>
    <row r="10098" x14ac:dyDescent="0.3"/>
    <row r="10099" x14ac:dyDescent="0.3"/>
    <row r="10100" x14ac:dyDescent="0.3"/>
    <row r="10101" x14ac:dyDescent="0.3"/>
    <row r="10102" x14ac:dyDescent="0.3"/>
    <row r="10103" x14ac:dyDescent="0.3"/>
    <row r="10104" x14ac:dyDescent="0.3"/>
    <row r="10105" x14ac:dyDescent="0.3"/>
    <row r="10106" x14ac:dyDescent="0.3"/>
    <row r="10107" x14ac:dyDescent="0.3"/>
    <row r="10108" x14ac:dyDescent="0.3"/>
    <row r="10109" x14ac:dyDescent="0.3"/>
    <row r="10110" x14ac:dyDescent="0.3"/>
    <row r="10111" x14ac:dyDescent="0.3"/>
    <row r="10112" x14ac:dyDescent="0.3"/>
    <row r="10113" x14ac:dyDescent="0.3"/>
    <row r="10114" x14ac:dyDescent="0.3"/>
    <row r="10115" x14ac:dyDescent="0.3"/>
    <row r="10116" x14ac:dyDescent="0.3"/>
    <row r="10117" x14ac:dyDescent="0.3"/>
    <row r="10118" x14ac:dyDescent="0.3"/>
    <row r="10119" x14ac:dyDescent="0.3"/>
    <row r="10120" x14ac:dyDescent="0.3"/>
    <row r="10121" x14ac:dyDescent="0.3"/>
    <row r="10122" x14ac:dyDescent="0.3"/>
    <row r="10123" x14ac:dyDescent="0.3"/>
    <row r="10124" x14ac:dyDescent="0.3"/>
    <row r="10125" x14ac:dyDescent="0.3"/>
    <row r="10126" x14ac:dyDescent="0.3"/>
    <row r="10127" x14ac:dyDescent="0.3"/>
    <row r="10128" x14ac:dyDescent="0.3"/>
    <row r="10129" x14ac:dyDescent="0.3"/>
    <row r="10130" x14ac:dyDescent="0.3"/>
    <row r="10131" x14ac:dyDescent="0.3"/>
    <row r="10132" x14ac:dyDescent="0.3"/>
    <row r="10133" x14ac:dyDescent="0.3"/>
    <row r="10134" x14ac:dyDescent="0.3"/>
    <row r="10135" x14ac:dyDescent="0.3"/>
    <row r="10136" x14ac:dyDescent="0.3"/>
    <row r="10137" x14ac:dyDescent="0.3"/>
    <row r="10138" x14ac:dyDescent="0.3"/>
    <row r="10139" x14ac:dyDescent="0.3"/>
    <row r="10140" x14ac:dyDescent="0.3"/>
    <row r="10141" x14ac:dyDescent="0.3"/>
    <row r="10142" x14ac:dyDescent="0.3"/>
    <row r="10143" x14ac:dyDescent="0.3"/>
    <row r="10144" x14ac:dyDescent="0.3"/>
    <row r="10145" x14ac:dyDescent="0.3"/>
    <row r="10146" x14ac:dyDescent="0.3"/>
    <row r="10147" x14ac:dyDescent="0.3"/>
    <row r="10148" x14ac:dyDescent="0.3"/>
    <row r="10149" x14ac:dyDescent="0.3"/>
    <row r="10150" x14ac:dyDescent="0.3"/>
    <row r="10151" x14ac:dyDescent="0.3"/>
    <row r="10152" x14ac:dyDescent="0.3"/>
    <row r="10153" x14ac:dyDescent="0.3"/>
    <row r="10154" x14ac:dyDescent="0.3"/>
    <row r="10155" x14ac:dyDescent="0.3"/>
    <row r="10156" x14ac:dyDescent="0.3"/>
    <row r="10157" x14ac:dyDescent="0.3"/>
    <row r="10158" x14ac:dyDescent="0.3"/>
    <row r="10159" x14ac:dyDescent="0.3"/>
    <row r="10160" x14ac:dyDescent="0.3"/>
    <row r="10161" x14ac:dyDescent="0.3"/>
    <row r="10162" x14ac:dyDescent="0.3"/>
    <row r="10163" x14ac:dyDescent="0.3"/>
    <row r="10164" x14ac:dyDescent="0.3"/>
    <row r="10165" x14ac:dyDescent="0.3"/>
    <row r="10166" x14ac:dyDescent="0.3"/>
    <row r="10167" x14ac:dyDescent="0.3"/>
    <row r="10168" x14ac:dyDescent="0.3"/>
    <row r="10169" x14ac:dyDescent="0.3"/>
    <row r="10170" x14ac:dyDescent="0.3"/>
    <row r="10171" x14ac:dyDescent="0.3"/>
    <row r="10172" x14ac:dyDescent="0.3"/>
    <row r="10173" x14ac:dyDescent="0.3"/>
    <row r="10174" x14ac:dyDescent="0.3"/>
    <row r="10175" x14ac:dyDescent="0.3"/>
    <row r="10176" x14ac:dyDescent="0.3"/>
    <row r="10177" x14ac:dyDescent="0.3"/>
    <row r="10178" x14ac:dyDescent="0.3"/>
    <row r="10179" x14ac:dyDescent="0.3"/>
    <row r="10180" x14ac:dyDescent="0.3"/>
    <row r="10181" x14ac:dyDescent="0.3"/>
    <row r="10182" x14ac:dyDescent="0.3"/>
    <row r="10183" x14ac:dyDescent="0.3"/>
    <row r="10184" x14ac:dyDescent="0.3"/>
    <row r="10185" x14ac:dyDescent="0.3"/>
    <row r="10186" x14ac:dyDescent="0.3"/>
    <row r="10187" x14ac:dyDescent="0.3"/>
    <row r="10188" x14ac:dyDescent="0.3"/>
    <row r="10189" x14ac:dyDescent="0.3"/>
    <row r="10190" x14ac:dyDescent="0.3"/>
    <row r="10191" x14ac:dyDescent="0.3"/>
    <row r="10192" x14ac:dyDescent="0.3"/>
    <row r="10193" x14ac:dyDescent="0.3"/>
    <row r="10194" x14ac:dyDescent="0.3"/>
    <row r="10195" x14ac:dyDescent="0.3"/>
    <row r="10196" x14ac:dyDescent="0.3"/>
    <row r="10197" x14ac:dyDescent="0.3"/>
    <row r="10198" x14ac:dyDescent="0.3"/>
    <row r="10199" x14ac:dyDescent="0.3"/>
    <row r="10200" x14ac:dyDescent="0.3"/>
    <row r="10201" x14ac:dyDescent="0.3"/>
    <row r="10202" x14ac:dyDescent="0.3"/>
    <row r="10203" x14ac:dyDescent="0.3"/>
    <row r="10204" x14ac:dyDescent="0.3"/>
    <row r="10205" x14ac:dyDescent="0.3"/>
    <row r="10206" x14ac:dyDescent="0.3"/>
    <row r="10207" x14ac:dyDescent="0.3"/>
    <row r="10208" x14ac:dyDescent="0.3"/>
    <row r="10209" x14ac:dyDescent="0.3"/>
    <row r="10210" x14ac:dyDescent="0.3"/>
    <row r="10211" x14ac:dyDescent="0.3"/>
    <row r="10212" x14ac:dyDescent="0.3"/>
    <row r="10213" x14ac:dyDescent="0.3"/>
    <row r="10214" x14ac:dyDescent="0.3"/>
    <row r="10215" x14ac:dyDescent="0.3"/>
    <row r="10216" x14ac:dyDescent="0.3"/>
    <row r="10217" x14ac:dyDescent="0.3"/>
    <row r="10218" x14ac:dyDescent="0.3"/>
    <row r="10219" x14ac:dyDescent="0.3"/>
    <row r="10220" x14ac:dyDescent="0.3"/>
    <row r="10221" x14ac:dyDescent="0.3"/>
    <row r="10222" x14ac:dyDescent="0.3"/>
    <row r="10223" x14ac:dyDescent="0.3"/>
    <row r="10224" x14ac:dyDescent="0.3"/>
    <row r="10225" x14ac:dyDescent="0.3"/>
    <row r="10226" x14ac:dyDescent="0.3"/>
    <row r="10227" x14ac:dyDescent="0.3"/>
    <row r="10228" x14ac:dyDescent="0.3"/>
    <row r="10229" x14ac:dyDescent="0.3"/>
    <row r="10230" x14ac:dyDescent="0.3"/>
    <row r="10231" x14ac:dyDescent="0.3"/>
    <row r="10232" x14ac:dyDescent="0.3"/>
    <row r="10233" x14ac:dyDescent="0.3"/>
    <row r="10234" x14ac:dyDescent="0.3"/>
    <row r="10235" x14ac:dyDescent="0.3"/>
    <row r="10236" x14ac:dyDescent="0.3"/>
    <row r="10237" x14ac:dyDescent="0.3"/>
    <row r="10238" x14ac:dyDescent="0.3"/>
    <row r="10239" x14ac:dyDescent="0.3"/>
    <row r="10240" x14ac:dyDescent="0.3"/>
    <row r="10241" x14ac:dyDescent="0.3"/>
    <row r="10242" x14ac:dyDescent="0.3"/>
    <row r="10243" x14ac:dyDescent="0.3"/>
    <row r="10244" x14ac:dyDescent="0.3"/>
    <row r="10245" x14ac:dyDescent="0.3"/>
    <row r="10246" x14ac:dyDescent="0.3"/>
    <row r="10247" x14ac:dyDescent="0.3"/>
    <row r="10248" x14ac:dyDescent="0.3"/>
    <row r="10249" x14ac:dyDescent="0.3"/>
    <row r="10250" x14ac:dyDescent="0.3"/>
    <row r="10251" x14ac:dyDescent="0.3"/>
    <row r="10252" x14ac:dyDescent="0.3"/>
    <row r="10253" x14ac:dyDescent="0.3"/>
    <row r="10254" x14ac:dyDescent="0.3"/>
    <row r="10255" x14ac:dyDescent="0.3"/>
    <row r="10256" x14ac:dyDescent="0.3"/>
    <row r="10257" x14ac:dyDescent="0.3"/>
    <row r="10258" x14ac:dyDescent="0.3"/>
    <row r="10259" x14ac:dyDescent="0.3"/>
    <row r="10260" x14ac:dyDescent="0.3"/>
    <row r="10261" x14ac:dyDescent="0.3"/>
    <row r="10262" x14ac:dyDescent="0.3"/>
    <row r="10263" x14ac:dyDescent="0.3"/>
    <row r="10264" x14ac:dyDescent="0.3"/>
    <row r="10265" x14ac:dyDescent="0.3"/>
    <row r="10266" x14ac:dyDescent="0.3"/>
    <row r="10267" x14ac:dyDescent="0.3"/>
    <row r="10268" x14ac:dyDescent="0.3"/>
    <row r="10269" x14ac:dyDescent="0.3"/>
    <row r="10270" x14ac:dyDescent="0.3"/>
    <row r="10271" x14ac:dyDescent="0.3"/>
    <row r="10272" x14ac:dyDescent="0.3"/>
    <row r="10273" x14ac:dyDescent="0.3"/>
    <row r="10274" x14ac:dyDescent="0.3"/>
    <row r="10275" x14ac:dyDescent="0.3"/>
    <row r="10276" x14ac:dyDescent="0.3"/>
    <row r="10277" x14ac:dyDescent="0.3"/>
    <row r="10278" x14ac:dyDescent="0.3"/>
    <row r="10279" x14ac:dyDescent="0.3"/>
    <row r="10280" x14ac:dyDescent="0.3"/>
    <row r="10281" x14ac:dyDescent="0.3"/>
    <row r="10282" x14ac:dyDescent="0.3"/>
    <row r="10283" x14ac:dyDescent="0.3"/>
    <row r="10284" x14ac:dyDescent="0.3"/>
    <row r="10285" x14ac:dyDescent="0.3"/>
    <row r="10286" x14ac:dyDescent="0.3"/>
    <row r="10287" x14ac:dyDescent="0.3"/>
    <row r="10288" x14ac:dyDescent="0.3"/>
    <row r="10289" x14ac:dyDescent="0.3"/>
    <row r="10290" x14ac:dyDescent="0.3"/>
    <row r="10291" x14ac:dyDescent="0.3"/>
    <row r="10292" x14ac:dyDescent="0.3"/>
    <row r="10293" x14ac:dyDescent="0.3"/>
    <row r="10294" x14ac:dyDescent="0.3"/>
    <row r="10295" x14ac:dyDescent="0.3"/>
    <row r="10296" x14ac:dyDescent="0.3"/>
    <row r="10297" x14ac:dyDescent="0.3"/>
    <row r="10298" x14ac:dyDescent="0.3"/>
    <row r="10299" x14ac:dyDescent="0.3"/>
    <row r="10300" x14ac:dyDescent="0.3"/>
    <row r="10301" x14ac:dyDescent="0.3"/>
    <row r="10302" x14ac:dyDescent="0.3"/>
    <row r="10303" x14ac:dyDescent="0.3"/>
    <row r="10304" x14ac:dyDescent="0.3"/>
    <row r="10305" x14ac:dyDescent="0.3"/>
    <row r="10306" x14ac:dyDescent="0.3"/>
    <row r="10307" x14ac:dyDescent="0.3"/>
    <row r="10308" x14ac:dyDescent="0.3"/>
    <row r="10309" x14ac:dyDescent="0.3"/>
    <row r="10310" x14ac:dyDescent="0.3"/>
    <row r="10311" x14ac:dyDescent="0.3"/>
    <row r="10312" x14ac:dyDescent="0.3"/>
    <row r="10313" x14ac:dyDescent="0.3"/>
    <row r="10314" x14ac:dyDescent="0.3"/>
    <row r="10315" x14ac:dyDescent="0.3"/>
    <row r="10316" x14ac:dyDescent="0.3"/>
    <row r="10317" x14ac:dyDescent="0.3"/>
    <row r="10318" x14ac:dyDescent="0.3"/>
    <row r="10319" x14ac:dyDescent="0.3"/>
    <row r="10320" x14ac:dyDescent="0.3"/>
    <row r="10321" x14ac:dyDescent="0.3"/>
    <row r="10322" x14ac:dyDescent="0.3"/>
    <row r="10323" x14ac:dyDescent="0.3"/>
    <row r="10324" x14ac:dyDescent="0.3"/>
    <row r="10325" x14ac:dyDescent="0.3"/>
    <row r="10326" x14ac:dyDescent="0.3"/>
    <row r="10327" x14ac:dyDescent="0.3"/>
    <row r="10328" x14ac:dyDescent="0.3"/>
    <row r="10329" x14ac:dyDescent="0.3"/>
    <row r="10330" x14ac:dyDescent="0.3"/>
    <row r="10331" x14ac:dyDescent="0.3"/>
    <row r="10332" x14ac:dyDescent="0.3"/>
    <row r="10333" x14ac:dyDescent="0.3"/>
    <row r="10334" x14ac:dyDescent="0.3"/>
    <row r="10335" x14ac:dyDescent="0.3"/>
    <row r="10336" x14ac:dyDescent="0.3"/>
    <row r="10337" x14ac:dyDescent="0.3"/>
    <row r="10338" x14ac:dyDescent="0.3"/>
    <row r="10339" x14ac:dyDescent="0.3"/>
    <row r="10340" x14ac:dyDescent="0.3"/>
    <row r="10341" x14ac:dyDescent="0.3"/>
    <row r="10342" x14ac:dyDescent="0.3"/>
    <row r="10343" x14ac:dyDescent="0.3"/>
    <row r="10344" x14ac:dyDescent="0.3"/>
    <row r="10345" x14ac:dyDescent="0.3"/>
    <row r="10346" x14ac:dyDescent="0.3"/>
    <row r="10347" x14ac:dyDescent="0.3"/>
    <row r="10348" x14ac:dyDescent="0.3"/>
    <row r="10349" x14ac:dyDescent="0.3"/>
    <row r="10350" x14ac:dyDescent="0.3"/>
    <row r="10351" x14ac:dyDescent="0.3"/>
    <row r="10352" x14ac:dyDescent="0.3"/>
    <row r="10353" x14ac:dyDescent="0.3"/>
    <row r="10354" x14ac:dyDescent="0.3"/>
    <row r="10355" x14ac:dyDescent="0.3"/>
    <row r="10356" x14ac:dyDescent="0.3"/>
    <row r="10357" x14ac:dyDescent="0.3"/>
    <row r="10358" x14ac:dyDescent="0.3"/>
    <row r="10359" x14ac:dyDescent="0.3"/>
    <row r="10360" x14ac:dyDescent="0.3"/>
    <row r="10361" x14ac:dyDescent="0.3"/>
    <row r="10362" x14ac:dyDescent="0.3"/>
    <row r="10363" x14ac:dyDescent="0.3"/>
    <row r="10364" x14ac:dyDescent="0.3"/>
    <row r="10365" x14ac:dyDescent="0.3"/>
    <row r="10366" x14ac:dyDescent="0.3"/>
    <row r="10367" x14ac:dyDescent="0.3"/>
    <row r="10368" x14ac:dyDescent="0.3"/>
    <row r="10369" x14ac:dyDescent="0.3"/>
    <row r="10370" x14ac:dyDescent="0.3"/>
    <row r="10371" x14ac:dyDescent="0.3"/>
    <row r="10372" x14ac:dyDescent="0.3"/>
    <row r="10373" x14ac:dyDescent="0.3"/>
    <row r="10374" x14ac:dyDescent="0.3"/>
    <row r="10375" x14ac:dyDescent="0.3"/>
    <row r="10376" x14ac:dyDescent="0.3"/>
    <row r="10377" x14ac:dyDescent="0.3"/>
    <row r="10378" x14ac:dyDescent="0.3"/>
    <row r="10379" x14ac:dyDescent="0.3"/>
    <row r="10380" x14ac:dyDescent="0.3"/>
    <row r="10381" x14ac:dyDescent="0.3"/>
    <row r="10382" x14ac:dyDescent="0.3"/>
    <row r="10383" x14ac:dyDescent="0.3"/>
    <row r="10384" x14ac:dyDescent="0.3"/>
    <row r="10385" x14ac:dyDescent="0.3"/>
    <row r="10386" x14ac:dyDescent="0.3"/>
    <row r="10387" x14ac:dyDescent="0.3"/>
    <row r="10388" x14ac:dyDescent="0.3"/>
    <row r="10389" x14ac:dyDescent="0.3"/>
    <row r="10390" x14ac:dyDescent="0.3"/>
    <row r="10391" x14ac:dyDescent="0.3"/>
    <row r="10392" x14ac:dyDescent="0.3"/>
    <row r="10393" x14ac:dyDescent="0.3"/>
    <row r="10394" x14ac:dyDescent="0.3"/>
    <row r="10395" x14ac:dyDescent="0.3"/>
    <row r="10396" x14ac:dyDescent="0.3"/>
    <row r="10397" x14ac:dyDescent="0.3"/>
    <row r="10398" x14ac:dyDescent="0.3"/>
    <row r="10399" x14ac:dyDescent="0.3"/>
    <row r="10400" x14ac:dyDescent="0.3"/>
    <row r="10401" x14ac:dyDescent="0.3"/>
    <row r="10402" x14ac:dyDescent="0.3"/>
    <row r="10403" x14ac:dyDescent="0.3"/>
    <row r="10404" x14ac:dyDescent="0.3"/>
    <row r="10405" x14ac:dyDescent="0.3"/>
    <row r="10406" x14ac:dyDescent="0.3"/>
    <row r="10407" x14ac:dyDescent="0.3"/>
    <row r="10408" x14ac:dyDescent="0.3"/>
    <row r="10409" x14ac:dyDescent="0.3"/>
    <row r="10410" x14ac:dyDescent="0.3"/>
    <row r="10411" x14ac:dyDescent="0.3"/>
    <row r="10412" x14ac:dyDescent="0.3"/>
    <row r="10413" x14ac:dyDescent="0.3"/>
    <row r="10414" x14ac:dyDescent="0.3"/>
    <row r="10415" x14ac:dyDescent="0.3"/>
    <row r="10416" x14ac:dyDescent="0.3"/>
    <row r="10417" x14ac:dyDescent="0.3"/>
    <row r="10418" x14ac:dyDescent="0.3"/>
    <row r="10419" x14ac:dyDescent="0.3"/>
    <row r="10420" x14ac:dyDescent="0.3"/>
    <row r="10421" x14ac:dyDescent="0.3"/>
    <row r="10422" x14ac:dyDescent="0.3"/>
    <row r="10423" x14ac:dyDescent="0.3"/>
    <row r="10424" x14ac:dyDescent="0.3"/>
    <row r="10425" x14ac:dyDescent="0.3"/>
    <row r="10426" x14ac:dyDescent="0.3"/>
    <row r="10427" x14ac:dyDescent="0.3"/>
    <row r="10428" x14ac:dyDescent="0.3"/>
    <row r="10429" x14ac:dyDescent="0.3"/>
    <row r="10430" x14ac:dyDescent="0.3"/>
    <row r="10431" x14ac:dyDescent="0.3"/>
    <row r="10432" x14ac:dyDescent="0.3"/>
    <row r="10433" x14ac:dyDescent="0.3"/>
    <row r="10434" x14ac:dyDescent="0.3"/>
    <row r="10435" x14ac:dyDescent="0.3"/>
    <row r="10436" x14ac:dyDescent="0.3"/>
    <row r="10437" x14ac:dyDescent="0.3"/>
    <row r="10438" x14ac:dyDescent="0.3"/>
    <row r="10439" x14ac:dyDescent="0.3"/>
    <row r="10440" x14ac:dyDescent="0.3"/>
    <row r="10441" x14ac:dyDescent="0.3"/>
    <row r="10442" x14ac:dyDescent="0.3"/>
    <row r="10443" x14ac:dyDescent="0.3"/>
    <row r="10444" x14ac:dyDescent="0.3"/>
    <row r="10445" x14ac:dyDescent="0.3"/>
    <row r="10446" x14ac:dyDescent="0.3"/>
    <row r="10447" x14ac:dyDescent="0.3"/>
    <row r="10448" x14ac:dyDescent="0.3"/>
    <row r="10449" x14ac:dyDescent="0.3"/>
    <row r="10450" x14ac:dyDescent="0.3"/>
    <row r="10451" x14ac:dyDescent="0.3"/>
    <row r="10452" x14ac:dyDescent="0.3"/>
    <row r="10453" x14ac:dyDescent="0.3"/>
    <row r="10454" x14ac:dyDescent="0.3"/>
    <row r="10455" x14ac:dyDescent="0.3"/>
    <row r="10456" x14ac:dyDescent="0.3"/>
    <row r="10457" x14ac:dyDescent="0.3"/>
    <row r="10458" x14ac:dyDescent="0.3"/>
    <row r="10459" x14ac:dyDescent="0.3"/>
    <row r="10460" x14ac:dyDescent="0.3"/>
    <row r="10461" x14ac:dyDescent="0.3"/>
    <row r="10462" x14ac:dyDescent="0.3"/>
    <row r="10463" x14ac:dyDescent="0.3"/>
    <row r="10464" x14ac:dyDescent="0.3"/>
    <row r="10465" x14ac:dyDescent="0.3"/>
    <row r="10466" x14ac:dyDescent="0.3"/>
    <row r="10467" x14ac:dyDescent="0.3"/>
    <row r="10468" x14ac:dyDescent="0.3"/>
    <row r="10469" x14ac:dyDescent="0.3"/>
    <row r="10470" x14ac:dyDescent="0.3"/>
    <row r="10471" x14ac:dyDescent="0.3"/>
    <row r="10472" x14ac:dyDescent="0.3"/>
    <row r="10473" x14ac:dyDescent="0.3"/>
    <row r="10474" x14ac:dyDescent="0.3"/>
    <row r="10475" x14ac:dyDescent="0.3"/>
    <row r="10476" x14ac:dyDescent="0.3"/>
    <row r="10477" x14ac:dyDescent="0.3"/>
    <row r="10478" x14ac:dyDescent="0.3"/>
    <row r="10479" x14ac:dyDescent="0.3"/>
    <row r="10480" x14ac:dyDescent="0.3"/>
    <row r="10481" x14ac:dyDescent="0.3"/>
    <row r="10482" x14ac:dyDescent="0.3"/>
    <row r="10483" x14ac:dyDescent="0.3"/>
    <row r="10484" x14ac:dyDescent="0.3"/>
    <row r="10485" x14ac:dyDescent="0.3"/>
    <row r="10486" x14ac:dyDescent="0.3"/>
    <row r="10487" x14ac:dyDescent="0.3"/>
    <row r="10488" x14ac:dyDescent="0.3"/>
    <row r="10489" x14ac:dyDescent="0.3"/>
    <row r="10490" x14ac:dyDescent="0.3"/>
    <row r="10491" x14ac:dyDescent="0.3"/>
    <row r="10492" x14ac:dyDescent="0.3"/>
    <row r="10493" x14ac:dyDescent="0.3"/>
    <row r="10494" x14ac:dyDescent="0.3"/>
    <row r="10495" x14ac:dyDescent="0.3"/>
    <row r="10496" x14ac:dyDescent="0.3"/>
    <row r="10497" x14ac:dyDescent="0.3"/>
    <row r="10498" x14ac:dyDescent="0.3"/>
    <row r="10499" x14ac:dyDescent="0.3"/>
    <row r="10500" x14ac:dyDescent="0.3"/>
    <row r="10501" x14ac:dyDescent="0.3"/>
    <row r="10502" x14ac:dyDescent="0.3"/>
    <row r="10503" x14ac:dyDescent="0.3"/>
    <row r="10504" x14ac:dyDescent="0.3"/>
    <row r="10505" x14ac:dyDescent="0.3"/>
    <row r="10506" x14ac:dyDescent="0.3"/>
    <row r="10507" x14ac:dyDescent="0.3"/>
    <row r="10508" x14ac:dyDescent="0.3"/>
    <row r="10509" x14ac:dyDescent="0.3"/>
    <row r="10510" x14ac:dyDescent="0.3"/>
    <row r="10511" x14ac:dyDescent="0.3"/>
    <row r="10512" x14ac:dyDescent="0.3"/>
    <row r="10513" x14ac:dyDescent="0.3"/>
    <row r="10514" x14ac:dyDescent="0.3"/>
    <row r="10515" x14ac:dyDescent="0.3"/>
    <row r="10516" x14ac:dyDescent="0.3"/>
    <row r="10517" x14ac:dyDescent="0.3"/>
    <row r="10518" x14ac:dyDescent="0.3"/>
    <row r="10519" x14ac:dyDescent="0.3"/>
    <row r="10520" x14ac:dyDescent="0.3"/>
    <row r="10521" x14ac:dyDescent="0.3"/>
    <row r="10522" x14ac:dyDescent="0.3"/>
    <row r="10523" x14ac:dyDescent="0.3"/>
    <row r="10524" x14ac:dyDescent="0.3"/>
    <row r="10525" x14ac:dyDescent="0.3"/>
    <row r="10526" x14ac:dyDescent="0.3"/>
    <row r="10527" x14ac:dyDescent="0.3"/>
    <row r="10528" x14ac:dyDescent="0.3"/>
    <row r="10529" x14ac:dyDescent="0.3"/>
    <row r="10530" x14ac:dyDescent="0.3"/>
    <row r="10531" x14ac:dyDescent="0.3"/>
    <row r="10532" x14ac:dyDescent="0.3"/>
    <row r="10533" x14ac:dyDescent="0.3"/>
    <row r="10534" x14ac:dyDescent="0.3"/>
    <row r="10535" x14ac:dyDescent="0.3"/>
    <row r="10536" x14ac:dyDescent="0.3"/>
    <row r="10537" x14ac:dyDescent="0.3"/>
    <row r="10538" x14ac:dyDescent="0.3"/>
    <row r="10539" x14ac:dyDescent="0.3"/>
    <row r="10540" x14ac:dyDescent="0.3"/>
    <row r="10541" x14ac:dyDescent="0.3"/>
    <row r="10542" x14ac:dyDescent="0.3"/>
    <row r="10543" x14ac:dyDescent="0.3"/>
    <row r="10544" x14ac:dyDescent="0.3"/>
    <row r="10545" x14ac:dyDescent="0.3"/>
    <row r="10546" x14ac:dyDescent="0.3"/>
    <row r="10547" x14ac:dyDescent="0.3"/>
    <row r="10548" x14ac:dyDescent="0.3"/>
    <row r="10549" x14ac:dyDescent="0.3"/>
    <row r="10550" x14ac:dyDescent="0.3"/>
    <row r="10551" x14ac:dyDescent="0.3"/>
    <row r="10552" x14ac:dyDescent="0.3"/>
    <row r="10553" x14ac:dyDescent="0.3"/>
    <row r="10554" x14ac:dyDescent="0.3"/>
    <row r="10555" x14ac:dyDescent="0.3"/>
    <row r="10556" x14ac:dyDescent="0.3"/>
    <row r="10557" x14ac:dyDescent="0.3"/>
    <row r="10558" x14ac:dyDescent="0.3"/>
    <row r="10559" x14ac:dyDescent="0.3"/>
    <row r="10560" x14ac:dyDescent="0.3"/>
    <row r="10561" x14ac:dyDescent="0.3"/>
    <row r="10562" x14ac:dyDescent="0.3"/>
    <row r="10563" x14ac:dyDescent="0.3"/>
    <row r="10564" x14ac:dyDescent="0.3"/>
    <row r="10565" x14ac:dyDescent="0.3"/>
    <row r="10566" x14ac:dyDescent="0.3"/>
    <row r="10567" x14ac:dyDescent="0.3"/>
    <row r="10568" x14ac:dyDescent="0.3"/>
    <row r="10569" x14ac:dyDescent="0.3"/>
    <row r="10570" x14ac:dyDescent="0.3"/>
    <row r="10571" x14ac:dyDescent="0.3"/>
    <row r="10572" x14ac:dyDescent="0.3"/>
    <row r="10573" x14ac:dyDescent="0.3"/>
    <row r="10574" x14ac:dyDescent="0.3"/>
    <row r="10575" x14ac:dyDescent="0.3"/>
    <row r="10576" x14ac:dyDescent="0.3"/>
    <row r="10577" x14ac:dyDescent="0.3"/>
    <row r="10578" x14ac:dyDescent="0.3"/>
    <row r="10579" x14ac:dyDescent="0.3"/>
    <row r="10580" x14ac:dyDescent="0.3"/>
    <row r="10581" x14ac:dyDescent="0.3"/>
    <row r="10582" x14ac:dyDescent="0.3"/>
    <row r="10583" x14ac:dyDescent="0.3"/>
    <row r="10584" x14ac:dyDescent="0.3"/>
    <row r="10585" x14ac:dyDescent="0.3"/>
    <row r="10586" x14ac:dyDescent="0.3"/>
    <row r="10587" x14ac:dyDescent="0.3"/>
    <row r="10588" x14ac:dyDescent="0.3"/>
    <row r="10589" x14ac:dyDescent="0.3"/>
    <row r="10590" x14ac:dyDescent="0.3"/>
    <row r="10591" x14ac:dyDescent="0.3"/>
    <row r="10592" x14ac:dyDescent="0.3"/>
    <row r="10593" x14ac:dyDescent="0.3"/>
    <row r="10594" x14ac:dyDescent="0.3"/>
    <row r="10595" x14ac:dyDescent="0.3"/>
    <row r="10596" x14ac:dyDescent="0.3"/>
    <row r="10597" x14ac:dyDescent="0.3"/>
    <row r="10598" x14ac:dyDescent="0.3"/>
    <row r="10599" x14ac:dyDescent="0.3"/>
    <row r="10600" x14ac:dyDescent="0.3"/>
    <row r="10601" x14ac:dyDescent="0.3"/>
    <row r="10602" x14ac:dyDescent="0.3"/>
    <row r="10603" x14ac:dyDescent="0.3"/>
    <row r="10604" x14ac:dyDescent="0.3"/>
    <row r="10605" x14ac:dyDescent="0.3"/>
    <row r="10606" x14ac:dyDescent="0.3"/>
    <row r="10607" x14ac:dyDescent="0.3"/>
    <row r="10608" x14ac:dyDescent="0.3"/>
    <row r="10609" x14ac:dyDescent="0.3"/>
    <row r="10610" x14ac:dyDescent="0.3"/>
    <row r="10611" x14ac:dyDescent="0.3"/>
    <row r="10612" x14ac:dyDescent="0.3"/>
    <row r="10613" x14ac:dyDescent="0.3"/>
    <row r="10614" x14ac:dyDescent="0.3"/>
    <row r="10615" x14ac:dyDescent="0.3"/>
    <row r="10616" x14ac:dyDescent="0.3"/>
    <row r="10617" x14ac:dyDescent="0.3"/>
    <row r="10618" x14ac:dyDescent="0.3"/>
    <row r="10619" x14ac:dyDescent="0.3"/>
    <row r="10620" x14ac:dyDescent="0.3"/>
    <row r="10621" x14ac:dyDescent="0.3"/>
    <row r="10622" x14ac:dyDescent="0.3"/>
    <row r="10623" x14ac:dyDescent="0.3"/>
    <row r="10624" x14ac:dyDescent="0.3"/>
    <row r="10625" x14ac:dyDescent="0.3"/>
    <row r="10626" x14ac:dyDescent="0.3"/>
    <row r="10627" x14ac:dyDescent="0.3"/>
    <row r="10628" x14ac:dyDescent="0.3"/>
    <row r="10629" x14ac:dyDescent="0.3"/>
    <row r="10630" x14ac:dyDescent="0.3"/>
    <row r="10631" x14ac:dyDescent="0.3"/>
    <row r="10632" x14ac:dyDescent="0.3"/>
    <row r="10633" x14ac:dyDescent="0.3"/>
    <row r="10634" x14ac:dyDescent="0.3"/>
    <row r="10635" x14ac:dyDescent="0.3"/>
    <row r="10636" x14ac:dyDescent="0.3"/>
    <row r="10637" x14ac:dyDescent="0.3"/>
    <row r="10638" x14ac:dyDescent="0.3"/>
    <row r="10639" x14ac:dyDescent="0.3"/>
    <row r="10640" x14ac:dyDescent="0.3"/>
    <row r="10641" x14ac:dyDescent="0.3"/>
    <row r="10642" x14ac:dyDescent="0.3"/>
    <row r="10643" x14ac:dyDescent="0.3"/>
    <row r="10644" x14ac:dyDescent="0.3"/>
    <row r="10645" x14ac:dyDescent="0.3"/>
    <row r="10646" x14ac:dyDescent="0.3"/>
    <row r="10647" x14ac:dyDescent="0.3"/>
    <row r="10648" x14ac:dyDescent="0.3"/>
    <row r="10649" x14ac:dyDescent="0.3"/>
    <row r="10650" x14ac:dyDescent="0.3"/>
    <row r="10651" x14ac:dyDescent="0.3"/>
    <row r="10652" x14ac:dyDescent="0.3"/>
    <row r="10653" x14ac:dyDescent="0.3"/>
    <row r="10654" x14ac:dyDescent="0.3"/>
    <row r="10655" x14ac:dyDescent="0.3"/>
    <row r="10656" x14ac:dyDescent="0.3"/>
    <row r="10657" x14ac:dyDescent="0.3"/>
    <row r="10658" x14ac:dyDescent="0.3"/>
    <row r="10659" x14ac:dyDescent="0.3"/>
    <row r="10660" x14ac:dyDescent="0.3"/>
    <row r="10661" x14ac:dyDescent="0.3"/>
    <row r="10662" x14ac:dyDescent="0.3"/>
    <row r="10663" x14ac:dyDescent="0.3"/>
    <row r="10664" x14ac:dyDescent="0.3"/>
    <row r="10665" x14ac:dyDescent="0.3"/>
    <row r="10666" x14ac:dyDescent="0.3"/>
    <row r="10667" x14ac:dyDescent="0.3"/>
    <row r="10668" x14ac:dyDescent="0.3"/>
    <row r="10669" x14ac:dyDescent="0.3"/>
    <row r="10670" x14ac:dyDescent="0.3"/>
    <row r="10671" x14ac:dyDescent="0.3"/>
    <row r="10672" x14ac:dyDescent="0.3"/>
    <row r="10673" x14ac:dyDescent="0.3"/>
    <row r="10674" x14ac:dyDescent="0.3"/>
    <row r="10675" x14ac:dyDescent="0.3"/>
    <row r="10676" x14ac:dyDescent="0.3"/>
    <row r="10677" x14ac:dyDescent="0.3"/>
    <row r="10678" x14ac:dyDescent="0.3"/>
    <row r="10679" x14ac:dyDescent="0.3"/>
    <row r="10680" x14ac:dyDescent="0.3"/>
    <row r="10681" x14ac:dyDescent="0.3"/>
    <row r="10682" x14ac:dyDescent="0.3"/>
    <row r="10683" x14ac:dyDescent="0.3"/>
    <row r="10684" x14ac:dyDescent="0.3"/>
    <row r="10685" x14ac:dyDescent="0.3"/>
    <row r="10686" x14ac:dyDescent="0.3"/>
    <row r="10687" x14ac:dyDescent="0.3"/>
    <row r="10688" x14ac:dyDescent="0.3"/>
    <row r="10689" x14ac:dyDescent="0.3"/>
    <row r="10690" x14ac:dyDescent="0.3"/>
    <row r="10691" x14ac:dyDescent="0.3"/>
    <row r="10692" x14ac:dyDescent="0.3"/>
    <row r="10693" x14ac:dyDescent="0.3"/>
    <row r="10694" x14ac:dyDescent="0.3"/>
    <row r="10695" x14ac:dyDescent="0.3"/>
    <row r="10696" x14ac:dyDescent="0.3"/>
    <row r="10697" x14ac:dyDescent="0.3"/>
    <row r="10698" x14ac:dyDescent="0.3"/>
    <row r="10699" x14ac:dyDescent="0.3"/>
    <row r="10700" x14ac:dyDescent="0.3"/>
    <row r="10701" x14ac:dyDescent="0.3"/>
    <row r="10702" x14ac:dyDescent="0.3"/>
    <row r="10703" x14ac:dyDescent="0.3"/>
    <row r="10704" x14ac:dyDescent="0.3"/>
    <row r="10705" x14ac:dyDescent="0.3"/>
    <row r="10706" x14ac:dyDescent="0.3"/>
    <row r="10707" x14ac:dyDescent="0.3"/>
    <row r="10708" x14ac:dyDescent="0.3"/>
    <row r="10709" x14ac:dyDescent="0.3"/>
    <row r="10710" x14ac:dyDescent="0.3"/>
    <row r="10711" x14ac:dyDescent="0.3"/>
    <row r="10712" x14ac:dyDescent="0.3"/>
    <row r="10713" x14ac:dyDescent="0.3"/>
    <row r="10714" x14ac:dyDescent="0.3"/>
    <row r="10715" x14ac:dyDescent="0.3"/>
    <row r="10716" x14ac:dyDescent="0.3"/>
    <row r="10717" x14ac:dyDescent="0.3"/>
    <row r="10718" x14ac:dyDescent="0.3"/>
    <row r="10719" x14ac:dyDescent="0.3"/>
    <row r="10720" x14ac:dyDescent="0.3"/>
    <row r="10721" x14ac:dyDescent="0.3"/>
    <row r="10722" x14ac:dyDescent="0.3"/>
    <row r="10723" x14ac:dyDescent="0.3"/>
    <row r="10724" x14ac:dyDescent="0.3"/>
    <row r="10725" x14ac:dyDescent="0.3"/>
    <row r="10726" x14ac:dyDescent="0.3"/>
    <row r="10727" x14ac:dyDescent="0.3"/>
    <row r="10728" x14ac:dyDescent="0.3"/>
    <row r="10729" x14ac:dyDescent="0.3"/>
    <row r="10730" x14ac:dyDescent="0.3"/>
    <row r="10731" x14ac:dyDescent="0.3"/>
    <row r="10732" x14ac:dyDescent="0.3"/>
    <row r="10733" x14ac:dyDescent="0.3"/>
    <row r="10734" x14ac:dyDescent="0.3"/>
    <row r="10735" x14ac:dyDescent="0.3"/>
    <row r="10736" x14ac:dyDescent="0.3"/>
    <row r="10737" x14ac:dyDescent="0.3"/>
    <row r="10738" x14ac:dyDescent="0.3"/>
    <row r="10739" x14ac:dyDescent="0.3"/>
    <row r="10740" x14ac:dyDescent="0.3"/>
    <row r="10741" x14ac:dyDescent="0.3"/>
    <row r="10742" x14ac:dyDescent="0.3"/>
    <row r="10743" x14ac:dyDescent="0.3"/>
    <row r="10744" x14ac:dyDescent="0.3"/>
    <row r="10745" x14ac:dyDescent="0.3"/>
    <row r="10746" x14ac:dyDescent="0.3"/>
    <row r="10747" x14ac:dyDescent="0.3"/>
    <row r="10748" x14ac:dyDescent="0.3"/>
    <row r="10749" x14ac:dyDescent="0.3"/>
    <row r="10750" x14ac:dyDescent="0.3"/>
    <row r="10751" x14ac:dyDescent="0.3"/>
    <row r="10752" x14ac:dyDescent="0.3"/>
    <row r="10753" x14ac:dyDescent="0.3"/>
    <row r="10754" x14ac:dyDescent="0.3"/>
    <row r="10755" x14ac:dyDescent="0.3"/>
    <row r="10756" x14ac:dyDescent="0.3"/>
    <row r="10757" x14ac:dyDescent="0.3"/>
    <row r="10758" x14ac:dyDescent="0.3"/>
    <row r="10759" x14ac:dyDescent="0.3"/>
    <row r="10760" x14ac:dyDescent="0.3"/>
    <row r="10761" x14ac:dyDescent="0.3"/>
    <row r="10762" x14ac:dyDescent="0.3"/>
    <row r="10763" x14ac:dyDescent="0.3"/>
    <row r="10764" x14ac:dyDescent="0.3"/>
    <row r="10765" x14ac:dyDescent="0.3"/>
    <row r="10766" x14ac:dyDescent="0.3"/>
    <row r="10767" x14ac:dyDescent="0.3"/>
    <row r="10768" x14ac:dyDescent="0.3"/>
    <row r="10769" x14ac:dyDescent="0.3"/>
    <row r="10770" x14ac:dyDescent="0.3"/>
    <row r="10771" x14ac:dyDescent="0.3"/>
    <row r="10772" x14ac:dyDescent="0.3"/>
    <row r="10773" x14ac:dyDescent="0.3"/>
    <row r="10774" x14ac:dyDescent="0.3"/>
    <row r="10775" x14ac:dyDescent="0.3"/>
    <row r="10776" x14ac:dyDescent="0.3"/>
    <row r="10777" x14ac:dyDescent="0.3"/>
    <row r="10778" x14ac:dyDescent="0.3"/>
    <row r="10779" x14ac:dyDescent="0.3"/>
    <row r="10780" x14ac:dyDescent="0.3"/>
    <row r="10781" x14ac:dyDescent="0.3"/>
    <row r="10782" x14ac:dyDescent="0.3"/>
    <row r="10783" x14ac:dyDescent="0.3"/>
    <row r="10784" x14ac:dyDescent="0.3"/>
    <row r="10785" x14ac:dyDescent="0.3"/>
    <row r="10786" x14ac:dyDescent="0.3"/>
    <row r="10787" x14ac:dyDescent="0.3"/>
    <row r="10788" x14ac:dyDescent="0.3"/>
    <row r="10789" x14ac:dyDescent="0.3"/>
    <row r="10790" x14ac:dyDescent="0.3"/>
    <row r="10791" x14ac:dyDescent="0.3"/>
    <row r="10792" x14ac:dyDescent="0.3"/>
    <row r="10793" x14ac:dyDescent="0.3"/>
    <row r="10794" x14ac:dyDescent="0.3"/>
    <row r="10795" x14ac:dyDescent="0.3"/>
    <row r="10796" x14ac:dyDescent="0.3"/>
    <row r="10797" x14ac:dyDescent="0.3"/>
    <row r="10798" x14ac:dyDescent="0.3"/>
    <row r="10799" x14ac:dyDescent="0.3"/>
    <row r="10800" x14ac:dyDescent="0.3"/>
    <row r="10801" x14ac:dyDescent="0.3"/>
    <row r="10802" x14ac:dyDescent="0.3"/>
    <row r="10803" x14ac:dyDescent="0.3"/>
    <row r="10804" x14ac:dyDescent="0.3"/>
    <row r="10805" x14ac:dyDescent="0.3"/>
    <row r="10806" x14ac:dyDescent="0.3"/>
    <row r="10807" x14ac:dyDescent="0.3"/>
    <row r="10808" x14ac:dyDescent="0.3"/>
    <row r="10809" x14ac:dyDescent="0.3"/>
    <row r="10810" x14ac:dyDescent="0.3"/>
    <row r="10811" x14ac:dyDescent="0.3"/>
    <row r="10812" x14ac:dyDescent="0.3"/>
    <row r="10813" x14ac:dyDescent="0.3"/>
    <row r="10814" x14ac:dyDescent="0.3"/>
    <row r="10815" x14ac:dyDescent="0.3"/>
    <row r="10816" x14ac:dyDescent="0.3"/>
    <row r="10817" x14ac:dyDescent="0.3"/>
    <row r="10818" x14ac:dyDescent="0.3"/>
    <row r="10819" x14ac:dyDescent="0.3"/>
    <row r="10820" x14ac:dyDescent="0.3"/>
    <row r="10821" x14ac:dyDescent="0.3"/>
    <row r="10822" x14ac:dyDescent="0.3"/>
    <row r="10823" x14ac:dyDescent="0.3"/>
    <row r="10824" x14ac:dyDescent="0.3"/>
    <row r="10825" x14ac:dyDescent="0.3"/>
    <row r="10826" x14ac:dyDescent="0.3"/>
    <row r="10827" x14ac:dyDescent="0.3"/>
    <row r="10828" x14ac:dyDescent="0.3"/>
    <row r="10829" x14ac:dyDescent="0.3"/>
    <row r="10830" x14ac:dyDescent="0.3"/>
    <row r="10831" x14ac:dyDescent="0.3"/>
    <row r="10832" x14ac:dyDescent="0.3"/>
    <row r="10833" x14ac:dyDescent="0.3"/>
    <row r="10834" x14ac:dyDescent="0.3"/>
    <row r="10835" x14ac:dyDescent="0.3"/>
    <row r="10836" x14ac:dyDescent="0.3"/>
    <row r="10837" x14ac:dyDescent="0.3"/>
    <row r="10838" x14ac:dyDescent="0.3"/>
    <row r="10839" x14ac:dyDescent="0.3"/>
    <row r="10840" x14ac:dyDescent="0.3"/>
    <row r="10841" x14ac:dyDescent="0.3"/>
    <row r="10842" x14ac:dyDescent="0.3"/>
    <row r="10843" x14ac:dyDescent="0.3"/>
    <row r="10844" x14ac:dyDescent="0.3"/>
    <row r="10845" x14ac:dyDescent="0.3"/>
    <row r="10846" x14ac:dyDescent="0.3"/>
    <row r="10847" x14ac:dyDescent="0.3"/>
    <row r="10848" x14ac:dyDescent="0.3"/>
    <row r="10849" x14ac:dyDescent="0.3"/>
    <row r="10850" x14ac:dyDescent="0.3"/>
    <row r="10851" x14ac:dyDescent="0.3"/>
    <row r="10852" x14ac:dyDescent="0.3"/>
    <row r="10853" x14ac:dyDescent="0.3"/>
    <row r="10854" x14ac:dyDescent="0.3"/>
    <row r="10855" x14ac:dyDescent="0.3"/>
    <row r="10856" x14ac:dyDescent="0.3"/>
    <row r="10857" x14ac:dyDescent="0.3"/>
    <row r="10858" x14ac:dyDescent="0.3"/>
    <row r="10859" x14ac:dyDescent="0.3"/>
    <row r="10860" x14ac:dyDescent="0.3"/>
    <row r="10861" x14ac:dyDescent="0.3"/>
    <row r="10862" x14ac:dyDescent="0.3"/>
    <row r="10863" x14ac:dyDescent="0.3"/>
    <row r="10864" x14ac:dyDescent="0.3"/>
    <row r="10865" x14ac:dyDescent="0.3"/>
    <row r="10866" x14ac:dyDescent="0.3"/>
    <row r="10867" x14ac:dyDescent="0.3"/>
    <row r="10868" x14ac:dyDescent="0.3"/>
    <row r="10869" x14ac:dyDescent="0.3"/>
    <row r="10870" x14ac:dyDescent="0.3"/>
    <row r="10871" x14ac:dyDescent="0.3"/>
    <row r="10872" x14ac:dyDescent="0.3"/>
    <row r="10873" x14ac:dyDescent="0.3"/>
    <row r="10874" x14ac:dyDescent="0.3"/>
    <row r="10875" x14ac:dyDescent="0.3"/>
    <row r="10876" x14ac:dyDescent="0.3"/>
    <row r="10877" x14ac:dyDescent="0.3"/>
    <row r="10878" x14ac:dyDescent="0.3"/>
    <row r="10879" x14ac:dyDescent="0.3"/>
    <row r="10880" x14ac:dyDescent="0.3"/>
    <row r="10881" x14ac:dyDescent="0.3"/>
    <row r="10882" x14ac:dyDescent="0.3"/>
    <row r="10883" x14ac:dyDescent="0.3"/>
    <row r="10884" x14ac:dyDescent="0.3"/>
    <row r="10885" x14ac:dyDescent="0.3"/>
    <row r="10886" x14ac:dyDescent="0.3"/>
    <row r="10887" x14ac:dyDescent="0.3"/>
    <row r="10888" x14ac:dyDescent="0.3"/>
    <row r="10889" x14ac:dyDescent="0.3"/>
    <row r="10890" x14ac:dyDescent="0.3"/>
    <row r="10891" x14ac:dyDescent="0.3"/>
    <row r="10892" x14ac:dyDescent="0.3"/>
    <row r="10893" x14ac:dyDescent="0.3"/>
    <row r="10894" x14ac:dyDescent="0.3"/>
    <row r="10895" x14ac:dyDescent="0.3"/>
    <row r="10896" x14ac:dyDescent="0.3"/>
    <row r="10897" x14ac:dyDescent="0.3"/>
    <row r="10898" x14ac:dyDescent="0.3"/>
    <row r="10899" x14ac:dyDescent="0.3"/>
    <row r="10900" x14ac:dyDescent="0.3"/>
    <row r="10901" x14ac:dyDescent="0.3"/>
    <row r="10902" x14ac:dyDescent="0.3"/>
    <row r="10903" x14ac:dyDescent="0.3"/>
    <row r="10904" x14ac:dyDescent="0.3"/>
    <row r="10905" x14ac:dyDescent="0.3"/>
    <row r="10906" x14ac:dyDescent="0.3"/>
    <row r="10907" x14ac:dyDescent="0.3"/>
    <row r="10908" x14ac:dyDescent="0.3"/>
    <row r="10909" x14ac:dyDescent="0.3"/>
    <row r="10910" x14ac:dyDescent="0.3"/>
    <row r="10911" x14ac:dyDescent="0.3"/>
    <row r="10912" x14ac:dyDescent="0.3"/>
    <row r="10913" x14ac:dyDescent="0.3"/>
    <row r="10914" x14ac:dyDescent="0.3"/>
    <row r="10915" x14ac:dyDescent="0.3"/>
    <row r="10916" x14ac:dyDescent="0.3"/>
    <row r="10917" x14ac:dyDescent="0.3"/>
    <row r="10918" x14ac:dyDescent="0.3"/>
    <row r="10919" x14ac:dyDescent="0.3"/>
    <row r="10920" x14ac:dyDescent="0.3"/>
    <row r="10921" x14ac:dyDescent="0.3"/>
    <row r="10922" x14ac:dyDescent="0.3"/>
    <row r="10923" x14ac:dyDescent="0.3"/>
    <row r="10924" x14ac:dyDescent="0.3"/>
    <row r="10925" x14ac:dyDescent="0.3"/>
    <row r="10926" x14ac:dyDescent="0.3"/>
    <row r="10927" x14ac:dyDescent="0.3"/>
    <row r="10928" x14ac:dyDescent="0.3"/>
    <row r="10929" x14ac:dyDescent="0.3"/>
    <row r="10930" x14ac:dyDescent="0.3"/>
    <row r="10931" x14ac:dyDescent="0.3"/>
    <row r="10932" x14ac:dyDescent="0.3"/>
    <row r="10933" x14ac:dyDescent="0.3"/>
    <row r="10934" x14ac:dyDescent="0.3"/>
    <row r="10935" x14ac:dyDescent="0.3"/>
    <row r="10936" x14ac:dyDescent="0.3"/>
    <row r="10937" x14ac:dyDescent="0.3"/>
    <row r="10938" x14ac:dyDescent="0.3"/>
    <row r="10939" x14ac:dyDescent="0.3"/>
    <row r="10940" x14ac:dyDescent="0.3"/>
    <row r="10941" x14ac:dyDescent="0.3"/>
    <row r="10942" x14ac:dyDescent="0.3"/>
    <row r="10943" x14ac:dyDescent="0.3"/>
    <row r="10944" x14ac:dyDescent="0.3"/>
    <row r="10945" x14ac:dyDescent="0.3"/>
    <row r="10946" x14ac:dyDescent="0.3"/>
    <row r="10947" x14ac:dyDescent="0.3"/>
    <row r="10948" x14ac:dyDescent="0.3"/>
    <row r="10949" x14ac:dyDescent="0.3"/>
    <row r="10950" x14ac:dyDescent="0.3"/>
    <row r="10951" x14ac:dyDescent="0.3"/>
    <row r="10952" x14ac:dyDescent="0.3"/>
    <row r="10953" x14ac:dyDescent="0.3"/>
    <row r="10954" x14ac:dyDescent="0.3"/>
    <row r="10955" x14ac:dyDescent="0.3"/>
    <row r="10956" x14ac:dyDescent="0.3"/>
    <row r="10957" x14ac:dyDescent="0.3"/>
    <row r="10958" x14ac:dyDescent="0.3"/>
    <row r="10959" x14ac:dyDescent="0.3"/>
    <row r="10960" x14ac:dyDescent="0.3"/>
    <row r="10961" x14ac:dyDescent="0.3"/>
    <row r="10962" x14ac:dyDescent="0.3"/>
    <row r="10963" x14ac:dyDescent="0.3"/>
    <row r="10964" x14ac:dyDescent="0.3"/>
    <row r="10965" x14ac:dyDescent="0.3"/>
    <row r="10966" x14ac:dyDescent="0.3"/>
    <row r="10967" x14ac:dyDescent="0.3"/>
    <row r="10968" x14ac:dyDescent="0.3"/>
    <row r="10969" x14ac:dyDescent="0.3"/>
    <row r="10970" x14ac:dyDescent="0.3"/>
    <row r="10971" x14ac:dyDescent="0.3"/>
    <row r="10972" x14ac:dyDescent="0.3"/>
    <row r="10973" x14ac:dyDescent="0.3"/>
    <row r="10974" x14ac:dyDescent="0.3"/>
    <row r="10975" x14ac:dyDescent="0.3"/>
    <row r="10976" x14ac:dyDescent="0.3"/>
    <row r="10977" x14ac:dyDescent="0.3"/>
    <row r="10978" x14ac:dyDescent="0.3"/>
    <row r="10979" x14ac:dyDescent="0.3"/>
    <row r="10980" x14ac:dyDescent="0.3"/>
    <row r="10981" x14ac:dyDescent="0.3"/>
    <row r="10982" x14ac:dyDescent="0.3"/>
    <row r="10983" x14ac:dyDescent="0.3"/>
    <row r="10984" x14ac:dyDescent="0.3"/>
    <row r="10985" x14ac:dyDescent="0.3"/>
    <row r="10986" x14ac:dyDescent="0.3"/>
    <row r="10987" x14ac:dyDescent="0.3"/>
    <row r="10988" x14ac:dyDescent="0.3"/>
    <row r="10989" x14ac:dyDescent="0.3"/>
    <row r="10990" x14ac:dyDescent="0.3"/>
    <row r="10991" x14ac:dyDescent="0.3"/>
    <row r="10992" x14ac:dyDescent="0.3"/>
    <row r="10993" x14ac:dyDescent="0.3"/>
    <row r="10994" x14ac:dyDescent="0.3"/>
    <row r="10995" x14ac:dyDescent="0.3"/>
    <row r="10996" x14ac:dyDescent="0.3"/>
    <row r="10997" x14ac:dyDescent="0.3"/>
    <row r="10998" x14ac:dyDescent="0.3"/>
    <row r="10999" x14ac:dyDescent="0.3"/>
    <row r="11000" x14ac:dyDescent="0.3"/>
    <row r="11001" x14ac:dyDescent="0.3"/>
    <row r="11002" x14ac:dyDescent="0.3"/>
    <row r="11003" x14ac:dyDescent="0.3"/>
    <row r="11004" x14ac:dyDescent="0.3"/>
    <row r="11005" x14ac:dyDescent="0.3"/>
    <row r="11006" x14ac:dyDescent="0.3"/>
    <row r="11007" x14ac:dyDescent="0.3"/>
    <row r="11008" x14ac:dyDescent="0.3"/>
    <row r="11009" x14ac:dyDescent="0.3"/>
    <row r="11010" x14ac:dyDescent="0.3"/>
    <row r="11011" x14ac:dyDescent="0.3"/>
    <row r="11012" x14ac:dyDescent="0.3"/>
    <row r="11013" x14ac:dyDescent="0.3"/>
    <row r="11014" x14ac:dyDescent="0.3"/>
    <row r="11015" x14ac:dyDescent="0.3"/>
    <row r="11016" x14ac:dyDescent="0.3"/>
    <row r="11017" x14ac:dyDescent="0.3"/>
    <row r="11018" x14ac:dyDescent="0.3"/>
    <row r="11019" x14ac:dyDescent="0.3"/>
    <row r="11020" x14ac:dyDescent="0.3"/>
    <row r="11021" x14ac:dyDescent="0.3"/>
    <row r="11022" x14ac:dyDescent="0.3"/>
    <row r="11023" x14ac:dyDescent="0.3"/>
    <row r="11024" x14ac:dyDescent="0.3"/>
    <row r="11025" x14ac:dyDescent="0.3"/>
    <row r="11026" x14ac:dyDescent="0.3"/>
    <row r="11027" x14ac:dyDescent="0.3"/>
    <row r="11028" x14ac:dyDescent="0.3"/>
    <row r="11029" x14ac:dyDescent="0.3"/>
    <row r="11030" x14ac:dyDescent="0.3"/>
    <row r="11031" x14ac:dyDescent="0.3"/>
    <row r="11032" x14ac:dyDescent="0.3"/>
    <row r="11033" x14ac:dyDescent="0.3"/>
    <row r="11034" x14ac:dyDescent="0.3"/>
    <row r="11035" x14ac:dyDescent="0.3"/>
    <row r="11036" x14ac:dyDescent="0.3"/>
    <row r="11037" x14ac:dyDescent="0.3"/>
    <row r="11038" x14ac:dyDescent="0.3"/>
    <row r="11039" x14ac:dyDescent="0.3"/>
    <row r="11040" x14ac:dyDescent="0.3"/>
    <row r="11041" x14ac:dyDescent="0.3"/>
    <row r="11042" x14ac:dyDescent="0.3"/>
    <row r="11043" x14ac:dyDescent="0.3"/>
    <row r="11044" x14ac:dyDescent="0.3"/>
    <row r="11045" x14ac:dyDescent="0.3"/>
    <row r="11046" x14ac:dyDescent="0.3"/>
    <row r="11047" x14ac:dyDescent="0.3"/>
    <row r="11048" x14ac:dyDescent="0.3"/>
    <row r="11049" x14ac:dyDescent="0.3"/>
    <row r="11050" x14ac:dyDescent="0.3"/>
    <row r="11051" x14ac:dyDescent="0.3"/>
    <row r="11052" x14ac:dyDescent="0.3"/>
    <row r="11053" x14ac:dyDescent="0.3"/>
    <row r="11054" x14ac:dyDescent="0.3"/>
    <row r="11055" x14ac:dyDescent="0.3"/>
    <row r="11056" x14ac:dyDescent="0.3"/>
    <row r="11057" x14ac:dyDescent="0.3"/>
    <row r="11058" x14ac:dyDescent="0.3"/>
    <row r="11059" x14ac:dyDescent="0.3"/>
    <row r="11060" x14ac:dyDescent="0.3"/>
    <row r="11061" x14ac:dyDescent="0.3"/>
    <row r="11062" x14ac:dyDescent="0.3"/>
    <row r="11063" x14ac:dyDescent="0.3"/>
    <row r="11064" x14ac:dyDescent="0.3"/>
    <row r="11065" x14ac:dyDescent="0.3"/>
    <row r="11066" x14ac:dyDescent="0.3"/>
    <row r="11067" x14ac:dyDescent="0.3"/>
    <row r="11068" x14ac:dyDescent="0.3"/>
    <row r="11069" x14ac:dyDescent="0.3"/>
    <row r="11070" x14ac:dyDescent="0.3"/>
    <row r="11071" x14ac:dyDescent="0.3"/>
    <row r="11072" x14ac:dyDescent="0.3"/>
    <row r="11073" x14ac:dyDescent="0.3"/>
    <row r="11074" x14ac:dyDescent="0.3"/>
    <row r="11075" x14ac:dyDescent="0.3"/>
    <row r="11076" x14ac:dyDescent="0.3"/>
    <row r="11077" x14ac:dyDescent="0.3"/>
    <row r="11078" x14ac:dyDescent="0.3"/>
    <row r="11079" x14ac:dyDescent="0.3"/>
    <row r="11080" x14ac:dyDescent="0.3"/>
    <row r="11081" x14ac:dyDescent="0.3"/>
    <row r="11082" x14ac:dyDescent="0.3"/>
    <row r="11083" x14ac:dyDescent="0.3"/>
    <row r="11084" x14ac:dyDescent="0.3"/>
    <row r="11085" x14ac:dyDescent="0.3"/>
    <row r="11086" x14ac:dyDescent="0.3"/>
    <row r="11087" x14ac:dyDescent="0.3"/>
    <row r="11088" x14ac:dyDescent="0.3"/>
    <row r="11089" x14ac:dyDescent="0.3"/>
    <row r="11090" x14ac:dyDescent="0.3"/>
    <row r="11091" x14ac:dyDescent="0.3"/>
    <row r="11092" x14ac:dyDescent="0.3"/>
    <row r="11093" x14ac:dyDescent="0.3"/>
    <row r="11094" x14ac:dyDescent="0.3"/>
    <row r="11095" x14ac:dyDescent="0.3"/>
    <row r="11096" x14ac:dyDescent="0.3"/>
    <row r="11097" x14ac:dyDescent="0.3"/>
    <row r="11098" x14ac:dyDescent="0.3"/>
    <row r="11099" x14ac:dyDescent="0.3"/>
    <row r="11100" x14ac:dyDescent="0.3"/>
    <row r="11101" x14ac:dyDescent="0.3"/>
    <row r="11102" x14ac:dyDescent="0.3"/>
    <row r="11103" x14ac:dyDescent="0.3"/>
    <row r="11104" x14ac:dyDescent="0.3"/>
    <row r="11105" x14ac:dyDescent="0.3"/>
    <row r="11106" x14ac:dyDescent="0.3"/>
    <row r="11107" x14ac:dyDescent="0.3"/>
    <row r="11108" x14ac:dyDescent="0.3"/>
    <row r="11109" x14ac:dyDescent="0.3"/>
    <row r="11110" x14ac:dyDescent="0.3"/>
    <row r="11111" x14ac:dyDescent="0.3"/>
    <row r="11112" x14ac:dyDescent="0.3"/>
    <row r="11113" x14ac:dyDescent="0.3"/>
    <row r="11114" x14ac:dyDescent="0.3"/>
    <row r="11115" x14ac:dyDescent="0.3"/>
    <row r="11116" x14ac:dyDescent="0.3"/>
    <row r="11117" x14ac:dyDescent="0.3"/>
    <row r="11118" x14ac:dyDescent="0.3"/>
    <row r="11119" x14ac:dyDescent="0.3"/>
    <row r="11120" x14ac:dyDescent="0.3"/>
    <row r="11121" x14ac:dyDescent="0.3"/>
    <row r="11122" x14ac:dyDescent="0.3"/>
    <row r="11123" x14ac:dyDescent="0.3"/>
    <row r="11124" x14ac:dyDescent="0.3"/>
    <row r="11125" x14ac:dyDescent="0.3"/>
    <row r="11126" x14ac:dyDescent="0.3"/>
    <row r="11127" x14ac:dyDescent="0.3"/>
    <row r="11128" x14ac:dyDescent="0.3"/>
    <row r="11129" x14ac:dyDescent="0.3"/>
    <row r="11130" x14ac:dyDescent="0.3"/>
    <row r="11131" x14ac:dyDescent="0.3"/>
    <row r="11132" x14ac:dyDescent="0.3"/>
    <row r="11133" x14ac:dyDescent="0.3"/>
    <row r="11134" x14ac:dyDescent="0.3"/>
    <row r="11135" x14ac:dyDescent="0.3"/>
    <row r="11136" x14ac:dyDescent="0.3"/>
    <row r="11137" x14ac:dyDescent="0.3"/>
    <row r="11138" x14ac:dyDescent="0.3"/>
    <row r="11139" x14ac:dyDescent="0.3"/>
    <row r="11140" x14ac:dyDescent="0.3"/>
    <row r="11141" x14ac:dyDescent="0.3"/>
    <row r="11142" x14ac:dyDescent="0.3"/>
    <row r="11143" x14ac:dyDescent="0.3"/>
    <row r="11144" x14ac:dyDescent="0.3"/>
    <row r="11145" x14ac:dyDescent="0.3"/>
    <row r="11146" x14ac:dyDescent="0.3"/>
    <row r="11147" x14ac:dyDescent="0.3"/>
    <row r="11148" x14ac:dyDescent="0.3"/>
    <row r="11149" x14ac:dyDescent="0.3"/>
    <row r="11150" x14ac:dyDescent="0.3"/>
    <row r="11151" x14ac:dyDescent="0.3"/>
    <row r="11152" x14ac:dyDescent="0.3"/>
    <row r="11153" x14ac:dyDescent="0.3"/>
    <row r="11154" x14ac:dyDescent="0.3"/>
    <row r="11155" x14ac:dyDescent="0.3"/>
    <row r="11156" x14ac:dyDescent="0.3"/>
    <row r="11157" x14ac:dyDescent="0.3"/>
    <row r="11158" x14ac:dyDescent="0.3"/>
    <row r="11159" x14ac:dyDescent="0.3"/>
    <row r="11160" x14ac:dyDescent="0.3"/>
    <row r="11161" x14ac:dyDescent="0.3"/>
    <row r="11162" x14ac:dyDescent="0.3"/>
    <row r="11163" x14ac:dyDescent="0.3"/>
    <row r="11164" x14ac:dyDescent="0.3"/>
    <row r="11165" x14ac:dyDescent="0.3"/>
    <row r="11166" x14ac:dyDescent="0.3"/>
    <row r="11167" x14ac:dyDescent="0.3"/>
    <row r="11168" x14ac:dyDescent="0.3"/>
    <row r="11169" x14ac:dyDescent="0.3"/>
    <row r="11170" x14ac:dyDescent="0.3"/>
    <row r="11171" x14ac:dyDescent="0.3"/>
    <row r="11172" x14ac:dyDescent="0.3"/>
    <row r="11173" x14ac:dyDescent="0.3"/>
    <row r="11174" x14ac:dyDescent="0.3"/>
    <row r="11175" x14ac:dyDescent="0.3"/>
    <row r="11176" x14ac:dyDescent="0.3"/>
    <row r="11177" x14ac:dyDescent="0.3"/>
    <row r="11178" x14ac:dyDescent="0.3"/>
    <row r="11179" x14ac:dyDescent="0.3"/>
    <row r="11180" x14ac:dyDescent="0.3"/>
    <row r="11181" x14ac:dyDescent="0.3"/>
    <row r="11182" x14ac:dyDescent="0.3"/>
    <row r="11183" x14ac:dyDescent="0.3"/>
    <row r="11184" x14ac:dyDescent="0.3"/>
    <row r="11185" x14ac:dyDescent="0.3"/>
    <row r="11186" x14ac:dyDescent="0.3"/>
    <row r="11187" x14ac:dyDescent="0.3"/>
    <row r="11188" x14ac:dyDescent="0.3"/>
    <row r="11189" x14ac:dyDescent="0.3"/>
    <row r="11190" x14ac:dyDescent="0.3"/>
    <row r="11191" x14ac:dyDescent="0.3"/>
    <row r="11192" x14ac:dyDescent="0.3"/>
    <row r="11193" x14ac:dyDescent="0.3"/>
    <row r="11194" x14ac:dyDescent="0.3"/>
    <row r="11195" x14ac:dyDescent="0.3"/>
    <row r="11196" x14ac:dyDescent="0.3"/>
    <row r="11197" x14ac:dyDescent="0.3"/>
    <row r="11198" x14ac:dyDescent="0.3"/>
    <row r="11199" x14ac:dyDescent="0.3"/>
    <row r="11200" x14ac:dyDescent="0.3"/>
    <row r="11201" x14ac:dyDescent="0.3"/>
    <row r="11202" x14ac:dyDescent="0.3"/>
    <row r="11203" x14ac:dyDescent="0.3"/>
    <row r="11204" x14ac:dyDescent="0.3"/>
    <row r="11205" x14ac:dyDescent="0.3"/>
    <row r="11206" x14ac:dyDescent="0.3"/>
    <row r="11207" x14ac:dyDescent="0.3"/>
    <row r="11208" x14ac:dyDescent="0.3"/>
    <row r="11209" x14ac:dyDescent="0.3"/>
    <row r="11210" x14ac:dyDescent="0.3"/>
    <row r="11211" x14ac:dyDescent="0.3"/>
    <row r="11212" x14ac:dyDescent="0.3"/>
    <row r="11213" x14ac:dyDescent="0.3"/>
    <row r="11214" x14ac:dyDescent="0.3"/>
    <row r="11215" x14ac:dyDescent="0.3"/>
    <row r="11216" x14ac:dyDescent="0.3"/>
    <row r="11217" x14ac:dyDescent="0.3"/>
    <row r="11218" x14ac:dyDescent="0.3"/>
    <row r="11219" x14ac:dyDescent="0.3"/>
    <row r="11220" x14ac:dyDescent="0.3"/>
    <row r="11221" x14ac:dyDescent="0.3"/>
    <row r="11222" x14ac:dyDescent="0.3"/>
    <row r="11223" x14ac:dyDescent="0.3"/>
    <row r="11224" x14ac:dyDescent="0.3"/>
    <row r="11225" x14ac:dyDescent="0.3"/>
    <row r="11226" x14ac:dyDescent="0.3"/>
    <row r="11227" x14ac:dyDescent="0.3"/>
    <row r="11228" x14ac:dyDescent="0.3"/>
    <row r="11229" x14ac:dyDescent="0.3"/>
    <row r="11230" x14ac:dyDescent="0.3"/>
    <row r="11231" x14ac:dyDescent="0.3"/>
    <row r="11232" x14ac:dyDescent="0.3"/>
    <row r="11233" x14ac:dyDescent="0.3"/>
    <row r="11234" x14ac:dyDescent="0.3"/>
    <row r="11235" x14ac:dyDescent="0.3"/>
    <row r="11236" x14ac:dyDescent="0.3"/>
    <row r="11237" x14ac:dyDescent="0.3"/>
    <row r="11238" x14ac:dyDescent="0.3"/>
    <row r="11239" x14ac:dyDescent="0.3"/>
    <row r="11240" x14ac:dyDescent="0.3"/>
    <row r="11241" x14ac:dyDescent="0.3"/>
    <row r="11242" x14ac:dyDescent="0.3"/>
    <row r="11243" x14ac:dyDescent="0.3"/>
    <row r="11244" x14ac:dyDescent="0.3"/>
    <row r="11245" x14ac:dyDescent="0.3"/>
    <row r="11246" x14ac:dyDescent="0.3"/>
    <row r="11247" x14ac:dyDescent="0.3"/>
    <row r="11248" x14ac:dyDescent="0.3"/>
    <row r="11249" x14ac:dyDescent="0.3"/>
    <row r="11250" x14ac:dyDescent="0.3"/>
    <row r="11251" x14ac:dyDescent="0.3"/>
    <row r="11252" x14ac:dyDescent="0.3"/>
    <row r="11253" x14ac:dyDescent="0.3"/>
    <row r="11254" x14ac:dyDescent="0.3"/>
    <row r="11255" x14ac:dyDescent="0.3"/>
    <row r="11256" x14ac:dyDescent="0.3"/>
    <row r="11257" x14ac:dyDescent="0.3"/>
    <row r="11258" x14ac:dyDescent="0.3"/>
    <row r="11259" x14ac:dyDescent="0.3"/>
    <row r="11260" x14ac:dyDescent="0.3"/>
    <row r="11261" x14ac:dyDescent="0.3"/>
    <row r="11262" x14ac:dyDescent="0.3"/>
    <row r="11263" x14ac:dyDescent="0.3"/>
    <row r="11264" x14ac:dyDescent="0.3"/>
    <row r="11265" x14ac:dyDescent="0.3"/>
    <row r="11266" x14ac:dyDescent="0.3"/>
    <row r="11267" x14ac:dyDescent="0.3"/>
    <row r="11268" x14ac:dyDescent="0.3"/>
    <row r="11269" x14ac:dyDescent="0.3"/>
    <row r="11270" x14ac:dyDescent="0.3"/>
    <row r="11271" x14ac:dyDescent="0.3"/>
    <row r="11272" x14ac:dyDescent="0.3"/>
    <row r="11273" x14ac:dyDescent="0.3"/>
    <row r="11274" x14ac:dyDescent="0.3"/>
    <row r="11275" x14ac:dyDescent="0.3"/>
    <row r="11276" x14ac:dyDescent="0.3"/>
    <row r="11277" x14ac:dyDescent="0.3"/>
    <row r="11278" x14ac:dyDescent="0.3"/>
    <row r="11279" x14ac:dyDescent="0.3"/>
    <row r="11280" x14ac:dyDescent="0.3"/>
    <row r="11281" x14ac:dyDescent="0.3"/>
    <row r="11282" x14ac:dyDescent="0.3"/>
    <row r="11283" x14ac:dyDescent="0.3"/>
    <row r="11284" x14ac:dyDescent="0.3"/>
    <row r="11285" x14ac:dyDescent="0.3"/>
    <row r="11286" x14ac:dyDescent="0.3"/>
    <row r="11287" x14ac:dyDescent="0.3"/>
    <row r="11288" x14ac:dyDescent="0.3"/>
    <row r="11289" x14ac:dyDescent="0.3"/>
    <row r="11290" x14ac:dyDescent="0.3"/>
    <row r="11291" x14ac:dyDescent="0.3"/>
    <row r="11292" x14ac:dyDescent="0.3"/>
    <row r="11293" x14ac:dyDescent="0.3"/>
    <row r="11294" x14ac:dyDescent="0.3"/>
    <row r="11295" x14ac:dyDescent="0.3"/>
    <row r="11296" x14ac:dyDescent="0.3"/>
    <row r="11297" x14ac:dyDescent="0.3"/>
    <row r="11298" x14ac:dyDescent="0.3"/>
    <row r="11299" x14ac:dyDescent="0.3"/>
    <row r="11300" x14ac:dyDescent="0.3"/>
    <row r="11301" x14ac:dyDescent="0.3"/>
    <row r="11302" x14ac:dyDescent="0.3"/>
    <row r="11303" x14ac:dyDescent="0.3"/>
    <row r="11304" x14ac:dyDescent="0.3"/>
    <row r="11305" x14ac:dyDescent="0.3"/>
    <row r="11306" x14ac:dyDescent="0.3"/>
    <row r="11307" x14ac:dyDescent="0.3"/>
    <row r="11308" x14ac:dyDescent="0.3"/>
    <row r="11309" x14ac:dyDescent="0.3"/>
    <row r="11310" x14ac:dyDescent="0.3"/>
    <row r="11311" x14ac:dyDescent="0.3"/>
    <row r="11312" x14ac:dyDescent="0.3"/>
    <row r="11313" x14ac:dyDescent="0.3"/>
    <row r="11314" x14ac:dyDescent="0.3"/>
    <row r="11315" x14ac:dyDescent="0.3"/>
    <row r="11316" x14ac:dyDescent="0.3"/>
    <row r="11317" x14ac:dyDescent="0.3"/>
    <row r="11318" x14ac:dyDescent="0.3"/>
    <row r="11319" x14ac:dyDescent="0.3"/>
    <row r="11320" x14ac:dyDescent="0.3"/>
    <row r="11321" x14ac:dyDescent="0.3"/>
    <row r="11322" x14ac:dyDescent="0.3"/>
    <row r="11323" x14ac:dyDescent="0.3"/>
    <row r="11324" x14ac:dyDescent="0.3"/>
    <row r="11325" x14ac:dyDescent="0.3"/>
    <row r="11326" x14ac:dyDescent="0.3"/>
    <row r="11327" x14ac:dyDescent="0.3"/>
    <row r="11328" x14ac:dyDescent="0.3"/>
    <row r="11329" x14ac:dyDescent="0.3"/>
    <row r="11330" x14ac:dyDescent="0.3"/>
    <row r="11331" x14ac:dyDescent="0.3"/>
    <row r="11332" x14ac:dyDescent="0.3"/>
    <row r="11333" x14ac:dyDescent="0.3"/>
    <row r="11334" x14ac:dyDescent="0.3"/>
    <row r="11335" x14ac:dyDescent="0.3"/>
    <row r="11336" x14ac:dyDescent="0.3"/>
    <row r="11337" x14ac:dyDescent="0.3"/>
    <row r="11338" x14ac:dyDescent="0.3"/>
    <row r="11339" x14ac:dyDescent="0.3"/>
    <row r="11340" x14ac:dyDescent="0.3"/>
    <row r="11341" x14ac:dyDescent="0.3"/>
    <row r="11342" x14ac:dyDescent="0.3"/>
    <row r="11343" x14ac:dyDescent="0.3"/>
    <row r="11344" x14ac:dyDescent="0.3"/>
    <row r="11345" x14ac:dyDescent="0.3"/>
    <row r="11346" x14ac:dyDescent="0.3"/>
    <row r="11347" x14ac:dyDescent="0.3"/>
    <row r="11348" x14ac:dyDescent="0.3"/>
    <row r="11349" x14ac:dyDescent="0.3"/>
    <row r="11350" x14ac:dyDescent="0.3"/>
    <row r="11351" x14ac:dyDescent="0.3"/>
    <row r="11352" x14ac:dyDescent="0.3"/>
    <row r="11353" x14ac:dyDescent="0.3"/>
    <row r="11354" x14ac:dyDescent="0.3"/>
    <row r="11355" x14ac:dyDescent="0.3"/>
    <row r="11356" x14ac:dyDescent="0.3"/>
    <row r="11357" x14ac:dyDescent="0.3"/>
    <row r="11358" x14ac:dyDescent="0.3"/>
    <row r="11359" x14ac:dyDescent="0.3"/>
    <row r="11360" x14ac:dyDescent="0.3"/>
    <row r="11361" x14ac:dyDescent="0.3"/>
    <row r="11362" x14ac:dyDescent="0.3"/>
    <row r="11363" x14ac:dyDescent="0.3"/>
    <row r="11364" x14ac:dyDescent="0.3"/>
    <row r="11365" x14ac:dyDescent="0.3"/>
    <row r="11366" x14ac:dyDescent="0.3"/>
    <row r="11367" x14ac:dyDescent="0.3"/>
    <row r="11368" x14ac:dyDescent="0.3"/>
    <row r="11369" x14ac:dyDescent="0.3"/>
    <row r="11370" x14ac:dyDescent="0.3"/>
    <row r="11371" x14ac:dyDescent="0.3"/>
    <row r="11372" x14ac:dyDescent="0.3"/>
    <row r="11373" x14ac:dyDescent="0.3"/>
    <row r="11374" x14ac:dyDescent="0.3"/>
    <row r="11375" x14ac:dyDescent="0.3"/>
    <row r="11376" x14ac:dyDescent="0.3"/>
    <row r="11377" x14ac:dyDescent="0.3"/>
    <row r="11378" x14ac:dyDescent="0.3"/>
    <row r="11379" x14ac:dyDescent="0.3"/>
    <row r="11380" x14ac:dyDescent="0.3"/>
    <row r="11381" x14ac:dyDescent="0.3"/>
    <row r="11382" x14ac:dyDescent="0.3"/>
    <row r="11383" x14ac:dyDescent="0.3"/>
    <row r="11384" x14ac:dyDescent="0.3"/>
    <row r="11385" x14ac:dyDescent="0.3"/>
    <row r="11386" x14ac:dyDescent="0.3"/>
    <row r="11387" x14ac:dyDescent="0.3"/>
    <row r="11388" x14ac:dyDescent="0.3"/>
    <row r="11389" x14ac:dyDescent="0.3"/>
    <row r="11390" x14ac:dyDescent="0.3"/>
    <row r="11391" x14ac:dyDescent="0.3"/>
    <row r="11392" x14ac:dyDescent="0.3"/>
    <row r="11393" x14ac:dyDescent="0.3"/>
    <row r="11394" x14ac:dyDescent="0.3"/>
    <row r="11395" x14ac:dyDescent="0.3"/>
    <row r="11396" x14ac:dyDescent="0.3"/>
    <row r="11397" x14ac:dyDescent="0.3"/>
    <row r="11398" x14ac:dyDescent="0.3"/>
    <row r="11399" x14ac:dyDescent="0.3"/>
    <row r="11400" x14ac:dyDescent="0.3"/>
    <row r="11401" x14ac:dyDescent="0.3"/>
    <row r="11402" x14ac:dyDescent="0.3"/>
    <row r="11403" x14ac:dyDescent="0.3"/>
    <row r="11404" x14ac:dyDescent="0.3"/>
    <row r="11405" x14ac:dyDescent="0.3"/>
    <row r="11406" x14ac:dyDescent="0.3"/>
    <row r="11407" x14ac:dyDescent="0.3"/>
    <row r="11408" x14ac:dyDescent="0.3"/>
    <row r="11409" x14ac:dyDescent="0.3"/>
    <row r="11410" x14ac:dyDescent="0.3"/>
    <row r="11411" x14ac:dyDescent="0.3"/>
    <row r="11412" x14ac:dyDescent="0.3"/>
    <row r="11413" x14ac:dyDescent="0.3"/>
    <row r="11414" x14ac:dyDescent="0.3"/>
    <row r="11415" x14ac:dyDescent="0.3"/>
    <row r="11416" x14ac:dyDescent="0.3"/>
    <row r="11417" x14ac:dyDescent="0.3"/>
    <row r="11418" x14ac:dyDescent="0.3"/>
    <row r="11419" x14ac:dyDescent="0.3"/>
    <row r="11420" x14ac:dyDescent="0.3"/>
    <row r="11421" x14ac:dyDescent="0.3"/>
    <row r="11422" x14ac:dyDescent="0.3"/>
    <row r="11423" x14ac:dyDescent="0.3"/>
    <row r="11424" x14ac:dyDescent="0.3"/>
    <row r="11425" x14ac:dyDescent="0.3"/>
    <row r="11426" x14ac:dyDescent="0.3"/>
    <row r="11427" x14ac:dyDescent="0.3"/>
    <row r="11428" x14ac:dyDescent="0.3"/>
    <row r="11429" x14ac:dyDescent="0.3"/>
    <row r="11430" x14ac:dyDescent="0.3"/>
    <row r="11431" x14ac:dyDescent="0.3"/>
    <row r="11432" x14ac:dyDescent="0.3"/>
    <row r="11433" x14ac:dyDescent="0.3"/>
    <row r="11434" x14ac:dyDescent="0.3"/>
    <row r="11435" x14ac:dyDescent="0.3"/>
    <row r="11436" x14ac:dyDescent="0.3"/>
    <row r="11437" x14ac:dyDescent="0.3"/>
    <row r="11438" x14ac:dyDescent="0.3"/>
    <row r="11439" x14ac:dyDescent="0.3"/>
    <row r="11440" x14ac:dyDescent="0.3"/>
    <row r="11441" x14ac:dyDescent="0.3"/>
    <row r="11442" x14ac:dyDescent="0.3"/>
    <row r="11443" x14ac:dyDescent="0.3"/>
    <row r="11444" x14ac:dyDescent="0.3"/>
    <row r="11445" x14ac:dyDescent="0.3"/>
    <row r="11446" x14ac:dyDescent="0.3"/>
    <row r="11447" x14ac:dyDescent="0.3"/>
    <row r="11448" x14ac:dyDescent="0.3"/>
    <row r="11449" x14ac:dyDescent="0.3"/>
    <row r="11450" x14ac:dyDescent="0.3"/>
    <row r="11451" x14ac:dyDescent="0.3"/>
    <row r="11452" x14ac:dyDescent="0.3"/>
    <row r="11453" x14ac:dyDescent="0.3"/>
    <row r="11454" x14ac:dyDescent="0.3"/>
    <row r="11455" x14ac:dyDescent="0.3"/>
    <row r="11456" x14ac:dyDescent="0.3"/>
    <row r="11457" x14ac:dyDescent="0.3"/>
    <row r="11458" x14ac:dyDescent="0.3"/>
    <row r="11459" x14ac:dyDescent="0.3"/>
    <row r="11460" x14ac:dyDescent="0.3"/>
    <row r="11461" x14ac:dyDescent="0.3"/>
    <row r="11462" x14ac:dyDescent="0.3"/>
    <row r="11463" x14ac:dyDescent="0.3"/>
    <row r="11464" x14ac:dyDescent="0.3"/>
    <row r="11465" x14ac:dyDescent="0.3"/>
    <row r="11466" x14ac:dyDescent="0.3"/>
    <row r="11467" x14ac:dyDescent="0.3"/>
    <row r="11468" x14ac:dyDescent="0.3"/>
    <row r="11469" x14ac:dyDescent="0.3"/>
    <row r="11470" x14ac:dyDescent="0.3"/>
    <row r="11471" x14ac:dyDescent="0.3"/>
    <row r="11472" x14ac:dyDescent="0.3"/>
    <row r="11473" x14ac:dyDescent="0.3"/>
    <row r="11474" x14ac:dyDescent="0.3"/>
    <row r="11475" x14ac:dyDescent="0.3"/>
    <row r="11476" x14ac:dyDescent="0.3"/>
    <row r="11477" x14ac:dyDescent="0.3"/>
    <row r="11478" x14ac:dyDescent="0.3"/>
    <row r="11479" x14ac:dyDescent="0.3"/>
    <row r="11480" x14ac:dyDescent="0.3"/>
    <row r="11481" x14ac:dyDescent="0.3"/>
    <row r="11482" x14ac:dyDescent="0.3"/>
    <row r="11483" x14ac:dyDescent="0.3"/>
    <row r="11484" x14ac:dyDescent="0.3"/>
    <row r="11485" x14ac:dyDescent="0.3"/>
    <row r="11486" x14ac:dyDescent="0.3"/>
    <row r="11487" x14ac:dyDescent="0.3"/>
    <row r="11488" x14ac:dyDescent="0.3"/>
    <row r="11489" x14ac:dyDescent="0.3"/>
    <row r="11490" x14ac:dyDescent="0.3"/>
    <row r="11491" x14ac:dyDescent="0.3"/>
    <row r="11492" x14ac:dyDescent="0.3"/>
    <row r="11493" x14ac:dyDescent="0.3"/>
    <row r="11494" x14ac:dyDescent="0.3"/>
    <row r="11495" x14ac:dyDescent="0.3"/>
    <row r="11496" x14ac:dyDescent="0.3"/>
    <row r="11497" x14ac:dyDescent="0.3"/>
    <row r="11498" x14ac:dyDescent="0.3"/>
    <row r="11499" x14ac:dyDescent="0.3"/>
    <row r="11500" x14ac:dyDescent="0.3"/>
    <row r="11501" x14ac:dyDescent="0.3"/>
    <row r="11502" x14ac:dyDescent="0.3"/>
    <row r="11503" x14ac:dyDescent="0.3"/>
    <row r="11504" x14ac:dyDescent="0.3"/>
    <row r="11505" x14ac:dyDescent="0.3"/>
    <row r="11506" x14ac:dyDescent="0.3"/>
    <row r="11507" x14ac:dyDescent="0.3"/>
    <row r="11508" x14ac:dyDescent="0.3"/>
    <row r="11509" x14ac:dyDescent="0.3"/>
    <row r="11510" x14ac:dyDescent="0.3"/>
    <row r="11511" x14ac:dyDescent="0.3"/>
    <row r="11512" x14ac:dyDescent="0.3"/>
    <row r="11513" x14ac:dyDescent="0.3"/>
    <row r="11514" x14ac:dyDescent="0.3"/>
    <row r="11515" x14ac:dyDescent="0.3"/>
    <row r="11516" x14ac:dyDescent="0.3"/>
    <row r="11517" x14ac:dyDescent="0.3"/>
    <row r="11518" x14ac:dyDescent="0.3"/>
    <row r="11519" x14ac:dyDescent="0.3"/>
    <row r="11520" x14ac:dyDescent="0.3"/>
    <row r="11521" x14ac:dyDescent="0.3"/>
    <row r="11522" x14ac:dyDescent="0.3"/>
    <row r="11523" x14ac:dyDescent="0.3"/>
    <row r="11524" x14ac:dyDescent="0.3"/>
    <row r="11525" x14ac:dyDescent="0.3"/>
    <row r="11526" x14ac:dyDescent="0.3"/>
    <row r="11527" x14ac:dyDescent="0.3"/>
    <row r="11528" x14ac:dyDescent="0.3"/>
    <row r="11529" x14ac:dyDescent="0.3"/>
    <row r="11530" x14ac:dyDescent="0.3"/>
    <row r="11531" x14ac:dyDescent="0.3"/>
    <row r="11532" x14ac:dyDescent="0.3"/>
    <row r="11533" x14ac:dyDescent="0.3"/>
    <row r="11534" x14ac:dyDescent="0.3"/>
    <row r="11535" x14ac:dyDescent="0.3"/>
    <row r="11536" x14ac:dyDescent="0.3"/>
    <row r="11537" x14ac:dyDescent="0.3"/>
    <row r="11538" x14ac:dyDescent="0.3"/>
    <row r="11539" x14ac:dyDescent="0.3"/>
    <row r="11540" x14ac:dyDescent="0.3"/>
    <row r="11541" x14ac:dyDescent="0.3"/>
    <row r="11542" x14ac:dyDescent="0.3"/>
    <row r="11543" x14ac:dyDescent="0.3"/>
    <row r="11544" x14ac:dyDescent="0.3"/>
    <row r="11545" x14ac:dyDescent="0.3"/>
    <row r="11546" x14ac:dyDescent="0.3"/>
    <row r="11547" x14ac:dyDescent="0.3"/>
    <row r="11548" x14ac:dyDescent="0.3"/>
    <row r="11549" x14ac:dyDescent="0.3"/>
    <row r="11550" x14ac:dyDescent="0.3"/>
    <row r="11551" x14ac:dyDescent="0.3"/>
    <row r="11552" x14ac:dyDescent="0.3"/>
    <row r="11553" x14ac:dyDescent="0.3"/>
    <row r="11554" x14ac:dyDescent="0.3"/>
    <row r="11555" x14ac:dyDescent="0.3"/>
    <row r="11556" x14ac:dyDescent="0.3"/>
    <row r="11557" x14ac:dyDescent="0.3"/>
    <row r="11558" x14ac:dyDescent="0.3"/>
    <row r="11559" x14ac:dyDescent="0.3"/>
    <row r="11560" x14ac:dyDescent="0.3"/>
    <row r="11561" x14ac:dyDescent="0.3"/>
    <row r="11562" x14ac:dyDescent="0.3"/>
    <row r="11563" x14ac:dyDescent="0.3"/>
    <row r="11564" x14ac:dyDescent="0.3"/>
    <row r="11565" x14ac:dyDescent="0.3"/>
    <row r="11566" x14ac:dyDescent="0.3"/>
    <row r="11567" x14ac:dyDescent="0.3"/>
    <row r="11568" x14ac:dyDescent="0.3"/>
    <row r="11569" x14ac:dyDescent="0.3"/>
    <row r="11570" x14ac:dyDescent="0.3"/>
    <row r="11571" x14ac:dyDescent="0.3"/>
    <row r="11572" x14ac:dyDescent="0.3"/>
    <row r="11573" x14ac:dyDescent="0.3"/>
    <row r="11574" x14ac:dyDescent="0.3"/>
    <row r="11575" x14ac:dyDescent="0.3"/>
    <row r="11576" x14ac:dyDescent="0.3"/>
    <row r="11577" x14ac:dyDescent="0.3"/>
    <row r="11578" x14ac:dyDescent="0.3"/>
    <row r="11579" x14ac:dyDescent="0.3"/>
    <row r="11580" x14ac:dyDescent="0.3"/>
    <row r="11581" x14ac:dyDescent="0.3"/>
    <row r="11582" x14ac:dyDescent="0.3"/>
    <row r="11583" x14ac:dyDescent="0.3"/>
    <row r="11584" x14ac:dyDescent="0.3"/>
    <row r="11585" x14ac:dyDescent="0.3"/>
    <row r="11586" x14ac:dyDescent="0.3"/>
    <row r="11587" x14ac:dyDescent="0.3"/>
    <row r="11588" x14ac:dyDescent="0.3"/>
    <row r="11589" x14ac:dyDescent="0.3"/>
    <row r="11590" x14ac:dyDescent="0.3"/>
    <row r="11591" x14ac:dyDescent="0.3"/>
    <row r="11592" x14ac:dyDescent="0.3"/>
    <row r="11593" x14ac:dyDescent="0.3"/>
    <row r="11594" x14ac:dyDescent="0.3"/>
    <row r="11595" x14ac:dyDescent="0.3"/>
    <row r="11596" x14ac:dyDescent="0.3"/>
    <row r="11597" x14ac:dyDescent="0.3"/>
    <row r="11598" x14ac:dyDescent="0.3"/>
    <row r="11599" x14ac:dyDescent="0.3"/>
    <row r="11600" x14ac:dyDescent="0.3"/>
    <row r="11601" x14ac:dyDescent="0.3"/>
    <row r="11602" x14ac:dyDescent="0.3"/>
    <row r="11603" x14ac:dyDescent="0.3"/>
    <row r="11604" x14ac:dyDescent="0.3"/>
    <row r="11605" x14ac:dyDescent="0.3"/>
    <row r="11606" x14ac:dyDescent="0.3"/>
    <row r="11607" x14ac:dyDescent="0.3"/>
    <row r="11608" x14ac:dyDescent="0.3"/>
    <row r="11609" x14ac:dyDescent="0.3"/>
    <row r="11610" x14ac:dyDescent="0.3"/>
    <row r="11611" x14ac:dyDescent="0.3"/>
    <row r="11612" x14ac:dyDescent="0.3"/>
    <row r="11613" x14ac:dyDescent="0.3"/>
    <row r="11614" x14ac:dyDescent="0.3"/>
    <row r="11615" x14ac:dyDescent="0.3"/>
    <row r="11616" x14ac:dyDescent="0.3"/>
    <row r="11617" x14ac:dyDescent="0.3"/>
    <row r="11618" x14ac:dyDescent="0.3"/>
    <row r="11619" x14ac:dyDescent="0.3"/>
    <row r="11620" x14ac:dyDescent="0.3"/>
    <row r="11621" x14ac:dyDescent="0.3"/>
    <row r="11622" x14ac:dyDescent="0.3"/>
    <row r="11623" x14ac:dyDescent="0.3"/>
    <row r="11624" x14ac:dyDescent="0.3"/>
    <row r="11625" x14ac:dyDescent="0.3"/>
    <row r="11626" x14ac:dyDescent="0.3"/>
    <row r="11627" x14ac:dyDescent="0.3"/>
    <row r="11628" x14ac:dyDescent="0.3"/>
    <row r="11629" x14ac:dyDescent="0.3"/>
    <row r="11630" x14ac:dyDescent="0.3"/>
    <row r="11631" x14ac:dyDescent="0.3"/>
    <row r="11632" x14ac:dyDescent="0.3"/>
    <row r="11633" x14ac:dyDescent="0.3"/>
    <row r="11634" x14ac:dyDescent="0.3"/>
    <row r="11635" x14ac:dyDescent="0.3"/>
    <row r="11636" x14ac:dyDescent="0.3"/>
    <row r="11637" x14ac:dyDescent="0.3"/>
    <row r="11638" x14ac:dyDescent="0.3"/>
    <row r="11639" x14ac:dyDescent="0.3"/>
    <row r="11640" x14ac:dyDescent="0.3"/>
    <row r="11641" x14ac:dyDescent="0.3"/>
    <row r="11642" x14ac:dyDescent="0.3"/>
    <row r="11643" x14ac:dyDescent="0.3"/>
    <row r="11644" x14ac:dyDescent="0.3"/>
    <row r="11645" x14ac:dyDescent="0.3"/>
    <row r="11646" x14ac:dyDescent="0.3"/>
    <row r="11647" x14ac:dyDescent="0.3"/>
    <row r="11648" x14ac:dyDescent="0.3"/>
    <row r="11649" x14ac:dyDescent="0.3"/>
    <row r="11650" x14ac:dyDescent="0.3"/>
    <row r="11651" x14ac:dyDescent="0.3"/>
    <row r="11652" x14ac:dyDescent="0.3"/>
    <row r="11653" x14ac:dyDescent="0.3"/>
    <row r="11654" x14ac:dyDescent="0.3"/>
    <row r="11655" x14ac:dyDescent="0.3"/>
    <row r="11656" x14ac:dyDescent="0.3"/>
    <row r="11657" x14ac:dyDescent="0.3"/>
    <row r="11658" x14ac:dyDescent="0.3"/>
    <row r="11659" x14ac:dyDescent="0.3"/>
    <row r="11660" x14ac:dyDescent="0.3"/>
    <row r="11661" x14ac:dyDescent="0.3"/>
    <row r="11662" x14ac:dyDescent="0.3"/>
    <row r="11663" x14ac:dyDescent="0.3"/>
    <row r="11664" x14ac:dyDescent="0.3"/>
    <row r="11665" x14ac:dyDescent="0.3"/>
    <row r="11666" x14ac:dyDescent="0.3"/>
    <row r="11667" x14ac:dyDescent="0.3"/>
    <row r="11668" x14ac:dyDescent="0.3"/>
    <row r="11669" x14ac:dyDescent="0.3"/>
    <row r="11670" x14ac:dyDescent="0.3"/>
    <row r="11671" x14ac:dyDescent="0.3"/>
    <row r="11672" x14ac:dyDescent="0.3"/>
    <row r="11673" x14ac:dyDescent="0.3"/>
    <row r="11674" x14ac:dyDescent="0.3"/>
    <row r="11675" x14ac:dyDescent="0.3"/>
    <row r="11676" x14ac:dyDescent="0.3"/>
    <row r="11677" x14ac:dyDescent="0.3"/>
    <row r="11678" x14ac:dyDescent="0.3"/>
    <row r="11679" x14ac:dyDescent="0.3"/>
    <row r="11680" x14ac:dyDescent="0.3"/>
    <row r="11681" x14ac:dyDescent="0.3"/>
    <row r="11682" x14ac:dyDescent="0.3"/>
    <row r="11683" x14ac:dyDescent="0.3"/>
    <row r="11684" x14ac:dyDescent="0.3"/>
    <row r="11685" x14ac:dyDescent="0.3"/>
    <row r="11686" x14ac:dyDescent="0.3"/>
    <row r="11687" x14ac:dyDescent="0.3"/>
    <row r="11688" x14ac:dyDescent="0.3"/>
    <row r="11689" x14ac:dyDescent="0.3"/>
    <row r="11690" x14ac:dyDescent="0.3"/>
    <row r="11691" x14ac:dyDescent="0.3"/>
    <row r="11692" x14ac:dyDescent="0.3"/>
    <row r="11693" x14ac:dyDescent="0.3"/>
    <row r="11694" x14ac:dyDescent="0.3"/>
    <row r="11695" x14ac:dyDescent="0.3"/>
    <row r="11696" x14ac:dyDescent="0.3"/>
    <row r="11697" x14ac:dyDescent="0.3"/>
    <row r="11698" x14ac:dyDescent="0.3"/>
    <row r="11699" x14ac:dyDescent="0.3"/>
    <row r="11700" x14ac:dyDescent="0.3"/>
    <row r="11701" x14ac:dyDescent="0.3"/>
    <row r="11702" x14ac:dyDescent="0.3"/>
    <row r="11703" x14ac:dyDescent="0.3"/>
    <row r="11704" x14ac:dyDescent="0.3"/>
    <row r="11705" x14ac:dyDescent="0.3"/>
    <row r="11706" x14ac:dyDescent="0.3"/>
    <row r="11707" x14ac:dyDescent="0.3"/>
    <row r="11708" x14ac:dyDescent="0.3"/>
    <row r="11709" x14ac:dyDescent="0.3"/>
    <row r="11710" x14ac:dyDescent="0.3"/>
    <row r="11711" x14ac:dyDescent="0.3"/>
    <row r="11712" x14ac:dyDescent="0.3"/>
    <row r="11713" x14ac:dyDescent="0.3"/>
    <row r="11714" x14ac:dyDescent="0.3"/>
    <row r="11715" x14ac:dyDescent="0.3"/>
    <row r="11716" x14ac:dyDescent="0.3"/>
    <row r="11717" x14ac:dyDescent="0.3"/>
    <row r="11718" x14ac:dyDescent="0.3"/>
    <row r="11719" x14ac:dyDescent="0.3"/>
    <row r="11720" x14ac:dyDescent="0.3"/>
    <row r="11721" x14ac:dyDescent="0.3"/>
    <row r="11722" x14ac:dyDescent="0.3"/>
    <row r="11723" x14ac:dyDescent="0.3"/>
    <row r="11724" x14ac:dyDescent="0.3"/>
    <row r="11725" x14ac:dyDescent="0.3"/>
    <row r="11726" x14ac:dyDescent="0.3"/>
    <row r="11727" x14ac:dyDescent="0.3"/>
    <row r="11728" x14ac:dyDescent="0.3"/>
    <row r="11729" x14ac:dyDescent="0.3"/>
    <row r="11730" x14ac:dyDescent="0.3"/>
    <row r="11731" x14ac:dyDescent="0.3"/>
    <row r="11732" x14ac:dyDescent="0.3"/>
    <row r="11733" x14ac:dyDescent="0.3"/>
    <row r="11734" x14ac:dyDescent="0.3"/>
    <row r="11735" x14ac:dyDescent="0.3"/>
    <row r="11736" x14ac:dyDescent="0.3"/>
    <row r="11737" x14ac:dyDescent="0.3"/>
    <row r="11738" x14ac:dyDescent="0.3"/>
    <row r="11739" x14ac:dyDescent="0.3"/>
    <row r="11740" x14ac:dyDescent="0.3"/>
    <row r="11741" x14ac:dyDescent="0.3"/>
    <row r="11742" x14ac:dyDescent="0.3"/>
    <row r="11743" x14ac:dyDescent="0.3"/>
    <row r="11744" x14ac:dyDescent="0.3"/>
    <row r="11745" x14ac:dyDescent="0.3"/>
    <row r="11746" x14ac:dyDescent="0.3"/>
    <row r="11747" x14ac:dyDescent="0.3"/>
    <row r="11748" x14ac:dyDescent="0.3"/>
    <row r="11749" x14ac:dyDescent="0.3"/>
    <row r="11750" x14ac:dyDescent="0.3"/>
    <row r="11751" x14ac:dyDescent="0.3"/>
    <row r="11752" x14ac:dyDescent="0.3"/>
    <row r="11753" x14ac:dyDescent="0.3"/>
    <row r="11754" x14ac:dyDescent="0.3"/>
    <row r="11755" x14ac:dyDescent="0.3"/>
    <row r="11756" x14ac:dyDescent="0.3"/>
    <row r="11757" x14ac:dyDescent="0.3"/>
    <row r="11758" x14ac:dyDescent="0.3"/>
    <row r="11759" x14ac:dyDescent="0.3"/>
    <row r="11760" x14ac:dyDescent="0.3"/>
    <row r="11761" x14ac:dyDescent="0.3"/>
    <row r="11762" x14ac:dyDescent="0.3"/>
    <row r="11763" x14ac:dyDescent="0.3"/>
    <row r="11764" x14ac:dyDescent="0.3"/>
    <row r="11765" x14ac:dyDescent="0.3"/>
    <row r="11766" x14ac:dyDescent="0.3"/>
    <row r="11767" x14ac:dyDescent="0.3"/>
    <row r="11768" x14ac:dyDescent="0.3"/>
    <row r="11769" x14ac:dyDescent="0.3"/>
    <row r="11770" x14ac:dyDescent="0.3"/>
    <row r="11771" x14ac:dyDescent="0.3"/>
    <row r="11772" x14ac:dyDescent="0.3"/>
    <row r="11773" x14ac:dyDescent="0.3"/>
    <row r="11774" x14ac:dyDescent="0.3"/>
    <row r="11775" x14ac:dyDescent="0.3"/>
    <row r="11776" x14ac:dyDescent="0.3"/>
    <row r="11777" x14ac:dyDescent="0.3"/>
    <row r="11778" x14ac:dyDescent="0.3"/>
    <row r="11779" x14ac:dyDescent="0.3"/>
    <row r="11780" x14ac:dyDescent="0.3"/>
    <row r="11781" x14ac:dyDescent="0.3"/>
    <row r="11782" x14ac:dyDescent="0.3"/>
    <row r="11783" x14ac:dyDescent="0.3"/>
    <row r="11784" x14ac:dyDescent="0.3"/>
    <row r="11785" x14ac:dyDescent="0.3"/>
    <row r="11786" x14ac:dyDescent="0.3"/>
    <row r="11787" x14ac:dyDescent="0.3"/>
    <row r="11788" x14ac:dyDescent="0.3"/>
    <row r="11789" x14ac:dyDescent="0.3"/>
    <row r="11790" x14ac:dyDescent="0.3"/>
    <row r="11791" x14ac:dyDescent="0.3"/>
    <row r="11792" x14ac:dyDescent="0.3"/>
    <row r="11793" x14ac:dyDescent="0.3"/>
    <row r="11794" x14ac:dyDescent="0.3"/>
    <row r="11795" x14ac:dyDescent="0.3"/>
    <row r="11796" x14ac:dyDescent="0.3"/>
    <row r="11797" x14ac:dyDescent="0.3"/>
    <row r="11798" x14ac:dyDescent="0.3"/>
    <row r="11799" x14ac:dyDescent="0.3"/>
    <row r="11800" x14ac:dyDescent="0.3"/>
    <row r="11801" x14ac:dyDescent="0.3"/>
    <row r="11802" x14ac:dyDescent="0.3"/>
    <row r="11803" x14ac:dyDescent="0.3"/>
    <row r="11804" x14ac:dyDescent="0.3"/>
    <row r="11805" x14ac:dyDescent="0.3"/>
    <row r="11806" x14ac:dyDescent="0.3"/>
    <row r="11807" x14ac:dyDescent="0.3"/>
    <row r="11808" x14ac:dyDescent="0.3"/>
    <row r="11809" x14ac:dyDescent="0.3"/>
    <row r="11810" x14ac:dyDescent="0.3"/>
    <row r="11811" x14ac:dyDescent="0.3"/>
    <row r="11812" x14ac:dyDescent="0.3"/>
    <row r="11813" x14ac:dyDescent="0.3"/>
    <row r="11814" x14ac:dyDescent="0.3"/>
    <row r="11815" x14ac:dyDescent="0.3"/>
    <row r="11816" x14ac:dyDescent="0.3"/>
    <row r="11817" x14ac:dyDescent="0.3"/>
    <row r="11818" x14ac:dyDescent="0.3"/>
    <row r="11819" x14ac:dyDescent="0.3"/>
    <row r="11820" x14ac:dyDescent="0.3"/>
    <row r="11821" x14ac:dyDescent="0.3"/>
    <row r="11822" x14ac:dyDescent="0.3"/>
    <row r="11823" x14ac:dyDescent="0.3"/>
    <row r="11824" x14ac:dyDescent="0.3"/>
    <row r="11825" x14ac:dyDescent="0.3"/>
    <row r="11826" x14ac:dyDescent="0.3"/>
    <row r="11827" x14ac:dyDescent="0.3"/>
    <row r="11828" x14ac:dyDescent="0.3"/>
    <row r="11829" x14ac:dyDescent="0.3"/>
    <row r="11830" x14ac:dyDescent="0.3"/>
    <row r="11831" x14ac:dyDescent="0.3"/>
    <row r="11832" x14ac:dyDescent="0.3"/>
    <row r="11833" x14ac:dyDescent="0.3"/>
    <row r="11834" x14ac:dyDescent="0.3"/>
    <row r="11835" x14ac:dyDescent="0.3"/>
    <row r="11836" x14ac:dyDescent="0.3"/>
    <row r="11837" x14ac:dyDescent="0.3"/>
    <row r="11838" x14ac:dyDescent="0.3"/>
    <row r="11839" x14ac:dyDescent="0.3"/>
    <row r="11840" x14ac:dyDescent="0.3"/>
    <row r="11841" x14ac:dyDescent="0.3"/>
    <row r="11842" x14ac:dyDescent="0.3"/>
    <row r="11843" x14ac:dyDescent="0.3"/>
    <row r="11844" x14ac:dyDescent="0.3"/>
    <row r="11845" x14ac:dyDescent="0.3"/>
    <row r="11846" x14ac:dyDescent="0.3"/>
    <row r="11847" x14ac:dyDescent="0.3"/>
    <row r="11848" x14ac:dyDescent="0.3"/>
    <row r="11849" x14ac:dyDescent="0.3"/>
    <row r="11850" x14ac:dyDescent="0.3"/>
    <row r="11851" x14ac:dyDescent="0.3"/>
    <row r="11852" x14ac:dyDescent="0.3"/>
    <row r="11853" x14ac:dyDescent="0.3"/>
    <row r="11854" x14ac:dyDescent="0.3"/>
    <row r="11855" x14ac:dyDescent="0.3"/>
    <row r="11856" x14ac:dyDescent="0.3"/>
    <row r="11857" x14ac:dyDescent="0.3"/>
    <row r="11858" x14ac:dyDescent="0.3"/>
    <row r="11859" x14ac:dyDescent="0.3"/>
    <row r="11860" x14ac:dyDescent="0.3"/>
    <row r="11861" x14ac:dyDescent="0.3"/>
    <row r="11862" x14ac:dyDescent="0.3"/>
    <row r="11863" x14ac:dyDescent="0.3"/>
    <row r="11864" x14ac:dyDescent="0.3"/>
    <row r="11865" x14ac:dyDescent="0.3"/>
    <row r="11866" x14ac:dyDescent="0.3"/>
    <row r="11867" x14ac:dyDescent="0.3"/>
    <row r="11868" x14ac:dyDescent="0.3"/>
    <row r="11869" x14ac:dyDescent="0.3"/>
    <row r="11870" x14ac:dyDescent="0.3"/>
    <row r="11871" x14ac:dyDescent="0.3"/>
    <row r="11872" x14ac:dyDescent="0.3"/>
    <row r="11873" x14ac:dyDescent="0.3"/>
    <row r="11874" x14ac:dyDescent="0.3"/>
    <row r="11875" x14ac:dyDescent="0.3"/>
    <row r="11876" x14ac:dyDescent="0.3"/>
    <row r="11877" x14ac:dyDescent="0.3"/>
    <row r="11878" x14ac:dyDescent="0.3"/>
    <row r="11879" x14ac:dyDescent="0.3"/>
    <row r="11880" x14ac:dyDescent="0.3"/>
    <row r="11881" x14ac:dyDescent="0.3"/>
    <row r="11882" x14ac:dyDescent="0.3"/>
    <row r="11883" x14ac:dyDescent="0.3"/>
    <row r="11884" x14ac:dyDescent="0.3"/>
    <row r="11885" x14ac:dyDescent="0.3"/>
    <row r="11886" x14ac:dyDescent="0.3"/>
    <row r="11887" x14ac:dyDescent="0.3"/>
    <row r="11888" x14ac:dyDescent="0.3"/>
    <row r="11889" x14ac:dyDescent="0.3"/>
    <row r="11890" x14ac:dyDescent="0.3"/>
    <row r="11891" x14ac:dyDescent="0.3"/>
    <row r="11892" x14ac:dyDescent="0.3"/>
    <row r="11893" x14ac:dyDescent="0.3"/>
    <row r="11894" x14ac:dyDescent="0.3"/>
    <row r="11895" x14ac:dyDescent="0.3"/>
    <row r="11896" x14ac:dyDescent="0.3"/>
    <row r="11897" x14ac:dyDescent="0.3"/>
    <row r="11898" x14ac:dyDescent="0.3"/>
    <row r="11899" x14ac:dyDescent="0.3"/>
    <row r="11900" x14ac:dyDescent="0.3"/>
    <row r="11901" x14ac:dyDescent="0.3"/>
    <row r="11902" x14ac:dyDescent="0.3"/>
    <row r="11903" x14ac:dyDescent="0.3"/>
    <row r="11904" x14ac:dyDescent="0.3"/>
    <row r="11905" x14ac:dyDescent="0.3"/>
    <row r="11906" x14ac:dyDescent="0.3"/>
    <row r="11907" x14ac:dyDescent="0.3"/>
    <row r="11908" x14ac:dyDescent="0.3"/>
    <row r="11909" x14ac:dyDescent="0.3"/>
    <row r="11910" x14ac:dyDescent="0.3"/>
    <row r="11911" x14ac:dyDescent="0.3"/>
    <row r="11912" x14ac:dyDescent="0.3"/>
    <row r="11913" x14ac:dyDescent="0.3"/>
    <row r="11914" x14ac:dyDescent="0.3"/>
    <row r="11915" x14ac:dyDescent="0.3"/>
    <row r="11916" x14ac:dyDescent="0.3"/>
    <row r="11917" x14ac:dyDescent="0.3"/>
    <row r="11918" x14ac:dyDescent="0.3"/>
    <row r="11919" x14ac:dyDescent="0.3"/>
    <row r="11920" x14ac:dyDescent="0.3"/>
    <row r="11921" x14ac:dyDescent="0.3"/>
    <row r="11922" x14ac:dyDescent="0.3"/>
    <row r="11923" x14ac:dyDescent="0.3"/>
    <row r="11924" x14ac:dyDescent="0.3"/>
    <row r="11925" x14ac:dyDescent="0.3"/>
    <row r="11926" x14ac:dyDescent="0.3"/>
    <row r="11927" x14ac:dyDescent="0.3"/>
    <row r="11928" x14ac:dyDescent="0.3"/>
    <row r="11929" x14ac:dyDescent="0.3"/>
    <row r="11930" x14ac:dyDescent="0.3"/>
    <row r="11931" x14ac:dyDescent="0.3"/>
    <row r="11932" x14ac:dyDescent="0.3"/>
    <row r="11933" x14ac:dyDescent="0.3"/>
    <row r="11934" x14ac:dyDescent="0.3"/>
    <row r="11935" x14ac:dyDescent="0.3"/>
    <row r="11936" x14ac:dyDescent="0.3"/>
    <row r="11937" x14ac:dyDescent="0.3"/>
    <row r="11938" x14ac:dyDescent="0.3"/>
    <row r="11939" x14ac:dyDescent="0.3"/>
    <row r="11940" x14ac:dyDescent="0.3"/>
    <row r="11941" x14ac:dyDescent="0.3"/>
    <row r="11942" x14ac:dyDescent="0.3"/>
    <row r="11943" x14ac:dyDescent="0.3"/>
    <row r="11944" x14ac:dyDescent="0.3"/>
    <row r="11945" x14ac:dyDescent="0.3"/>
    <row r="11946" x14ac:dyDescent="0.3"/>
    <row r="11947" x14ac:dyDescent="0.3"/>
    <row r="11948" x14ac:dyDescent="0.3"/>
    <row r="11949" x14ac:dyDescent="0.3"/>
    <row r="11950" x14ac:dyDescent="0.3"/>
    <row r="11951" x14ac:dyDescent="0.3"/>
    <row r="11952" x14ac:dyDescent="0.3"/>
    <row r="11953" x14ac:dyDescent="0.3"/>
    <row r="11954" x14ac:dyDescent="0.3"/>
    <row r="11955" x14ac:dyDescent="0.3"/>
    <row r="11956" x14ac:dyDescent="0.3"/>
    <row r="11957" x14ac:dyDescent="0.3"/>
    <row r="11958" x14ac:dyDescent="0.3"/>
    <row r="11959" x14ac:dyDescent="0.3"/>
    <row r="11960" x14ac:dyDescent="0.3"/>
    <row r="11961" x14ac:dyDescent="0.3"/>
    <row r="11962" x14ac:dyDescent="0.3"/>
    <row r="11963" x14ac:dyDescent="0.3"/>
    <row r="11964" x14ac:dyDescent="0.3"/>
    <row r="11965" x14ac:dyDescent="0.3"/>
    <row r="11966" x14ac:dyDescent="0.3"/>
    <row r="11967" x14ac:dyDescent="0.3"/>
    <row r="11968" x14ac:dyDescent="0.3"/>
    <row r="11969" x14ac:dyDescent="0.3"/>
    <row r="11970" x14ac:dyDescent="0.3"/>
    <row r="11971" x14ac:dyDescent="0.3"/>
    <row r="11972" x14ac:dyDescent="0.3"/>
    <row r="11973" x14ac:dyDescent="0.3"/>
    <row r="11974" x14ac:dyDescent="0.3"/>
    <row r="11975" x14ac:dyDescent="0.3"/>
    <row r="11976" x14ac:dyDescent="0.3"/>
    <row r="11977" x14ac:dyDescent="0.3"/>
    <row r="11978" x14ac:dyDescent="0.3"/>
    <row r="11979" x14ac:dyDescent="0.3"/>
    <row r="11980" x14ac:dyDescent="0.3"/>
    <row r="11981" x14ac:dyDescent="0.3"/>
    <row r="11982" x14ac:dyDescent="0.3"/>
    <row r="11983" x14ac:dyDescent="0.3"/>
    <row r="11984" x14ac:dyDescent="0.3"/>
    <row r="11985" x14ac:dyDescent="0.3"/>
    <row r="11986" x14ac:dyDescent="0.3"/>
    <row r="11987" x14ac:dyDescent="0.3"/>
    <row r="11988" x14ac:dyDescent="0.3"/>
    <row r="11989" x14ac:dyDescent="0.3"/>
    <row r="11990" x14ac:dyDescent="0.3"/>
    <row r="11991" x14ac:dyDescent="0.3"/>
    <row r="11992" x14ac:dyDescent="0.3"/>
    <row r="11993" x14ac:dyDescent="0.3"/>
    <row r="11994" x14ac:dyDescent="0.3"/>
    <row r="11995" x14ac:dyDescent="0.3"/>
    <row r="11996" x14ac:dyDescent="0.3"/>
    <row r="11997" x14ac:dyDescent="0.3"/>
    <row r="11998" x14ac:dyDescent="0.3"/>
    <row r="11999" x14ac:dyDescent="0.3"/>
    <row r="12000" x14ac:dyDescent="0.3"/>
    <row r="12001" x14ac:dyDescent="0.3"/>
    <row r="12002" x14ac:dyDescent="0.3"/>
    <row r="12003" x14ac:dyDescent="0.3"/>
    <row r="12004" x14ac:dyDescent="0.3"/>
    <row r="12005" x14ac:dyDescent="0.3"/>
    <row r="12006" x14ac:dyDescent="0.3"/>
    <row r="12007" x14ac:dyDescent="0.3"/>
    <row r="12008" x14ac:dyDescent="0.3"/>
    <row r="12009" x14ac:dyDescent="0.3"/>
    <row r="12010" x14ac:dyDescent="0.3"/>
    <row r="12011" x14ac:dyDescent="0.3"/>
    <row r="12012" x14ac:dyDescent="0.3"/>
    <row r="12013" x14ac:dyDescent="0.3"/>
    <row r="12014" x14ac:dyDescent="0.3"/>
    <row r="12015" x14ac:dyDescent="0.3"/>
    <row r="12016" x14ac:dyDescent="0.3"/>
    <row r="12017" x14ac:dyDescent="0.3"/>
    <row r="12018" x14ac:dyDescent="0.3"/>
    <row r="12019" x14ac:dyDescent="0.3"/>
    <row r="12020" x14ac:dyDescent="0.3"/>
    <row r="12021" x14ac:dyDescent="0.3"/>
    <row r="12022" x14ac:dyDescent="0.3"/>
    <row r="12023" x14ac:dyDescent="0.3"/>
    <row r="12024" x14ac:dyDescent="0.3"/>
    <row r="12025" x14ac:dyDescent="0.3"/>
    <row r="12026" x14ac:dyDescent="0.3"/>
    <row r="12027" x14ac:dyDescent="0.3"/>
    <row r="12028" x14ac:dyDescent="0.3"/>
    <row r="12029" x14ac:dyDescent="0.3"/>
    <row r="12030" x14ac:dyDescent="0.3"/>
    <row r="12031" x14ac:dyDescent="0.3"/>
    <row r="12032" x14ac:dyDescent="0.3"/>
    <row r="12033" x14ac:dyDescent="0.3"/>
    <row r="12034" x14ac:dyDescent="0.3"/>
    <row r="12035" x14ac:dyDescent="0.3"/>
    <row r="12036" x14ac:dyDescent="0.3"/>
    <row r="12037" x14ac:dyDescent="0.3"/>
    <row r="12038" x14ac:dyDescent="0.3"/>
    <row r="12039" x14ac:dyDescent="0.3"/>
    <row r="12040" x14ac:dyDescent="0.3"/>
    <row r="12041" x14ac:dyDescent="0.3"/>
    <row r="12042" x14ac:dyDescent="0.3"/>
    <row r="12043" x14ac:dyDescent="0.3"/>
    <row r="12044" x14ac:dyDescent="0.3"/>
    <row r="12045" x14ac:dyDescent="0.3"/>
    <row r="12046" x14ac:dyDescent="0.3"/>
    <row r="12047" x14ac:dyDescent="0.3"/>
    <row r="12048" x14ac:dyDescent="0.3"/>
    <row r="12049" x14ac:dyDescent="0.3"/>
    <row r="12050" x14ac:dyDescent="0.3"/>
    <row r="12051" x14ac:dyDescent="0.3"/>
    <row r="12052" x14ac:dyDescent="0.3"/>
    <row r="12053" x14ac:dyDescent="0.3"/>
    <row r="12054" x14ac:dyDescent="0.3"/>
    <row r="12055" x14ac:dyDescent="0.3"/>
    <row r="12056" x14ac:dyDescent="0.3"/>
    <row r="12057" x14ac:dyDescent="0.3"/>
    <row r="12058" x14ac:dyDescent="0.3"/>
    <row r="12059" x14ac:dyDescent="0.3"/>
    <row r="12060" x14ac:dyDescent="0.3"/>
    <row r="12061" x14ac:dyDescent="0.3"/>
    <row r="12062" x14ac:dyDescent="0.3"/>
    <row r="12063" x14ac:dyDescent="0.3"/>
    <row r="12064" x14ac:dyDescent="0.3"/>
    <row r="12065" x14ac:dyDescent="0.3"/>
    <row r="12066" x14ac:dyDescent="0.3"/>
    <row r="12067" x14ac:dyDescent="0.3"/>
    <row r="12068" x14ac:dyDescent="0.3"/>
    <row r="12069" x14ac:dyDescent="0.3"/>
    <row r="12070" x14ac:dyDescent="0.3"/>
    <row r="12071" x14ac:dyDescent="0.3"/>
    <row r="12072" x14ac:dyDescent="0.3"/>
    <row r="12073" x14ac:dyDescent="0.3"/>
    <row r="12074" x14ac:dyDescent="0.3"/>
    <row r="12075" x14ac:dyDescent="0.3"/>
    <row r="12076" x14ac:dyDescent="0.3"/>
    <row r="12077" x14ac:dyDescent="0.3"/>
    <row r="12078" x14ac:dyDescent="0.3"/>
    <row r="12079" x14ac:dyDescent="0.3"/>
    <row r="12080" x14ac:dyDescent="0.3"/>
    <row r="12081" x14ac:dyDescent="0.3"/>
    <row r="12082" x14ac:dyDescent="0.3"/>
    <row r="12083" x14ac:dyDescent="0.3"/>
    <row r="12084" x14ac:dyDescent="0.3"/>
    <row r="12085" x14ac:dyDescent="0.3"/>
    <row r="12086" x14ac:dyDescent="0.3"/>
    <row r="12087" x14ac:dyDescent="0.3"/>
    <row r="12088" x14ac:dyDescent="0.3"/>
    <row r="12089" x14ac:dyDescent="0.3"/>
    <row r="12090" x14ac:dyDescent="0.3"/>
    <row r="12091" x14ac:dyDescent="0.3"/>
    <row r="12092" x14ac:dyDescent="0.3"/>
    <row r="12093" x14ac:dyDescent="0.3"/>
    <row r="12094" x14ac:dyDescent="0.3"/>
    <row r="12095" x14ac:dyDescent="0.3"/>
    <row r="12096" x14ac:dyDescent="0.3"/>
    <row r="12097" x14ac:dyDescent="0.3"/>
    <row r="12098" x14ac:dyDescent="0.3"/>
    <row r="12099" x14ac:dyDescent="0.3"/>
    <row r="12100" x14ac:dyDescent="0.3"/>
    <row r="12101" x14ac:dyDescent="0.3"/>
    <row r="12102" x14ac:dyDescent="0.3"/>
    <row r="12103" x14ac:dyDescent="0.3"/>
    <row r="12104" x14ac:dyDescent="0.3"/>
    <row r="12105" x14ac:dyDescent="0.3"/>
    <row r="12106" x14ac:dyDescent="0.3"/>
    <row r="12107" x14ac:dyDescent="0.3"/>
    <row r="12108" x14ac:dyDescent="0.3"/>
    <row r="12109" x14ac:dyDescent="0.3"/>
    <row r="12110" x14ac:dyDescent="0.3"/>
    <row r="12111" x14ac:dyDescent="0.3"/>
    <row r="12112" x14ac:dyDescent="0.3"/>
    <row r="12113" x14ac:dyDescent="0.3"/>
    <row r="12114" x14ac:dyDescent="0.3"/>
    <row r="12115" x14ac:dyDescent="0.3"/>
    <row r="12116" x14ac:dyDescent="0.3"/>
    <row r="12117" x14ac:dyDescent="0.3"/>
    <row r="12118" x14ac:dyDescent="0.3"/>
    <row r="12119" x14ac:dyDescent="0.3"/>
    <row r="12120" x14ac:dyDescent="0.3"/>
    <row r="12121" x14ac:dyDescent="0.3"/>
    <row r="12122" x14ac:dyDescent="0.3"/>
    <row r="12123" x14ac:dyDescent="0.3"/>
    <row r="12124" x14ac:dyDescent="0.3"/>
    <row r="12125" x14ac:dyDescent="0.3"/>
    <row r="12126" x14ac:dyDescent="0.3"/>
    <row r="12127" x14ac:dyDescent="0.3"/>
    <row r="12128" x14ac:dyDescent="0.3"/>
    <row r="12129" x14ac:dyDescent="0.3"/>
    <row r="12130" x14ac:dyDescent="0.3"/>
    <row r="12131" x14ac:dyDescent="0.3"/>
    <row r="12132" x14ac:dyDescent="0.3"/>
    <row r="12133" x14ac:dyDescent="0.3"/>
    <row r="12134" x14ac:dyDescent="0.3"/>
    <row r="12135" x14ac:dyDescent="0.3"/>
    <row r="12136" x14ac:dyDescent="0.3"/>
    <row r="12137" x14ac:dyDescent="0.3"/>
    <row r="12138" x14ac:dyDescent="0.3"/>
    <row r="12139" x14ac:dyDescent="0.3"/>
    <row r="12140" x14ac:dyDescent="0.3"/>
    <row r="12141" x14ac:dyDescent="0.3"/>
    <row r="12142" x14ac:dyDescent="0.3"/>
    <row r="12143" x14ac:dyDescent="0.3"/>
    <row r="12144" x14ac:dyDescent="0.3"/>
    <row r="12145" x14ac:dyDescent="0.3"/>
    <row r="12146" x14ac:dyDescent="0.3"/>
    <row r="12147" x14ac:dyDescent="0.3"/>
    <row r="12148" x14ac:dyDescent="0.3"/>
    <row r="12149" x14ac:dyDescent="0.3"/>
    <row r="12150" x14ac:dyDescent="0.3"/>
    <row r="12151" x14ac:dyDescent="0.3"/>
    <row r="12152" x14ac:dyDescent="0.3"/>
    <row r="12153" x14ac:dyDescent="0.3"/>
    <row r="12154" x14ac:dyDescent="0.3"/>
    <row r="12155" x14ac:dyDescent="0.3"/>
    <row r="12156" x14ac:dyDescent="0.3"/>
    <row r="12157" x14ac:dyDescent="0.3"/>
    <row r="12158" x14ac:dyDescent="0.3"/>
    <row r="12159" x14ac:dyDescent="0.3"/>
    <row r="12160" x14ac:dyDescent="0.3"/>
    <row r="12161" x14ac:dyDescent="0.3"/>
    <row r="12162" x14ac:dyDescent="0.3"/>
    <row r="12163" x14ac:dyDescent="0.3"/>
    <row r="12164" x14ac:dyDescent="0.3"/>
    <row r="12165" x14ac:dyDescent="0.3"/>
    <row r="12166" x14ac:dyDescent="0.3"/>
    <row r="12167" x14ac:dyDescent="0.3"/>
    <row r="12168" x14ac:dyDescent="0.3"/>
    <row r="12169" x14ac:dyDescent="0.3"/>
    <row r="12170" x14ac:dyDescent="0.3"/>
    <row r="12171" x14ac:dyDescent="0.3"/>
    <row r="12172" x14ac:dyDescent="0.3"/>
    <row r="12173" x14ac:dyDescent="0.3"/>
    <row r="12174" x14ac:dyDescent="0.3"/>
    <row r="12175" x14ac:dyDescent="0.3"/>
    <row r="12176" x14ac:dyDescent="0.3"/>
    <row r="12177" x14ac:dyDescent="0.3"/>
    <row r="12178" x14ac:dyDescent="0.3"/>
    <row r="12179" x14ac:dyDescent="0.3"/>
    <row r="12180" x14ac:dyDescent="0.3"/>
    <row r="12181" x14ac:dyDescent="0.3"/>
    <row r="12182" x14ac:dyDescent="0.3"/>
    <row r="12183" x14ac:dyDescent="0.3"/>
    <row r="12184" x14ac:dyDescent="0.3"/>
    <row r="12185" x14ac:dyDescent="0.3"/>
    <row r="12186" x14ac:dyDescent="0.3"/>
    <row r="12187" x14ac:dyDescent="0.3"/>
    <row r="12188" x14ac:dyDescent="0.3"/>
    <row r="12189" x14ac:dyDescent="0.3"/>
    <row r="12190" x14ac:dyDescent="0.3"/>
    <row r="12191" x14ac:dyDescent="0.3"/>
    <row r="12192" x14ac:dyDescent="0.3"/>
    <row r="12193" x14ac:dyDescent="0.3"/>
    <row r="12194" x14ac:dyDescent="0.3"/>
    <row r="12195" x14ac:dyDescent="0.3"/>
    <row r="12196" x14ac:dyDescent="0.3"/>
    <row r="12197" x14ac:dyDescent="0.3"/>
    <row r="12198" x14ac:dyDescent="0.3"/>
    <row r="12199" x14ac:dyDescent="0.3"/>
    <row r="12200" x14ac:dyDescent="0.3"/>
    <row r="12201" x14ac:dyDescent="0.3"/>
    <row r="12202" x14ac:dyDescent="0.3"/>
    <row r="12203" x14ac:dyDescent="0.3"/>
    <row r="12204" x14ac:dyDescent="0.3"/>
    <row r="12205" x14ac:dyDescent="0.3"/>
    <row r="12206" x14ac:dyDescent="0.3"/>
    <row r="12207" x14ac:dyDescent="0.3"/>
    <row r="12208" x14ac:dyDescent="0.3"/>
    <row r="12209" x14ac:dyDescent="0.3"/>
    <row r="12210" x14ac:dyDescent="0.3"/>
    <row r="12211" x14ac:dyDescent="0.3"/>
    <row r="12212" x14ac:dyDescent="0.3"/>
    <row r="12213" x14ac:dyDescent="0.3"/>
    <row r="12214" x14ac:dyDescent="0.3"/>
    <row r="12215" x14ac:dyDescent="0.3"/>
    <row r="12216" x14ac:dyDescent="0.3"/>
    <row r="12217" x14ac:dyDescent="0.3"/>
    <row r="12218" x14ac:dyDescent="0.3"/>
    <row r="12219" x14ac:dyDescent="0.3"/>
    <row r="12220" x14ac:dyDescent="0.3"/>
    <row r="12221" x14ac:dyDescent="0.3"/>
    <row r="12222" x14ac:dyDescent="0.3"/>
    <row r="12223" x14ac:dyDescent="0.3"/>
    <row r="12224" x14ac:dyDescent="0.3"/>
    <row r="12225" x14ac:dyDescent="0.3"/>
    <row r="12226" x14ac:dyDescent="0.3"/>
    <row r="12227" x14ac:dyDescent="0.3"/>
    <row r="12228" x14ac:dyDescent="0.3"/>
    <row r="12229" x14ac:dyDescent="0.3"/>
    <row r="12230" x14ac:dyDescent="0.3"/>
    <row r="12231" x14ac:dyDescent="0.3"/>
    <row r="12232" x14ac:dyDescent="0.3"/>
    <row r="12233" x14ac:dyDescent="0.3"/>
    <row r="12234" x14ac:dyDescent="0.3"/>
    <row r="12235" x14ac:dyDescent="0.3"/>
    <row r="12236" x14ac:dyDescent="0.3"/>
    <row r="12237" x14ac:dyDescent="0.3"/>
    <row r="12238" x14ac:dyDescent="0.3"/>
    <row r="12239" x14ac:dyDescent="0.3"/>
    <row r="12240" x14ac:dyDescent="0.3"/>
    <row r="12241" x14ac:dyDescent="0.3"/>
    <row r="12242" x14ac:dyDescent="0.3"/>
    <row r="12243" x14ac:dyDescent="0.3"/>
    <row r="12244" x14ac:dyDescent="0.3"/>
    <row r="12245" x14ac:dyDescent="0.3"/>
    <row r="12246" x14ac:dyDescent="0.3"/>
    <row r="12247" x14ac:dyDescent="0.3"/>
    <row r="12248" x14ac:dyDescent="0.3"/>
    <row r="12249" x14ac:dyDescent="0.3"/>
    <row r="12250" x14ac:dyDescent="0.3"/>
    <row r="12251" x14ac:dyDescent="0.3"/>
    <row r="12252" x14ac:dyDescent="0.3"/>
    <row r="12253" x14ac:dyDescent="0.3"/>
    <row r="12254" x14ac:dyDescent="0.3"/>
    <row r="12255" x14ac:dyDescent="0.3"/>
    <row r="12256" x14ac:dyDescent="0.3"/>
    <row r="12257" x14ac:dyDescent="0.3"/>
    <row r="12258" x14ac:dyDescent="0.3"/>
    <row r="12259" x14ac:dyDescent="0.3"/>
    <row r="12260" x14ac:dyDescent="0.3"/>
    <row r="12261" x14ac:dyDescent="0.3"/>
    <row r="12262" x14ac:dyDescent="0.3"/>
    <row r="12263" x14ac:dyDescent="0.3"/>
    <row r="12264" x14ac:dyDescent="0.3"/>
    <row r="12265" x14ac:dyDescent="0.3"/>
    <row r="12266" x14ac:dyDescent="0.3"/>
    <row r="12267" x14ac:dyDescent="0.3"/>
    <row r="12268" x14ac:dyDescent="0.3"/>
    <row r="12269" x14ac:dyDescent="0.3"/>
    <row r="12270" x14ac:dyDescent="0.3"/>
    <row r="12271" x14ac:dyDescent="0.3"/>
    <row r="12272" x14ac:dyDescent="0.3"/>
    <row r="12273" x14ac:dyDescent="0.3"/>
    <row r="12274" x14ac:dyDescent="0.3"/>
    <row r="12275" x14ac:dyDescent="0.3"/>
    <row r="12276" x14ac:dyDescent="0.3"/>
    <row r="12277" x14ac:dyDescent="0.3"/>
    <row r="12278" x14ac:dyDescent="0.3"/>
    <row r="12279" x14ac:dyDescent="0.3"/>
    <row r="12280" x14ac:dyDescent="0.3"/>
    <row r="12281" x14ac:dyDescent="0.3"/>
    <row r="12282" x14ac:dyDescent="0.3"/>
    <row r="12283" x14ac:dyDescent="0.3"/>
    <row r="12284" x14ac:dyDescent="0.3"/>
    <row r="12285" x14ac:dyDescent="0.3"/>
    <row r="12286" x14ac:dyDescent="0.3"/>
    <row r="12287" x14ac:dyDescent="0.3"/>
    <row r="12288" x14ac:dyDescent="0.3"/>
    <row r="12289" x14ac:dyDescent="0.3"/>
    <row r="12290" x14ac:dyDescent="0.3"/>
    <row r="12291" x14ac:dyDescent="0.3"/>
    <row r="12292" x14ac:dyDescent="0.3"/>
    <row r="12293" x14ac:dyDescent="0.3"/>
    <row r="12294" x14ac:dyDescent="0.3"/>
    <row r="12295" x14ac:dyDescent="0.3"/>
    <row r="12296" x14ac:dyDescent="0.3"/>
    <row r="12297" x14ac:dyDescent="0.3"/>
    <row r="12298" x14ac:dyDescent="0.3"/>
    <row r="12299" x14ac:dyDescent="0.3"/>
    <row r="12300" x14ac:dyDescent="0.3"/>
    <row r="12301" x14ac:dyDescent="0.3"/>
    <row r="12302" x14ac:dyDescent="0.3"/>
    <row r="12303" x14ac:dyDescent="0.3"/>
    <row r="12304" x14ac:dyDescent="0.3"/>
    <row r="12305" x14ac:dyDescent="0.3"/>
    <row r="12306" x14ac:dyDescent="0.3"/>
    <row r="12307" x14ac:dyDescent="0.3"/>
    <row r="12308" x14ac:dyDescent="0.3"/>
    <row r="12309" x14ac:dyDescent="0.3"/>
    <row r="12310" x14ac:dyDescent="0.3"/>
    <row r="12311" x14ac:dyDescent="0.3"/>
    <row r="12312" x14ac:dyDescent="0.3"/>
    <row r="12313" x14ac:dyDescent="0.3"/>
    <row r="12314" x14ac:dyDescent="0.3"/>
    <row r="12315" x14ac:dyDescent="0.3"/>
    <row r="12316" x14ac:dyDescent="0.3"/>
    <row r="12317" x14ac:dyDescent="0.3"/>
    <row r="12318" x14ac:dyDescent="0.3"/>
    <row r="12319" x14ac:dyDescent="0.3"/>
    <row r="12320" x14ac:dyDescent="0.3"/>
    <row r="12321" x14ac:dyDescent="0.3"/>
    <row r="12322" x14ac:dyDescent="0.3"/>
    <row r="12323" x14ac:dyDescent="0.3"/>
    <row r="12324" x14ac:dyDescent="0.3"/>
    <row r="12325" x14ac:dyDescent="0.3"/>
    <row r="12326" x14ac:dyDescent="0.3"/>
    <row r="12327" x14ac:dyDescent="0.3"/>
    <row r="12328" x14ac:dyDescent="0.3"/>
    <row r="12329" x14ac:dyDescent="0.3"/>
    <row r="12330" x14ac:dyDescent="0.3"/>
    <row r="12331" x14ac:dyDescent="0.3"/>
    <row r="12332" x14ac:dyDescent="0.3"/>
    <row r="12333" x14ac:dyDescent="0.3"/>
    <row r="12334" x14ac:dyDescent="0.3"/>
    <row r="12335" x14ac:dyDescent="0.3"/>
    <row r="12336" x14ac:dyDescent="0.3"/>
    <row r="12337" x14ac:dyDescent="0.3"/>
    <row r="12338" x14ac:dyDescent="0.3"/>
    <row r="12339" x14ac:dyDescent="0.3"/>
    <row r="12340" x14ac:dyDescent="0.3"/>
    <row r="12341" x14ac:dyDescent="0.3"/>
    <row r="12342" x14ac:dyDescent="0.3"/>
    <row r="12343" x14ac:dyDescent="0.3"/>
    <row r="12344" x14ac:dyDescent="0.3"/>
    <row r="12345" x14ac:dyDescent="0.3"/>
    <row r="12346" x14ac:dyDescent="0.3"/>
    <row r="12347" x14ac:dyDescent="0.3"/>
    <row r="12348" x14ac:dyDescent="0.3"/>
    <row r="12349" x14ac:dyDescent="0.3"/>
    <row r="12350" x14ac:dyDescent="0.3"/>
    <row r="12351" x14ac:dyDescent="0.3"/>
    <row r="12352" x14ac:dyDescent="0.3"/>
    <row r="12353" x14ac:dyDescent="0.3"/>
    <row r="12354" x14ac:dyDescent="0.3"/>
    <row r="12355" x14ac:dyDescent="0.3"/>
    <row r="12356" x14ac:dyDescent="0.3"/>
    <row r="12357" x14ac:dyDescent="0.3"/>
    <row r="12358" x14ac:dyDescent="0.3"/>
    <row r="12359" x14ac:dyDescent="0.3"/>
    <row r="12360" x14ac:dyDescent="0.3"/>
    <row r="12361" x14ac:dyDescent="0.3"/>
    <row r="12362" x14ac:dyDescent="0.3"/>
    <row r="12363" x14ac:dyDescent="0.3"/>
    <row r="12364" x14ac:dyDescent="0.3"/>
    <row r="12365" x14ac:dyDescent="0.3"/>
    <row r="12366" x14ac:dyDescent="0.3"/>
    <row r="12367" x14ac:dyDescent="0.3"/>
    <row r="12368" x14ac:dyDescent="0.3"/>
    <row r="12369" x14ac:dyDescent="0.3"/>
    <row r="12370" x14ac:dyDescent="0.3"/>
    <row r="12371" x14ac:dyDescent="0.3"/>
    <row r="12372" x14ac:dyDescent="0.3"/>
    <row r="12373" x14ac:dyDescent="0.3"/>
    <row r="12374" x14ac:dyDescent="0.3"/>
    <row r="12375" x14ac:dyDescent="0.3"/>
    <row r="12376" x14ac:dyDescent="0.3"/>
    <row r="12377" x14ac:dyDescent="0.3"/>
    <row r="12378" x14ac:dyDescent="0.3"/>
    <row r="12379" x14ac:dyDescent="0.3"/>
    <row r="12380" x14ac:dyDescent="0.3"/>
    <row r="12381" x14ac:dyDescent="0.3"/>
    <row r="12382" x14ac:dyDescent="0.3"/>
    <row r="12383" x14ac:dyDescent="0.3"/>
    <row r="12384" x14ac:dyDescent="0.3"/>
    <row r="12385" x14ac:dyDescent="0.3"/>
    <row r="12386" x14ac:dyDescent="0.3"/>
    <row r="12387" x14ac:dyDescent="0.3"/>
    <row r="12388" x14ac:dyDescent="0.3"/>
    <row r="12389" x14ac:dyDescent="0.3"/>
    <row r="12390" x14ac:dyDescent="0.3"/>
    <row r="12391" x14ac:dyDescent="0.3"/>
    <row r="12392" x14ac:dyDescent="0.3"/>
    <row r="12393" x14ac:dyDescent="0.3"/>
    <row r="12394" x14ac:dyDescent="0.3"/>
    <row r="12395" x14ac:dyDescent="0.3"/>
    <row r="12396" x14ac:dyDescent="0.3"/>
    <row r="12397" x14ac:dyDescent="0.3"/>
    <row r="12398" x14ac:dyDescent="0.3"/>
    <row r="12399" x14ac:dyDescent="0.3"/>
    <row r="12400" x14ac:dyDescent="0.3"/>
    <row r="12401" x14ac:dyDescent="0.3"/>
    <row r="12402" x14ac:dyDescent="0.3"/>
    <row r="12403" x14ac:dyDescent="0.3"/>
    <row r="12404" x14ac:dyDescent="0.3"/>
    <row r="12405" x14ac:dyDescent="0.3"/>
    <row r="12406" x14ac:dyDescent="0.3"/>
    <row r="12407" x14ac:dyDescent="0.3"/>
    <row r="12408" x14ac:dyDescent="0.3"/>
    <row r="12409" x14ac:dyDescent="0.3"/>
    <row r="12410" x14ac:dyDescent="0.3"/>
    <row r="12411" x14ac:dyDescent="0.3"/>
    <row r="12412" x14ac:dyDescent="0.3"/>
    <row r="12413" x14ac:dyDescent="0.3"/>
    <row r="12414" x14ac:dyDescent="0.3"/>
    <row r="12415" x14ac:dyDescent="0.3"/>
    <row r="12416" x14ac:dyDescent="0.3"/>
    <row r="12417" x14ac:dyDescent="0.3"/>
    <row r="12418" x14ac:dyDescent="0.3"/>
    <row r="12419" x14ac:dyDescent="0.3"/>
    <row r="12420" x14ac:dyDescent="0.3"/>
    <row r="12421" x14ac:dyDescent="0.3"/>
    <row r="12422" x14ac:dyDescent="0.3"/>
    <row r="12423" x14ac:dyDescent="0.3"/>
    <row r="12424" x14ac:dyDescent="0.3"/>
    <row r="12425" x14ac:dyDescent="0.3"/>
    <row r="12426" x14ac:dyDescent="0.3"/>
    <row r="12427" x14ac:dyDescent="0.3"/>
    <row r="12428" x14ac:dyDescent="0.3"/>
    <row r="12429" x14ac:dyDescent="0.3"/>
    <row r="12430" x14ac:dyDescent="0.3"/>
    <row r="12431" x14ac:dyDescent="0.3"/>
    <row r="12432" x14ac:dyDescent="0.3"/>
    <row r="12433" x14ac:dyDescent="0.3"/>
    <row r="12434" x14ac:dyDescent="0.3"/>
    <row r="12435" x14ac:dyDescent="0.3"/>
    <row r="12436" x14ac:dyDescent="0.3"/>
    <row r="12437" x14ac:dyDescent="0.3"/>
    <row r="12438" x14ac:dyDescent="0.3"/>
    <row r="12439" x14ac:dyDescent="0.3"/>
    <row r="12440" x14ac:dyDescent="0.3"/>
    <row r="12441" x14ac:dyDescent="0.3"/>
    <row r="12442" x14ac:dyDescent="0.3"/>
    <row r="12443" x14ac:dyDescent="0.3"/>
    <row r="12444" x14ac:dyDescent="0.3"/>
    <row r="12445" x14ac:dyDescent="0.3"/>
    <row r="12446" x14ac:dyDescent="0.3"/>
    <row r="12447" x14ac:dyDescent="0.3"/>
    <row r="12448" x14ac:dyDescent="0.3"/>
    <row r="12449" x14ac:dyDescent="0.3"/>
    <row r="12450" x14ac:dyDescent="0.3"/>
    <row r="12451" x14ac:dyDescent="0.3"/>
    <row r="12452" x14ac:dyDescent="0.3"/>
    <row r="12453" x14ac:dyDescent="0.3"/>
    <row r="12454" x14ac:dyDescent="0.3"/>
    <row r="12455" x14ac:dyDescent="0.3"/>
    <row r="12456" x14ac:dyDescent="0.3"/>
    <row r="12457" x14ac:dyDescent="0.3"/>
    <row r="12458" x14ac:dyDescent="0.3"/>
    <row r="12459" x14ac:dyDescent="0.3"/>
    <row r="12460" x14ac:dyDescent="0.3"/>
    <row r="12461" x14ac:dyDescent="0.3"/>
    <row r="12462" x14ac:dyDescent="0.3"/>
    <row r="12463" x14ac:dyDescent="0.3"/>
    <row r="12464" x14ac:dyDescent="0.3"/>
    <row r="12465" x14ac:dyDescent="0.3"/>
    <row r="12466" x14ac:dyDescent="0.3"/>
    <row r="12467" x14ac:dyDescent="0.3"/>
    <row r="12468" x14ac:dyDescent="0.3"/>
    <row r="12469" x14ac:dyDescent="0.3"/>
    <row r="12470" x14ac:dyDescent="0.3"/>
    <row r="12471" x14ac:dyDescent="0.3"/>
    <row r="12472" x14ac:dyDescent="0.3"/>
    <row r="12473" x14ac:dyDescent="0.3"/>
    <row r="12474" x14ac:dyDescent="0.3"/>
    <row r="12475" x14ac:dyDescent="0.3"/>
    <row r="12476" x14ac:dyDescent="0.3"/>
    <row r="12477" x14ac:dyDescent="0.3"/>
    <row r="12478" x14ac:dyDescent="0.3"/>
    <row r="12479" x14ac:dyDescent="0.3"/>
    <row r="12480" x14ac:dyDescent="0.3"/>
    <row r="12481" x14ac:dyDescent="0.3"/>
    <row r="12482" x14ac:dyDescent="0.3"/>
    <row r="12483" x14ac:dyDescent="0.3"/>
    <row r="12484" x14ac:dyDescent="0.3"/>
    <row r="12485" x14ac:dyDescent="0.3"/>
    <row r="12486" x14ac:dyDescent="0.3"/>
    <row r="12487" x14ac:dyDescent="0.3"/>
    <row r="12488" x14ac:dyDescent="0.3"/>
    <row r="12489" x14ac:dyDescent="0.3"/>
    <row r="12490" x14ac:dyDescent="0.3"/>
    <row r="12491" x14ac:dyDescent="0.3"/>
    <row r="12492" x14ac:dyDescent="0.3"/>
    <row r="12493" x14ac:dyDescent="0.3"/>
    <row r="12494" x14ac:dyDescent="0.3"/>
    <row r="12495" x14ac:dyDescent="0.3"/>
    <row r="12496" x14ac:dyDescent="0.3"/>
    <row r="12497" x14ac:dyDescent="0.3"/>
    <row r="12498" x14ac:dyDescent="0.3"/>
    <row r="12499" x14ac:dyDescent="0.3"/>
    <row r="12500" x14ac:dyDescent="0.3"/>
    <row r="12501" x14ac:dyDescent="0.3"/>
    <row r="12502" x14ac:dyDescent="0.3"/>
    <row r="12503" x14ac:dyDescent="0.3"/>
    <row r="12504" x14ac:dyDescent="0.3"/>
    <row r="12505" x14ac:dyDescent="0.3"/>
    <row r="12506" x14ac:dyDescent="0.3"/>
    <row r="12507" x14ac:dyDescent="0.3"/>
    <row r="12508" x14ac:dyDescent="0.3"/>
    <row r="12509" x14ac:dyDescent="0.3"/>
    <row r="12510" x14ac:dyDescent="0.3"/>
    <row r="12511" x14ac:dyDescent="0.3"/>
    <row r="12512" x14ac:dyDescent="0.3"/>
    <row r="12513" x14ac:dyDescent="0.3"/>
    <row r="12514" x14ac:dyDescent="0.3"/>
    <row r="12515" x14ac:dyDescent="0.3"/>
    <row r="12516" x14ac:dyDescent="0.3"/>
    <row r="12517" x14ac:dyDescent="0.3"/>
    <row r="12518" x14ac:dyDescent="0.3"/>
    <row r="12519" x14ac:dyDescent="0.3"/>
    <row r="12520" x14ac:dyDescent="0.3"/>
    <row r="12521" x14ac:dyDescent="0.3"/>
    <row r="12522" x14ac:dyDescent="0.3"/>
    <row r="12523" x14ac:dyDescent="0.3"/>
    <row r="12524" x14ac:dyDescent="0.3"/>
    <row r="12525" x14ac:dyDescent="0.3"/>
    <row r="12526" x14ac:dyDescent="0.3"/>
    <row r="12527" x14ac:dyDescent="0.3"/>
    <row r="12528" x14ac:dyDescent="0.3"/>
    <row r="12529" x14ac:dyDescent="0.3"/>
    <row r="12530" x14ac:dyDescent="0.3"/>
    <row r="12531" x14ac:dyDescent="0.3"/>
    <row r="12532" x14ac:dyDescent="0.3"/>
    <row r="12533" x14ac:dyDescent="0.3"/>
    <row r="12534" x14ac:dyDescent="0.3"/>
    <row r="12535" x14ac:dyDescent="0.3"/>
    <row r="12536" x14ac:dyDescent="0.3"/>
    <row r="12537" x14ac:dyDescent="0.3"/>
    <row r="12538" x14ac:dyDescent="0.3"/>
    <row r="12539" x14ac:dyDescent="0.3"/>
    <row r="12540" x14ac:dyDescent="0.3"/>
    <row r="12541" x14ac:dyDescent="0.3"/>
    <row r="12542" x14ac:dyDescent="0.3"/>
    <row r="12543" x14ac:dyDescent="0.3"/>
    <row r="12544" x14ac:dyDescent="0.3"/>
    <row r="12545" x14ac:dyDescent="0.3"/>
    <row r="12546" x14ac:dyDescent="0.3"/>
    <row r="12547" x14ac:dyDescent="0.3"/>
    <row r="12548" x14ac:dyDescent="0.3"/>
    <row r="12549" x14ac:dyDescent="0.3"/>
    <row r="12550" x14ac:dyDescent="0.3"/>
    <row r="12551" x14ac:dyDescent="0.3"/>
    <row r="12552" x14ac:dyDescent="0.3"/>
    <row r="12553" x14ac:dyDescent="0.3"/>
    <row r="12554" x14ac:dyDescent="0.3"/>
    <row r="12555" x14ac:dyDescent="0.3"/>
    <row r="12556" x14ac:dyDescent="0.3"/>
    <row r="12557" x14ac:dyDescent="0.3"/>
    <row r="12558" x14ac:dyDescent="0.3"/>
    <row r="12559" x14ac:dyDescent="0.3"/>
    <row r="12560" x14ac:dyDescent="0.3"/>
    <row r="12561" x14ac:dyDescent="0.3"/>
    <row r="12562" x14ac:dyDescent="0.3"/>
    <row r="12563" x14ac:dyDescent="0.3"/>
    <row r="12564" x14ac:dyDescent="0.3"/>
    <row r="12565" x14ac:dyDescent="0.3"/>
    <row r="12566" x14ac:dyDescent="0.3"/>
    <row r="12567" x14ac:dyDescent="0.3"/>
    <row r="12568" x14ac:dyDescent="0.3"/>
    <row r="12569" x14ac:dyDescent="0.3"/>
    <row r="12570" x14ac:dyDescent="0.3"/>
    <row r="12571" x14ac:dyDescent="0.3"/>
    <row r="12572" x14ac:dyDescent="0.3"/>
    <row r="12573" x14ac:dyDescent="0.3"/>
    <row r="12574" x14ac:dyDescent="0.3"/>
    <row r="12575" x14ac:dyDescent="0.3"/>
    <row r="12576" x14ac:dyDescent="0.3"/>
    <row r="12577" x14ac:dyDescent="0.3"/>
    <row r="12578" x14ac:dyDescent="0.3"/>
    <row r="12579" x14ac:dyDescent="0.3"/>
    <row r="12580" x14ac:dyDescent="0.3"/>
    <row r="12581" x14ac:dyDescent="0.3"/>
    <row r="12582" x14ac:dyDescent="0.3"/>
    <row r="12583" x14ac:dyDescent="0.3"/>
    <row r="12584" x14ac:dyDescent="0.3"/>
    <row r="12585" x14ac:dyDescent="0.3"/>
    <row r="12586" x14ac:dyDescent="0.3"/>
    <row r="12587" x14ac:dyDescent="0.3"/>
    <row r="12588" x14ac:dyDescent="0.3"/>
    <row r="12589" x14ac:dyDescent="0.3"/>
    <row r="12590" x14ac:dyDescent="0.3"/>
    <row r="12591" x14ac:dyDescent="0.3"/>
    <row r="12592" x14ac:dyDescent="0.3"/>
    <row r="12593" x14ac:dyDescent="0.3"/>
    <row r="12594" x14ac:dyDescent="0.3"/>
    <row r="12595" x14ac:dyDescent="0.3"/>
    <row r="12596" x14ac:dyDescent="0.3"/>
    <row r="12597" x14ac:dyDescent="0.3"/>
    <row r="12598" x14ac:dyDescent="0.3"/>
    <row r="12599" x14ac:dyDescent="0.3"/>
    <row r="12600" x14ac:dyDescent="0.3"/>
    <row r="12601" x14ac:dyDescent="0.3"/>
    <row r="12602" x14ac:dyDescent="0.3"/>
    <row r="12603" x14ac:dyDescent="0.3"/>
    <row r="12604" x14ac:dyDescent="0.3"/>
    <row r="12605" x14ac:dyDescent="0.3"/>
    <row r="12606" x14ac:dyDescent="0.3"/>
    <row r="12607" x14ac:dyDescent="0.3"/>
    <row r="12608" x14ac:dyDescent="0.3"/>
    <row r="12609" x14ac:dyDescent="0.3"/>
    <row r="12610" x14ac:dyDescent="0.3"/>
    <row r="12611" x14ac:dyDescent="0.3"/>
    <row r="12612" x14ac:dyDescent="0.3"/>
    <row r="12613" x14ac:dyDescent="0.3"/>
    <row r="12614" x14ac:dyDescent="0.3"/>
    <row r="12615" x14ac:dyDescent="0.3"/>
    <row r="12616" x14ac:dyDescent="0.3"/>
    <row r="12617" x14ac:dyDescent="0.3"/>
    <row r="12618" x14ac:dyDescent="0.3"/>
    <row r="12619" x14ac:dyDescent="0.3"/>
    <row r="12620" x14ac:dyDescent="0.3"/>
    <row r="12621" x14ac:dyDescent="0.3"/>
    <row r="12622" x14ac:dyDescent="0.3"/>
    <row r="12623" x14ac:dyDescent="0.3"/>
    <row r="12624" x14ac:dyDescent="0.3"/>
    <row r="12625" x14ac:dyDescent="0.3"/>
    <row r="12626" x14ac:dyDescent="0.3"/>
    <row r="12627" x14ac:dyDescent="0.3"/>
    <row r="12628" x14ac:dyDescent="0.3"/>
    <row r="12629" x14ac:dyDescent="0.3"/>
    <row r="12630" x14ac:dyDescent="0.3"/>
    <row r="12631" x14ac:dyDescent="0.3"/>
    <row r="12632" x14ac:dyDescent="0.3"/>
    <row r="12633" x14ac:dyDescent="0.3"/>
    <row r="12634" x14ac:dyDescent="0.3"/>
    <row r="12635" x14ac:dyDescent="0.3"/>
    <row r="12636" x14ac:dyDescent="0.3"/>
    <row r="12637" x14ac:dyDescent="0.3"/>
    <row r="12638" x14ac:dyDescent="0.3"/>
    <row r="12639" x14ac:dyDescent="0.3"/>
    <row r="12640" x14ac:dyDescent="0.3"/>
    <row r="12641" x14ac:dyDescent="0.3"/>
    <row r="12642" x14ac:dyDescent="0.3"/>
    <row r="12643" x14ac:dyDescent="0.3"/>
    <row r="12644" x14ac:dyDescent="0.3"/>
    <row r="12645" x14ac:dyDescent="0.3"/>
    <row r="12646" x14ac:dyDescent="0.3"/>
    <row r="12647" x14ac:dyDescent="0.3"/>
    <row r="12648" x14ac:dyDescent="0.3"/>
    <row r="12649" x14ac:dyDescent="0.3"/>
    <row r="12650" x14ac:dyDescent="0.3"/>
    <row r="12651" x14ac:dyDescent="0.3"/>
    <row r="12652" x14ac:dyDescent="0.3"/>
    <row r="12653" x14ac:dyDescent="0.3"/>
    <row r="12654" x14ac:dyDescent="0.3"/>
    <row r="12655" x14ac:dyDescent="0.3"/>
    <row r="12656" x14ac:dyDescent="0.3"/>
    <row r="12657" x14ac:dyDescent="0.3"/>
    <row r="12658" x14ac:dyDescent="0.3"/>
    <row r="12659" x14ac:dyDescent="0.3"/>
    <row r="12660" x14ac:dyDescent="0.3"/>
    <row r="12661" x14ac:dyDescent="0.3"/>
    <row r="12662" x14ac:dyDescent="0.3"/>
    <row r="12663" x14ac:dyDescent="0.3"/>
    <row r="12664" x14ac:dyDescent="0.3"/>
    <row r="12665" x14ac:dyDescent="0.3"/>
    <row r="12666" x14ac:dyDescent="0.3"/>
    <row r="12667" x14ac:dyDescent="0.3"/>
    <row r="12668" x14ac:dyDescent="0.3"/>
    <row r="12669" x14ac:dyDescent="0.3"/>
    <row r="12670" x14ac:dyDescent="0.3"/>
    <row r="12671" x14ac:dyDescent="0.3"/>
    <row r="12672" x14ac:dyDescent="0.3"/>
    <row r="12673" x14ac:dyDescent="0.3"/>
    <row r="12674" x14ac:dyDescent="0.3"/>
    <row r="12675" x14ac:dyDescent="0.3"/>
    <row r="12676" x14ac:dyDescent="0.3"/>
    <row r="12677" x14ac:dyDescent="0.3"/>
    <row r="12678" x14ac:dyDescent="0.3"/>
    <row r="12679" x14ac:dyDescent="0.3"/>
    <row r="12680" x14ac:dyDescent="0.3"/>
    <row r="12681" x14ac:dyDescent="0.3"/>
    <row r="12682" x14ac:dyDescent="0.3"/>
    <row r="12683" x14ac:dyDescent="0.3"/>
    <row r="12684" x14ac:dyDescent="0.3"/>
    <row r="12685" x14ac:dyDescent="0.3"/>
    <row r="12686" x14ac:dyDescent="0.3"/>
    <row r="12687" x14ac:dyDescent="0.3"/>
    <row r="12688" x14ac:dyDescent="0.3"/>
    <row r="12689" x14ac:dyDescent="0.3"/>
    <row r="12690" x14ac:dyDescent="0.3"/>
    <row r="12691" x14ac:dyDescent="0.3"/>
    <row r="12692" x14ac:dyDescent="0.3"/>
    <row r="12693" x14ac:dyDescent="0.3"/>
    <row r="12694" x14ac:dyDescent="0.3"/>
    <row r="12695" x14ac:dyDescent="0.3"/>
    <row r="12696" x14ac:dyDescent="0.3"/>
    <row r="12697" x14ac:dyDescent="0.3"/>
    <row r="12698" x14ac:dyDescent="0.3"/>
    <row r="12699" x14ac:dyDescent="0.3"/>
    <row r="12700" x14ac:dyDescent="0.3"/>
    <row r="12701" x14ac:dyDescent="0.3"/>
    <row r="12702" x14ac:dyDescent="0.3"/>
    <row r="12703" x14ac:dyDescent="0.3"/>
    <row r="12704" x14ac:dyDescent="0.3"/>
    <row r="12705" x14ac:dyDescent="0.3"/>
    <row r="12706" x14ac:dyDescent="0.3"/>
    <row r="12707" x14ac:dyDescent="0.3"/>
    <row r="12708" x14ac:dyDescent="0.3"/>
    <row r="12709" x14ac:dyDescent="0.3"/>
    <row r="12710" x14ac:dyDescent="0.3"/>
    <row r="12711" x14ac:dyDescent="0.3"/>
    <row r="12712" x14ac:dyDescent="0.3"/>
    <row r="12713" x14ac:dyDescent="0.3"/>
    <row r="12714" x14ac:dyDescent="0.3"/>
    <row r="12715" x14ac:dyDescent="0.3"/>
    <row r="12716" x14ac:dyDescent="0.3"/>
    <row r="12717" x14ac:dyDescent="0.3"/>
    <row r="12718" x14ac:dyDescent="0.3"/>
    <row r="12719" x14ac:dyDescent="0.3"/>
    <row r="12720" x14ac:dyDescent="0.3"/>
    <row r="12721" x14ac:dyDescent="0.3"/>
    <row r="12722" x14ac:dyDescent="0.3"/>
    <row r="12723" x14ac:dyDescent="0.3"/>
    <row r="12724" x14ac:dyDescent="0.3"/>
    <row r="12725" x14ac:dyDescent="0.3"/>
    <row r="12726" x14ac:dyDescent="0.3"/>
    <row r="12727" x14ac:dyDescent="0.3"/>
    <row r="12728" x14ac:dyDescent="0.3"/>
    <row r="12729" x14ac:dyDescent="0.3"/>
    <row r="12730" x14ac:dyDescent="0.3"/>
    <row r="12731" x14ac:dyDescent="0.3"/>
    <row r="12732" x14ac:dyDescent="0.3"/>
    <row r="12733" x14ac:dyDescent="0.3"/>
    <row r="12734" x14ac:dyDescent="0.3"/>
    <row r="12735" x14ac:dyDescent="0.3"/>
    <row r="12736" x14ac:dyDescent="0.3"/>
    <row r="12737" x14ac:dyDescent="0.3"/>
    <row r="12738" x14ac:dyDescent="0.3"/>
    <row r="12739" x14ac:dyDescent="0.3"/>
    <row r="12740" x14ac:dyDescent="0.3"/>
    <row r="12741" x14ac:dyDescent="0.3"/>
    <row r="12742" x14ac:dyDescent="0.3"/>
    <row r="12743" x14ac:dyDescent="0.3"/>
    <row r="12744" x14ac:dyDescent="0.3"/>
    <row r="12745" x14ac:dyDescent="0.3"/>
    <row r="12746" x14ac:dyDescent="0.3"/>
    <row r="12747" x14ac:dyDescent="0.3"/>
    <row r="12748" x14ac:dyDescent="0.3"/>
    <row r="12749" x14ac:dyDescent="0.3"/>
    <row r="12750" x14ac:dyDescent="0.3"/>
    <row r="12751" x14ac:dyDescent="0.3"/>
    <row r="12752" x14ac:dyDescent="0.3"/>
    <row r="12753" x14ac:dyDescent="0.3"/>
    <row r="12754" x14ac:dyDescent="0.3"/>
    <row r="12755" x14ac:dyDescent="0.3"/>
    <row r="12756" x14ac:dyDescent="0.3"/>
    <row r="12757" x14ac:dyDescent="0.3"/>
    <row r="12758" x14ac:dyDescent="0.3"/>
    <row r="12759" x14ac:dyDescent="0.3"/>
    <row r="12760" x14ac:dyDescent="0.3"/>
    <row r="12761" x14ac:dyDescent="0.3"/>
    <row r="12762" x14ac:dyDescent="0.3"/>
    <row r="12763" x14ac:dyDescent="0.3"/>
    <row r="12764" x14ac:dyDescent="0.3"/>
    <row r="12765" x14ac:dyDescent="0.3"/>
    <row r="12766" x14ac:dyDescent="0.3"/>
    <row r="12767" x14ac:dyDescent="0.3"/>
    <row r="12768" x14ac:dyDescent="0.3"/>
    <row r="12769" x14ac:dyDescent="0.3"/>
    <row r="12770" x14ac:dyDescent="0.3"/>
    <row r="12771" x14ac:dyDescent="0.3"/>
    <row r="12772" x14ac:dyDescent="0.3"/>
    <row r="12773" x14ac:dyDescent="0.3"/>
    <row r="12774" x14ac:dyDescent="0.3"/>
    <row r="12775" x14ac:dyDescent="0.3"/>
    <row r="12776" x14ac:dyDescent="0.3"/>
    <row r="12777" x14ac:dyDescent="0.3"/>
    <row r="12778" x14ac:dyDescent="0.3"/>
    <row r="12779" x14ac:dyDescent="0.3"/>
    <row r="12780" x14ac:dyDescent="0.3"/>
    <row r="12781" x14ac:dyDescent="0.3"/>
    <row r="12782" x14ac:dyDescent="0.3"/>
    <row r="12783" x14ac:dyDescent="0.3"/>
    <row r="12784" x14ac:dyDescent="0.3"/>
    <row r="12785" x14ac:dyDescent="0.3"/>
    <row r="12786" x14ac:dyDescent="0.3"/>
    <row r="12787" x14ac:dyDescent="0.3"/>
    <row r="12788" x14ac:dyDescent="0.3"/>
    <row r="12789" x14ac:dyDescent="0.3"/>
    <row r="12790" x14ac:dyDescent="0.3"/>
    <row r="12791" x14ac:dyDescent="0.3"/>
    <row r="12792" x14ac:dyDescent="0.3"/>
    <row r="12793" x14ac:dyDescent="0.3"/>
    <row r="12794" x14ac:dyDescent="0.3"/>
    <row r="12795" x14ac:dyDescent="0.3"/>
    <row r="12796" x14ac:dyDescent="0.3"/>
    <row r="12797" x14ac:dyDescent="0.3"/>
    <row r="12798" x14ac:dyDescent="0.3"/>
    <row r="12799" x14ac:dyDescent="0.3"/>
    <row r="12800" x14ac:dyDescent="0.3"/>
    <row r="12801" x14ac:dyDescent="0.3"/>
    <row r="12802" x14ac:dyDescent="0.3"/>
    <row r="12803" x14ac:dyDescent="0.3"/>
    <row r="12804" x14ac:dyDescent="0.3"/>
    <row r="12805" x14ac:dyDescent="0.3"/>
    <row r="12806" x14ac:dyDescent="0.3"/>
    <row r="12807" x14ac:dyDescent="0.3"/>
    <row r="12808" x14ac:dyDescent="0.3"/>
    <row r="12809" x14ac:dyDescent="0.3"/>
    <row r="12810" x14ac:dyDescent="0.3"/>
    <row r="12811" x14ac:dyDescent="0.3"/>
    <row r="12812" x14ac:dyDescent="0.3"/>
    <row r="12813" x14ac:dyDescent="0.3"/>
    <row r="12814" x14ac:dyDescent="0.3"/>
    <row r="12815" x14ac:dyDescent="0.3"/>
    <row r="12816" x14ac:dyDescent="0.3"/>
    <row r="12817" x14ac:dyDescent="0.3"/>
    <row r="12818" x14ac:dyDescent="0.3"/>
    <row r="12819" x14ac:dyDescent="0.3"/>
    <row r="12820" x14ac:dyDescent="0.3"/>
    <row r="12821" x14ac:dyDescent="0.3"/>
    <row r="12822" x14ac:dyDescent="0.3"/>
    <row r="12823" x14ac:dyDescent="0.3"/>
    <row r="12824" x14ac:dyDescent="0.3"/>
    <row r="12825" x14ac:dyDescent="0.3"/>
    <row r="12826" x14ac:dyDescent="0.3"/>
    <row r="12827" x14ac:dyDescent="0.3"/>
    <row r="12828" x14ac:dyDescent="0.3"/>
    <row r="12829" x14ac:dyDescent="0.3"/>
    <row r="12830" x14ac:dyDescent="0.3"/>
    <row r="12831" x14ac:dyDescent="0.3"/>
    <row r="12832" x14ac:dyDescent="0.3"/>
    <row r="12833" x14ac:dyDescent="0.3"/>
    <row r="12834" x14ac:dyDescent="0.3"/>
    <row r="12835" x14ac:dyDescent="0.3"/>
    <row r="12836" x14ac:dyDescent="0.3"/>
    <row r="12837" x14ac:dyDescent="0.3"/>
    <row r="12838" x14ac:dyDescent="0.3"/>
    <row r="12839" x14ac:dyDescent="0.3"/>
    <row r="12840" x14ac:dyDescent="0.3"/>
    <row r="12841" x14ac:dyDescent="0.3"/>
    <row r="12842" x14ac:dyDescent="0.3"/>
    <row r="12843" x14ac:dyDescent="0.3"/>
    <row r="12844" x14ac:dyDescent="0.3"/>
    <row r="12845" x14ac:dyDescent="0.3"/>
    <row r="12846" x14ac:dyDescent="0.3"/>
    <row r="12847" x14ac:dyDescent="0.3"/>
    <row r="12848" x14ac:dyDescent="0.3"/>
    <row r="12849" x14ac:dyDescent="0.3"/>
    <row r="12850" x14ac:dyDescent="0.3"/>
    <row r="12851" x14ac:dyDescent="0.3"/>
    <row r="12852" x14ac:dyDescent="0.3"/>
    <row r="12853" x14ac:dyDescent="0.3"/>
    <row r="12854" x14ac:dyDescent="0.3"/>
    <row r="12855" x14ac:dyDescent="0.3"/>
    <row r="12856" x14ac:dyDescent="0.3"/>
    <row r="12857" x14ac:dyDescent="0.3"/>
    <row r="12858" x14ac:dyDescent="0.3"/>
    <row r="12859" x14ac:dyDescent="0.3"/>
    <row r="12860" x14ac:dyDescent="0.3"/>
    <row r="12861" x14ac:dyDescent="0.3"/>
    <row r="12862" x14ac:dyDescent="0.3"/>
    <row r="12863" x14ac:dyDescent="0.3"/>
    <row r="12864" x14ac:dyDescent="0.3"/>
    <row r="12865" x14ac:dyDescent="0.3"/>
    <row r="12866" x14ac:dyDescent="0.3"/>
    <row r="12867" x14ac:dyDescent="0.3"/>
    <row r="12868" x14ac:dyDescent="0.3"/>
    <row r="12869" x14ac:dyDescent="0.3"/>
    <row r="12870" x14ac:dyDescent="0.3"/>
    <row r="12871" x14ac:dyDescent="0.3"/>
    <row r="12872" x14ac:dyDescent="0.3"/>
    <row r="12873" x14ac:dyDescent="0.3"/>
    <row r="12874" x14ac:dyDescent="0.3"/>
    <row r="12875" x14ac:dyDescent="0.3"/>
    <row r="12876" x14ac:dyDescent="0.3"/>
    <row r="12877" x14ac:dyDescent="0.3"/>
    <row r="12878" x14ac:dyDescent="0.3"/>
    <row r="12879" x14ac:dyDescent="0.3"/>
    <row r="12880" x14ac:dyDescent="0.3"/>
    <row r="12881" x14ac:dyDescent="0.3"/>
    <row r="12882" x14ac:dyDescent="0.3"/>
    <row r="12883" x14ac:dyDescent="0.3"/>
    <row r="12884" x14ac:dyDescent="0.3"/>
    <row r="12885" x14ac:dyDescent="0.3"/>
    <row r="12886" x14ac:dyDescent="0.3"/>
    <row r="12887" x14ac:dyDescent="0.3"/>
    <row r="12888" x14ac:dyDescent="0.3"/>
    <row r="12889" x14ac:dyDescent="0.3"/>
    <row r="12890" x14ac:dyDescent="0.3"/>
    <row r="12891" x14ac:dyDescent="0.3"/>
    <row r="12892" x14ac:dyDescent="0.3"/>
    <row r="12893" x14ac:dyDescent="0.3"/>
    <row r="12894" x14ac:dyDescent="0.3"/>
    <row r="12895" x14ac:dyDescent="0.3"/>
    <row r="12896" x14ac:dyDescent="0.3"/>
    <row r="12897" x14ac:dyDescent="0.3"/>
    <row r="12898" x14ac:dyDescent="0.3"/>
    <row r="12899" x14ac:dyDescent="0.3"/>
    <row r="12900" x14ac:dyDescent="0.3"/>
    <row r="12901" x14ac:dyDescent="0.3"/>
    <row r="12902" x14ac:dyDescent="0.3"/>
    <row r="12903" x14ac:dyDescent="0.3"/>
    <row r="12904" x14ac:dyDescent="0.3"/>
    <row r="12905" x14ac:dyDescent="0.3"/>
    <row r="12906" x14ac:dyDescent="0.3"/>
    <row r="12907" x14ac:dyDescent="0.3"/>
    <row r="12908" x14ac:dyDescent="0.3"/>
    <row r="12909" x14ac:dyDescent="0.3"/>
    <row r="12910" x14ac:dyDescent="0.3"/>
    <row r="12911" x14ac:dyDescent="0.3"/>
    <row r="12912" x14ac:dyDescent="0.3"/>
    <row r="12913" x14ac:dyDescent="0.3"/>
    <row r="12914" x14ac:dyDescent="0.3"/>
    <row r="12915" x14ac:dyDescent="0.3"/>
    <row r="12916" x14ac:dyDescent="0.3"/>
    <row r="12917" x14ac:dyDescent="0.3"/>
    <row r="12918" x14ac:dyDescent="0.3"/>
    <row r="12919" x14ac:dyDescent="0.3"/>
    <row r="12920" x14ac:dyDescent="0.3"/>
    <row r="12921" x14ac:dyDescent="0.3"/>
    <row r="12922" x14ac:dyDescent="0.3"/>
    <row r="12923" x14ac:dyDescent="0.3"/>
    <row r="12924" x14ac:dyDescent="0.3"/>
    <row r="12925" x14ac:dyDescent="0.3"/>
    <row r="12926" x14ac:dyDescent="0.3"/>
    <row r="12927" x14ac:dyDescent="0.3"/>
    <row r="12928" x14ac:dyDescent="0.3"/>
    <row r="12929" x14ac:dyDescent="0.3"/>
    <row r="12930" x14ac:dyDescent="0.3"/>
    <row r="12931" x14ac:dyDescent="0.3"/>
    <row r="12932" x14ac:dyDescent="0.3"/>
    <row r="12933" x14ac:dyDescent="0.3"/>
    <row r="12934" x14ac:dyDescent="0.3"/>
    <row r="12935" x14ac:dyDescent="0.3"/>
    <row r="12936" x14ac:dyDescent="0.3"/>
    <row r="12937" x14ac:dyDescent="0.3"/>
    <row r="12938" x14ac:dyDescent="0.3"/>
    <row r="12939" x14ac:dyDescent="0.3"/>
    <row r="12940" x14ac:dyDescent="0.3"/>
    <row r="12941" x14ac:dyDescent="0.3"/>
    <row r="12942" x14ac:dyDescent="0.3"/>
    <row r="12943" x14ac:dyDescent="0.3"/>
    <row r="12944" x14ac:dyDescent="0.3"/>
    <row r="12945" x14ac:dyDescent="0.3"/>
    <row r="12946" x14ac:dyDescent="0.3"/>
    <row r="12947" x14ac:dyDescent="0.3"/>
    <row r="12948" x14ac:dyDescent="0.3"/>
    <row r="12949" x14ac:dyDescent="0.3"/>
    <row r="12950" x14ac:dyDescent="0.3"/>
    <row r="12951" x14ac:dyDescent="0.3"/>
    <row r="12952" x14ac:dyDescent="0.3"/>
    <row r="12953" x14ac:dyDescent="0.3"/>
    <row r="12954" x14ac:dyDescent="0.3"/>
    <row r="12955" x14ac:dyDescent="0.3"/>
    <row r="12956" x14ac:dyDescent="0.3"/>
    <row r="12957" x14ac:dyDescent="0.3"/>
    <row r="12958" x14ac:dyDescent="0.3"/>
    <row r="12959" x14ac:dyDescent="0.3"/>
    <row r="12960" x14ac:dyDescent="0.3"/>
    <row r="12961" x14ac:dyDescent="0.3"/>
    <row r="12962" x14ac:dyDescent="0.3"/>
    <row r="12963" x14ac:dyDescent="0.3"/>
    <row r="12964" x14ac:dyDescent="0.3"/>
    <row r="12965" x14ac:dyDescent="0.3"/>
    <row r="12966" x14ac:dyDescent="0.3"/>
    <row r="12967" x14ac:dyDescent="0.3"/>
    <row r="12968" x14ac:dyDescent="0.3"/>
    <row r="12969" x14ac:dyDescent="0.3"/>
    <row r="12970" x14ac:dyDescent="0.3"/>
    <row r="12971" x14ac:dyDescent="0.3"/>
    <row r="12972" x14ac:dyDescent="0.3"/>
    <row r="12973" x14ac:dyDescent="0.3"/>
    <row r="12974" x14ac:dyDescent="0.3"/>
    <row r="12975" x14ac:dyDescent="0.3"/>
    <row r="12976" x14ac:dyDescent="0.3"/>
    <row r="12977" x14ac:dyDescent="0.3"/>
    <row r="12978" x14ac:dyDescent="0.3"/>
    <row r="12979" x14ac:dyDescent="0.3"/>
    <row r="12980" x14ac:dyDescent="0.3"/>
    <row r="12981" x14ac:dyDescent="0.3"/>
    <row r="12982" x14ac:dyDescent="0.3"/>
    <row r="12983" x14ac:dyDescent="0.3"/>
    <row r="12984" x14ac:dyDescent="0.3"/>
    <row r="12985" x14ac:dyDescent="0.3"/>
    <row r="12986" x14ac:dyDescent="0.3"/>
    <row r="12987" x14ac:dyDescent="0.3"/>
    <row r="12988" x14ac:dyDescent="0.3"/>
    <row r="12989" x14ac:dyDescent="0.3"/>
    <row r="12990" x14ac:dyDescent="0.3"/>
    <row r="12991" x14ac:dyDescent="0.3"/>
    <row r="12992" x14ac:dyDescent="0.3"/>
    <row r="12993" x14ac:dyDescent="0.3"/>
    <row r="12994" x14ac:dyDescent="0.3"/>
    <row r="12995" x14ac:dyDescent="0.3"/>
    <row r="12996" x14ac:dyDescent="0.3"/>
    <row r="12997" x14ac:dyDescent="0.3"/>
    <row r="12998" x14ac:dyDescent="0.3"/>
    <row r="12999" x14ac:dyDescent="0.3"/>
    <row r="13000" x14ac:dyDescent="0.3"/>
    <row r="13001" x14ac:dyDescent="0.3"/>
    <row r="13002" x14ac:dyDescent="0.3"/>
    <row r="13003" x14ac:dyDescent="0.3"/>
    <row r="13004" x14ac:dyDescent="0.3"/>
    <row r="13005" x14ac:dyDescent="0.3"/>
    <row r="13006" x14ac:dyDescent="0.3"/>
    <row r="13007" x14ac:dyDescent="0.3"/>
    <row r="13008" x14ac:dyDescent="0.3"/>
    <row r="13009" x14ac:dyDescent="0.3"/>
    <row r="13010" x14ac:dyDescent="0.3"/>
    <row r="13011" x14ac:dyDescent="0.3"/>
    <row r="13012" x14ac:dyDescent="0.3"/>
    <row r="13013" x14ac:dyDescent="0.3"/>
    <row r="13014" x14ac:dyDescent="0.3"/>
    <row r="13015" x14ac:dyDescent="0.3"/>
    <row r="13016" x14ac:dyDescent="0.3"/>
    <row r="13017" x14ac:dyDescent="0.3"/>
    <row r="13018" x14ac:dyDescent="0.3"/>
    <row r="13019" x14ac:dyDescent="0.3"/>
    <row r="13020" x14ac:dyDescent="0.3"/>
    <row r="13021" x14ac:dyDescent="0.3"/>
    <row r="13022" x14ac:dyDescent="0.3"/>
    <row r="13023" x14ac:dyDescent="0.3"/>
    <row r="13024" x14ac:dyDescent="0.3"/>
    <row r="13025" x14ac:dyDescent="0.3"/>
    <row r="13026" x14ac:dyDescent="0.3"/>
    <row r="13027" x14ac:dyDescent="0.3"/>
    <row r="13028" x14ac:dyDescent="0.3"/>
    <row r="13029" x14ac:dyDescent="0.3"/>
    <row r="13030" x14ac:dyDescent="0.3"/>
    <row r="13031" x14ac:dyDescent="0.3"/>
    <row r="13032" x14ac:dyDescent="0.3"/>
    <row r="13033" x14ac:dyDescent="0.3"/>
    <row r="13034" x14ac:dyDescent="0.3"/>
    <row r="13035" x14ac:dyDescent="0.3"/>
    <row r="13036" x14ac:dyDescent="0.3"/>
    <row r="13037" x14ac:dyDescent="0.3"/>
    <row r="13038" x14ac:dyDescent="0.3"/>
    <row r="13039" x14ac:dyDescent="0.3"/>
    <row r="13040" x14ac:dyDescent="0.3"/>
    <row r="13041" x14ac:dyDescent="0.3"/>
    <row r="13042" x14ac:dyDescent="0.3"/>
    <row r="13043" x14ac:dyDescent="0.3"/>
    <row r="13044" x14ac:dyDescent="0.3"/>
    <row r="13045" x14ac:dyDescent="0.3"/>
    <row r="13046" x14ac:dyDescent="0.3"/>
    <row r="13047" x14ac:dyDescent="0.3"/>
    <row r="13048" x14ac:dyDescent="0.3"/>
    <row r="13049" x14ac:dyDescent="0.3"/>
    <row r="13050" x14ac:dyDescent="0.3"/>
    <row r="13051" x14ac:dyDescent="0.3"/>
    <row r="13052" x14ac:dyDescent="0.3"/>
    <row r="13053" x14ac:dyDescent="0.3"/>
    <row r="13054" x14ac:dyDescent="0.3"/>
    <row r="13055" x14ac:dyDescent="0.3"/>
    <row r="13056" x14ac:dyDescent="0.3"/>
    <row r="13057" x14ac:dyDescent="0.3"/>
    <row r="13058" x14ac:dyDescent="0.3"/>
    <row r="13059" x14ac:dyDescent="0.3"/>
    <row r="13060" x14ac:dyDescent="0.3"/>
    <row r="13061" x14ac:dyDescent="0.3"/>
    <row r="13062" x14ac:dyDescent="0.3"/>
    <row r="13063" x14ac:dyDescent="0.3"/>
    <row r="13064" x14ac:dyDescent="0.3"/>
    <row r="13065" x14ac:dyDescent="0.3"/>
    <row r="13066" x14ac:dyDescent="0.3"/>
    <row r="13067" x14ac:dyDescent="0.3"/>
    <row r="13068" x14ac:dyDescent="0.3"/>
    <row r="13069" x14ac:dyDescent="0.3"/>
    <row r="13070" x14ac:dyDescent="0.3"/>
    <row r="13071" x14ac:dyDescent="0.3"/>
    <row r="13072" x14ac:dyDescent="0.3"/>
    <row r="13073" x14ac:dyDescent="0.3"/>
    <row r="13074" x14ac:dyDescent="0.3"/>
    <row r="13075" x14ac:dyDescent="0.3"/>
    <row r="13076" x14ac:dyDescent="0.3"/>
    <row r="13077" x14ac:dyDescent="0.3"/>
    <row r="13078" x14ac:dyDescent="0.3"/>
    <row r="13079" x14ac:dyDescent="0.3"/>
    <row r="13080" x14ac:dyDescent="0.3"/>
    <row r="13081" x14ac:dyDescent="0.3"/>
    <row r="13082" x14ac:dyDescent="0.3"/>
    <row r="13083" x14ac:dyDescent="0.3"/>
    <row r="13084" x14ac:dyDescent="0.3"/>
    <row r="13085" x14ac:dyDescent="0.3"/>
    <row r="13086" x14ac:dyDescent="0.3"/>
    <row r="13087" x14ac:dyDescent="0.3"/>
    <row r="13088" x14ac:dyDescent="0.3"/>
    <row r="13089" x14ac:dyDescent="0.3"/>
    <row r="13090" x14ac:dyDescent="0.3"/>
    <row r="13091" x14ac:dyDescent="0.3"/>
    <row r="13092" x14ac:dyDescent="0.3"/>
    <row r="13093" x14ac:dyDescent="0.3"/>
    <row r="13094" x14ac:dyDescent="0.3"/>
    <row r="13095" x14ac:dyDescent="0.3"/>
    <row r="13096" x14ac:dyDescent="0.3"/>
    <row r="13097" x14ac:dyDescent="0.3"/>
    <row r="13098" x14ac:dyDescent="0.3"/>
    <row r="13099" x14ac:dyDescent="0.3"/>
    <row r="13100" x14ac:dyDescent="0.3"/>
    <row r="13101" x14ac:dyDescent="0.3"/>
    <row r="13102" x14ac:dyDescent="0.3"/>
    <row r="13103" x14ac:dyDescent="0.3"/>
    <row r="13104" x14ac:dyDescent="0.3"/>
    <row r="13105" x14ac:dyDescent="0.3"/>
    <row r="13106" x14ac:dyDescent="0.3"/>
    <row r="13107" x14ac:dyDescent="0.3"/>
    <row r="13108" x14ac:dyDescent="0.3"/>
    <row r="13109" x14ac:dyDescent="0.3"/>
    <row r="13110" x14ac:dyDescent="0.3"/>
    <row r="13111" x14ac:dyDescent="0.3"/>
    <row r="13112" x14ac:dyDescent="0.3"/>
    <row r="13113" x14ac:dyDescent="0.3"/>
    <row r="13114" x14ac:dyDescent="0.3"/>
    <row r="13115" x14ac:dyDescent="0.3"/>
    <row r="13116" x14ac:dyDescent="0.3"/>
    <row r="13117" x14ac:dyDescent="0.3"/>
    <row r="13118" x14ac:dyDescent="0.3"/>
    <row r="13119" x14ac:dyDescent="0.3"/>
    <row r="13120" x14ac:dyDescent="0.3"/>
    <row r="13121" x14ac:dyDescent="0.3"/>
    <row r="13122" x14ac:dyDescent="0.3"/>
    <row r="13123" x14ac:dyDescent="0.3"/>
    <row r="13124" x14ac:dyDescent="0.3"/>
    <row r="13125" x14ac:dyDescent="0.3"/>
    <row r="13126" x14ac:dyDescent="0.3"/>
    <row r="13127" x14ac:dyDescent="0.3"/>
    <row r="13128" x14ac:dyDescent="0.3"/>
    <row r="13129" x14ac:dyDescent="0.3"/>
    <row r="13130" x14ac:dyDescent="0.3"/>
    <row r="13131" x14ac:dyDescent="0.3"/>
    <row r="13132" x14ac:dyDescent="0.3"/>
    <row r="13133" x14ac:dyDescent="0.3"/>
    <row r="13134" x14ac:dyDescent="0.3"/>
    <row r="13135" x14ac:dyDescent="0.3"/>
    <row r="13136" x14ac:dyDescent="0.3"/>
    <row r="13137" x14ac:dyDescent="0.3"/>
    <row r="13138" x14ac:dyDescent="0.3"/>
    <row r="13139" x14ac:dyDescent="0.3"/>
    <row r="13140" x14ac:dyDescent="0.3"/>
    <row r="13141" x14ac:dyDescent="0.3"/>
    <row r="13142" x14ac:dyDescent="0.3"/>
    <row r="13143" x14ac:dyDescent="0.3"/>
    <row r="13144" x14ac:dyDescent="0.3"/>
    <row r="13145" x14ac:dyDescent="0.3"/>
    <row r="13146" x14ac:dyDescent="0.3"/>
    <row r="13147" x14ac:dyDescent="0.3"/>
    <row r="13148" x14ac:dyDescent="0.3"/>
    <row r="13149" x14ac:dyDescent="0.3"/>
    <row r="13150" x14ac:dyDescent="0.3"/>
    <row r="13151" x14ac:dyDescent="0.3"/>
    <row r="13152" x14ac:dyDescent="0.3"/>
    <row r="13153" x14ac:dyDescent="0.3"/>
    <row r="13154" x14ac:dyDescent="0.3"/>
    <row r="13155" x14ac:dyDescent="0.3"/>
    <row r="13156" x14ac:dyDescent="0.3"/>
    <row r="13157" x14ac:dyDescent="0.3"/>
    <row r="13158" x14ac:dyDescent="0.3"/>
    <row r="13159" x14ac:dyDescent="0.3"/>
    <row r="13160" x14ac:dyDescent="0.3"/>
    <row r="13161" x14ac:dyDescent="0.3"/>
    <row r="13162" x14ac:dyDescent="0.3"/>
    <row r="13163" x14ac:dyDescent="0.3"/>
    <row r="13164" x14ac:dyDescent="0.3"/>
    <row r="13165" x14ac:dyDescent="0.3"/>
    <row r="13166" x14ac:dyDescent="0.3"/>
    <row r="13167" x14ac:dyDescent="0.3"/>
    <row r="13168" x14ac:dyDescent="0.3"/>
    <row r="13169" x14ac:dyDescent="0.3"/>
    <row r="13170" x14ac:dyDescent="0.3"/>
    <row r="13171" x14ac:dyDescent="0.3"/>
    <row r="13172" x14ac:dyDescent="0.3"/>
    <row r="13173" x14ac:dyDescent="0.3"/>
    <row r="13174" x14ac:dyDescent="0.3"/>
    <row r="13175" x14ac:dyDescent="0.3"/>
    <row r="13176" x14ac:dyDescent="0.3"/>
    <row r="13177" x14ac:dyDescent="0.3"/>
    <row r="13178" x14ac:dyDescent="0.3"/>
    <row r="13179" x14ac:dyDescent="0.3"/>
    <row r="13180" x14ac:dyDescent="0.3"/>
    <row r="13181" x14ac:dyDescent="0.3"/>
    <row r="13182" x14ac:dyDescent="0.3"/>
    <row r="13183" x14ac:dyDescent="0.3"/>
    <row r="13184" x14ac:dyDescent="0.3"/>
    <row r="13185" x14ac:dyDescent="0.3"/>
    <row r="13186" x14ac:dyDescent="0.3"/>
    <row r="13187" x14ac:dyDescent="0.3"/>
    <row r="13188" x14ac:dyDescent="0.3"/>
    <row r="13189" x14ac:dyDescent="0.3"/>
    <row r="13190" x14ac:dyDescent="0.3"/>
    <row r="13191" x14ac:dyDescent="0.3"/>
    <row r="13192" x14ac:dyDescent="0.3"/>
    <row r="13193" x14ac:dyDescent="0.3"/>
    <row r="13194" x14ac:dyDescent="0.3"/>
    <row r="13195" x14ac:dyDescent="0.3"/>
    <row r="13196" x14ac:dyDescent="0.3"/>
    <row r="13197" x14ac:dyDescent="0.3"/>
    <row r="13198" x14ac:dyDescent="0.3"/>
    <row r="13199" x14ac:dyDescent="0.3"/>
    <row r="13200" x14ac:dyDescent="0.3"/>
    <row r="13201" x14ac:dyDescent="0.3"/>
    <row r="13202" x14ac:dyDescent="0.3"/>
    <row r="13203" x14ac:dyDescent="0.3"/>
    <row r="13204" x14ac:dyDescent="0.3"/>
    <row r="13205" x14ac:dyDescent="0.3"/>
    <row r="13206" x14ac:dyDescent="0.3"/>
    <row r="13207" x14ac:dyDescent="0.3"/>
    <row r="13208" x14ac:dyDescent="0.3"/>
    <row r="13209" x14ac:dyDescent="0.3"/>
    <row r="13210" x14ac:dyDescent="0.3"/>
    <row r="13211" x14ac:dyDescent="0.3"/>
    <row r="13212" x14ac:dyDescent="0.3"/>
    <row r="13213" x14ac:dyDescent="0.3"/>
    <row r="13214" x14ac:dyDescent="0.3"/>
    <row r="13215" x14ac:dyDescent="0.3"/>
    <row r="13216" x14ac:dyDescent="0.3"/>
    <row r="13217" x14ac:dyDescent="0.3"/>
    <row r="13218" x14ac:dyDescent="0.3"/>
    <row r="13219" x14ac:dyDescent="0.3"/>
    <row r="13220" x14ac:dyDescent="0.3"/>
    <row r="13221" x14ac:dyDescent="0.3"/>
    <row r="13222" x14ac:dyDescent="0.3"/>
    <row r="13223" x14ac:dyDescent="0.3"/>
    <row r="13224" x14ac:dyDescent="0.3"/>
    <row r="13225" x14ac:dyDescent="0.3"/>
    <row r="13226" x14ac:dyDescent="0.3"/>
    <row r="13227" x14ac:dyDescent="0.3"/>
    <row r="13228" x14ac:dyDescent="0.3"/>
    <row r="13229" x14ac:dyDescent="0.3"/>
    <row r="13230" x14ac:dyDescent="0.3"/>
    <row r="13231" x14ac:dyDescent="0.3"/>
    <row r="13232" x14ac:dyDescent="0.3"/>
    <row r="13233" x14ac:dyDescent="0.3"/>
    <row r="13234" x14ac:dyDescent="0.3"/>
    <row r="13235" x14ac:dyDescent="0.3"/>
    <row r="13236" x14ac:dyDescent="0.3"/>
    <row r="13237" x14ac:dyDescent="0.3"/>
    <row r="13238" x14ac:dyDescent="0.3"/>
    <row r="13239" x14ac:dyDescent="0.3"/>
    <row r="13240" x14ac:dyDescent="0.3"/>
    <row r="13241" x14ac:dyDescent="0.3"/>
    <row r="13242" x14ac:dyDescent="0.3"/>
    <row r="13243" x14ac:dyDescent="0.3"/>
    <row r="13244" x14ac:dyDescent="0.3"/>
    <row r="13245" x14ac:dyDescent="0.3"/>
    <row r="13246" x14ac:dyDescent="0.3"/>
    <row r="13247" x14ac:dyDescent="0.3"/>
    <row r="13248" x14ac:dyDescent="0.3"/>
    <row r="13249" x14ac:dyDescent="0.3"/>
    <row r="13250" x14ac:dyDescent="0.3"/>
    <row r="13251" x14ac:dyDescent="0.3"/>
    <row r="13252" x14ac:dyDescent="0.3"/>
    <row r="13253" x14ac:dyDescent="0.3"/>
    <row r="13254" x14ac:dyDescent="0.3"/>
    <row r="13255" x14ac:dyDescent="0.3"/>
    <row r="13256" x14ac:dyDescent="0.3"/>
    <row r="13257" x14ac:dyDescent="0.3"/>
    <row r="13258" x14ac:dyDescent="0.3"/>
    <row r="13259" x14ac:dyDescent="0.3"/>
    <row r="13260" x14ac:dyDescent="0.3"/>
    <row r="13261" x14ac:dyDescent="0.3"/>
    <row r="13262" x14ac:dyDescent="0.3"/>
    <row r="13263" x14ac:dyDescent="0.3"/>
    <row r="13264" x14ac:dyDescent="0.3"/>
    <row r="13265" x14ac:dyDescent="0.3"/>
    <row r="13266" x14ac:dyDescent="0.3"/>
    <row r="13267" x14ac:dyDescent="0.3"/>
    <row r="13268" x14ac:dyDescent="0.3"/>
    <row r="13269" x14ac:dyDescent="0.3"/>
    <row r="13270" x14ac:dyDescent="0.3"/>
    <row r="13271" x14ac:dyDescent="0.3"/>
    <row r="13272" x14ac:dyDescent="0.3"/>
    <row r="13273" x14ac:dyDescent="0.3"/>
    <row r="13274" x14ac:dyDescent="0.3"/>
    <row r="13275" x14ac:dyDescent="0.3"/>
    <row r="13276" x14ac:dyDescent="0.3"/>
    <row r="13277" x14ac:dyDescent="0.3"/>
    <row r="13278" x14ac:dyDescent="0.3"/>
    <row r="13279" x14ac:dyDescent="0.3"/>
    <row r="13280" x14ac:dyDescent="0.3"/>
    <row r="13281" x14ac:dyDescent="0.3"/>
    <row r="13282" x14ac:dyDescent="0.3"/>
    <row r="13283" x14ac:dyDescent="0.3"/>
    <row r="13284" x14ac:dyDescent="0.3"/>
    <row r="13285" x14ac:dyDescent="0.3"/>
    <row r="13286" x14ac:dyDescent="0.3"/>
    <row r="13287" x14ac:dyDescent="0.3"/>
    <row r="13288" x14ac:dyDescent="0.3"/>
    <row r="13289" x14ac:dyDescent="0.3"/>
    <row r="13290" x14ac:dyDescent="0.3"/>
    <row r="13291" x14ac:dyDescent="0.3"/>
    <row r="13292" x14ac:dyDescent="0.3"/>
    <row r="13293" x14ac:dyDescent="0.3"/>
    <row r="13294" x14ac:dyDescent="0.3"/>
    <row r="13295" x14ac:dyDescent="0.3"/>
    <row r="13296" x14ac:dyDescent="0.3"/>
    <row r="13297" x14ac:dyDescent="0.3"/>
    <row r="13298" x14ac:dyDescent="0.3"/>
    <row r="13299" x14ac:dyDescent="0.3"/>
    <row r="13300" x14ac:dyDescent="0.3"/>
    <row r="13301" x14ac:dyDescent="0.3"/>
    <row r="13302" x14ac:dyDescent="0.3"/>
    <row r="13303" x14ac:dyDescent="0.3"/>
    <row r="13304" x14ac:dyDescent="0.3"/>
    <row r="13305" x14ac:dyDescent="0.3"/>
    <row r="13306" x14ac:dyDescent="0.3"/>
    <row r="13307" x14ac:dyDescent="0.3"/>
    <row r="13308" x14ac:dyDescent="0.3"/>
    <row r="13309" x14ac:dyDescent="0.3"/>
    <row r="13310" x14ac:dyDescent="0.3"/>
    <row r="13311" x14ac:dyDescent="0.3"/>
    <row r="13312" x14ac:dyDescent="0.3"/>
    <row r="13313" x14ac:dyDescent="0.3"/>
    <row r="13314" x14ac:dyDescent="0.3"/>
    <row r="13315" x14ac:dyDescent="0.3"/>
    <row r="13316" x14ac:dyDescent="0.3"/>
    <row r="13317" x14ac:dyDescent="0.3"/>
    <row r="13318" x14ac:dyDescent="0.3"/>
    <row r="13319" x14ac:dyDescent="0.3"/>
    <row r="13320" x14ac:dyDescent="0.3"/>
    <row r="13321" x14ac:dyDescent="0.3"/>
    <row r="13322" x14ac:dyDescent="0.3"/>
    <row r="13323" x14ac:dyDescent="0.3"/>
    <row r="13324" x14ac:dyDescent="0.3"/>
    <row r="13325" x14ac:dyDescent="0.3"/>
    <row r="13326" x14ac:dyDescent="0.3"/>
    <row r="13327" x14ac:dyDescent="0.3"/>
    <row r="13328" x14ac:dyDescent="0.3"/>
    <row r="13329" x14ac:dyDescent="0.3"/>
    <row r="13330" x14ac:dyDescent="0.3"/>
    <row r="13331" x14ac:dyDescent="0.3"/>
    <row r="13332" x14ac:dyDescent="0.3"/>
    <row r="13333" x14ac:dyDescent="0.3"/>
    <row r="13334" x14ac:dyDescent="0.3"/>
    <row r="13335" x14ac:dyDescent="0.3"/>
    <row r="13336" x14ac:dyDescent="0.3"/>
    <row r="13337" x14ac:dyDescent="0.3"/>
    <row r="13338" x14ac:dyDescent="0.3"/>
    <row r="13339" x14ac:dyDescent="0.3"/>
    <row r="13340" x14ac:dyDescent="0.3"/>
    <row r="13341" x14ac:dyDescent="0.3"/>
    <row r="13342" x14ac:dyDescent="0.3"/>
    <row r="13343" x14ac:dyDescent="0.3"/>
    <row r="13344" x14ac:dyDescent="0.3"/>
    <row r="13345" x14ac:dyDescent="0.3"/>
    <row r="13346" x14ac:dyDescent="0.3"/>
    <row r="13347" x14ac:dyDescent="0.3"/>
    <row r="13348" x14ac:dyDescent="0.3"/>
    <row r="13349" x14ac:dyDescent="0.3"/>
    <row r="13350" x14ac:dyDescent="0.3"/>
    <row r="13351" x14ac:dyDescent="0.3"/>
    <row r="13352" x14ac:dyDescent="0.3"/>
    <row r="13353" x14ac:dyDescent="0.3"/>
    <row r="13354" x14ac:dyDescent="0.3"/>
    <row r="13355" x14ac:dyDescent="0.3"/>
    <row r="13356" x14ac:dyDescent="0.3"/>
    <row r="13357" x14ac:dyDescent="0.3"/>
    <row r="13358" x14ac:dyDescent="0.3"/>
    <row r="13359" x14ac:dyDescent="0.3"/>
    <row r="13360" x14ac:dyDescent="0.3"/>
    <row r="13361" x14ac:dyDescent="0.3"/>
    <row r="13362" x14ac:dyDescent="0.3"/>
    <row r="13363" x14ac:dyDescent="0.3"/>
    <row r="13364" x14ac:dyDescent="0.3"/>
    <row r="13365" x14ac:dyDescent="0.3"/>
    <row r="13366" x14ac:dyDescent="0.3"/>
    <row r="13367" x14ac:dyDescent="0.3"/>
    <row r="13368" x14ac:dyDescent="0.3"/>
    <row r="13369" x14ac:dyDescent="0.3"/>
    <row r="13370" x14ac:dyDescent="0.3"/>
    <row r="13371" x14ac:dyDescent="0.3"/>
    <row r="13372" x14ac:dyDescent="0.3"/>
    <row r="13373" x14ac:dyDescent="0.3"/>
    <row r="13374" x14ac:dyDescent="0.3"/>
    <row r="13375" x14ac:dyDescent="0.3"/>
    <row r="13376" x14ac:dyDescent="0.3"/>
    <row r="13377" x14ac:dyDescent="0.3"/>
    <row r="13378" x14ac:dyDescent="0.3"/>
    <row r="13379" x14ac:dyDescent="0.3"/>
    <row r="13380" x14ac:dyDescent="0.3"/>
    <row r="13381" x14ac:dyDescent="0.3"/>
    <row r="13382" x14ac:dyDescent="0.3"/>
    <row r="13383" x14ac:dyDescent="0.3"/>
    <row r="13384" x14ac:dyDescent="0.3"/>
    <row r="13385" x14ac:dyDescent="0.3"/>
    <row r="13386" x14ac:dyDescent="0.3"/>
    <row r="13387" x14ac:dyDescent="0.3"/>
    <row r="13388" x14ac:dyDescent="0.3"/>
    <row r="13389" x14ac:dyDescent="0.3"/>
    <row r="13390" x14ac:dyDescent="0.3"/>
    <row r="13391" x14ac:dyDescent="0.3"/>
    <row r="13392" x14ac:dyDescent="0.3"/>
    <row r="13393" x14ac:dyDescent="0.3"/>
    <row r="13394" x14ac:dyDescent="0.3"/>
    <row r="13395" x14ac:dyDescent="0.3"/>
    <row r="13396" x14ac:dyDescent="0.3"/>
    <row r="13397" x14ac:dyDescent="0.3"/>
    <row r="13398" x14ac:dyDescent="0.3"/>
    <row r="13399" x14ac:dyDescent="0.3"/>
    <row r="13400" x14ac:dyDescent="0.3"/>
    <row r="13401" x14ac:dyDescent="0.3"/>
    <row r="13402" x14ac:dyDescent="0.3"/>
    <row r="13403" x14ac:dyDescent="0.3"/>
    <row r="13404" x14ac:dyDescent="0.3"/>
    <row r="13405" x14ac:dyDescent="0.3"/>
    <row r="13406" x14ac:dyDescent="0.3"/>
    <row r="13407" x14ac:dyDescent="0.3"/>
    <row r="13408" x14ac:dyDescent="0.3"/>
    <row r="13409" x14ac:dyDescent="0.3"/>
    <row r="13410" x14ac:dyDescent="0.3"/>
    <row r="13411" x14ac:dyDescent="0.3"/>
    <row r="13412" x14ac:dyDescent="0.3"/>
    <row r="13413" x14ac:dyDescent="0.3"/>
    <row r="13414" x14ac:dyDescent="0.3"/>
    <row r="13415" x14ac:dyDescent="0.3"/>
    <row r="13416" x14ac:dyDescent="0.3"/>
    <row r="13417" x14ac:dyDescent="0.3"/>
    <row r="13418" x14ac:dyDescent="0.3"/>
    <row r="13419" x14ac:dyDescent="0.3"/>
    <row r="13420" x14ac:dyDescent="0.3"/>
    <row r="13421" x14ac:dyDescent="0.3"/>
    <row r="13422" x14ac:dyDescent="0.3"/>
    <row r="13423" x14ac:dyDescent="0.3"/>
    <row r="13424" x14ac:dyDescent="0.3"/>
    <row r="13425" x14ac:dyDescent="0.3"/>
    <row r="13426" x14ac:dyDescent="0.3"/>
    <row r="13427" x14ac:dyDescent="0.3"/>
    <row r="13428" x14ac:dyDescent="0.3"/>
    <row r="13429" x14ac:dyDescent="0.3"/>
    <row r="13430" x14ac:dyDescent="0.3"/>
    <row r="13431" x14ac:dyDescent="0.3"/>
    <row r="13432" x14ac:dyDescent="0.3"/>
    <row r="13433" x14ac:dyDescent="0.3"/>
    <row r="13434" x14ac:dyDescent="0.3"/>
    <row r="13435" x14ac:dyDescent="0.3"/>
    <row r="13436" x14ac:dyDescent="0.3"/>
    <row r="13437" x14ac:dyDescent="0.3"/>
    <row r="13438" x14ac:dyDescent="0.3"/>
    <row r="13439" x14ac:dyDescent="0.3"/>
    <row r="13440" x14ac:dyDescent="0.3"/>
    <row r="13441" x14ac:dyDescent="0.3"/>
    <row r="13442" x14ac:dyDescent="0.3"/>
    <row r="13443" x14ac:dyDescent="0.3"/>
    <row r="13444" x14ac:dyDescent="0.3"/>
    <row r="13445" x14ac:dyDescent="0.3"/>
    <row r="13446" x14ac:dyDescent="0.3"/>
    <row r="13447" x14ac:dyDescent="0.3"/>
    <row r="13448" x14ac:dyDescent="0.3"/>
    <row r="13449" x14ac:dyDescent="0.3"/>
    <row r="13450" x14ac:dyDescent="0.3"/>
    <row r="13451" x14ac:dyDescent="0.3"/>
    <row r="13452" x14ac:dyDescent="0.3"/>
    <row r="13453" x14ac:dyDescent="0.3"/>
    <row r="13454" x14ac:dyDescent="0.3"/>
    <row r="13455" x14ac:dyDescent="0.3"/>
    <row r="13456" x14ac:dyDescent="0.3"/>
    <row r="13457" x14ac:dyDescent="0.3"/>
    <row r="13458" x14ac:dyDescent="0.3"/>
    <row r="13459" x14ac:dyDescent="0.3"/>
    <row r="13460" x14ac:dyDescent="0.3"/>
    <row r="13461" x14ac:dyDescent="0.3"/>
    <row r="13462" x14ac:dyDescent="0.3"/>
    <row r="13463" x14ac:dyDescent="0.3"/>
    <row r="13464" x14ac:dyDescent="0.3"/>
    <row r="13465" x14ac:dyDescent="0.3"/>
    <row r="13466" x14ac:dyDescent="0.3"/>
    <row r="13467" x14ac:dyDescent="0.3"/>
    <row r="13468" x14ac:dyDescent="0.3"/>
    <row r="13469" x14ac:dyDescent="0.3"/>
    <row r="13470" x14ac:dyDescent="0.3"/>
    <row r="13471" x14ac:dyDescent="0.3"/>
    <row r="13472" x14ac:dyDescent="0.3"/>
    <row r="13473" x14ac:dyDescent="0.3"/>
    <row r="13474" x14ac:dyDescent="0.3"/>
    <row r="13475" x14ac:dyDescent="0.3"/>
    <row r="13476" x14ac:dyDescent="0.3"/>
    <row r="13477" x14ac:dyDescent="0.3"/>
    <row r="13478" x14ac:dyDescent="0.3"/>
    <row r="13479" x14ac:dyDescent="0.3"/>
    <row r="13480" x14ac:dyDescent="0.3"/>
    <row r="13481" x14ac:dyDescent="0.3"/>
    <row r="13482" x14ac:dyDescent="0.3"/>
    <row r="13483" x14ac:dyDescent="0.3"/>
    <row r="13484" x14ac:dyDescent="0.3"/>
    <row r="13485" x14ac:dyDescent="0.3"/>
    <row r="13486" x14ac:dyDescent="0.3"/>
    <row r="13487" x14ac:dyDescent="0.3"/>
    <row r="13488" x14ac:dyDescent="0.3"/>
    <row r="13489" x14ac:dyDescent="0.3"/>
    <row r="13490" x14ac:dyDescent="0.3"/>
    <row r="13491" x14ac:dyDescent="0.3"/>
    <row r="13492" x14ac:dyDescent="0.3"/>
    <row r="13493" x14ac:dyDescent="0.3"/>
    <row r="13494" x14ac:dyDescent="0.3"/>
    <row r="13495" x14ac:dyDescent="0.3"/>
    <row r="13496" x14ac:dyDescent="0.3"/>
    <row r="13497" x14ac:dyDescent="0.3"/>
    <row r="13498" x14ac:dyDescent="0.3"/>
    <row r="13499" x14ac:dyDescent="0.3"/>
    <row r="13500" x14ac:dyDescent="0.3"/>
    <row r="13501" x14ac:dyDescent="0.3"/>
    <row r="13502" x14ac:dyDescent="0.3"/>
    <row r="13503" x14ac:dyDescent="0.3"/>
    <row r="13504" x14ac:dyDescent="0.3"/>
    <row r="13505" x14ac:dyDescent="0.3"/>
    <row r="13506" x14ac:dyDescent="0.3"/>
    <row r="13507" x14ac:dyDescent="0.3"/>
    <row r="13508" x14ac:dyDescent="0.3"/>
    <row r="13509" x14ac:dyDescent="0.3"/>
    <row r="13510" x14ac:dyDescent="0.3"/>
    <row r="13511" x14ac:dyDescent="0.3"/>
    <row r="13512" x14ac:dyDescent="0.3"/>
    <row r="13513" x14ac:dyDescent="0.3"/>
    <row r="13514" x14ac:dyDescent="0.3"/>
    <row r="13515" x14ac:dyDescent="0.3"/>
    <row r="13516" x14ac:dyDescent="0.3"/>
    <row r="13517" x14ac:dyDescent="0.3"/>
    <row r="13518" x14ac:dyDescent="0.3"/>
    <row r="13519" x14ac:dyDescent="0.3"/>
    <row r="13520" x14ac:dyDescent="0.3"/>
    <row r="13521" x14ac:dyDescent="0.3"/>
    <row r="13522" x14ac:dyDescent="0.3"/>
    <row r="13523" x14ac:dyDescent="0.3"/>
    <row r="13524" x14ac:dyDescent="0.3"/>
    <row r="13525" x14ac:dyDescent="0.3"/>
    <row r="13526" x14ac:dyDescent="0.3"/>
    <row r="13527" x14ac:dyDescent="0.3"/>
    <row r="13528" x14ac:dyDescent="0.3"/>
    <row r="13529" x14ac:dyDescent="0.3"/>
    <row r="13530" x14ac:dyDescent="0.3"/>
    <row r="13531" x14ac:dyDescent="0.3"/>
    <row r="13532" x14ac:dyDescent="0.3"/>
    <row r="13533" x14ac:dyDescent="0.3"/>
    <row r="13534" x14ac:dyDescent="0.3"/>
    <row r="13535" x14ac:dyDescent="0.3"/>
    <row r="13536" x14ac:dyDescent="0.3"/>
    <row r="13537" x14ac:dyDescent="0.3"/>
    <row r="13538" x14ac:dyDescent="0.3"/>
    <row r="13539" x14ac:dyDescent="0.3"/>
    <row r="13540" x14ac:dyDescent="0.3"/>
    <row r="13541" x14ac:dyDescent="0.3"/>
    <row r="13542" x14ac:dyDescent="0.3"/>
    <row r="13543" x14ac:dyDescent="0.3"/>
    <row r="13544" x14ac:dyDescent="0.3"/>
    <row r="13545" x14ac:dyDescent="0.3"/>
    <row r="13546" x14ac:dyDescent="0.3"/>
    <row r="13547" x14ac:dyDescent="0.3"/>
    <row r="13548" x14ac:dyDescent="0.3"/>
    <row r="13549" x14ac:dyDescent="0.3"/>
    <row r="13550" x14ac:dyDescent="0.3"/>
    <row r="13551" x14ac:dyDescent="0.3"/>
    <row r="13552" x14ac:dyDescent="0.3"/>
    <row r="13553" x14ac:dyDescent="0.3"/>
    <row r="13554" x14ac:dyDescent="0.3"/>
    <row r="13555" x14ac:dyDescent="0.3"/>
    <row r="13556" x14ac:dyDescent="0.3"/>
    <row r="13557" x14ac:dyDescent="0.3"/>
    <row r="13558" x14ac:dyDescent="0.3"/>
    <row r="13559" x14ac:dyDescent="0.3"/>
    <row r="13560" x14ac:dyDescent="0.3"/>
    <row r="13561" x14ac:dyDescent="0.3"/>
    <row r="13562" x14ac:dyDescent="0.3"/>
    <row r="13563" x14ac:dyDescent="0.3"/>
    <row r="13564" x14ac:dyDescent="0.3"/>
    <row r="13565" x14ac:dyDescent="0.3"/>
    <row r="13566" x14ac:dyDescent="0.3"/>
    <row r="13567" x14ac:dyDescent="0.3"/>
    <row r="13568" x14ac:dyDescent="0.3"/>
    <row r="13569" x14ac:dyDescent="0.3"/>
    <row r="13570" x14ac:dyDescent="0.3"/>
    <row r="13571" x14ac:dyDescent="0.3"/>
    <row r="13572" x14ac:dyDescent="0.3"/>
    <row r="13573" x14ac:dyDescent="0.3"/>
    <row r="13574" x14ac:dyDescent="0.3"/>
    <row r="13575" x14ac:dyDescent="0.3"/>
    <row r="13576" x14ac:dyDescent="0.3"/>
    <row r="13577" x14ac:dyDescent="0.3"/>
    <row r="13578" x14ac:dyDescent="0.3"/>
    <row r="13579" x14ac:dyDescent="0.3"/>
    <row r="13580" x14ac:dyDescent="0.3"/>
    <row r="13581" x14ac:dyDescent="0.3"/>
    <row r="13582" x14ac:dyDescent="0.3"/>
    <row r="13583" x14ac:dyDescent="0.3"/>
    <row r="13584" x14ac:dyDescent="0.3"/>
    <row r="13585" x14ac:dyDescent="0.3"/>
    <row r="13586" x14ac:dyDescent="0.3"/>
    <row r="13587" x14ac:dyDescent="0.3"/>
    <row r="13588" x14ac:dyDescent="0.3"/>
    <row r="13589" x14ac:dyDescent="0.3"/>
    <row r="13590" x14ac:dyDescent="0.3"/>
    <row r="13591" x14ac:dyDescent="0.3"/>
    <row r="13592" x14ac:dyDescent="0.3"/>
    <row r="13593" x14ac:dyDescent="0.3"/>
    <row r="13594" x14ac:dyDescent="0.3"/>
    <row r="13595" x14ac:dyDescent="0.3"/>
    <row r="13596" x14ac:dyDescent="0.3"/>
    <row r="13597" x14ac:dyDescent="0.3"/>
    <row r="13598" x14ac:dyDescent="0.3"/>
    <row r="13599" x14ac:dyDescent="0.3"/>
    <row r="13600" x14ac:dyDescent="0.3"/>
    <row r="13601" x14ac:dyDescent="0.3"/>
    <row r="13602" x14ac:dyDescent="0.3"/>
    <row r="13603" x14ac:dyDescent="0.3"/>
    <row r="13604" x14ac:dyDescent="0.3"/>
    <row r="13605" x14ac:dyDescent="0.3"/>
    <row r="13606" x14ac:dyDescent="0.3"/>
    <row r="13607" x14ac:dyDescent="0.3"/>
    <row r="13608" x14ac:dyDescent="0.3"/>
    <row r="13609" x14ac:dyDescent="0.3"/>
    <row r="13610" x14ac:dyDescent="0.3"/>
    <row r="13611" x14ac:dyDescent="0.3"/>
    <row r="13612" x14ac:dyDescent="0.3"/>
    <row r="13613" x14ac:dyDescent="0.3"/>
    <row r="13614" x14ac:dyDescent="0.3"/>
    <row r="13615" x14ac:dyDescent="0.3"/>
    <row r="13616" x14ac:dyDescent="0.3"/>
    <row r="13617" x14ac:dyDescent="0.3"/>
    <row r="13618" x14ac:dyDescent="0.3"/>
    <row r="13619" x14ac:dyDescent="0.3"/>
    <row r="13620" x14ac:dyDescent="0.3"/>
    <row r="13621" x14ac:dyDescent="0.3"/>
    <row r="13622" x14ac:dyDescent="0.3"/>
    <row r="13623" x14ac:dyDescent="0.3"/>
    <row r="13624" x14ac:dyDescent="0.3"/>
    <row r="13625" x14ac:dyDescent="0.3"/>
    <row r="13626" x14ac:dyDescent="0.3"/>
    <row r="13627" x14ac:dyDescent="0.3"/>
    <row r="13628" x14ac:dyDescent="0.3"/>
    <row r="13629" x14ac:dyDescent="0.3"/>
    <row r="13630" x14ac:dyDescent="0.3"/>
    <row r="13631" x14ac:dyDescent="0.3"/>
    <row r="13632" x14ac:dyDescent="0.3"/>
    <row r="13633" x14ac:dyDescent="0.3"/>
    <row r="13634" x14ac:dyDescent="0.3"/>
    <row r="13635" x14ac:dyDescent="0.3"/>
    <row r="13636" x14ac:dyDescent="0.3"/>
    <row r="13637" x14ac:dyDescent="0.3"/>
    <row r="13638" x14ac:dyDescent="0.3"/>
    <row r="13639" x14ac:dyDescent="0.3"/>
    <row r="13640" x14ac:dyDescent="0.3"/>
    <row r="13641" x14ac:dyDescent="0.3"/>
    <row r="13642" x14ac:dyDescent="0.3"/>
    <row r="13643" x14ac:dyDescent="0.3"/>
    <row r="13644" x14ac:dyDescent="0.3"/>
    <row r="13645" x14ac:dyDescent="0.3"/>
    <row r="13646" x14ac:dyDescent="0.3"/>
    <row r="13647" x14ac:dyDescent="0.3"/>
    <row r="13648" x14ac:dyDescent="0.3"/>
    <row r="13649" x14ac:dyDescent="0.3"/>
    <row r="13650" x14ac:dyDescent="0.3"/>
    <row r="13651" x14ac:dyDescent="0.3"/>
    <row r="13652" x14ac:dyDescent="0.3"/>
    <row r="13653" x14ac:dyDescent="0.3"/>
    <row r="13654" x14ac:dyDescent="0.3"/>
    <row r="13655" x14ac:dyDescent="0.3"/>
    <row r="13656" x14ac:dyDescent="0.3"/>
    <row r="13657" x14ac:dyDescent="0.3"/>
    <row r="13658" x14ac:dyDescent="0.3"/>
    <row r="13659" x14ac:dyDescent="0.3"/>
    <row r="13660" x14ac:dyDescent="0.3"/>
    <row r="13661" x14ac:dyDescent="0.3"/>
    <row r="13662" x14ac:dyDescent="0.3"/>
    <row r="13663" x14ac:dyDescent="0.3"/>
    <row r="13664" x14ac:dyDescent="0.3"/>
    <row r="13665" x14ac:dyDescent="0.3"/>
    <row r="13666" x14ac:dyDescent="0.3"/>
    <row r="13667" x14ac:dyDescent="0.3"/>
    <row r="13668" x14ac:dyDescent="0.3"/>
    <row r="13669" x14ac:dyDescent="0.3"/>
    <row r="13670" x14ac:dyDescent="0.3"/>
    <row r="13671" x14ac:dyDescent="0.3"/>
    <row r="13672" x14ac:dyDescent="0.3"/>
    <row r="13673" x14ac:dyDescent="0.3"/>
    <row r="13674" x14ac:dyDescent="0.3"/>
    <row r="13675" x14ac:dyDescent="0.3"/>
    <row r="13676" x14ac:dyDescent="0.3"/>
    <row r="13677" x14ac:dyDescent="0.3"/>
    <row r="13678" x14ac:dyDescent="0.3"/>
    <row r="13679" x14ac:dyDescent="0.3"/>
    <row r="13680" x14ac:dyDescent="0.3"/>
    <row r="13681" x14ac:dyDescent="0.3"/>
    <row r="13682" x14ac:dyDescent="0.3"/>
    <row r="13683" x14ac:dyDescent="0.3"/>
    <row r="13684" x14ac:dyDescent="0.3"/>
    <row r="13685" x14ac:dyDescent="0.3"/>
    <row r="13686" x14ac:dyDescent="0.3"/>
    <row r="13687" x14ac:dyDescent="0.3"/>
    <row r="13688" x14ac:dyDescent="0.3"/>
    <row r="13689" x14ac:dyDescent="0.3"/>
    <row r="13690" x14ac:dyDescent="0.3"/>
    <row r="13691" x14ac:dyDescent="0.3"/>
    <row r="13692" x14ac:dyDescent="0.3"/>
    <row r="13693" x14ac:dyDescent="0.3"/>
    <row r="13694" x14ac:dyDescent="0.3"/>
    <row r="13695" x14ac:dyDescent="0.3"/>
    <row r="13696" x14ac:dyDescent="0.3"/>
    <row r="13697" x14ac:dyDescent="0.3"/>
    <row r="13698" x14ac:dyDescent="0.3"/>
    <row r="13699" x14ac:dyDescent="0.3"/>
    <row r="13700" x14ac:dyDescent="0.3"/>
    <row r="13701" x14ac:dyDescent="0.3"/>
    <row r="13702" x14ac:dyDescent="0.3"/>
    <row r="13703" x14ac:dyDescent="0.3"/>
    <row r="13704" x14ac:dyDescent="0.3"/>
    <row r="13705" x14ac:dyDescent="0.3"/>
    <row r="13706" x14ac:dyDescent="0.3"/>
    <row r="13707" x14ac:dyDescent="0.3"/>
    <row r="13708" x14ac:dyDescent="0.3"/>
    <row r="13709" x14ac:dyDescent="0.3"/>
    <row r="13710" x14ac:dyDescent="0.3"/>
    <row r="13711" x14ac:dyDescent="0.3"/>
    <row r="13712" x14ac:dyDescent="0.3"/>
    <row r="13713" x14ac:dyDescent="0.3"/>
    <row r="13714" x14ac:dyDescent="0.3"/>
    <row r="13715" x14ac:dyDescent="0.3"/>
    <row r="13716" x14ac:dyDescent="0.3"/>
    <row r="13717" x14ac:dyDescent="0.3"/>
    <row r="13718" x14ac:dyDescent="0.3"/>
    <row r="13719" x14ac:dyDescent="0.3"/>
    <row r="13720" x14ac:dyDescent="0.3"/>
    <row r="13721" x14ac:dyDescent="0.3"/>
    <row r="13722" x14ac:dyDescent="0.3"/>
    <row r="13723" x14ac:dyDescent="0.3"/>
    <row r="13724" x14ac:dyDescent="0.3"/>
    <row r="13725" x14ac:dyDescent="0.3"/>
    <row r="13726" x14ac:dyDescent="0.3"/>
    <row r="13727" x14ac:dyDescent="0.3"/>
    <row r="13728" x14ac:dyDescent="0.3"/>
    <row r="13729" x14ac:dyDescent="0.3"/>
    <row r="13730" x14ac:dyDescent="0.3"/>
    <row r="13731" x14ac:dyDescent="0.3"/>
    <row r="13732" x14ac:dyDescent="0.3"/>
    <row r="13733" x14ac:dyDescent="0.3"/>
    <row r="13734" x14ac:dyDescent="0.3"/>
    <row r="13735" x14ac:dyDescent="0.3"/>
    <row r="13736" x14ac:dyDescent="0.3"/>
    <row r="13737" x14ac:dyDescent="0.3"/>
    <row r="13738" x14ac:dyDescent="0.3"/>
    <row r="13739" x14ac:dyDescent="0.3"/>
    <row r="13740" x14ac:dyDescent="0.3"/>
    <row r="13741" x14ac:dyDescent="0.3"/>
    <row r="13742" x14ac:dyDescent="0.3"/>
    <row r="13743" x14ac:dyDescent="0.3"/>
    <row r="13744" x14ac:dyDescent="0.3"/>
    <row r="13745" x14ac:dyDescent="0.3"/>
    <row r="13746" x14ac:dyDescent="0.3"/>
    <row r="13747" x14ac:dyDescent="0.3"/>
    <row r="13748" x14ac:dyDescent="0.3"/>
    <row r="13749" x14ac:dyDescent="0.3"/>
    <row r="13750" x14ac:dyDescent="0.3"/>
    <row r="13751" x14ac:dyDescent="0.3"/>
    <row r="13752" x14ac:dyDescent="0.3"/>
    <row r="13753" x14ac:dyDescent="0.3"/>
    <row r="13754" x14ac:dyDescent="0.3"/>
    <row r="13755" x14ac:dyDescent="0.3"/>
    <row r="13756" x14ac:dyDescent="0.3"/>
    <row r="13757" x14ac:dyDescent="0.3"/>
    <row r="13758" x14ac:dyDescent="0.3"/>
    <row r="13759" x14ac:dyDescent="0.3"/>
    <row r="13760" x14ac:dyDescent="0.3"/>
    <row r="13761" x14ac:dyDescent="0.3"/>
    <row r="13762" x14ac:dyDescent="0.3"/>
    <row r="13763" x14ac:dyDescent="0.3"/>
    <row r="13764" x14ac:dyDescent="0.3"/>
    <row r="13765" x14ac:dyDescent="0.3"/>
    <row r="13766" x14ac:dyDescent="0.3"/>
    <row r="13767" x14ac:dyDescent="0.3"/>
    <row r="13768" x14ac:dyDescent="0.3"/>
    <row r="13769" x14ac:dyDescent="0.3"/>
    <row r="13770" x14ac:dyDescent="0.3"/>
    <row r="13771" x14ac:dyDescent="0.3"/>
    <row r="13772" x14ac:dyDescent="0.3"/>
    <row r="13773" x14ac:dyDescent="0.3"/>
    <row r="13774" x14ac:dyDescent="0.3"/>
    <row r="13775" x14ac:dyDescent="0.3"/>
    <row r="13776" x14ac:dyDescent="0.3"/>
    <row r="13777" x14ac:dyDescent="0.3"/>
    <row r="13778" x14ac:dyDescent="0.3"/>
    <row r="13779" x14ac:dyDescent="0.3"/>
    <row r="13780" x14ac:dyDescent="0.3"/>
    <row r="13781" x14ac:dyDescent="0.3"/>
    <row r="13782" x14ac:dyDescent="0.3"/>
    <row r="13783" x14ac:dyDescent="0.3"/>
    <row r="13784" x14ac:dyDescent="0.3"/>
    <row r="13785" x14ac:dyDescent="0.3"/>
    <row r="13786" x14ac:dyDescent="0.3"/>
    <row r="13787" x14ac:dyDescent="0.3"/>
    <row r="13788" x14ac:dyDescent="0.3"/>
    <row r="13789" x14ac:dyDescent="0.3"/>
    <row r="13790" x14ac:dyDescent="0.3"/>
    <row r="13791" x14ac:dyDescent="0.3"/>
    <row r="13792" x14ac:dyDescent="0.3"/>
    <row r="13793" x14ac:dyDescent="0.3"/>
    <row r="13794" x14ac:dyDescent="0.3"/>
    <row r="13795" x14ac:dyDescent="0.3"/>
    <row r="13796" x14ac:dyDescent="0.3"/>
    <row r="13797" x14ac:dyDescent="0.3"/>
    <row r="13798" x14ac:dyDescent="0.3"/>
    <row r="13799" x14ac:dyDescent="0.3"/>
    <row r="13800" x14ac:dyDescent="0.3"/>
    <row r="13801" x14ac:dyDescent="0.3"/>
    <row r="13802" x14ac:dyDescent="0.3"/>
    <row r="13803" x14ac:dyDescent="0.3"/>
    <row r="13804" x14ac:dyDescent="0.3"/>
    <row r="13805" x14ac:dyDescent="0.3"/>
    <row r="13806" x14ac:dyDescent="0.3"/>
    <row r="13807" x14ac:dyDescent="0.3"/>
    <row r="13808" x14ac:dyDescent="0.3"/>
    <row r="13809" x14ac:dyDescent="0.3"/>
    <row r="13810" x14ac:dyDescent="0.3"/>
    <row r="13811" x14ac:dyDescent="0.3"/>
    <row r="13812" x14ac:dyDescent="0.3"/>
    <row r="13813" x14ac:dyDescent="0.3"/>
    <row r="13814" x14ac:dyDescent="0.3"/>
    <row r="13815" x14ac:dyDescent="0.3"/>
    <row r="13816" x14ac:dyDescent="0.3"/>
    <row r="13817" x14ac:dyDescent="0.3"/>
    <row r="13818" x14ac:dyDescent="0.3"/>
    <row r="13819" x14ac:dyDescent="0.3"/>
    <row r="13820" x14ac:dyDescent="0.3"/>
    <row r="13821" x14ac:dyDescent="0.3"/>
    <row r="13822" x14ac:dyDescent="0.3"/>
    <row r="13823" x14ac:dyDescent="0.3"/>
    <row r="13824" x14ac:dyDescent="0.3"/>
    <row r="13825" x14ac:dyDescent="0.3"/>
    <row r="13826" x14ac:dyDescent="0.3"/>
    <row r="13827" x14ac:dyDescent="0.3"/>
    <row r="13828" x14ac:dyDescent="0.3"/>
    <row r="13829" x14ac:dyDescent="0.3"/>
    <row r="13830" x14ac:dyDescent="0.3"/>
    <row r="13831" x14ac:dyDescent="0.3"/>
    <row r="13832" x14ac:dyDescent="0.3"/>
    <row r="13833" x14ac:dyDescent="0.3"/>
    <row r="13834" x14ac:dyDescent="0.3"/>
    <row r="13835" x14ac:dyDescent="0.3"/>
    <row r="13836" x14ac:dyDescent="0.3"/>
    <row r="13837" x14ac:dyDescent="0.3"/>
    <row r="13838" x14ac:dyDescent="0.3"/>
    <row r="13839" x14ac:dyDescent="0.3"/>
    <row r="13840" x14ac:dyDescent="0.3"/>
    <row r="13841" x14ac:dyDescent="0.3"/>
    <row r="13842" x14ac:dyDescent="0.3"/>
    <row r="13843" x14ac:dyDescent="0.3"/>
    <row r="13844" x14ac:dyDescent="0.3"/>
    <row r="13845" x14ac:dyDescent="0.3"/>
    <row r="13846" x14ac:dyDescent="0.3"/>
    <row r="13847" x14ac:dyDescent="0.3"/>
    <row r="13848" x14ac:dyDescent="0.3"/>
    <row r="13849" x14ac:dyDescent="0.3"/>
    <row r="13850" x14ac:dyDescent="0.3"/>
    <row r="13851" x14ac:dyDescent="0.3"/>
    <row r="13852" x14ac:dyDescent="0.3"/>
    <row r="13853" x14ac:dyDescent="0.3"/>
    <row r="13854" x14ac:dyDescent="0.3"/>
    <row r="13855" x14ac:dyDescent="0.3"/>
    <row r="13856" x14ac:dyDescent="0.3"/>
    <row r="13857" x14ac:dyDescent="0.3"/>
    <row r="13858" x14ac:dyDescent="0.3"/>
    <row r="13859" x14ac:dyDescent="0.3"/>
    <row r="13860" x14ac:dyDescent="0.3"/>
    <row r="13861" x14ac:dyDescent="0.3"/>
    <row r="13862" x14ac:dyDescent="0.3"/>
    <row r="13863" x14ac:dyDescent="0.3"/>
    <row r="13864" x14ac:dyDescent="0.3"/>
    <row r="13865" x14ac:dyDescent="0.3"/>
    <row r="13866" x14ac:dyDescent="0.3"/>
    <row r="13867" x14ac:dyDescent="0.3"/>
    <row r="13868" x14ac:dyDescent="0.3"/>
    <row r="13869" x14ac:dyDescent="0.3"/>
    <row r="13870" x14ac:dyDescent="0.3"/>
    <row r="13871" x14ac:dyDescent="0.3"/>
    <row r="13872" x14ac:dyDescent="0.3"/>
    <row r="13873" x14ac:dyDescent="0.3"/>
    <row r="13874" x14ac:dyDescent="0.3"/>
    <row r="13875" x14ac:dyDescent="0.3"/>
    <row r="13876" x14ac:dyDescent="0.3"/>
    <row r="13877" x14ac:dyDescent="0.3"/>
    <row r="13878" x14ac:dyDescent="0.3"/>
    <row r="13879" x14ac:dyDescent="0.3"/>
    <row r="13880" x14ac:dyDescent="0.3"/>
    <row r="13881" x14ac:dyDescent="0.3"/>
    <row r="13882" x14ac:dyDescent="0.3"/>
    <row r="13883" x14ac:dyDescent="0.3"/>
    <row r="13884" x14ac:dyDescent="0.3"/>
    <row r="13885" x14ac:dyDescent="0.3"/>
    <row r="13886" x14ac:dyDescent="0.3"/>
    <row r="13887" x14ac:dyDescent="0.3"/>
    <row r="13888" x14ac:dyDescent="0.3"/>
    <row r="13889" x14ac:dyDescent="0.3"/>
    <row r="13890" x14ac:dyDescent="0.3"/>
    <row r="13891" x14ac:dyDescent="0.3"/>
    <row r="13892" x14ac:dyDescent="0.3"/>
    <row r="13893" x14ac:dyDescent="0.3"/>
    <row r="13894" x14ac:dyDescent="0.3"/>
    <row r="13895" x14ac:dyDescent="0.3"/>
    <row r="13896" x14ac:dyDescent="0.3"/>
    <row r="13897" x14ac:dyDescent="0.3"/>
    <row r="13898" x14ac:dyDescent="0.3"/>
    <row r="13899" x14ac:dyDescent="0.3"/>
    <row r="13900" x14ac:dyDescent="0.3"/>
    <row r="13901" x14ac:dyDescent="0.3"/>
    <row r="13902" x14ac:dyDescent="0.3"/>
    <row r="13903" x14ac:dyDescent="0.3"/>
    <row r="13904" x14ac:dyDescent="0.3"/>
    <row r="13905" x14ac:dyDescent="0.3"/>
    <row r="13906" x14ac:dyDescent="0.3"/>
    <row r="13907" x14ac:dyDescent="0.3"/>
    <row r="13908" x14ac:dyDescent="0.3"/>
    <row r="13909" x14ac:dyDescent="0.3"/>
    <row r="13910" x14ac:dyDescent="0.3"/>
    <row r="13911" x14ac:dyDescent="0.3"/>
    <row r="13912" x14ac:dyDescent="0.3"/>
    <row r="13913" x14ac:dyDescent="0.3"/>
    <row r="13914" x14ac:dyDescent="0.3"/>
    <row r="13915" x14ac:dyDescent="0.3"/>
    <row r="13916" x14ac:dyDescent="0.3"/>
    <row r="13917" x14ac:dyDescent="0.3"/>
    <row r="13918" x14ac:dyDescent="0.3"/>
    <row r="13919" x14ac:dyDescent="0.3"/>
    <row r="13920" x14ac:dyDescent="0.3"/>
    <row r="13921" x14ac:dyDescent="0.3"/>
    <row r="13922" x14ac:dyDescent="0.3"/>
    <row r="13923" x14ac:dyDescent="0.3"/>
    <row r="13924" x14ac:dyDescent="0.3"/>
    <row r="13925" x14ac:dyDescent="0.3"/>
    <row r="13926" x14ac:dyDescent="0.3"/>
    <row r="13927" x14ac:dyDescent="0.3"/>
    <row r="13928" x14ac:dyDescent="0.3"/>
    <row r="13929" x14ac:dyDescent="0.3"/>
    <row r="13930" x14ac:dyDescent="0.3"/>
    <row r="13931" x14ac:dyDescent="0.3"/>
    <row r="13932" x14ac:dyDescent="0.3"/>
    <row r="13933" x14ac:dyDescent="0.3"/>
    <row r="13934" x14ac:dyDescent="0.3"/>
    <row r="13935" x14ac:dyDescent="0.3"/>
    <row r="13936" x14ac:dyDescent="0.3"/>
    <row r="13937" x14ac:dyDescent="0.3"/>
    <row r="13938" x14ac:dyDescent="0.3"/>
    <row r="13939" x14ac:dyDescent="0.3"/>
    <row r="13940" x14ac:dyDescent="0.3"/>
    <row r="13941" x14ac:dyDescent="0.3"/>
    <row r="13942" x14ac:dyDescent="0.3"/>
    <row r="13943" x14ac:dyDescent="0.3"/>
    <row r="13944" x14ac:dyDescent="0.3"/>
    <row r="13945" x14ac:dyDescent="0.3"/>
    <row r="13946" x14ac:dyDescent="0.3"/>
    <row r="13947" x14ac:dyDescent="0.3"/>
    <row r="13948" x14ac:dyDescent="0.3"/>
    <row r="13949" x14ac:dyDescent="0.3"/>
    <row r="13950" x14ac:dyDescent="0.3"/>
    <row r="13951" x14ac:dyDescent="0.3"/>
    <row r="13952" x14ac:dyDescent="0.3"/>
    <row r="13953" x14ac:dyDescent="0.3"/>
    <row r="13954" x14ac:dyDescent="0.3"/>
    <row r="13955" x14ac:dyDescent="0.3"/>
    <row r="13956" x14ac:dyDescent="0.3"/>
    <row r="13957" x14ac:dyDescent="0.3"/>
    <row r="13958" x14ac:dyDescent="0.3"/>
    <row r="13959" x14ac:dyDescent="0.3"/>
    <row r="13960" x14ac:dyDescent="0.3"/>
    <row r="13961" x14ac:dyDescent="0.3"/>
    <row r="13962" x14ac:dyDescent="0.3"/>
    <row r="13963" x14ac:dyDescent="0.3"/>
    <row r="13964" x14ac:dyDescent="0.3"/>
    <row r="13965" x14ac:dyDescent="0.3"/>
    <row r="13966" x14ac:dyDescent="0.3"/>
    <row r="13967" x14ac:dyDescent="0.3"/>
    <row r="13968" x14ac:dyDescent="0.3"/>
    <row r="13969" x14ac:dyDescent="0.3"/>
    <row r="13970" x14ac:dyDescent="0.3"/>
    <row r="13971" x14ac:dyDescent="0.3"/>
    <row r="13972" x14ac:dyDescent="0.3"/>
    <row r="13973" x14ac:dyDescent="0.3"/>
    <row r="13974" x14ac:dyDescent="0.3"/>
    <row r="13975" x14ac:dyDescent="0.3"/>
    <row r="13976" x14ac:dyDescent="0.3"/>
    <row r="13977" x14ac:dyDescent="0.3"/>
    <row r="13978" x14ac:dyDescent="0.3"/>
    <row r="13979" x14ac:dyDescent="0.3"/>
    <row r="13980" x14ac:dyDescent="0.3"/>
    <row r="13981" x14ac:dyDescent="0.3"/>
    <row r="13982" x14ac:dyDescent="0.3"/>
    <row r="13983" x14ac:dyDescent="0.3"/>
    <row r="13984" x14ac:dyDescent="0.3"/>
    <row r="13985" x14ac:dyDescent="0.3"/>
    <row r="13986" x14ac:dyDescent="0.3"/>
    <row r="13987" x14ac:dyDescent="0.3"/>
    <row r="13988" x14ac:dyDescent="0.3"/>
    <row r="13989" x14ac:dyDescent="0.3"/>
    <row r="13990" x14ac:dyDescent="0.3"/>
    <row r="13991" x14ac:dyDescent="0.3"/>
    <row r="13992" x14ac:dyDescent="0.3"/>
    <row r="13993" x14ac:dyDescent="0.3"/>
    <row r="13994" x14ac:dyDescent="0.3"/>
    <row r="13995" x14ac:dyDescent="0.3"/>
    <row r="13996" x14ac:dyDescent="0.3"/>
    <row r="13997" x14ac:dyDescent="0.3"/>
    <row r="13998" x14ac:dyDescent="0.3"/>
    <row r="13999" x14ac:dyDescent="0.3"/>
    <row r="14000" x14ac:dyDescent="0.3"/>
    <row r="14001" x14ac:dyDescent="0.3"/>
    <row r="14002" x14ac:dyDescent="0.3"/>
    <row r="14003" x14ac:dyDescent="0.3"/>
    <row r="14004" x14ac:dyDescent="0.3"/>
    <row r="14005" x14ac:dyDescent="0.3"/>
    <row r="14006" x14ac:dyDescent="0.3"/>
    <row r="14007" x14ac:dyDescent="0.3"/>
    <row r="14008" x14ac:dyDescent="0.3"/>
    <row r="14009" x14ac:dyDescent="0.3"/>
    <row r="14010" x14ac:dyDescent="0.3"/>
    <row r="14011" x14ac:dyDescent="0.3"/>
    <row r="14012" x14ac:dyDescent="0.3"/>
    <row r="14013" x14ac:dyDescent="0.3"/>
    <row r="14014" x14ac:dyDescent="0.3"/>
    <row r="14015" x14ac:dyDescent="0.3"/>
    <row r="14016" x14ac:dyDescent="0.3"/>
    <row r="14017" x14ac:dyDescent="0.3"/>
    <row r="14018" x14ac:dyDescent="0.3"/>
    <row r="14019" x14ac:dyDescent="0.3"/>
    <row r="14020" x14ac:dyDescent="0.3"/>
    <row r="14021" x14ac:dyDescent="0.3"/>
    <row r="14022" x14ac:dyDescent="0.3"/>
    <row r="14023" x14ac:dyDescent="0.3"/>
    <row r="14024" x14ac:dyDescent="0.3"/>
    <row r="14025" x14ac:dyDescent="0.3"/>
    <row r="14026" x14ac:dyDescent="0.3"/>
    <row r="14027" x14ac:dyDescent="0.3"/>
    <row r="14028" x14ac:dyDescent="0.3"/>
    <row r="14029" x14ac:dyDescent="0.3"/>
    <row r="14030" x14ac:dyDescent="0.3"/>
    <row r="14031" x14ac:dyDescent="0.3"/>
    <row r="14032" x14ac:dyDescent="0.3"/>
    <row r="14033" x14ac:dyDescent="0.3"/>
    <row r="14034" x14ac:dyDescent="0.3"/>
    <row r="14035" x14ac:dyDescent="0.3"/>
    <row r="14036" x14ac:dyDescent="0.3"/>
    <row r="14037" x14ac:dyDescent="0.3"/>
    <row r="14038" x14ac:dyDescent="0.3"/>
    <row r="14039" x14ac:dyDescent="0.3"/>
    <row r="14040" x14ac:dyDescent="0.3"/>
    <row r="14041" x14ac:dyDescent="0.3"/>
    <row r="14042" x14ac:dyDescent="0.3"/>
    <row r="14043" x14ac:dyDescent="0.3"/>
    <row r="14044" x14ac:dyDescent="0.3"/>
    <row r="14045" x14ac:dyDescent="0.3"/>
    <row r="14046" x14ac:dyDescent="0.3"/>
    <row r="14047" x14ac:dyDescent="0.3"/>
    <row r="14048" x14ac:dyDescent="0.3"/>
    <row r="14049" x14ac:dyDescent="0.3"/>
    <row r="14050" x14ac:dyDescent="0.3"/>
    <row r="14051" x14ac:dyDescent="0.3"/>
    <row r="14052" x14ac:dyDescent="0.3"/>
    <row r="14053" x14ac:dyDescent="0.3"/>
    <row r="14054" x14ac:dyDescent="0.3"/>
    <row r="14055" x14ac:dyDescent="0.3"/>
    <row r="14056" x14ac:dyDescent="0.3"/>
    <row r="14057" x14ac:dyDescent="0.3"/>
    <row r="14058" x14ac:dyDescent="0.3"/>
    <row r="14059" x14ac:dyDescent="0.3"/>
    <row r="14060" x14ac:dyDescent="0.3"/>
    <row r="14061" x14ac:dyDescent="0.3"/>
    <row r="14062" x14ac:dyDescent="0.3"/>
    <row r="14063" x14ac:dyDescent="0.3"/>
    <row r="14064" x14ac:dyDescent="0.3"/>
    <row r="14065" x14ac:dyDescent="0.3"/>
    <row r="14066" x14ac:dyDescent="0.3"/>
    <row r="14067" x14ac:dyDescent="0.3"/>
    <row r="14068" x14ac:dyDescent="0.3"/>
    <row r="14069" x14ac:dyDescent="0.3"/>
    <row r="14070" x14ac:dyDescent="0.3"/>
    <row r="14071" x14ac:dyDescent="0.3"/>
    <row r="14072" x14ac:dyDescent="0.3"/>
    <row r="14073" x14ac:dyDescent="0.3"/>
    <row r="14074" x14ac:dyDescent="0.3"/>
    <row r="14075" x14ac:dyDescent="0.3"/>
    <row r="14076" x14ac:dyDescent="0.3"/>
    <row r="14077" x14ac:dyDescent="0.3"/>
    <row r="14078" x14ac:dyDescent="0.3"/>
    <row r="14079" x14ac:dyDescent="0.3"/>
    <row r="14080" x14ac:dyDescent="0.3"/>
    <row r="14081" x14ac:dyDescent="0.3"/>
    <row r="14082" x14ac:dyDescent="0.3"/>
    <row r="14083" x14ac:dyDescent="0.3"/>
    <row r="14084" x14ac:dyDescent="0.3"/>
    <row r="14085" x14ac:dyDescent="0.3"/>
    <row r="14086" x14ac:dyDescent="0.3"/>
    <row r="14087" x14ac:dyDescent="0.3"/>
    <row r="14088" x14ac:dyDescent="0.3"/>
    <row r="14089" x14ac:dyDescent="0.3"/>
    <row r="14090" x14ac:dyDescent="0.3"/>
    <row r="14091" x14ac:dyDescent="0.3"/>
    <row r="14092" x14ac:dyDescent="0.3"/>
    <row r="14093" x14ac:dyDescent="0.3"/>
    <row r="14094" x14ac:dyDescent="0.3"/>
    <row r="14095" x14ac:dyDescent="0.3"/>
    <row r="14096" x14ac:dyDescent="0.3"/>
    <row r="14097" x14ac:dyDescent="0.3"/>
    <row r="14098" x14ac:dyDescent="0.3"/>
    <row r="14099" x14ac:dyDescent="0.3"/>
    <row r="14100" x14ac:dyDescent="0.3"/>
    <row r="14101" x14ac:dyDescent="0.3"/>
    <row r="14102" x14ac:dyDescent="0.3"/>
    <row r="14103" x14ac:dyDescent="0.3"/>
    <row r="14104" x14ac:dyDescent="0.3"/>
    <row r="14105" x14ac:dyDescent="0.3"/>
    <row r="14106" x14ac:dyDescent="0.3"/>
    <row r="14107" x14ac:dyDescent="0.3"/>
    <row r="14108" x14ac:dyDescent="0.3"/>
    <row r="14109" x14ac:dyDescent="0.3"/>
    <row r="14110" x14ac:dyDescent="0.3"/>
    <row r="14111" x14ac:dyDescent="0.3"/>
    <row r="14112" x14ac:dyDescent="0.3"/>
    <row r="14113" x14ac:dyDescent="0.3"/>
    <row r="14114" x14ac:dyDescent="0.3"/>
    <row r="14115" x14ac:dyDescent="0.3"/>
    <row r="14116" x14ac:dyDescent="0.3"/>
    <row r="14117" x14ac:dyDescent="0.3"/>
    <row r="14118" x14ac:dyDescent="0.3"/>
    <row r="14119" x14ac:dyDescent="0.3"/>
    <row r="14120" x14ac:dyDescent="0.3"/>
    <row r="14121" x14ac:dyDescent="0.3"/>
    <row r="14122" x14ac:dyDescent="0.3"/>
    <row r="14123" x14ac:dyDescent="0.3"/>
    <row r="14124" x14ac:dyDescent="0.3"/>
    <row r="14125" x14ac:dyDescent="0.3"/>
    <row r="14126" x14ac:dyDescent="0.3"/>
    <row r="14127" x14ac:dyDescent="0.3"/>
    <row r="14128" x14ac:dyDescent="0.3"/>
    <row r="14129" x14ac:dyDescent="0.3"/>
    <row r="14130" x14ac:dyDescent="0.3"/>
    <row r="14131" x14ac:dyDescent="0.3"/>
    <row r="14132" x14ac:dyDescent="0.3"/>
    <row r="14133" x14ac:dyDescent="0.3"/>
    <row r="14134" x14ac:dyDescent="0.3"/>
    <row r="14135" x14ac:dyDescent="0.3"/>
    <row r="14136" x14ac:dyDescent="0.3"/>
    <row r="14137" x14ac:dyDescent="0.3"/>
    <row r="14138" x14ac:dyDescent="0.3"/>
    <row r="14139" x14ac:dyDescent="0.3"/>
    <row r="14140" x14ac:dyDescent="0.3"/>
    <row r="14141" x14ac:dyDescent="0.3"/>
    <row r="14142" x14ac:dyDescent="0.3"/>
    <row r="14143" x14ac:dyDescent="0.3"/>
    <row r="14144" x14ac:dyDescent="0.3"/>
    <row r="14145" x14ac:dyDescent="0.3"/>
    <row r="14146" x14ac:dyDescent="0.3"/>
    <row r="14147" x14ac:dyDescent="0.3"/>
    <row r="14148" x14ac:dyDescent="0.3"/>
    <row r="14149" x14ac:dyDescent="0.3"/>
    <row r="14150" x14ac:dyDescent="0.3"/>
    <row r="14151" x14ac:dyDescent="0.3"/>
    <row r="14152" x14ac:dyDescent="0.3"/>
    <row r="14153" x14ac:dyDescent="0.3"/>
    <row r="14154" x14ac:dyDescent="0.3"/>
    <row r="14155" x14ac:dyDescent="0.3"/>
    <row r="14156" x14ac:dyDescent="0.3"/>
    <row r="14157" x14ac:dyDescent="0.3"/>
    <row r="14158" x14ac:dyDescent="0.3"/>
    <row r="14159" x14ac:dyDescent="0.3"/>
    <row r="14160" x14ac:dyDescent="0.3"/>
    <row r="14161" x14ac:dyDescent="0.3"/>
    <row r="14162" x14ac:dyDescent="0.3"/>
    <row r="14163" x14ac:dyDescent="0.3"/>
    <row r="14164" x14ac:dyDescent="0.3"/>
    <row r="14165" x14ac:dyDescent="0.3"/>
    <row r="14166" x14ac:dyDescent="0.3"/>
    <row r="14167" x14ac:dyDescent="0.3"/>
    <row r="14168" x14ac:dyDescent="0.3"/>
    <row r="14169" x14ac:dyDescent="0.3"/>
    <row r="14170" x14ac:dyDescent="0.3"/>
    <row r="14171" x14ac:dyDescent="0.3"/>
    <row r="14172" x14ac:dyDescent="0.3"/>
    <row r="14173" x14ac:dyDescent="0.3"/>
    <row r="14174" x14ac:dyDescent="0.3"/>
    <row r="14175" x14ac:dyDescent="0.3"/>
    <row r="14176" x14ac:dyDescent="0.3"/>
    <row r="14177" x14ac:dyDescent="0.3"/>
    <row r="14178" x14ac:dyDescent="0.3"/>
    <row r="14179" x14ac:dyDescent="0.3"/>
    <row r="14180" x14ac:dyDescent="0.3"/>
    <row r="14181" x14ac:dyDescent="0.3"/>
    <row r="14182" x14ac:dyDescent="0.3"/>
    <row r="14183" x14ac:dyDescent="0.3"/>
    <row r="14184" x14ac:dyDescent="0.3"/>
    <row r="14185" x14ac:dyDescent="0.3"/>
    <row r="14186" x14ac:dyDescent="0.3"/>
    <row r="14187" x14ac:dyDescent="0.3"/>
    <row r="14188" x14ac:dyDescent="0.3"/>
    <row r="14189" x14ac:dyDescent="0.3"/>
    <row r="14190" x14ac:dyDescent="0.3"/>
    <row r="14191" x14ac:dyDescent="0.3"/>
    <row r="14192" x14ac:dyDescent="0.3"/>
    <row r="14193" x14ac:dyDescent="0.3"/>
    <row r="14194" x14ac:dyDescent="0.3"/>
    <row r="14195" x14ac:dyDescent="0.3"/>
    <row r="14196" x14ac:dyDescent="0.3"/>
    <row r="14197" x14ac:dyDescent="0.3"/>
    <row r="14198" x14ac:dyDescent="0.3"/>
    <row r="14199" x14ac:dyDescent="0.3"/>
    <row r="14200" x14ac:dyDescent="0.3"/>
    <row r="14201" x14ac:dyDescent="0.3"/>
    <row r="14202" x14ac:dyDescent="0.3"/>
    <row r="14203" x14ac:dyDescent="0.3"/>
    <row r="14204" x14ac:dyDescent="0.3"/>
    <row r="14205" x14ac:dyDescent="0.3"/>
    <row r="14206" x14ac:dyDescent="0.3"/>
    <row r="14207" x14ac:dyDescent="0.3"/>
    <row r="14208" x14ac:dyDescent="0.3"/>
    <row r="14209" x14ac:dyDescent="0.3"/>
    <row r="14210" x14ac:dyDescent="0.3"/>
    <row r="14211" x14ac:dyDescent="0.3"/>
    <row r="14212" x14ac:dyDescent="0.3"/>
    <row r="14213" x14ac:dyDescent="0.3"/>
    <row r="14214" x14ac:dyDescent="0.3"/>
    <row r="14215" x14ac:dyDescent="0.3"/>
    <row r="14216" x14ac:dyDescent="0.3"/>
    <row r="14217" x14ac:dyDescent="0.3"/>
    <row r="14218" x14ac:dyDescent="0.3"/>
    <row r="14219" x14ac:dyDescent="0.3"/>
    <row r="14220" x14ac:dyDescent="0.3"/>
    <row r="14221" x14ac:dyDescent="0.3"/>
    <row r="14222" x14ac:dyDescent="0.3"/>
    <row r="14223" x14ac:dyDescent="0.3"/>
    <row r="14224" x14ac:dyDescent="0.3"/>
    <row r="14225" x14ac:dyDescent="0.3"/>
    <row r="14226" x14ac:dyDescent="0.3"/>
    <row r="14227" x14ac:dyDescent="0.3"/>
    <row r="14228" x14ac:dyDescent="0.3"/>
    <row r="14229" x14ac:dyDescent="0.3"/>
    <row r="14230" x14ac:dyDescent="0.3"/>
    <row r="14231" x14ac:dyDescent="0.3"/>
    <row r="14232" x14ac:dyDescent="0.3"/>
    <row r="14233" x14ac:dyDescent="0.3"/>
    <row r="14234" x14ac:dyDescent="0.3"/>
    <row r="14235" x14ac:dyDescent="0.3"/>
    <row r="14236" x14ac:dyDescent="0.3"/>
    <row r="14237" x14ac:dyDescent="0.3"/>
    <row r="14238" x14ac:dyDescent="0.3"/>
    <row r="14239" x14ac:dyDescent="0.3"/>
    <row r="14240" x14ac:dyDescent="0.3"/>
    <row r="14241" x14ac:dyDescent="0.3"/>
    <row r="14242" x14ac:dyDescent="0.3"/>
    <row r="14243" x14ac:dyDescent="0.3"/>
    <row r="14244" x14ac:dyDescent="0.3"/>
    <row r="14245" x14ac:dyDescent="0.3"/>
    <row r="14246" x14ac:dyDescent="0.3"/>
    <row r="14247" x14ac:dyDescent="0.3"/>
    <row r="14248" x14ac:dyDescent="0.3"/>
    <row r="14249" x14ac:dyDescent="0.3"/>
    <row r="14250" x14ac:dyDescent="0.3"/>
    <row r="14251" x14ac:dyDescent="0.3"/>
    <row r="14252" x14ac:dyDescent="0.3"/>
    <row r="14253" x14ac:dyDescent="0.3"/>
    <row r="14254" x14ac:dyDescent="0.3"/>
    <row r="14255" x14ac:dyDescent="0.3"/>
    <row r="14256" x14ac:dyDescent="0.3"/>
    <row r="14257" x14ac:dyDescent="0.3"/>
    <row r="14258" x14ac:dyDescent="0.3"/>
    <row r="14259" x14ac:dyDescent="0.3"/>
    <row r="14260" x14ac:dyDescent="0.3"/>
    <row r="14261" x14ac:dyDescent="0.3"/>
    <row r="14262" x14ac:dyDescent="0.3"/>
    <row r="14263" x14ac:dyDescent="0.3"/>
    <row r="14264" x14ac:dyDescent="0.3"/>
    <row r="14265" x14ac:dyDescent="0.3"/>
    <row r="14266" x14ac:dyDescent="0.3"/>
    <row r="14267" x14ac:dyDescent="0.3"/>
    <row r="14268" x14ac:dyDescent="0.3"/>
    <row r="14269" x14ac:dyDescent="0.3"/>
    <row r="14270" x14ac:dyDescent="0.3"/>
    <row r="14271" x14ac:dyDescent="0.3"/>
    <row r="14272" x14ac:dyDescent="0.3"/>
    <row r="14273" x14ac:dyDescent="0.3"/>
    <row r="14274" x14ac:dyDescent="0.3"/>
    <row r="14275" x14ac:dyDescent="0.3"/>
    <row r="14276" x14ac:dyDescent="0.3"/>
    <row r="14277" x14ac:dyDescent="0.3"/>
    <row r="14278" x14ac:dyDescent="0.3"/>
    <row r="14279" x14ac:dyDescent="0.3"/>
    <row r="14280" x14ac:dyDescent="0.3"/>
    <row r="14281" x14ac:dyDescent="0.3"/>
    <row r="14282" x14ac:dyDescent="0.3"/>
    <row r="14283" x14ac:dyDescent="0.3"/>
    <row r="14284" x14ac:dyDescent="0.3"/>
    <row r="14285" x14ac:dyDescent="0.3"/>
    <row r="14286" x14ac:dyDescent="0.3"/>
    <row r="14287" x14ac:dyDescent="0.3"/>
    <row r="14288" x14ac:dyDescent="0.3"/>
    <row r="14289" x14ac:dyDescent="0.3"/>
    <row r="14290" x14ac:dyDescent="0.3"/>
    <row r="14291" x14ac:dyDescent="0.3"/>
    <row r="14292" x14ac:dyDescent="0.3"/>
    <row r="14293" x14ac:dyDescent="0.3"/>
    <row r="14294" x14ac:dyDescent="0.3"/>
    <row r="14295" x14ac:dyDescent="0.3"/>
    <row r="14296" x14ac:dyDescent="0.3"/>
    <row r="14297" x14ac:dyDescent="0.3"/>
    <row r="14298" x14ac:dyDescent="0.3"/>
    <row r="14299" x14ac:dyDescent="0.3"/>
    <row r="14300" x14ac:dyDescent="0.3"/>
    <row r="14301" x14ac:dyDescent="0.3"/>
    <row r="14302" x14ac:dyDescent="0.3"/>
    <row r="14303" x14ac:dyDescent="0.3"/>
    <row r="14304" x14ac:dyDescent="0.3"/>
    <row r="14305" x14ac:dyDescent="0.3"/>
    <row r="14306" x14ac:dyDescent="0.3"/>
    <row r="14307" x14ac:dyDescent="0.3"/>
    <row r="14308" x14ac:dyDescent="0.3"/>
    <row r="14309" x14ac:dyDescent="0.3"/>
    <row r="14310" x14ac:dyDescent="0.3"/>
    <row r="14311" x14ac:dyDescent="0.3"/>
    <row r="14312" x14ac:dyDescent="0.3"/>
    <row r="14313" x14ac:dyDescent="0.3"/>
    <row r="14314" x14ac:dyDescent="0.3"/>
    <row r="14315" x14ac:dyDescent="0.3"/>
    <row r="14316" x14ac:dyDescent="0.3"/>
    <row r="14317" x14ac:dyDescent="0.3"/>
    <row r="14318" x14ac:dyDescent="0.3"/>
    <row r="14319" x14ac:dyDescent="0.3"/>
    <row r="14320" x14ac:dyDescent="0.3"/>
    <row r="14321" x14ac:dyDescent="0.3"/>
    <row r="14322" x14ac:dyDescent="0.3"/>
    <row r="14323" x14ac:dyDescent="0.3"/>
    <row r="14324" x14ac:dyDescent="0.3"/>
    <row r="14325" x14ac:dyDescent="0.3"/>
    <row r="14326" x14ac:dyDescent="0.3"/>
    <row r="14327" x14ac:dyDescent="0.3"/>
    <row r="14328" x14ac:dyDescent="0.3"/>
    <row r="14329" x14ac:dyDescent="0.3"/>
    <row r="14330" x14ac:dyDescent="0.3"/>
    <row r="14331" x14ac:dyDescent="0.3"/>
    <row r="14332" x14ac:dyDescent="0.3"/>
    <row r="14333" x14ac:dyDescent="0.3"/>
    <row r="14334" x14ac:dyDescent="0.3"/>
    <row r="14335" x14ac:dyDescent="0.3"/>
    <row r="14336" x14ac:dyDescent="0.3"/>
    <row r="14337" x14ac:dyDescent="0.3"/>
    <row r="14338" x14ac:dyDescent="0.3"/>
    <row r="14339" x14ac:dyDescent="0.3"/>
    <row r="14340" x14ac:dyDescent="0.3"/>
    <row r="14341" x14ac:dyDescent="0.3"/>
    <row r="14342" x14ac:dyDescent="0.3"/>
    <row r="14343" x14ac:dyDescent="0.3"/>
    <row r="14344" x14ac:dyDescent="0.3"/>
    <row r="14345" x14ac:dyDescent="0.3"/>
    <row r="14346" x14ac:dyDescent="0.3"/>
    <row r="14347" x14ac:dyDescent="0.3"/>
    <row r="14348" x14ac:dyDescent="0.3"/>
    <row r="14349" x14ac:dyDescent="0.3"/>
    <row r="14350" x14ac:dyDescent="0.3"/>
    <row r="14351" x14ac:dyDescent="0.3"/>
    <row r="14352" x14ac:dyDescent="0.3"/>
    <row r="14353" x14ac:dyDescent="0.3"/>
    <row r="14354" x14ac:dyDescent="0.3"/>
    <row r="14355" x14ac:dyDescent="0.3"/>
    <row r="14356" x14ac:dyDescent="0.3"/>
    <row r="14357" x14ac:dyDescent="0.3"/>
    <row r="14358" x14ac:dyDescent="0.3"/>
    <row r="14359" x14ac:dyDescent="0.3"/>
    <row r="14360" x14ac:dyDescent="0.3"/>
    <row r="14361" x14ac:dyDescent="0.3"/>
    <row r="14362" x14ac:dyDescent="0.3"/>
    <row r="14363" x14ac:dyDescent="0.3"/>
    <row r="14364" x14ac:dyDescent="0.3"/>
    <row r="14365" x14ac:dyDescent="0.3"/>
    <row r="14366" x14ac:dyDescent="0.3"/>
    <row r="14367" x14ac:dyDescent="0.3"/>
    <row r="14368" x14ac:dyDescent="0.3"/>
    <row r="14369" x14ac:dyDescent="0.3"/>
    <row r="14370" x14ac:dyDescent="0.3"/>
    <row r="14371" x14ac:dyDescent="0.3"/>
    <row r="14372" x14ac:dyDescent="0.3"/>
    <row r="14373" x14ac:dyDescent="0.3"/>
    <row r="14374" x14ac:dyDescent="0.3"/>
    <row r="14375" x14ac:dyDescent="0.3"/>
    <row r="14376" x14ac:dyDescent="0.3"/>
    <row r="14377" x14ac:dyDescent="0.3"/>
    <row r="14378" x14ac:dyDescent="0.3"/>
    <row r="14379" x14ac:dyDescent="0.3"/>
    <row r="14380" x14ac:dyDescent="0.3"/>
    <row r="14381" x14ac:dyDescent="0.3"/>
    <row r="14382" x14ac:dyDescent="0.3"/>
    <row r="14383" x14ac:dyDescent="0.3"/>
    <row r="14384" x14ac:dyDescent="0.3"/>
    <row r="14385" x14ac:dyDescent="0.3"/>
    <row r="14386" x14ac:dyDescent="0.3"/>
    <row r="14387" x14ac:dyDescent="0.3"/>
    <row r="14388" x14ac:dyDescent="0.3"/>
    <row r="14389" x14ac:dyDescent="0.3"/>
    <row r="14390" x14ac:dyDescent="0.3"/>
    <row r="14391" x14ac:dyDescent="0.3"/>
    <row r="14392" x14ac:dyDescent="0.3"/>
    <row r="14393" x14ac:dyDescent="0.3"/>
    <row r="14394" x14ac:dyDescent="0.3"/>
    <row r="14395" x14ac:dyDescent="0.3"/>
    <row r="14396" x14ac:dyDescent="0.3"/>
    <row r="14397" x14ac:dyDescent="0.3"/>
    <row r="14398" x14ac:dyDescent="0.3"/>
    <row r="14399" x14ac:dyDescent="0.3"/>
    <row r="14400" x14ac:dyDescent="0.3"/>
    <row r="14401" x14ac:dyDescent="0.3"/>
    <row r="14402" x14ac:dyDescent="0.3"/>
    <row r="14403" x14ac:dyDescent="0.3"/>
    <row r="14404" x14ac:dyDescent="0.3"/>
    <row r="14405" x14ac:dyDescent="0.3"/>
    <row r="14406" x14ac:dyDescent="0.3"/>
    <row r="14407" x14ac:dyDescent="0.3"/>
    <row r="14408" x14ac:dyDescent="0.3"/>
    <row r="14409" x14ac:dyDescent="0.3"/>
    <row r="14410" x14ac:dyDescent="0.3"/>
    <row r="14411" x14ac:dyDescent="0.3"/>
    <row r="14412" x14ac:dyDescent="0.3"/>
    <row r="14413" x14ac:dyDescent="0.3"/>
    <row r="14414" x14ac:dyDescent="0.3"/>
    <row r="14415" x14ac:dyDescent="0.3"/>
    <row r="14416" x14ac:dyDescent="0.3"/>
    <row r="14417" x14ac:dyDescent="0.3"/>
    <row r="14418" x14ac:dyDescent="0.3"/>
    <row r="14419" x14ac:dyDescent="0.3"/>
    <row r="14420" x14ac:dyDescent="0.3"/>
    <row r="14421" x14ac:dyDescent="0.3"/>
    <row r="14422" x14ac:dyDescent="0.3"/>
    <row r="14423" x14ac:dyDescent="0.3"/>
    <row r="14424" x14ac:dyDescent="0.3"/>
    <row r="14425" x14ac:dyDescent="0.3"/>
    <row r="14426" x14ac:dyDescent="0.3"/>
    <row r="14427" x14ac:dyDescent="0.3"/>
    <row r="14428" x14ac:dyDescent="0.3"/>
    <row r="14429" x14ac:dyDescent="0.3"/>
    <row r="14430" x14ac:dyDescent="0.3"/>
    <row r="14431" x14ac:dyDescent="0.3"/>
    <row r="14432" x14ac:dyDescent="0.3"/>
    <row r="14433" x14ac:dyDescent="0.3"/>
    <row r="14434" x14ac:dyDescent="0.3"/>
    <row r="14435" x14ac:dyDescent="0.3"/>
    <row r="14436" x14ac:dyDescent="0.3"/>
    <row r="14437" x14ac:dyDescent="0.3"/>
    <row r="14438" x14ac:dyDescent="0.3"/>
    <row r="14439" x14ac:dyDescent="0.3"/>
    <row r="14440" x14ac:dyDescent="0.3"/>
    <row r="14441" x14ac:dyDescent="0.3"/>
    <row r="14442" x14ac:dyDescent="0.3"/>
    <row r="14443" x14ac:dyDescent="0.3"/>
    <row r="14444" x14ac:dyDescent="0.3"/>
    <row r="14445" x14ac:dyDescent="0.3"/>
    <row r="14446" x14ac:dyDescent="0.3"/>
    <row r="14447" x14ac:dyDescent="0.3"/>
    <row r="14448" x14ac:dyDescent="0.3"/>
    <row r="14449" x14ac:dyDescent="0.3"/>
    <row r="14450" x14ac:dyDescent="0.3"/>
    <row r="14451" x14ac:dyDescent="0.3"/>
    <row r="14452" x14ac:dyDescent="0.3"/>
    <row r="14453" x14ac:dyDescent="0.3"/>
    <row r="14454" x14ac:dyDescent="0.3"/>
    <row r="14455" x14ac:dyDescent="0.3"/>
    <row r="14456" x14ac:dyDescent="0.3"/>
    <row r="14457" x14ac:dyDescent="0.3"/>
    <row r="14458" x14ac:dyDescent="0.3"/>
    <row r="14459" x14ac:dyDescent="0.3"/>
    <row r="14460" x14ac:dyDescent="0.3"/>
    <row r="14461" x14ac:dyDescent="0.3"/>
    <row r="14462" x14ac:dyDescent="0.3"/>
    <row r="14463" x14ac:dyDescent="0.3"/>
    <row r="14464" x14ac:dyDescent="0.3"/>
    <row r="14465" x14ac:dyDescent="0.3"/>
    <row r="14466" x14ac:dyDescent="0.3"/>
    <row r="14467" x14ac:dyDescent="0.3"/>
    <row r="14468" x14ac:dyDescent="0.3"/>
    <row r="14469" x14ac:dyDescent="0.3"/>
    <row r="14470" x14ac:dyDescent="0.3"/>
    <row r="14471" x14ac:dyDescent="0.3"/>
    <row r="14472" x14ac:dyDescent="0.3"/>
    <row r="14473" x14ac:dyDescent="0.3"/>
    <row r="14474" x14ac:dyDescent="0.3"/>
    <row r="14475" x14ac:dyDescent="0.3"/>
    <row r="14476" x14ac:dyDescent="0.3"/>
    <row r="14477" x14ac:dyDescent="0.3"/>
    <row r="14478" x14ac:dyDescent="0.3"/>
    <row r="14479" x14ac:dyDescent="0.3"/>
    <row r="14480" x14ac:dyDescent="0.3"/>
    <row r="14481" x14ac:dyDescent="0.3"/>
    <row r="14482" x14ac:dyDescent="0.3"/>
    <row r="14483" x14ac:dyDescent="0.3"/>
    <row r="14484" x14ac:dyDescent="0.3"/>
    <row r="14485" x14ac:dyDescent="0.3"/>
    <row r="14486" x14ac:dyDescent="0.3"/>
    <row r="14487" x14ac:dyDescent="0.3"/>
    <row r="14488" x14ac:dyDescent="0.3"/>
    <row r="14489" x14ac:dyDescent="0.3"/>
    <row r="14490" x14ac:dyDescent="0.3"/>
    <row r="14491" x14ac:dyDescent="0.3"/>
    <row r="14492" x14ac:dyDescent="0.3"/>
    <row r="14493" x14ac:dyDescent="0.3"/>
    <row r="14494" x14ac:dyDescent="0.3"/>
    <row r="14495" x14ac:dyDescent="0.3"/>
    <row r="14496" x14ac:dyDescent="0.3"/>
    <row r="14497" x14ac:dyDescent="0.3"/>
    <row r="14498" x14ac:dyDescent="0.3"/>
    <row r="14499" x14ac:dyDescent="0.3"/>
    <row r="14500" x14ac:dyDescent="0.3"/>
    <row r="14501" x14ac:dyDescent="0.3"/>
    <row r="14502" x14ac:dyDescent="0.3"/>
    <row r="14503" x14ac:dyDescent="0.3"/>
    <row r="14504" x14ac:dyDescent="0.3"/>
    <row r="14505" x14ac:dyDescent="0.3"/>
    <row r="14506" x14ac:dyDescent="0.3"/>
    <row r="14507" x14ac:dyDescent="0.3"/>
    <row r="14508" x14ac:dyDescent="0.3"/>
    <row r="14509" x14ac:dyDescent="0.3"/>
    <row r="14510" x14ac:dyDescent="0.3"/>
    <row r="14511" x14ac:dyDescent="0.3"/>
    <row r="14512" x14ac:dyDescent="0.3"/>
    <row r="14513" x14ac:dyDescent="0.3"/>
    <row r="14514" x14ac:dyDescent="0.3"/>
    <row r="14515" x14ac:dyDescent="0.3"/>
    <row r="14516" x14ac:dyDescent="0.3"/>
    <row r="14517" x14ac:dyDescent="0.3"/>
    <row r="14518" x14ac:dyDescent="0.3"/>
    <row r="14519" x14ac:dyDescent="0.3"/>
    <row r="14520" x14ac:dyDescent="0.3"/>
    <row r="14521" x14ac:dyDescent="0.3"/>
    <row r="14522" x14ac:dyDescent="0.3"/>
    <row r="14523" x14ac:dyDescent="0.3"/>
    <row r="14524" x14ac:dyDescent="0.3"/>
    <row r="14525" x14ac:dyDescent="0.3"/>
    <row r="14526" x14ac:dyDescent="0.3"/>
    <row r="14527" x14ac:dyDescent="0.3"/>
    <row r="14528" x14ac:dyDescent="0.3"/>
    <row r="14529" x14ac:dyDescent="0.3"/>
    <row r="14530" x14ac:dyDescent="0.3"/>
    <row r="14531" x14ac:dyDescent="0.3"/>
    <row r="14532" x14ac:dyDescent="0.3"/>
    <row r="14533" x14ac:dyDescent="0.3"/>
    <row r="14534" x14ac:dyDescent="0.3"/>
    <row r="14535" x14ac:dyDescent="0.3"/>
    <row r="14536" x14ac:dyDescent="0.3"/>
    <row r="14537" x14ac:dyDescent="0.3"/>
    <row r="14538" x14ac:dyDescent="0.3"/>
    <row r="14539" x14ac:dyDescent="0.3"/>
    <row r="14540" x14ac:dyDescent="0.3"/>
    <row r="14541" x14ac:dyDescent="0.3"/>
    <row r="14542" x14ac:dyDescent="0.3"/>
    <row r="14543" x14ac:dyDescent="0.3"/>
    <row r="14544" x14ac:dyDescent="0.3"/>
    <row r="14545" x14ac:dyDescent="0.3"/>
    <row r="14546" x14ac:dyDescent="0.3"/>
    <row r="14547" x14ac:dyDescent="0.3"/>
    <row r="14548" x14ac:dyDescent="0.3"/>
    <row r="14549" x14ac:dyDescent="0.3"/>
    <row r="14550" x14ac:dyDescent="0.3"/>
    <row r="14551" x14ac:dyDescent="0.3"/>
    <row r="14552" x14ac:dyDescent="0.3"/>
    <row r="14553" x14ac:dyDescent="0.3"/>
    <row r="14554" x14ac:dyDescent="0.3"/>
    <row r="14555" x14ac:dyDescent="0.3"/>
    <row r="14556" x14ac:dyDescent="0.3"/>
    <row r="14557" x14ac:dyDescent="0.3"/>
    <row r="14558" x14ac:dyDescent="0.3"/>
    <row r="14559" x14ac:dyDescent="0.3"/>
    <row r="14560" x14ac:dyDescent="0.3"/>
    <row r="14561" x14ac:dyDescent="0.3"/>
    <row r="14562" x14ac:dyDescent="0.3"/>
    <row r="14563" x14ac:dyDescent="0.3"/>
    <row r="14564" x14ac:dyDescent="0.3"/>
    <row r="14565" x14ac:dyDescent="0.3"/>
    <row r="14566" x14ac:dyDescent="0.3"/>
    <row r="14567" x14ac:dyDescent="0.3"/>
    <row r="14568" x14ac:dyDescent="0.3"/>
    <row r="14569" x14ac:dyDescent="0.3"/>
    <row r="14570" x14ac:dyDescent="0.3"/>
    <row r="14571" x14ac:dyDescent="0.3"/>
    <row r="14572" x14ac:dyDescent="0.3"/>
    <row r="14573" x14ac:dyDescent="0.3"/>
    <row r="14574" x14ac:dyDescent="0.3"/>
    <row r="14575" x14ac:dyDescent="0.3"/>
    <row r="14576" x14ac:dyDescent="0.3"/>
    <row r="14577" x14ac:dyDescent="0.3"/>
    <row r="14578" x14ac:dyDescent="0.3"/>
    <row r="14579" x14ac:dyDescent="0.3"/>
    <row r="14580" x14ac:dyDescent="0.3"/>
    <row r="14581" x14ac:dyDescent="0.3"/>
    <row r="14582" x14ac:dyDescent="0.3"/>
    <row r="14583" x14ac:dyDescent="0.3"/>
    <row r="14584" x14ac:dyDescent="0.3"/>
    <row r="14585" x14ac:dyDescent="0.3"/>
    <row r="14586" x14ac:dyDescent="0.3"/>
    <row r="14587" x14ac:dyDescent="0.3"/>
    <row r="14588" x14ac:dyDescent="0.3"/>
    <row r="14589" x14ac:dyDescent="0.3"/>
    <row r="14590" x14ac:dyDescent="0.3"/>
    <row r="14591" x14ac:dyDescent="0.3"/>
    <row r="14592" x14ac:dyDescent="0.3"/>
    <row r="14593" x14ac:dyDescent="0.3"/>
    <row r="14594" x14ac:dyDescent="0.3"/>
    <row r="14595" x14ac:dyDescent="0.3"/>
    <row r="14596" x14ac:dyDescent="0.3"/>
    <row r="14597" x14ac:dyDescent="0.3"/>
    <row r="14598" x14ac:dyDescent="0.3"/>
    <row r="14599" x14ac:dyDescent="0.3"/>
    <row r="14600" x14ac:dyDescent="0.3"/>
    <row r="14601" x14ac:dyDescent="0.3"/>
    <row r="14602" x14ac:dyDescent="0.3"/>
    <row r="14603" x14ac:dyDescent="0.3"/>
    <row r="14604" x14ac:dyDescent="0.3"/>
    <row r="14605" x14ac:dyDescent="0.3"/>
    <row r="14606" x14ac:dyDescent="0.3"/>
    <row r="14607" x14ac:dyDescent="0.3"/>
    <row r="14608" x14ac:dyDescent="0.3"/>
    <row r="14609" x14ac:dyDescent="0.3"/>
    <row r="14610" x14ac:dyDescent="0.3"/>
    <row r="14611" x14ac:dyDescent="0.3"/>
    <row r="14612" x14ac:dyDescent="0.3"/>
    <row r="14613" x14ac:dyDescent="0.3"/>
    <row r="14614" x14ac:dyDescent="0.3"/>
    <row r="14615" x14ac:dyDescent="0.3"/>
    <row r="14616" x14ac:dyDescent="0.3"/>
    <row r="14617" x14ac:dyDescent="0.3"/>
    <row r="14618" x14ac:dyDescent="0.3"/>
    <row r="14619" x14ac:dyDescent="0.3"/>
    <row r="14620" x14ac:dyDescent="0.3"/>
    <row r="14621" x14ac:dyDescent="0.3"/>
    <row r="14622" x14ac:dyDescent="0.3"/>
    <row r="14623" x14ac:dyDescent="0.3"/>
    <row r="14624" x14ac:dyDescent="0.3"/>
    <row r="14625" x14ac:dyDescent="0.3"/>
    <row r="14626" x14ac:dyDescent="0.3"/>
    <row r="14627" x14ac:dyDescent="0.3"/>
    <row r="14628" x14ac:dyDescent="0.3"/>
    <row r="14629" x14ac:dyDescent="0.3"/>
    <row r="14630" x14ac:dyDescent="0.3"/>
    <row r="14631" x14ac:dyDescent="0.3"/>
    <row r="14632" x14ac:dyDescent="0.3"/>
    <row r="14633" x14ac:dyDescent="0.3"/>
    <row r="14634" x14ac:dyDescent="0.3"/>
    <row r="14635" x14ac:dyDescent="0.3"/>
    <row r="14636" x14ac:dyDescent="0.3"/>
    <row r="14637" x14ac:dyDescent="0.3"/>
    <row r="14638" x14ac:dyDescent="0.3"/>
    <row r="14639" x14ac:dyDescent="0.3"/>
    <row r="14640" x14ac:dyDescent="0.3"/>
    <row r="14641" x14ac:dyDescent="0.3"/>
    <row r="14642" x14ac:dyDescent="0.3"/>
    <row r="14643" x14ac:dyDescent="0.3"/>
    <row r="14644" x14ac:dyDescent="0.3"/>
    <row r="14645" x14ac:dyDescent="0.3"/>
    <row r="14646" x14ac:dyDescent="0.3"/>
    <row r="14647" x14ac:dyDescent="0.3"/>
    <row r="14648" x14ac:dyDescent="0.3"/>
    <row r="14649" x14ac:dyDescent="0.3"/>
    <row r="14650" x14ac:dyDescent="0.3"/>
    <row r="14651" x14ac:dyDescent="0.3"/>
    <row r="14652" x14ac:dyDescent="0.3"/>
    <row r="14653" x14ac:dyDescent="0.3"/>
    <row r="14654" x14ac:dyDescent="0.3"/>
    <row r="14655" x14ac:dyDescent="0.3"/>
    <row r="14656" x14ac:dyDescent="0.3"/>
    <row r="14657" x14ac:dyDescent="0.3"/>
    <row r="14658" x14ac:dyDescent="0.3"/>
    <row r="14659" x14ac:dyDescent="0.3"/>
    <row r="14660" x14ac:dyDescent="0.3"/>
    <row r="14661" x14ac:dyDescent="0.3"/>
    <row r="14662" x14ac:dyDescent="0.3"/>
    <row r="14663" x14ac:dyDescent="0.3"/>
    <row r="14664" x14ac:dyDescent="0.3"/>
    <row r="14665" x14ac:dyDescent="0.3"/>
    <row r="14666" x14ac:dyDescent="0.3"/>
    <row r="14667" x14ac:dyDescent="0.3"/>
    <row r="14668" x14ac:dyDescent="0.3"/>
    <row r="14669" x14ac:dyDescent="0.3"/>
    <row r="14670" x14ac:dyDescent="0.3"/>
    <row r="14671" x14ac:dyDescent="0.3"/>
    <row r="14672" x14ac:dyDescent="0.3"/>
    <row r="14673" x14ac:dyDescent="0.3"/>
    <row r="14674" x14ac:dyDescent="0.3"/>
    <row r="14675" x14ac:dyDescent="0.3"/>
    <row r="14676" x14ac:dyDescent="0.3"/>
    <row r="14677" x14ac:dyDescent="0.3"/>
    <row r="14678" x14ac:dyDescent="0.3"/>
    <row r="14679" x14ac:dyDescent="0.3"/>
    <row r="14680" x14ac:dyDescent="0.3"/>
    <row r="14681" x14ac:dyDescent="0.3"/>
    <row r="14682" x14ac:dyDescent="0.3"/>
    <row r="14683" x14ac:dyDescent="0.3"/>
    <row r="14684" x14ac:dyDescent="0.3"/>
    <row r="14685" x14ac:dyDescent="0.3"/>
    <row r="14686" x14ac:dyDescent="0.3"/>
    <row r="14687" x14ac:dyDescent="0.3"/>
    <row r="14688" x14ac:dyDescent="0.3"/>
    <row r="14689" x14ac:dyDescent="0.3"/>
    <row r="14690" x14ac:dyDescent="0.3"/>
    <row r="14691" x14ac:dyDescent="0.3"/>
    <row r="14692" x14ac:dyDescent="0.3"/>
    <row r="14693" x14ac:dyDescent="0.3"/>
    <row r="14694" x14ac:dyDescent="0.3"/>
    <row r="14695" x14ac:dyDescent="0.3"/>
    <row r="14696" x14ac:dyDescent="0.3"/>
    <row r="14697" x14ac:dyDescent="0.3"/>
    <row r="14698" x14ac:dyDescent="0.3"/>
    <row r="14699" x14ac:dyDescent="0.3"/>
    <row r="14700" x14ac:dyDescent="0.3"/>
    <row r="14701" x14ac:dyDescent="0.3"/>
    <row r="14702" x14ac:dyDescent="0.3"/>
    <row r="14703" x14ac:dyDescent="0.3"/>
    <row r="14704" x14ac:dyDescent="0.3"/>
    <row r="14705" x14ac:dyDescent="0.3"/>
    <row r="14706" x14ac:dyDescent="0.3"/>
    <row r="14707" x14ac:dyDescent="0.3"/>
    <row r="14708" x14ac:dyDescent="0.3"/>
    <row r="14709" x14ac:dyDescent="0.3"/>
    <row r="14710" x14ac:dyDescent="0.3"/>
    <row r="14711" x14ac:dyDescent="0.3"/>
    <row r="14712" x14ac:dyDescent="0.3"/>
    <row r="14713" x14ac:dyDescent="0.3"/>
    <row r="14714" x14ac:dyDescent="0.3"/>
    <row r="14715" x14ac:dyDescent="0.3"/>
    <row r="14716" x14ac:dyDescent="0.3"/>
    <row r="14717" x14ac:dyDescent="0.3"/>
    <row r="14718" x14ac:dyDescent="0.3"/>
    <row r="14719" x14ac:dyDescent="0.3"/>
    <row r="14720" x14ac:dyDescent="0.3"/>
    <row r="14721" x14ac:dyDescent="0.3"/>
    <row r="14722" x14ac:dyDescent="0.3"/>
    <row r="14723" x14ac:dyDescent="0.3"/>
    <row r="14724" x14ac:dyDescent="0.3"/>
    <row r="14725" x14ac:dyDescent="0.3"/>
    <row r="14726" x14ac:dyDescent="0.3"/>
    <row r="14727" x14ac:dyDescent="0.3"/>
    <row r="14728" x14ac:dyDescent="0.3"/>
    <row r="14729" x14ac:dyDescent="0.3"/>
    <row r="14730" x14ac:dyDescent="0.3"/>
    <row r="14731" x14ac:dyDescent="0.3"/>
    <row r="14732" x14ac:dyDescent="0.3"/>
    <row r="14733" x14ac:dyDescent="0.3"/>
    <row r="14734" x14ac:dyDescent="0.3"/>
    <row r="14735" x14ac:dyDescent="0.3"/>
    <row r="14736" x14ac:dyDescent="0.3"/>
    <row r="14737" x14ac:dyDescent="0.3"/>
    <row r="14738" x14ac:dyDescent="0.3"/>
    <row r="14739" x14ac:dyDescent="0.3"/>
    <row r="14740" x14ac:dyDescent="0.3"/>
    <row r="14741" x14ac:dyDescent="0.3"/>
    <row r="14742" x14ac:dyDescent="0.3"/>
    <row r="14743" x14ac:dyDescent="0.3"/>
    <row r="14744" x14ac:dyDescent="0.3"/>
    <row r="14745" x14ac:dyDescent="0.3"/>
    <row r="14746" x14ac:dyDescent="0.3"/>
    <row r="14747" x14ac:dyDescent="0.3"/>
    <row r="14748" x14ac:dyDescent="0.3"/>
    <row r="14749" x14ac:dyDescent="0.3"/>
    <row r="14750" x14ac:dyDescent="0.3"/>
    <row r="14751" x14ac:dyDescent="0.3"/>
    <row r="14752" x14ac:dyDescent="0.3"/>
    <row r="14753" x14ac:dyDescent="0.3"/>
    <row r="14754" x14ac:dyDescent="0.3"/>
    <row r="14755" x14ac:dyDescent="0.3"/>
    <row r="14756" x14ac:dyDescent="0.3"/>
    <row r="14757" x14ac:dyDescent="0.3"/>
    <row r="14758" x14ac:dyDescent="0.3"/>
    <row r="14759" x14ac:dyDescent="0.3"/>
    <row r="14760" x14ac:dyDescent="0.3"/>
    <row r="14761" x14ac:dyDescent="0.3"/>
    <row r="14762" x14ac:dyDescent="0.3"/>
    <row r="14763" x14ac:dyDescent="0.3"/>
    <row r="14764" x14ac:dyDescent="0.3"/>
    <row r="14765" x14ac:dyDescent="0.3"/>
    <row r="14766" x14ac:dyDescent="0.3"/>
    <row r="14767" x14ac:dyDescent="0.3"/>
    <row r="14768" x14ac:dyDescent="0.3"/>
    <row r="14769" x14ac:dyDescent="0.3"/>
    <row r="14770" x14ac:dyDescent="0.3"/>
    <row r="14771" x14ac:dyDescent="0.3"/>
    <row r="14772" x14ac:dyDescent="0.3"/>
    <row r="14773" x14ac:dyDescent="0.3"/>
    <row r="14774" x14ac:dyDescent="0.3"/>
    <row r="14775" x14ac:dyDescent="0.3"/>
    <row r="14776" x14ac:dyDescent="0.3"/>
    <row r="14777" x14ac:dyDescent="0.3"/>
    <row r="14778" x14ac:dyDescent="0.3"/>
    <row r="14779" x14ac:dyDescent="0.3"/>
    <row r="14780" x14ac:dyDescent="0.3"/>
    <row r="14781" x14ac:dyDescent="0.3"/>
    <row r="14782" x14ac:dyDescent="0.3"/>
    <row r="14783" x14ac:dyDescent="0.3"/>
    <row r="14784" x14ac:dyDescent="0.3"/>
    <row r="14785" x14ac:dyDescent="0.3"/>
    <row r="14786" x14ac:dyDescent="0.3"/>
    <row r="14787" x14ac:dyDescent="0.3"/>
    <row r="14788" x14ac:dyDescent="0.3"/>
    <row r="14789" x14ac:dyDescent="0.3"/>
    <row r="14790" x14ac:dyDescent="0.3"/>
    <row r="14791" x14ac:dyDescent="0.3"/>
    <row r="14792" x14ac:dyDescent="0.3"/>
    <row r="14793" x14ac:dyDescent="0.3"/>
    <row r="14794" x14ac:dyDescent="0.3"/>
    <row r="14795" x14ac:dyDescent="0.3"/>
    <row r="14796" x14ac:dyDescent="0.3"/>
    <row r="14797" x14ac:dyDescent="0.3"/>
    <row r="14798" x14ac:dyDescent="0.3"/>
    <row r="14799" x14ac:dyDescent="0.3"/>
    <row r="14800" x14ac:dyDescent="0.3"/>
    <row r="14801" x14ac:dyDescent="0.3"/>
    <row r="14802" x14ac:dyDescent="0.3"/>
    <row r="14803" x14ac:dyDescent="0.3"/>
    <row r="14804" x14ac:dyDescent="0.3"/>
    <row r="14805" x14ac:dyDescent="0.3"/>
    <row r="14806" x14ac:dyDescent="0.3"/>
    <row r="14807" x14ac:dyDescent="0.3"/>
    <row r="14808" x14ac:dyDescent="0.3"/>
    <row r="14809" x14ac:dyDescent="0.3"/>
    <row r="14810" x14ac:dyDescent="0.3"/>
    <row r="14811" x14ac:dyDescent="0.3"/>
    <row r="14812" x14ac:dyDescent="0.3"/>
    <row r="14813" x14ac:dyDescent="0.3"/>
    <row r="14814" x14ac:dyDescent="0.3"/>
    <row r="14815" x14ac:dyDescent="0.3"/>
    <row r="14816" x14ac:dyDescent="0.3"/>
    <row r="14817" x14ac:dyDescent="0.3"/>
    <row r="14818" x14ac:dyDescent="0.3"/>
    <row r="14819" x14ac:dyDescent="0.3"/>
    <row r="14820" x14ac:dyDescent="0.3"/>
    <row r="14821" x14ac:dyDescent="0.3"/>
    <row r="14822" x14ac:dyDescent="0.3"/>
    <row r="14823" x14ac:dyDescent="0.3"/>
    <row r="14824" x14ac:dyDescent="0.3"/>
    <row r="14825" x14ac:dyDescent="0.3"/>
    <row r="14826" x14ac:dyDescent="0.3"/>
    <row r="14827" x14ac:dyDescent="0.3"/>
    <row r="14828" x14ac:dyDescent="0.3"/>
    <row r="14829" x14ac:dyDescent="0.3"/>
    <row r="14830" x14ac:dyDescent="0.3"/>
    <row r="14831" x14ac:dyDescent="0.3"/>
    <row r="14832" x14ac:dyDescent="0.3"/>
    <row r="14833" x14ac:dyDescent="0.3"/>
    <row r="14834" x14ac:dyDescent="0.3"/>
    <row r="14835" x14ac:dyDescent="0.3"/>
    <row r="14836" x14ac:dyDescent="0.3"/>
    <row r="14837" x14ac:dyDescent="0.3"/>
    <row r="14838" x14ac:dyDescent="0.3"/>
    <row r="14839" x14ac:dyDescent="0.3"/>
    <row r="14840" x14ac:dyDescent="0.3"/>
    <row r="14841" x14ac:dyDescent="0.3"/>
    <row r="14842" x14ac:dyDescent="0.3"/>
    <row r="14843" x14ac:dyDescent="0.3"/>
    <row r="14844" x14ac:dyDescent="0.3"/>
    <row r="14845" x14ac:dyDescent="0.3"/>
    <row r="14846" x14ac:dyDescent="0.3"/>
    <row r="14847" x14ac:dyDescent="0.3"/>
    <row r="14848" x14ac:dyDescent="0.3"/>
    <row r="14849" x14ac:dyDescent="0.3"/>
    <row r="14850" x14ac:dyDescent="0.3"/>
    <row r="14851" x14ac:dyDescent="0.3"/>
    <row r="14852" x14ac:dyDescent="0.3"/>
    <row r="14853" x14ac:dyDescent="0.3"/>
    <row r="14854" x14ac:dyDescent="0.3"/>
    <row r="14855" x14ac:dyDescent="0.3"/>
    <row r="14856" x14ac:dyDescent="0.3"/>
    <row r="14857" x14ac:dyDescent="0.3"/>
    <row r="14858" x14ac:dyDescent="0.3"/>
    <row r="14859" x14ac:dyDescent="0.3"/>
    <row r="14860" x14ac:dyDescent="0.3"/>
    <row r="14861" x14ac:dyDescent="0.3"/>
    <row r="14862" x14ac:dyDescent="0.3"/>
    <row r="14863" x14ac:dyDescent="0.3"/>
    <row r="14864" x14ac:dyDescent="0.3"/>
    <row r="14865" x14ac:dyDescent="0.3"/>
    <row r="14866" x14ac:dyDescent="0.3"/>
    <row r="14867" x14ac:dyDescent="0.3"/>
    <row r="14868" x14ac:dyDescent="0.3"/>
    <row r="14869" x14ac:dyDescent="0.3"/>
    <row r="14870" x14ac:dyDescent="0.3"/>
    <row r="14871" x14ac:dyDescent="0.3"/>
    <row r="14872" x14ac:dyDescent="0.3"/>
    <row r="14873" x14ac:dyDescent="0.3"/>
    <row r="14874" x14ac:dyDescent="0.3"/>
    <row r="14875" x14ac:dyDescent="0.3"/>
    <row r="14876" x14ac:dyDescent="0.3"/>
    <row r="14877" x14ac:dyDescent="0.3"/>
    <row r="14878" x14ac:dyDescent="0.3"/>
    <row r="14879" x14ac:dyDescent="0.3"/>
    <row r="14880" x14ac:dyDescent="0.3"/>
    <row r="14881" x14ac:dyDescent="0.3"/>
    <row r="14882" x14ac:dyDescent="0.3"/>
    <row r="14883" x14ac:dyDescent="0.3"/>
    <row r="14884" x14ac:dyDescent="0.3"/>
    <row r="14885" x14ac:dyDescent="0.3"/>
    <row r="14886" x14ac:dyDescent="0.3"/>
    <row r="14887" x14ac:dyDescent="0.3"/>
    <row r="14888" x14ac:dyDescent="0.3"/>
    <row r="14889" x14ac:dyDescent="0.3"/>
    <row r="14890" x14ac:dyDescent="0.3"/>
    <row r="14891" x14ac:dyDescent="0.3"/>
    <row r="14892" x14ac:dyDescent="0.3"/>
    <row r="14893" x14ac:dyDescent="0.3"/>
    <row r="14894" x14ac:dyDescent="0.3"/>
    <row r="14895" x14ac:dyDescent="0.3"/>
    <row r="14896" x14ac:dyDescent="0.3"/>
    <row r="14897" x14ac:dyDescent="0.3"/>
    <row r="14898" x14ac:dyDescent="0.3"/>
    <row r="14899" x14ac:dyDescent="0.3"/>
    <row r="14900" x14ac:dyDescent="0.3"/>
    <row r="14901" x14ac:dyDescent="0.3"/>
    <row r="14902" x14ac:dyDescent="0.3"/>
    <row r="14903" x14ac:dyDescent="0.3"/>
    <row r="14904" x14ac:dyDescent="0.3"/>
    <row r="14905" x14ac:dyDescent="0.3"/>
    <row r="14906" x14ac:dyDescent="0.3"/>
    <row r="14907" x14ac:dyDescent="0.3"/>
    <row r="14908" x14ac:dyDescent="0.3"/>
    <row r="14909" x14ac:dyDescent="0.3"/>
    <row r="14910" x14ac:dyDescent="0.3"/>
    <row r="14911" x14ac:dyDescent="0.3"/>
    <row r="14912" x14ac:dyDescent="0.3"/>
    <row r="14913" x14ac:dyDescent="0.3"/>
    <row r="14914" x14ac:dyDescent="0.3"/>
    <row r="14915" x14ac:dyDescent="0.3"/>
    <row r="14916" x14ac:dyDescent="0.3"/>
    <row r="14917" x14ac:dyDescent="0.3"/>
    <row r="14918" x14ac:dyDescent="0.3"/>
    <row r="14919" x14ac:dyDescent="0.3"/>
    <row r="14920" x14ac:dyDescent="0.3"/>
    <row r="14921" x14ac:dyDescent="0.3"/>
    <row r="14922" x14ac:dyDescent="0.3"/>
    <row r="14923" x14ac:dyDescent="0.3"/>
    <row r="14924" x14ac:dyDescent="0.3"/>
    <row r="14925" x14ac:dyDescent="0.3"/>
    <row r="14926" x14ac:dyDescent="0.3"/>
    <row r="14927" x14ac:dyDescent="0.3"/>
    <row r="14928" x14ac:dyDescent="0.3"/>
    <row r="14929" x14ac:dyDescent="0.3"/>
    <row r="14930" x14ac:dyDescent="0.3"/>
    <row r="14931" x14ac:dyDescent="0.3"/>
    <row r="14932" x14ac:dyDescent="0.3"/>
    <row r="14933" x14ac:dyDescent="0.3"/>
    <row r="14934" x14ac:dyDescent="0.3"/>
    <row r="14935" x14ac:dyDescent="0.3"/>
    <row r="14936" x14ac:dyDescent="0.3"/>
    <row r="14937" x14ac:dyDescent="0.3"/>
    <row r="14938" x14ac:dyDescent="0.3"/>
    <row r="14939" x14ac:dyDescent="0.3"/>
    <row r="14940" x14ac:dyDescent="0.3"/>
    <row r="14941" x14ac:dyDescent="0.3"/>
    <row r="14942" x14ac:dyDescent="0.3"/>
    <row r="14943" x14ac:dyDescent="0.3"/>
    <row r="14944" x14ac:dyDescent="0.3"/>
    <row r="14945" x14ac:dyDescent="0.3"/>
    <row r="14946" x14ac:dyDescent="0.3"/>
    <row r="14947" x14ac:dyDescent="0.3"/>
    <row r="14948" x14ac:dyDescent="0.3"/>
    <row r="14949" x14ac:dyDescent="0.3"/>
    <row r="14950" x14ac:dyDescent="0.3"/>
    <row r="14951" x14ac:dyDescent="0.3"/>
    <row r="14952" x14ac:dyDescent="0.3"/>
    <row r="14953" x14ac:dyDescent="0.3"/>
    <row r="14954" x14ac:dyDescent="0.3"/>
    <row r="14955" x14ac:dyDescent="0.3"/>
    <row r="14956" x14ac:dyDescent="0.3"/>
    <row r="14957" x14ac:dyDescent="0.3"/>
    <row r="14958" x14ac:dyDescent="0.3"/>
    <row r="14959" x14ac:dyDescent="0.3"/>
    <row r="14960" x14ac:dyDescent="0.3"/>
    <row r="14961" x14ac:dyDescent="0.3"/>
    <row r="14962" x14ac:dyDescent="0.3"/>
    <row r="14963" x14ac:dyDescent="0.3"/>
    <row r="14964" x14ac:dyDescent="0.3"/>
    <row r="14965" x14ac:dyDescent="0.3"/>
    <row r="14966" x14ac:dyDescent="0.3"/>
    <row r="14967" x14ac:dyDescent="0.3"/>
    <row r="14968" x14ac:dyDescent="0.3"/>
    <row r="14969" x14ac:dyDescent="0.3"/>
    <row r="14970" x14ac:dyDescent="0.3"/>
    <row r="14971" x14ac:dyDescent="0.3"/>
    <row r="14972" x14ac:dyDescent="0.3"/>
    <row r="14973" x14ac:dyDescent="0.3"/>
    <row r="14974" x14ac:dyDescent="0.3"/>
    <row r="14975" x14ac:dyDescent="0.3"/>
    <row r="14976" x14ac:dyDescent="0.3"/>
    <row r="14977" x14ac:dyDescent="0.3"/>
    <row r="14978" x14ac:dyDescent="0.3"/>
    <row r="14979" x14ac:dyDescent="0.3"/>
    <row r="14980" x14ac:dyDescent="0.3"/>
    <row r="14981" x14ac:dyDescent="0.3"/>
    <row r="14982" x14ac:dyDescent="0.3"/>
    <row r="14983" x14ac:dyDescent="0.3"/>
    <row r="14984" x14ac:dyDescent="0.3"/>
    <row r="14985" x14ac:dyDescent="0.3"/>
    <row r="14986" x14ac:dyDescent="0.3"/>
    <row r="14987" x14ac:dyDescent="0.3"/>
    <row r="14988" x14ac:dyDescent="0.3"/>
    <row r="14989" x14ac:dyDescent="0.3"/>
    <row r="14990" x14ac:dyDescent="0.3"/>
    <row r="14991" x14ac:dyDescent="0.3"/>
    <row r="14992" x14ac:dyDescent="0.3"/>
    <row r="14993" x14ac:dyDescent="0.3"/>
    <row r="14994" x14ac:dyDescent="0.3"/>
    <row r="14995" x14ac:dyDescent="0.3"/>
    <row r="14996" x14ac:dyDescent="0.3"/>
    <row r="14997" x14ac:dyDescent="0.3"/>
    <row r="14998" x14ac:dyDescent="0.3"/>
    <row r="14999" x14ac:dyDescent="0.3"/>
    <row r="15000" x14ac:dyDescent="0.3"/>
    <row r="15001" x14ac:dyDescent="0.3"/>
    <row r="15002" x14ac:dyDescent="0.3"/>
    <row r="15003" x14ac:dyDescent="0.3"/>
    <row r="15004" x14ac:dyDescent="0.3"/>
    <row r="15005" x14ac:dyDescent="0.3"/>
    <row r="15006" x14ac:dyDescent="0.3"/>
    <row r="15007" x14ac:dyDescent="0.3"/>
    <row r="15008" x14ac:dyDescent="0.3"/>
    <row r="15009" x14ac:dyDescent="0.3"/>
    <row r="15010" x14ac:dyDescent="0.3"/>
    <row r="15011" x14ac:dyDescent="0.3"/>
    <row r="15012" x14ac:dyDescent="0.3"/>
    <row r="15013" x14ac:dyDescent="0.3"/>
    <row r="15014" x14ac:dyDescent="0.3"/>
    <row r="15015" x14ac:dyDescent="0.3"/>
    <row r="15016" x14ac:dyDescent="0.3"/>
    <row r="15017" x14ac:dyDescent="0.3"/>
    <row r="15018" x14ac:dyDescent="0.3"/>
    <row r="15019" x14ac:dyDescent="0.3"/>
    <row r="15020" x14ac:dyDescent="0.3"/>
    <row r="15021" x14ac:dyDescent="0.3"/>
    <row r="15022" x14ac:dyDescent="0.3"/>
    <row r="15023" x14ac:dyDescent="0.3"/>
    <row r="15024" x14ac:dyDescent="0.3"/>
    <row r="15025" x14ac:dyDescent="0.3"/>
    <row r="15026" x14ac:dyDescent="0.3"/>
    <row r="15027" x14ac:dyDescent="0.3"/>
    <row r="15028" x14ac:dyDescent="0.3"/>
    <row r="15029" x14ac:dyDescent="0.3"/>
    <row r="15030" x14ac:dyDescent="0.3"/>
    <row r="15031" x14ac:dyDescent="0.3"/>
    <row r="15032" x14ac:dyDescent="0.3"/>
    <row r="15033" x14ac:dyDescent="0.3"/>
    <row r="15034" x14ac:dyDescent="0.3"/>
    <row r="15035" x14ac:dyDescent="0.3"/>
    <row r="15036" x14ac:dyDescent="0.3"/>
    <row r="15037" x14ac:dyDescent="0.3"/>
    <row r="15038" x14ac:dyDescent="0.3"/>
    <row r="15039" x14ac:dyDescent="0.3"/>
    <row r="15040" x14ac:dyDescent="0.3"/>
    <row r="15041" x14ac:dyDescent="0.3"/>
    <row r="15042" x14ac:dyDescent="0.3"/>
    <row r="15043" x14ac:dyDescent="0.3"/>
    <row r="15044" x14ac:dyDescent="0.3"/>
    <row r="15045" x14ac:dyDescent="0.3"/>
    <row r="15046" x14ac:dyDescent="0.3"/>
    <row r="15047" x14ac:dyDescent="0.3"/>
    <row r="15048" x14ac:dyDescent="0.3"/>
    <row r="15049" x14ac:dyDescent="0.3"/>
    <row r="15050" x14ac:dyDescent="0.3"/>
    <row r="15051" x14ac:dyDescent="0.3"/>
    <row r="15052" x14ac:dyDescent="0.3"/>
    <row r="15053" x14ac:dyDescent="0.3"/>
    <row r="15054" x14ac:dyDescent="0.3"/>
    <row r="15055" x14ac:dyDescent="0.3"/>
    <row r="15056" x14ac:dyDescent="0.3"/>
    <row r="15057" x14ac:dyDescent="0.3"/>
    <row r="15058" x14ac:dyDescent="0.3"/>
    <row r="15059" x14ac:dyDescent="0.3"/>
    <row r="15060" x14ac:dyDescent="0.3"/>
    <row r="15061" x14ac:dyDescent="0.3"/>
    <row r="15062" x14ac:dyDescent="0.3"/>
    <row r="15063" x14ac:dyDescent="0.3"/>
    <row r="15064" x14ac:dyDescent="0.3"/>
    <row r="15065" x14ac:dyDescent="0.3"/>
    <row r="15066" x14ac:dyDescent="0.3"/>
    <row r="15067" x14ac:dyDescent="0.3"/>
    <row r="15068" x14ac:dyDescent="0.3"/>
    <row r="15069" x14ac:dyDescent="0.3"/>
    <row r="15070" x14ac:dyDescent="0.3"/>
    <row r="15071" x14ac:dyDescent="0.3"/>
    <row r="15072" x14ac:dyDescent="0.3"/>
    <row r="15073" x14ac:dyDescent="0.3"/>
    <row r="15074" x14ac:dyDescent="0.3"/>
    <row r="15075" x14ac:dyDescent="0.3"/>
    <row r="15076" x14ac:dyDescent="0.3"/>
    <row r="15077" x14ac:dyDescent="0.3"/>
    <row r="15078" x14ac:dyDescent="0.3"/>
    <row r="15079" x14ac:dyDescent="0.3"/>
    <row r="15080" x14ac:dyDescent="0.3"/>
    <row r="15081" x14ac:dyDescent="0.3"/>
    <row r="15082" x14ac:dyDescent="0.3"/>
    <row r="15083" x14ac:dyDescent="0.3"/>
    <row r="15084" x14ac:dyDescent="0.3"/>
    <row r="15085" x14ac:dyDescent="0.3"/>
    <row r="15086" x14ac:dyDescent="0.3"/>
    <row r="15087" x14ac:dyDescent="0.3"/>
    <row r="15088" x14ac:dyDescent="0.3"/>
    <row r="15089" x14ac:dyDescent="0.3"/>
    <row r="15090" x14ac:dyDescent="0.3"/>
    <row r="15091" x14ac:dyDescent="0.3"/>
    <row r="15092" x14ac:dyDescent="0.3"/>
    <row r="15093" x14ac:dyDescent="0.3"/>
    <row r="15094" x14ac:dyDescent="0.3"/>
    <row r="15095" x14ac:dyDescent="0.3"/>
    <row r="15096" x14ac:dyDescent="0.3"/>
    <row r="15097" x14ac:dyDescent="0.3"/>
    <row r="15098" x14ac:dyDescent="0.3"/>
    <row r="15099" x14ac:dyDescent="0.3"/>
    <row r="15100" x14ac:dyDescent="0.3"/>
    <row r="15101" x14ac:dyDescent="0.3"/>
    <row r="15102" x14ac:dyDescent="0.3"/>
    <row r="15103" x14ac:dyDescent="0.3"/>
    <row r="15104" x14ac:dyDescent="0.3"/>
    <row r="15105" x14ac:dyDescent="0.3"/>
    <row r="15106" x14ac:dyDescent="0.3"/>
    <row r="15107" x14ac:dyDescent="0.3"/>
    <row r="15108" x14ac:dyDescent="0.3"/>
    <row r="15109" x14ac:dyDescent="0.3"/>
    <row r="15110" x14ac:dyDescent="0.3"/>
    <row r="15111" x14ac:dyDescent="0.3"/>
    <row r="15112" x14ac:dyDescent="0.3"/>
    <row r="15113" x14ac:dyDescent="0.3"/>
    <row r="15114" x14ac:dyDescent="0.3"/>
    <row r="15115" x14ac:dyDescent="0.3"/>
    <row r="15116" x14ac:dyDescent="0.3"/>
    <row r="15117" x14ac:dyDescent="0.3"/>
    <row r="15118" x14ac:dyDescent="0.3"/>
    <row r="15119" x14ac:dyDescent="0.3"/>
    <row r="15120" x14ac:dyDescent="0.3"/>
    <row r="15121" x14ac:dyDescent="0.3"/>
    <row r="15122" x14ac:dyDescent="0.3"/>
    <row r="15123" x14ac:dyDescent="0.3"/>
    <row r="15124" x14ac:dyDescent="0.3"/>
    <row r="15125" x14ac:dyDescent="0.3"/>
    <row r="15126" x14ac:dyDescent="0.3"/>
    <row r="15127" x14ac:dyDescent="0.3"/>
    <row r="15128" x14ac:dyDescent="0.3"/>
    <row r="15129" x14ac:dyDescent="0.3"/>
    <row r="15130" x14ac:dyDescent="0.3"/>
    <row r="15131" x14ac:dyDescent="0.3"/>
    <row r="15132" x14ac:dyDescent="0.3"/>
    <row r="15133" x14ac:dyDescent="0.3"/>
    <row r="15134" x14ac:dyDescent="0.3"/>
    <row r="15135" x14ac:dyDescent="0.3"/>
    <row r="15136" x14ac:dyDescent="0.3"/>
    <row r="15137" x14ac:dyDescent="0.3"/>
    <row r="15138" x14ac:dyDescent="0.3"/>
    <row r="15139" x14ac:dyDescent="0.3"/>
    <row r="15140" x14ac:dyDescent="0.3"/>
    <row r="15141" x14ac:dyDescent="0.3"/>
    <row r="15142" x14ac:dyDescent="0.3"/>
    <row r="15143" x14ac:dyDescent="0.3"/>
    <row r="15144" x14ac:dyDescent="0.3"/>
    <row r="15145" x14ac:dyDescent="0.3"/>
    <row r="15146" x14ac:dyDescent="0.3"/>
    <row r="15147" x14ac:dyDescent="0.3"/>
    <row r="15148" x14ac:dyDescent="0.3"/>
    <row r="15149" x14ac:dyDescent="0.3"/>
    <row r="15150" x14ac:dyDescent="0.3"/>
    <row r="15151" x14ac:dyDescent="0.3"/>
    <row r="15152" x14ac:dyDescent="0.3"/>
    <row r="15153" x14ac:dyDescent="0.3"/>
    <row r="15154" x14ac:dyDescent="0.3"/>
    <row r="15155" x14ac:dyDescent="0.3"/>
    <row r="15156" x14ac:dyDescent="0.3"/>
    <row r="15157" x14ac:dyDescent="0.3"/>
    <row r="15158" x14ac:dyDescent="0.3"/>
    <row r="15159" x14ac:dyDescent="0.3"/>
    <row r="15160" x14ac:dyDescent="0.3"/>
    <row r="15161" x14ac:dyDescent="0.3"/>
    <row r="15162" x14ac:dyDescent="0.3"/>
    <row r="15163" x14ac:dyDescent="0.3"/>
    <row r="15164" x14ac:dyDescent="0.3"/>
    <row r="15165" x14ac:dyDescent="0.3"/>
    <row r="15166" x14ac:dyDescent="0.3"/>
    <row r="15167" x14ac:dyDescent="0.3"/>
    <row r="15168" x14ac:dyDescent="0.3"/>
    <row r="15169" x14ac:dyDescent="0.3"/>
    <row r="15170" x14ac:dyDescent="0.3"/>
    <row r="15171" x14ac:dyDescent="0.3"/>
    <row r="15172" x14ac:dyDescent="0.3"/>
    <row r="15173" x14ac:dyDescent="0.3"/>
    <row r="15174" x14ac:dyDescent="0.3"/>
    <row r="15175" x14ac:dyDescent="0.3"/>
    <row r="15176" x14ac:dyDescent="0.3"/>
    <row r="15177" x14ac:dyDescent="0.3"/>
    <row r="15178" x14ac:dyDescent="0.3"/>
    <row r="15179" x14ac:dyDescent="0.3"/>
    <row r="15180" x14ac:dyDescent="0.3"/>
    <row r="15181" x14ac:dyDescent="0.3"/>
    <row r="15182" x14ac:dyDescent="0.3"/>
    <row r="15183" x14ac:dyDescent="0.3"/>
    <row r="15184" x14ac:dyDescent="0.3"/>
    <row r="15185" x14ac:dyDescent="0.3"/>
    <row r="15186" x14ac:dyDescent="0.3"/>
    <row r="15187" x14ac:dyDescent="0.3"/>
    <row r="15188" x14ac:dyDescent="0.3"/>
    <row r="15189" x14ac:dyDescent="0.3"/>
    <row r="15190" x14ac:dyDescent="0.3"/>
    <row r="15191" x14ac:dyDescent="0.3"/>
    <row r="15192" x14ac:dyDescent="0.3"/>
    <row r="15193" x14ac:dyDescent="0.3"/>
    <row r="15194" x14ac:dyDescent="0.3"/>
    <row r="15195" x14ac:dyDescent="0.3"/>
    <row r="15196" x14ac:dyDescent="0.3"/>
    <row r="15197" x14ac:dyDescent="0.3"/>
    <row r="15198" x14ac:dyDescent="0.3"/>
    <row r="15199" x14ac:dyDescent="0.3"/>
    <row r="15200" x14ac:dyDescent="0.3"/>
    <row r="15201" x14ac:dyDescent="0.3"/>
    <row r="15202" x14ac:dyDescent="0.3"/>
    <row r="15203" x14ac:dyDescent="0.3"/>
    <row r="15204" x14ac:dyDescent="0.3"/>
    <row r="15205" x14ac:dyDescent="0.3"/>
    <row r="15206" x14ac:dyDescent="0.3"/>
    <row r="15207" x14ac:dyDescent="0.3"/>
    <row r="15208" x14ac:dyDescent="0.3"/>
    <row r="15209" x14ac:dyDescent="0.3"/>
    <row r="15210" x14ac:dyDescent="0.3"/>
    <row r="15211" x14ac:dyDescent="0.3"/>
    <row r="15212" x14ac:dyDescent="0.3"/>
    <row r="15213" x14ac:dyDescent="0.3"/>
    <row r="15214" x14ac:dyDescent="0.3"/>
    <row r="15215" x14ac:dyDescent="0.3"/>
    <row r="15216" x14ac:dyDescent="0.3"/>
    <row r="15217" x14ac:dyDescent="0.3"/>
    <row r="15218" x14ac:dyDescent="0.3"/>
    <row r="15219" x14ac:dyDescent="0.3"/>
    <row r="15220" x14ac:dyDescent="0.3"/>
    <row r="15221" x14ac:dyDescent="0.3"/>
    <row r="15222" x14ac:dyDescent="0.3"/>
    <row r="15223" x14ac:dyDescent="0.3"/>
    <row r="15224" x14ac:dyDescent="0.3"/>
    <row r="15225" x14ac:dyDescent="0.3"/>
    <row r="15226" x14ac:dyDescent="0.3"/>
    <row r="15227" x14ac:dyDescent="0.3"/>
    <row r="15228" x14ac:dyDescent="0.3"/>
    <row r="15229" x14ac:dyDescent="0.3"/>
    <row r="15230" x14ac:dyDescent="0.3"/>
    <row r="15231" x14ac:dyDescent="0.3"/>
    <row r="15232" x14ac:dyDescent="0.3"/>
    <row r="15233" x14ac:dyDescent="0.3"/>
    <row r="15234" x14ac:dyDescent="0.3"/>
    <row r="15235" x14ac:dyDescent="0.3"/>
    <row r="15236" x14ac:dyDescent="0.3"/>
    <row r="15237" x14ac:dyDescent="0.3"/>
    <row r="15238" x14ac:dyDescent="0.3"/>
    <row r="15239" x14ac:dyDescent="0.3"/>
    <row r="15240" x14ac:dyDescent="0.3"/>
    <row r="15241" x14ac:dyDescent="0.3"/>
    <row r="15242" x14ac:dyDescent="0.3"/>
    <row r="15243" x14ac:dyDescent="0.3"/>
    <row r="15244" x14ac:dyDescent="0.3"/>
    <row r="15245" x14ac:dyDescent="0.3"/>
    <row r="15246" x14ac:dyDescent="0.3"/>
    <row r="15247" x14ac:dyDescent="0.3"/>
    <row r="15248" x14ac:dyDescent="0.3"/>
    <row r="15249" x14ac:dyDescent="0.3"/>
    <row r="15250" x14ac:dyDescent="0.3"/>
    <row r="15251" x14ac:dyDescent="0.3"/>
    <row r="15252" x14ac:dyDescent="0.3"/>
    <row r="15253" x14ac:dyDescent="0.3"/>
    <row r="15254" x14ac:dyDescent="0.3"/>
    <row r="15255" x14ac:dyDescent="0.3"/>
    <row r="15256" x14ac:dyDescent="0.3"/>
    <row r="15257" x14ac:dyDescent="0.3"/>
    <row r="15258" x14ac:dyDescent="0.3"/>
    <row r="15259" x14ac:dyDescent="0.3"/>
    <row r="15260" x14ac:dyDescent="0.3"/>
    <row r="15261" x14ac:dyDescent="0.3"/>
    <row r="15262" x14ac:dyDescent="0.3"/>
    <row r="15263" x14ac:dyDescent="0.3"/>
    <row r="15264" x14ac:dyDescent="0.3"/>
    <row r="15265" x14ac:dyDescent="0.3"/>
    <row r="15266" x14ac:dyDescent="0.3"/>
    <row r="15267" x14ac:dyDescent="0.3"/>
    <row r="15268" x14ac:dyDescent="0.3"/>
    <row r="15269" x14ac:dyDescent="0.3"/>
    <row r="15270" x14ac:dyDescent="0.3"/>
    <row r="15271" x14ac:dyDescent="0.3"/>
    <row r="15272" x14ac:dyDescent="0.3"/>
    <row r="15273" x14ac:dyDescent="0.3"/>
    <row r="15274" x14ac:dyDescent="0.3"/>
    <row r="15275" x14ac:dyDescent="0.3"/>
    <row r="15276" x14ac:dyDescent="0.3"/>
    <row r="15277" x14ac:dyDescent="0.3"/>
    <row r="15278" x14ac:dyDescent="0.3"/>
    <row r="15279" x14ac:dyDescent="0.3"/>
    <row r="15280" x14ac:dyDescent="0.3"/>
    <row r="15281" x14ac:dyDescent="0.3"/>
    <row r="15282" x14ac:dyDescent="0.3"/>
    <row r="15283" x14ac:dyDescent="0.3"/>
    <row r="15284" x14ac:dyDescent="0.3"/>
    <row r="15285" x14ac:dyDescent="0.3"/>
    <row r="15286" x14ac:dyDescent="0.3"/>
    <row r="15287" x14ac:dyDescent="0.3"/>
    <row r="15288" x14ac:dyDescent="0.3"/>
    <row r="15289" x14ac:dyDescent="0.3"/>
    <row r="15290" x14ac:dyDescent="0.3"/>
    <row r="15291" x14ac:dyDescent="0.3"/>
    <row r="15292" x14ac:dyDescent="0.3"/>
    <row r="15293" x14ac:dyDescent="0.3"/>
    <row r="15294" x14ac:dyDescent="0.3"/>
    <row r="15295" x14ac:dyDescent="0.3"/>
    <row r="15296" x14ac:dyDescent="0.3"/>
    <row r="15297" x14ac:dyDescent="0.3"/>
    <row r="15298" x14ac:dyDescent="0.3"/>
    <row r="15299" x14ac:dyDescent="0.3"/>
    <row r="15300" x14ac:dyDescent="0.3"/>
    <row r="15301" x14ac:dyDescent="0.3"/>
    <row r="15302" x14ac:dyDescent="0.3"/>
    <row r="15303" x14ac:dyDescent="0.3"/>
    <row r="15304" x14ac:dyDescent="0.3"/>
    <row r="15305" x14ac:dyDescent="0.3"/>
    <row r="15306" x14ac:dyDescent="0.3"/>
    <row r="15307" x14ac:dyDescent="0.3"/>
    <row r="15308" x14ac:dyDescent="0.3"/>
    <row r="15309" x14ac:dyDescent="0.3"/>
    <row r="15310" x14ac:dyDescent="0.3"/>
    <row r="15311" x14ac:dyDescent="0.3"/>
    <row r="15312" x14ac:dyDescent="0.3"/>
    <row r="15313" x14ac:dyDescent="0.3"/>
    <row r="15314" x14ac:dyDescent="0.3"/>
    <row r="15315" x14ac:dyDescent="0.3"/>
    <row r="15316" x14ac:dyDescent="0.3"/>
    <row r="15317" x14ac:dyDescent="0.3"/>
    <row r="15318" x14ac:dyDescent="0.3"/>
    <row r="15319" x14ac:dyDescent="0.3"/>
    <row r="15320" x14ac:dyDescent="0.3"/>
    <row r="15321" x14ac:dyDescent="0.3"/>
    <row r="15322" x14ac:dyDescent="0.3"/>
    <row r="15323" x14ac:dyDescent="0.3"/>
    <row r="15324" x14ac:dyDescent="0.3"/>
    <row r="15325" x14ac:dyDescent="0.3"/>
    <row r="15326" x14ac:dyDescent="0.3"/>
    <row r="15327" x14ac:dyDescent="0.3"/>
    <row r="15328" x14ac:dyDescent="0.3"/>
    <row r="15329" x14ac:dyDescent="0.3"/>
    <row r="15330" x14ac:dyDescent="0.3"/>
    <row r="15331" x14ac:dyDescent="0.3"/>
    <row r="15332" x14ac:dyDescent="0.3"/>
    <row r="15333" x14ac:dyDescent="0.3"/>
    <row r="15334" x14ac:dyDescent="0.3"/>
    <row r="15335" x14ac:dyDescent="0.3"/>
    <row r="15336" x14ac:dyDescent="0.3"/>
    <row r="15337" x14ac:dyDescent="0.3"/>
    <row r="15338" x14ac:dyDescent="0.3"/>
    <row r="15339" x14ac:dyDescent="0.3"/>
    <row r="15340" x14ac:dyDescent="0.3"/>
    <row r="15341" x14ac:dyDescent="0.3"/>
    <row r="15342" x14ac:dyDescent="0.3"/>
    <row r="15343" x14ac:dyDescent="0.3"/>
    <row r="15344" x14ac:dyDescent="0.3"/>
    <row r="15345" x14ac:dyDescent="0.3"/>
    <row r="15346" x14ac:dyDescent="0.3"/>
    <row r="15347" x14ac:dyDescent="0.3"/>
    <row r="15348" x14ac:dyDescent="0.3"/>
    <row r="15349" x14ac:dyDescent="0.3"/>
    <row r="15350" x14ac:dyDescent="0.3"/>
    <row r="15351" x14ac:dyDescent="0.3"/>
    <row r="15352" x14ac:dyDescent="0.3"/>
    <row r="15353" x14ac:dyDescent="0.3"/>
    <row r="15354" x14ac:dyDescent="0.3"/>
    <row r="15355" x14ac:dyDescent="0.3"/>
    <row r="15356" x14ac:dyDescent="0.3"/>
    <row r="15357" x14ac:dyDescent="0.3"/>
    <row r="15358" x14ac:dyDescent="0.3"/>
    <row r="15359" x14ac:dyDescent="0.3"/>
    <row r="15360" x14ac:dyDescent="0.3"/>
    <row r="15361" x14ac:dyDescent="0.3"/>
    <row r="15362" x14ac:dyDescent="0.3"/>
    <row r="15363" x14ac:dyDescent="0.3"/>
    <row r="15364" x14ac:dyDescent="0.3"/>
    <row r="15365" x14ac:dyDescent="0.3"/>
    <row r="15366" x14ac:dyDescent="0.3"/>
    <row r="15367" x14ac:dyDescent="0.3"/>
    <row r="15368" x14ac:dyDescent="0.3"/>
    <row r="15369" x14ac:dyDescent="0.3"/>
    <row r="15370" x14ac:dyDescent="0.3"/>
    <row r="15371" x14ac:dyDescent="0.3"/>
    <row r="15372" x14ac:dyDescent="0.3"/>
    <row r="15373" x14ac:dyDescent="0.3"/>
    <row r="15374" x14ac:dyDescent="0.3"/>
    <row r="15375" x14ac:dyDescent="0.3"/>
    <row r="15376" x14ac:dyDescent="0.3"/>
    <row r="15377" x14ac:dyDescent="0.3"/>
    <row r="15378" x14ac:dyDescent="0.3"/>
    <row r="15379" x14ac:dyDescent="0.3"/>
    <row r="15380" x14ac:dyDescent="0.3"/>
    <row r="15381" x14ac:dyDescent="0.3"/>
    <row r="15382" x14ac:dyDescent="0.3"/>
    <row r="15383" x14ac:dyDescent="0.3"/>
    <row r="15384" x14ac:dyDescent="0.3"/>
    <row r="15385" x14ac:dyDescent="0.3"/>
    <row r="15386" x14ac:dyDescent="0.3"/>
    <row r="15387" x14ac:dyDescent="0.3"/>
    <row r="15388" x14ac:dyDescent="0.3"/>
    <row r="15389" x14ac:dyDescent="0.3"/>
    <row r="15390" x14ac:dyDescent="0.3"/>
    <row r="15391" x14ac:dyDescent="0.3"/>
    <row r="15392" x14ac:dyDescent="0.3"/>
    <row r="15393" x14ac:dyDescent="0.3"/>
    <row r="15394" x14ac:dyDescent="0.3"/>
    <row r="15395" x14ac:dyDescent="0.3"/>
    <row r="15396" x14ac:dyDescent="0.3"/>
    <row r="15397" x14ac:dyDescent="0.3"/>
    <row r="15398" x14ac:dyDescent="0.3"/>
    <row r="15399" x14ac:dyDescent="0.3"/>
    <row r="15400" x14ac:dyDescent="0.3"/>
    <row r="15401" x14ac:dyDescent="0.3"/>
    <row r="15402" x14ac:dyDescent="0.3"/>
    <row r="15403" x14ac:dyDescent="0.3"/>
    <row r="15404" x14ac:dyDescent="0.3"/>
    <row r="15405" x14ac:dyDescent="0.3"/>
    <row r="15406" x14ac:dyDescent="0.3"/>
    <row r="15407" x14ac:dyDescent="0.3"/>
    <row r="15408" x14ac:dyDescent="0.3"/>
    <row r="15409" x14ac:dyDescent="0.3"/>
    <row r="15410" x14ac:dyDescent="0.3"/>
    <row r="15411" x14ac:dyDescent="0.3"/>
    <row r="15412" x14ac:dyDescent="0.3"/>
    <row r="15413" x14ac:dyDescent="0.3"/>
    <row r="15414" x14ac:dyDescent="0.3"/>
    <row r="15415" x14ac:dyDescent="0.3"/>
    <row r="15416" x14ac:dyDescent="0.3"/>
    <row r="15417" x14ac:dyDescent="0.3"/>
    <row r="15418" x14ac:dyDescent="0.3"/>
    <row r="15419" x14ac:dyDescent="0.3"/>
    <row r="15420" x14ac:dyDescent="0.3"/>
    <row r="15421" x14ac:dyDescent="0.3"/>
    <row r="15422" x14ac:dyDescent="0.3"/>
    <row r="15423" x14ac:dyDescent="0.3"/>
    <row r="15424" x14ac:dyDescent="0.3"/>
    <row r="15425" x14ac:dyDescent="0.3"/>
    <row r="15426" x14ac:dyDescent="0.3"/>
    <row r="15427" x14ac:dyDescent="0.3"/>
    <row r="15428" x14ac:dyDescent="0.3"/>
    <row r="15429" x14ac:dyDescent="0.3"/>
    <row r="15430" x14ac:dyDescent="0.3"/>
    <row r="15431" x14ac:dyDescent="0.3"/>
    <row r="15432" x14ac:dyDescent="0.3"/>
    <row r="15433" x14ac:dyDescent="0.3"/>
    <row r="15434" x14ac:dyDescent="0.3"/>
    <row r="15435" x14ac:dyDescent="0.3"/>
    <row r="15436" x14ac:dyDescent="0.3"/>
    <row r="15437" x14ac:dyDescent="0.3"/>
    <row r="15438" x14ac:dyDescent="0.3"/>
    <row r="15439" x14ac:dyDescent="0.3"/>
    <row r="15440" x14ac:dyDescent="0.3"/>
    <row r="15441" x14ac:dyDescent="0.3"/>
    <row r="15442" x14ac:dyDescent="0.3"/>
    <row r="15443" x14ac:dyDescent="0.3"/>
    <row r="15444" x14ac:dyDescent="0.3"/>
    <row r="15445" x14ac:dyDescent="0.3"/>
    <row r="15446" x14ac:dyDescent="0.3"/>
    <row r="15447" x14ac:dyDescent="0.3"/>
    <row r="15448" x14ac:dyDescent="0.3"/>
    <row r="15449" x14ac:dyDescent="0.3"/>
    <row r="15450" x14ac:dyDescent="0.3"/>
    <row r="15451" x14ac:dyDescent="0.3"/>
    <row r="15452" x14ac:dyDescent="0.3"/>
    <row r="15453" x14ac:dyDescent="0.3"/>
    <row r="15454" x14ac:dyDescent="0.3"/>
    <row r="15455" x14ac:dyDescent="0.3"/>
    <row r="15456" x14ac:dyDescent="0.3"/>
    <row r="15457" x14ac:dyDescent="0.3"/>
    <row r="15458" x14ac:dyDescent="0.3"/>
    <row r="15459" x14ac:dyDescent="0.3"/>
    <row r="15460" x14ac:dyDescent="0.3"/>
    <row r="15461" x14ac:dyDescent="0.3"/>
    <row r="15462" x14ac:dyDescent="0.3"/>
    <row r="15463" x14ac:dyDescent="0.3"/>
    <row r="15464" x14ac:dyDescent="0.3"/>
    <row r="15465" x14ac:dyDescent="0.3"/>
    <row r="15466" x14ac:dyDescent="0.3"/>
    <row r="15467" x14ac:dyDescent="0.3"/>
    <row r="15468" x14ac:dyDescent="0.3"/>
    <row r="15469" x14ac:dyDescent="0.3"/>
    <row r="15470" x14ac:dyDescent="0.3"/>
    <row r="15471" x14ac:dyDescent="0.3"/>
    <row r="15472" x14ac:dyDescent="0.3"/>
    <row r="15473" x14ac:dyDescent="0.3"/>
    <row r="15474" x14ac:dyDescent="0.3"/>
    <row r="15475" x14ac:dyDescent="0.3"/>
    <row r="15476" x14ac:dyDescent="0.3"/>
    <row r="15477" x14ac:dyDescent="0.3"/>
    <row r="15478" x14ac:dyDescent="0.3"/>
    <row r="15479" x14ac:dyDescent="0.3"/>
    <row r="15480" x14ac:dyDescent="0.3"/>
    <row r="15481" x14ac:dyDescent="0.3"/>
    <row r="15482" x14ac:dyDescent="0.3"/>
    <row r="15483" x14ac:dyDescent="0.3"/>
    <row r="15484" x14ac:dyDescent="0.3"/>
    <row r="15485" x14ac:dyDescent="0.3"/>
    <row r="15486" x14ac:dyDescent="0.3"/>
    <row r="15487" x14ac:dyDescent="0.3"/>
    <row r="15488" x14ac:dyDescent="0.3"/>
    <row r="15489" x14ac:dyDescent="0.3"/>
    <row r="15490" x14ac:dyDescent="0.3"/>
    <row r="15491" x14ac:dyDescent="0.3"/>
    <row r="15492" x14ac:dyDescent="0.3"/>
    <row r="15493" x14ac:dyDescent="0.3"/>
    <row r="15494" x14ac:dyDescent="0.3"/>
    <row r="15495" x14ac:dyDescent="0.3"/>
    <row r="15496" x14ac:dyDescent="0.3"/>
    <row r="15497" x14ac:dyDescent="0.3"/>
    <row r="15498" x14ac:dyDescent="0.3"/>
    <row r="15499" x14ac:dyDescent="0.3"/>
    <row r="15500" x14ac:dyDescent="0.3"/>
    <row r="15501" x14ac:dyDescent="0.3"/>
    <row r="15502" x14ac:dyDescent="0.3"/>
    <row r="15503" x14ac:dyDescent="0.3"/>
    <row r="15504" x14ac:dyDescent="0.3"/>
    <row r="15505" x14ac:dyDescent="0.3"/>
    <row r="15506" x14ac:dyDescent="0.3"/>
    <row r="15507" x14ac:dyDescent="0.3"/>
    <row r="15508" x14ac:dyDescent="0.3"/>
    <row r="15509" x14ac:dyDescent="0.3"/>
    <row r="15510" x14ac:dyDescent="0.3"/>
    <row r="15511" x14ac:dyDescent="0.3"/>
    <row r="15512" x14ac:dyDescent="0.3"/>
    <row r="15513" x14ac:dyDescent="0.3"/>
    <row r="15514" x14ac:dyDescent="0.3"/>
    <row r="15515" x14ac:dyDescent="0.3"/>
    <row r="15516" x14ac:dyDescent="0.3"/>
    <row r="15517" x14ac:dyDescent="0.3"/>
    <row r="15518" x14ac:dyDescent="0.3"/>
    <row r="15519" x14ac:dyDescent="0.3"/>
    <row r="15520" x14ac:dyDescent="0.3"/>
    <row r="15521" x14ac:dyDescent="0.3"/>
    <row r="15522" x14ac:dyDescent="0.3"/>
    <row r="15523" x14ac:dyDescent="0.3"/>
    <row r="15524" x14ac:dyDescent="0.3"/>
    <row r="15525" x14ac:dyDescent="0.3"/>
    <row r="15526" x14ac:dyDescent="0.3"/>
    <row r="15527" x14ac:dyDescent="0.3"/>
    <row r="15528" x14ac:dyDescent="0.3"/>
    <row r="15529" x14ac:dyDescent="0.3"/>
    <row r="15530" x14ac:dyDescent="0.3"/>
    <row r="15531" x14ac:dyDescent="0.3"/>
    <row r="15532" x14ac:dyDescent="0.3"/>
    <row r="15533" x14ac:dyDescent="0.3"/>
    <row r="15534" x14ac:dyDescent="0.3"/>
    <row r="15535" x14ac:dyDescent="0.3"/>
    <row r="15536" x14ac:dyDescent="0.3"/>
    <row r="15537" x14ac:dyDescent="0.3"/>
    <row r="15538" x14ac:dyDescent="0.3"/>
    <row r="15539" x14ac:dyDescent="0.3"/>
    <row r="15540" x14ac:dyDescent="0.3"/>
    <row r="15541" x14ac:dyDescent="0.3"/>
    <row r="15542" x14ac:dyDescent="0.3"/>
    <row r="15543" x14ac:dyDescent="0.3"/>
    <row r="15544" x14ac:dyDescent="0.3"/>
    <row r="15545" x14ac:dyDescent="0.3"/>
    <row r="15546" x14ac:dyDescent="0.3"/>
    <row r="15547" x14ac:dyDescent="0.3"/>
    <row r="15548" x14ac:dyDescent="0.3"/>
    <row r="15549" x14ac:dyDescent="0.3"/>
    <row r="15550" x14ac:dyDescent="0.3"/>
    <row r="15551" x14ac:dyDescent="0.3"/>
    <row r="15552" x14ac:dyDescent="0.3"/>
    <row r="15553" x14ac:dyDescent="0.3"/>
    <row r="15554" x14ac:dyDescent="0.3"/>
    <row r="15555" x14ac:dyDescent="0.3"/>
    <row r="15556" x14ac:dyDescent="0.3"/>
    <row r="15557" x14ac:dyDescent="0.3"/>
    <row r="15558" x14ac:dyDescent="0.3"/>
    <row r="15559" x14ac:dyDescent="0.3"/>
    <row r="15560" x14ac:dyDescent="0.3"/>
    <row r="15561" x14ac:dyDescent="0.3"/>
    <row r="15562" x14ac:dyDescent="0.3"/>
    <row r="15563" x14ac:dyDescent="0.3"/>
    <row r="15564" x14ac:dyDescent="0.3"/>
    <row r="15565" x14ac:dyDescent="0.3"/>
    <row r="15566" x14ac:dyDescent="0.3"/>
    <row r="15567" x14ac:dyDescent="0.3"/>
    <row r="15568" x14ac:dyDescent="0.3"/>
    <row r="15569" x14ac:dyDescent="0.3"/>
    <row r="15570" x14ac:dyDescent="0.3"/>
    <row r="15571" x14ac:dyDescent="0.3"/>
    <row r="15572" x14ac:dyDescent="0.3"/>
    <row r="15573" x14ac:dyDescent="0.3"/>
    <row r="15574" x14ac:dyDescent="0.3"/>
    <row r="15575" x14ac:dyDescent="0.3"/>
    <row r="15576" x14ac:dyDescent="0.3"/>
    <row r="15577" x14ac:dyDescent="0.3"/>
    <row r="15578" x14ac:dyDescent="0.3"/>
    <row r="15579" x14ac:dyDescent="0.3"/>
    <row r="15580" x14ac:dyDescent="0.3"/>
    <row r="15581" x14ac:dyDescent="0.3"/>
    <row r="15582" x14ac:dyDescent="0.3"/>
    <row r="15583" x14ac:dyDescent="0.3"/>
    <row r="15584" x14ac:dyDescent="0.3"/>
    <row r="15585" x14ac:dyDescent="0.3"/>
    <row r="15586" x14ac:dyDescent="0.3"/>
    <row r="15587" x14ac:dyDescent="0.3"/>
    <row r="15588" x14ac:dyDescent="0.3"/>
    <row r="15589" x14ac:dyDescent="0.3"/>
    <row r="15590" x14ac:dyDescent="0.3"/>
    <row r="15591" x14ac:dyDescent="0.3"/>
    <row r="15592" x14ac:dyDescent="0.3"/>
    <row r="15593" x14ac:dyDescent="0.3"/>
    <row r="15594" x14ac:dyDescent="0.3"/>
    <row r="15595" x14ac:dyDescent="0.3"/>
    <row r="15596" x14ac:dyDescent="0.3"/>
    <row r="15597" x14ac:dyDescent="0.3"/>
    <row r="15598" x14ac:dyDescent="0.3"/>
    <row r="15599" x14ac:dyDescent="0.3"/>
    <row r="15600" x14ac:dyDescent="0.3"/>
    <row r="15601" x14ac:dyDescent="0.3"/>
    <row r="15602" x14ac:dyDescent="0.3"/>
    <row r="15603" x14ac:dyDescent="0.3"/>
    <row r="15604" x14ac:dyDescent="0.3"/>
    <row r="15605" x14ac:dyDescent="0.3"/>
    <row r="15606" x14ac:dyDescent="0.3"/>
    <row r="15607" x14ac:dyDescent="0.3"/>
    <row r="15608" x14ac:dyDescent="0.3"/>
    <row r="15609" x14ac:dyDescent="0.3"/>
    <row r="15610" x14ac:dyDescent="0.3"/>
    <row r="15611" x14ac:dyDescent="0.3"/>
    <row r="15612" x14ac:dyDescent="0.3"/>
    <row r="15613" x14ac:dyDescent="0.3"/>
    <row r="15614" x14ac:dyDescent="0.3"/>
    <row r="15615" x14ac:dyDescent="0.3"/>
    <row r="15616" x14ac:dyDescent="0.3"/>
    <row r="15617" x14ac:dyDescent="0.3"/>
    <row r="15618" x14ac:dyDescent="0.3"/>
    <row r="15619" x14ac:dyDescent="0.3"/>
    <row r="15620" x14ac:dyDescent="0.3"/>
    <row r="15621" x14ac:dyDescent="0.3"/>
    <row r="15622" x14ac:dyDescent="0.3"/>
    <row r="15623" x14ac:dyDescent="0.3"/>
    <row r="15624" x14ac:dyDescent="0.3"/>
    <row r="15625" x14ac:dyDescent="0.3"/>
    <row r="15626" x14ac:dyDescent="0.3"/>
    <row r="15627" x14ac:dyDescent="0.3"/>
    <row r="15628" x14ac:dyDescent="0.3"/>
    <row r="15629" x14ac:dyDescent="0.3"/>
    <row r="15630" x14ac:dyDescent="0.3"/>
    <row r="15631" x14ac:dyDescent="0.3"/>
    <row r="15632" x14ac:dyDescent="0.3"/>
    <row r="15633" x14ac:dyDescent="0.3"/>
    <row r="15634" x14ac:dyDescent="0.3"/>
    <row r="15635" x14ac:dyDescent="0.3"/>
    <row r="15636" x14ac:dyDescent="0.3"/>
    <row r="15637" x14ac:dyDescent="0.3"/>
    <row r="15638" x14ac:dyDescent="0.3"/>
    <row r="15639" x14ac:dyDescent="0.3"/>
    <row r="15640" x14ac:dyDescent="0.3"/>
    <row r="15641" x14ac:dyDescent="0.3"/>
    <row r="15642" x14ac:dyDescent="0.3"/>
    <row r="15643" x14ac:dyDescent="0.3"/>
    <row r="15644" x14ac:dyDescent="0.3"/>
    <row r="15645" x14ac:dyDescent="0.3"/>
    <row r="15646" x14ac:dyDescent="0.3"/>
    <row r="15647" x14ac:dyDescent="0.3"/>
    <row r="15648" x14ac:dyDescent="0.3"/>
    <row r="15649" x14ac:dyDescent="0.3"/>
    <row r="15650" x14ac:dyDescent="0.3"/>
    <row r="15651" x14ac:dyDescent="0.3"/>
    <row r="15652" x14ac:dyDescent="0.3"/>
    <row r="15653" x14ac:dyDescent="0.3"/>
    <row r="15654" x14ac:dyDescent="0.3"/>
    <row r="15655" x14ac:dyDescent="0.3"/>
    <row r="15656" x14ac:dyDescent="0.3"/>
    <row r="15657" x14ac:dyDescent="0.3"/>
    <row r="15658" x14ac:dyDescent="0.3"/>
    <row r="15659" x14ac:dyDescent="0.3"/>
    <row r="15660" x14ac:dyDescent="0.3"/>
    <row r="15661" x14ac:dyDescent="0.3"/>
    <row r="15662" x14ac:dyDescent="0.3"/>
    <row r="15663" x14ac:dyDescent="0.3"/>
    <row r="15664" x14ac:dyDescent="0.3"/>
    <row r="15665" x14ac:dyDescent="0.3"/>
    <row r="15666" x14ac:dyDescent="0.3"/>
    <row r="15667" x14ac:dyDescent="0.3"/>
    <row r="15668" x14ac:dyDescent="0.3"/>
    <row r="15669" x14ac:dyDescent="0.3"/>
    <row r="15670" x14ac:dyDescent="0.3"/>
    <row r="15671" x14ac:dyDescent="0.3"/>
    <row r="15672" x14ac:dyDescent="0.3"/>
    <row r="15673" x14ac:dyDescent="0.3"/>
    <row r="15674" x14ac:dyDescent="0.3"/>
    <row r="15675" x14ac:dyDescent="0.3"/>
    <row r="15676" x14ac:dyDescent="0.3"/>
    <row r="15677" x14ac:dyDescent="0.3"/>
    <row r="15678" x14ac:dyDescent="0.3"/>
    <row r="15679" x14ac:dyDescent="0.3"/>
    <row r="15680" x14ac:dyDescent="0.3"/>
    <row r="15681" x14ac:dyDescent="0.3"/>
    <row r="15682" x14ac:dyDescent="0.3"/>
    <row r="15683" x14ac:dyDescent="0.3"/>
    <row r="15684" x14ac:dyDescent="0.3"/>
    <row r="15685" x14ac:dyDescent="0.3"/>
    <row r="15686" x14ac:dyDescent="0.3"/>
    <row r="15687" x14ac:dyDescent="0.3"/>
    <row r="15688" x14ac:dyDescent="0.3"/>
    <row r="15689" x14ac:dyDescent="0.3"/>
    <row r="15690" x14ac:dyDescent="0.3"/>
    <row r="15691" x14ac:dyDescent="0.3"/>
    <row r="15692" x14ac:dyDescent="0.3"/>
    <row r="15693" x14ac:dyDescent="0.3"/>
    <row r="15694" x14ac:dyDescent="0.3"/>
    <row r="15695" x14ac:dyDescent="0.3"/>
    <row r="15696" x14ac:dyDescent="0.3"/>
    <row r="15697" x14ac:dyDescent="0.3"/>
    <row r="15698" x14ac:dyDescent="0.3"/>
    <row r="15699" x14ac:dyDescent="0.3"/>
    <row r="15700" x14ac:dyDescent="0.3"/>
    <row r="15701" x14ac:dyDescent="0.3"/>
    <row r="15702" x14ac:dyDescent="0.3"/>
    <row r="15703" x14ac:dyDescent="0.3"/>
    <row r="15704" x14ac:dyDescent="0.3"/>
    <row r="15705" x14ac:dyDescent="0.3"/>
    <row r="15706" x14ac:dyDescent="0.3"/>
    <row r="15707" x14ac:dyDescent="0.3"/>
    <row r="15708" x14ac:dyDescent="0.3"/>
    <row r="15709" x14ac:dyDescent="0.3"/>
    <row r="15710" x14ac:dyDescent="0.3"/>
    <row r="15711" x14ac:dyDescent="0.3"/>
    <row r="15712" x14ac:dyDescent="0.3"/>
    <row r="15713" x14ac:dyDescent="0.3"/>
    <row r="15714" x14ac:dyDescent="0.3"/>
    <row r="15715" x14ac:dyDescent="0.3"/>
    <row r="15716" x14ac:dyDescent="0.3"/>
    <row r="15717" x14ac:dyDescent="0.3"/>
    <row r="15718" x14ac:dyDescent="0.3"/>
    <row r="15719" x14ac:dyDescent="0.3"/>
    <row r="15720" x14ac:dyDescent="0.3"/>
    <row r="15721" x14ac:dyDescent="0.3"/>
    <row r="15722" x14ac:dyDescent="0.3"/>
    <row r="15723" x14ac:dyDescent="0.3"/>
    <row r="15724" x14ac:dyDescent="0.3"/>
    <row r="15725" x14ac:dyDescent="0.3"/>
    <row r="15726" x14ac:dyDescent="0.3"/>
    <row r="15727" x14ac:dyDescent="0.3"/>
    <row r="15728" x14ac:dyDescent="0.3"/>
    <row r="15729" x14ac:dyDescent="0.3"/>
    <row r="15730" x14ac:dyDescent="0.3"/>
    <row r="15731" x14ac:dyDescent="0.3"/>
    <row r="15732" x14ac:dyDescent="0.3"/>
    <row r="15733" x14ac:dyDescent="0.3"/>
    <row r="15734" x14ac:dyDescent="0.3"/>
    <row r="15735" x14ac:dyDescent="0.3"/>
    <row r="15736" x14ac:dyDescent="0.3"/>
    <row r="15737" x14ac:dyDescent="0.3"/>
    <row r="15738" x14ac:dyDescent="0.3"/>
    <row r="15739" x14ac:dyDescent="0.3"/>
    <row r="15740" x14ac:dyDescent="0.3"/>
    <row r="15741" x14ac:dyDescent="0.3"/>
    <row r="15742" x14ac:dyDescent="0.3"/>
    <row r="15743" x14ac:dyDescent="0.3"/>
    <row r="15744" x14ac:dyDescent="0.3"/>
    <row r="15745" x14ac:dyDescent="0.3"/>
    <row r="15746" x14ac:dyDescent="0.3"/>
    <row r="15747" x14ac:dyDescent="0.3"/>
    <row r="15748" x14ac:dyDescent="0.3"/>
    <row r="15749" x14ac:dyDescent="0.3"/>
    <row r="15750" x14ac:dyDescent="0.3"/>
    <row r="15751" x14ac:dyDescent="0.3"/>
    <row r="15752" x14ac:dyDescent="0.3"/>
    <row r="15753" x14ac:dyDescent="0.3"/>
    <row r="15754" x14ac:dyDescent="0.3"/>
    <row r="15755" x14ac:dyDescent="0.3"/>
    <row r="15756" x14ac:dyDescent="0.3"/>
    <row r="15757" x14ac:dyDescent="0.3"/>
    <row r="15758" x14ac:dyDescent="0.3"/>
    <row r="15759" x14ac:dyDescent="0.3"/>
    <row r="15760" x14ac:dyDescent="0.3"/>
    <row r="15761" x14ac:dyDescent="0.3"/>
    <row r="15762" x14ac:dyDescent="0.3"/>
    <row r="15763" x14ac:dyDescent="0.3"/>
    <row r="15764" x14ac:dyDescent="0.3"/>
    <row r="15765" x14ac:dyDescent="0.3"/>
    <row r="15766" x14ac:dyDescent="0.3"/>
    <row r="15767" x14ac:dyDescent="0.3"/>
    <row r="15768" x14ac:dyDescent="0.3"/>
    <row r="15769" x14ac:dyDescent="0.3"/>
    <row r="15770" x14ac:dyDescent="0.3"/>
    <row r="15771" x14ac:dyDescent="0.3"/>
    <row r="15772" x14ac:dyDescent="0.3"/>
    <row r="15773" x14ac:dyDescent="0.3"/>
    <row r="15774" x14ac:dyDescent="0.3"/>
    <row r="15775" x14ac:dyDescent="0.3"/>
    <row r="15776" x14ac:dyDescent="0.3"/>
    <row r="15777" x14ac:dyDescent="0.3"/>
    <row r="15778" x14ac:dyDescent="0.3"/>
    <row r="15779" x14ac:dyDescent="0.3"/>
    <row r="15780" x14ac:dyDescent="0.3"/>
    <row r="15781" x14ac:dyDescent="0.3"/>
    <row r="15782" x14ac:dyDescent="0.3"/>
    <row r="15783" x14ac:dyDescent="0.3"/>
    <row r="15784" x14ac:dyDescent="0.3"/>
    <row r="15785" x14ac:dyDescent="0.3"/>
    <row r="15786" x14ac:dyDescent="0.3"/>
    <row r="15787" x14ac:dyDescent="0.3"/>
    <row r="15788" x14ac:dyDescent="0.3"/>
    <row r="15789" x14ac:dyDescent="0.3"/>
    <row r="15790" x14ac:dyDescent="0.3"/>
    <row r="15791" x14ac:dyDescent="0.3"/>
    <row r="15792" x14ac:dyDescent="0.3"/>
    <row r="15793" x14ac:dyDescent="0.3"/>
    <row r="15794" x14ac:dyDescent="0.3"/>
    <row r="15795" x14ac:dyDescent="0.3"/>
    <row r="15796" x14ac:dyDescent="0.3"/>
    <row r="15797" x14ac:dyDescent="0.3"/>
    <row r="15798" x14ac:dyDescent="0.3"/>
    <row r="15799" x14ac:dyDescent="0.3"/>
    <row r="15800" x14ac:dyDescent="0.3"/>
    <row r="15801" x14ac:dyDescent="0.3"/>
    <row r="15802" x14ac:dyDescent="0.3"/>
    <row r="15803" x14ac:dyDescent="0.3"/>
    <row r="15804" x14ac:dyDescent="0.3"/>
    <row r="15805" x14ac:dyDescent="0.3"/>
    <row r="15806" x14ac:dyDescent="0.3"/>
    <row r="15807" x14ac:dyDescent="0.3"/>
    <row r="15808" x14ac:dyDescent="0.3"/>
    <row r="15809" x14ac:dyDescent="0.3"/>
    <row r="15810" x14ac:dyDescent="0.3"/>
    <row r="15811" x14ac:dyDescent="0.3"/>
    <row r="15812" x14ac:dyDescent="0.3"/>
    <row r="15813" x14ac:dyDescent="0.3"/>
    <row r="15814" x14ac:dyDescent="0.3"/>
    <row r="15815" x14ac:dyDescent="0.3"/>
    <row r="15816" x14ac:dyDescent="0.3"/>
    <row r="15817" x14ac:dyDescent="0.3"/>
    <row r="15818" x14ac:dyDescent="0.3"/>
    <row r="15819" x14ac:dyDescent="0.3"/>
    <row r="15820" x14ac:dyDescent="0.3"/>
    <row r="15821" x14ac:dyDescent="0.3"/>
    <row r="15822" x14ac:dyDescent="0.3"/>
    <row r="15823" x14ac:dyDescent="0.3"/>
    <row r="15824" x14ac:dyDescent="0.3"/>
    <row r="15825" x14ac:dyDescent="0.3"/>
    <row r="15826" x14ac:dyDescent="0.3"/>
    <row r="15827" x14ac:dyDescent="0.3"/>
    <row r="15828" x14ac:dyDescent="0.3"/>
    <row r="15829" x14ac:dyDescent="0.3"/>
    <row r="15830" x14ac:dyDescent="0.3"/>
    <row r="15831" x14ac:dyDescent="0.3"/>
    <row r="15832" x14ac:dyDescent="0.3"/>
    <row r="15833" x14ac:dyDescent="0.3"/>
    <row r="15834" x14ac:dyDescent="0.3"/>
    <row r="15835" x14ac:dyDescent="0.3"/>
    <row r="15836" x14ac:dyDescent="0.3"/>
    <row r="15837" x14ac:dyDescent="0.3"/>
    <row r="15838" x14ac:dyDescent="0.3"/>
    <row r="15839" x14ac:dyDescent="0.3"/>
    <row r="15840" x14ac:dyDescent="0.3"/>
    <row r="15841" x14ac:dyDescent="0.3"/>
    <row r="15842" x14ac:dyDescent="0.3"/>
    <row r="15843" x14ac:dyDescent="0.3"/>
    <row r="15844" x14ac:dyDescent="0.3"/>
    <row r="15845" x14ac:dyDescent="0.3"/>
    <row r="15846" x14ac:dyDescent="0.3"/>
    <row r="15847" x14ac:dyDescent="0.3"/>
    <row r="15848" x14ac:dyDescent="0.3"/>
    <row r="15849" x14ac:dyDescent="0.3"/>
    <row r="15850" x14ac:dyDescent="0.3"/>
    <row r="15851" x14ac:dyDescent="0.3"/>
    <row r="15852" x14ac:dyDescent="0.3"/>
    <row r="15853" x14ac:dyDescent="0.3"/>
    <row r="15854" x14ac:dyDescent="0.3"/>
    <row r="15855" x14ac:dyDescent="0.3"/>
    <row r="15856" x14ac:dyDescent="0.3"/>
    <row r="15857" x14ac:dyDescent="0.3"/>
    <row r="15858" x14ac:dyDescent="0.3"/>
    <row r="15859" x14ac:dyDescent="0.3"/>
    <row r="15860" x14ac:dyDescent="0.3"/>
    <row r="15861" x14ac:dyDescent="0.3"/>
    <row r="15862" x14ac:dyDescent="0.3"/>
    <row r="15863" x14ac:dyDescent="0.3"/>
    <row r="15864" x14ac:dyDescent="0.3"/>
    <row r="15865" x14ac:dyDescent="0.3"/>
    <row r="15866" x14ac:dyDescent="0.3"/>
    <row r="15867" x14ac:dyDescent="0.3"/>
    <row r="15868" x14ac:dyDescent="0.3"/>
    <row r="15869" x14ac:dyDescent="0.3"/>
    <row r="15870" x14ac:dyDescent="0.3"/>
    <row r="15871" x14ac:dyDescent="0.3"/>
    <row r="15872" x14ac:dyDescent="0.3"/>
    <row r="15873" x14ac:dyDescent="0.3"/>
    <row r="15874" x14ac:dyDescent="0.3"/>
    <row r="15875" x14ac:dyDescent="0.3"/>
    <row r="15876" x14ac:dyDescent="0.3"/>
    <row r="15877" x14ac:dyDescent="0.3"/>
    <row r="15878" x14ac:dyDescent="0.3"/>
    <row r="15879" x14ac:dyDescent="0.3"/>
    <row r="15880" x14ac:dyDescent="0.3"/>
    <row r="15881" x14ac:dyDescent="0.3"/>
    <row r="15882" x14ac:dyDescent="0.3"/>
    <row r="15883" x14ac:dyDescent="0.3"/>
    <row r="15884" x14ac:dyDescent="0.3"/>
    <row r="15885" x14ac:dyDescent="0.3"/>
    <row r="15886" x14ac:dyDescent="0.3"/>
    <row r="15887" x14ac:dyDescent="0.3"/>
    <row r="15888" x14ac:dyDescent="0.3"/>
    <row r="15889" x14ac:dyDescent="0.3"/>
    <row r="15890" x14ac:dyDescent="0.3"/>
    <row r="15891" x14ac:dyDescent="0.3"/>
    <row r="15892" x14ac:dyDescent="0.3"/>
    <row r="15893" x14ac:dyDescent="0.3"/>
    <row r="15894" x14ac:dyDescent="0.3"/>
    <row r="15895" x14ac:dyDescent="0.3"/>
    <row r="15896" x14ac:dyDescent="0.3"/>
    <row r="15897" x14ac:dyDescent="0.3"/>
    <row r="15898" x14ac:dyDescent="0.3"/>
    <row r="15899" x14ac:dyDescent="0.3"/>
    <row r="15900" x14ac:dyDescent="0.3"/>
    <row r="15901" x14ac:dyDescent="0.3"/>
    <row r="15902" x14ac:dyDescent="0.3"/>
    <row r="15903" x14ac:dyDescent="0.3"/>
    <row r="15904" x14ac:dyDescent="0.3"/>
    <row r="15905" x14ac:dyDescent="0.3"/>
    <row r="15906" x14ac:dyDescent="0.3"/>
    <row r="15907" x14ac:dyDescent="0.3"/>
    <row r="15908" x14ac:dyDescent="0.3"/>
    <row r="15909" x14ac:dyDescent="0.3"/>
    <row r="15910" x14ac:dyDescent="0.3"/>
    <row r="15911" x14ac:dyDescent="0.3"/>
    <row r="15912" x14ac:dyDescent="0.3"/>
    <row r="15913" x14ac:dyDescent="0.3"/>
    <row r="15914" x14ac:dyDescent="0.3"/>
    <row r="15915" x14ac:dyDescent="0.3"/>
    <row r="15916" x14ac:dyDescent="0.3"/>
    <row r="15917" x14ac:dyDescent="0.3"/>
    <row r="15918" x14ac:dyDescent="0.3"/>
    <row r="15919" x14ac:dyDescent="0.3"/>
    <row r="15920" x14ac:dyDescent="0.3"/>
    <row r="15921" x14ac:dyDescent="0.3"/>
    <row r="15922" x14ac:dyDescent="0.3"/>
    <row r="15923" x14ac:dyDescent="0.3"/>
    <row r="15924" x14ac:dyDescent="0.3"/>
    <row r="15925" x14ac:dyDescent="0.3"/>
    <row r="15926" x14ac:dyDescent="0.3"/>
    <row r="15927" x14ac:dyDescent="0.3"/>
    <row r="15928" x14ac:dyDescent="0.3"/>
    <row r="15929" x14ac:dyDescent="0.3"/>
    <row r="15930" x14ac:dyDescent="0.3"/>
    <row r="15931" x14ac:dyDescent="0.3"/>
    <row r="15932" x14ac:dyDescent="0.3"/>
    <row r="15933" x14ac:dyDescent="0.3"/>
    <row r="15934" x14ac:dyDescent="0.3"/>
    <row r="15935" x14ac:dyDescent="0.3"/>
    <row r="15936" x14ac:dyDescent="0.3"/>
    <row r="15937" x14ac:dyDescent="0.3"/>
    <row r="15938" x14ac:dyDescent="0.3"/>
    <row r="15939" x14ac:dyDescent="0.3"/>
    <row r="15940" x14ac:dyDescent="0.3"/>
    <row r="15941" x14ac:dyDescent="0.3"/>
    <row r="15942" x14ac:dyDescent="0.3"/>
    <row r="15943" x14ac:dyDescent="0.3"/>
    <row r="15944" x14ac:dyDescent="0.3"/>
    <row r="15945" x14ac:dyDescent="0.3"/>
    <row r="15946" x14ac:dyDescent="0.3"/>
    <row r="15947" x14ac:dyDescent="0.3"/>
    <row r="15948" x14ac:dyDescent="0.3"/>
    <row r="15949" x14ac:dyDescent="0.3"/>
    <row r="15950" x14ac:dyDescent="0.3"/>
    <row r="15951" x14ac:dyDescent="0.3"/>
    <row r="15952" x14ac:dyDescent="0.3"/>
    <row r="15953" x14ac:dyDescent="0.3"/>
    <row r="15954" x14ac:dyDescent="0.3"/>
    <row r="15955" x14ac:dyDescent="0.3"/>
    <row r="15956" x14ac:dyDescent="0.3"/>
    <row r="15957" x14ac:dyDescent="0.3"/>
    <row r="15958" x14ac:dyDescent="0.3"/>
    <row r="15959" x14ac:dyDescent="0.3"/>
    <row r="15960" x14ac:dyDescent="0.3"/>
    <row r="15961" x14ac:dyDescent="0.3"/>
    <row r="15962" x14ac:dyDescent="0.3"/>
    <row r="15963" x14ac:dyDescent="0.3"/>
    <row r="15964" x14ac:dyDescent="0.3"/>
    <row r="15965" x14ac:dyDescent="0.3"/>
    <row r="15966" x14ac:dyDescent="0.3"/>
    <row r="15967" x14ac:dyDescent="0.3"/>
    <row r="15968" x14ac:dyDescent="0.3"/>
    <row r="15969" x14ac:dyDescent="0.3"/>
    <row r="15970" x14ac:dyDescent="0.3"/>
    <row r="15971" x14ac:dyDescent="0.3"/>
    <row r="15972" x14ac:dyDescent="0.3"/>
    <row r="15973" x14ac:dyDescent="0.3"/>
    <row r="15974" x14ac:dyDescent="0.3"/>
    <row r="15975" x14ac:dyDescent="0.3"/>
    <row r="15976" x14ac:dyDescent="0.3"/>
    <row r="15977" x14ac:dyDescent="0.3"/>
    <row r="15978" x14ac:dyDescent="0.3"/>
    <row r="15979" x14ac:dyDescent="0.3"/>
    <row r="15980" x14ac:dyDescent="0.3"/>
    <row r="15981" x14ac:dyDescent="0.3"/>
    <row r="15982" x14ac:dyDescent="0.3"/>
    <row r="15983" x14ac:dyDescent="0.3"/>
    <row r="15984" x14ac:dyDescent="0.3"/>
    <row r="15985" x14ac:dyDescent="0.3"/>
    <row r="15986" x14ac:dyDescent="0.3"/>
    <row r="15987" x14ac:dyDescent="0.3"/>
    <row r="15988" x14ac:dyDescent="0.3"/>
    <row r="15989" x14ac:dyDescent="0.3"/>
    <row r="15990" x14ac:dyDescent="0.3"/>
    <row r="15991" x14ac:dyDescent="0.3"/>
    <row r="15992" x14ac:dyDescent="0.3"/>
    <row r="15993" x14ac:dyDescent="0.3"/>
    <row r="15994" x14ac:dyDescent="0.3"/>
    <row r="15995" x14ac:dyDescent="0.3"/>
    <row r="15996" x14ac:dyDescent="0.3"/>
    <row r="15997" x14ac:dyDescent="0.3"/>
    <row r="15998" x14ac:dyDescent="0.3"/>
    <row r="15999" x14ac:dyDescent="0.3"/>
    <row r="16000" x14ac:dyDescent="0.3"/>
    <row r="16001" x14ac:dyDescent="0.3"/>
    <row r="16002" x14ac:dyDescent="0.3"/>
    <row r="16003" x14ac:dyDescent="0.3"/>
    <row r="16004" x14ac:dyDescent="0.3"/>
    <row r="16005" x14ac:dyDescent="0.3"/>
    <row r="16006" x14ac:dyDescent="0.3"/>
    <row r="16007" x14ac:dyDescent="0.3"/>
    <row r="16008" x14ac:dyDescent="0.3"/>
    <row r="16009" x14ac:dyDescent="0.3"/>
    <row r="16010" x14ac:dyDescent="0.3"/>
    <row r="16011" x14ac:dyDescent="0.3"/>
    <row r="16012" x14ac:dyDescent="0.3"/>
    <row r="16013" x14ac:dyDescent="0.3"/>
    <row r="16014" x14ac:dyDescent="0.3"/>
    <row r="16015" x14ac:dyDescent="0.3"/>
    <row r="16016" x14ac:dyDescent="0.3"/>
    <row r="16017" x14ac:dyDescent="0.3"/>
    <row r="16018" x14ac:dyDescent="0.3"/>
    <row r="16019" x14ac:dyDescent="0.3"/>
    <row r="16020" x14ac:dyDescent="0.3"/>
    <row r="16021" x14ac:dyDescent="0.3"/>
    <row r="16022" x14ac:dyDescent="0.3"/>
    <row r="16023" x14ac:dyDescent="0.3"/>
    <row r="16024" x14ac:dyDescent="0.3"/>
    <row r="16025" x14ac:dyDescent="0.3"/>
    <row r="16026" x14ac:dyDescent="0.3"/>
    <row r="16027" x14ac:dyDescent="0.3"/>
    <row r="16028" x14ac:dyDescent="0.3"/>
    <row r="16029" x14ac:dyDescent="0.3"/>
    <row r="16030" x14ac:dyDescent="0.3"/>
    <row r="16031" x14ac:dyDescent="0.3"/>
    <row r="16032" x14ac:dyDescent="0.3"/>
    <row r="16033" x14ac:dyDescent="0.3"/>
    <row r="16034" x14ac:dyDescent="0.3"/>
    <row r="16035" x14ac:dyDescent="0.3"/>
    <row r="16036" x14ac:dyDescent="0.3"/>
    <row r="16037" x14ac:dyDescent="0.3"/>
    <row r="16038" x14ac:dyDescent="0.3"/>
    <row r="16039" x14ac:dyDescent="0.3"/>
    <row r="16040" x14ac:dyDescent="0.3"/>
    <row r="16041" x14ac:dyDescent="0.3"/>
    <row r="16042" x14ac:dyDescent="0.3"/>
    <row r="16043" x14ac:dyDescent="0.3"/>
    <row r="16044" x14ac:dyDescent="0.3"/>
    <row r="16045" x14ac:dyDescent="0.3"/>
    <row r="16046" x14ac:dyDescent="0.3"/>
    <row r="16047" x14ac:dyDescent="0.3"/>
    <row r="16048" x14ac:dyDescent="0.3"/>
    <row r="16049" x14ac:dyDescent="0.3"/>
    <row r="16050" x14ac:dyDescent="0.3"/>
    <row r="16051" x14ac:dyDescent="0.3"/>
    <row r="16052" x14ac:dyDescent="0.3"/>
    <row r="16053" x14ac:dyDescent="0.3"/>
    <row r="16054" x14ac:dyDescent="0.3"/>
    <row r="16055" x14ac:dyDescent="0.3"/>
    <row r="16056" x14ac:dyDescent="0.3"/>
    <row r="16057" x14ac:dyDescent="0.3"/>
    <row r="16058" x14ac:dyDescent="0.3"/>
    <row r="16059" x14ac:dyDescent="0.3"/>
    <row r="16060" x14ac:dyDescent="0.3"/>
    <row r="16061" x14ac:dyDescent="0.3"/>
    <row r="16062" x14ac:dyDescent="0.3"/>
    <row r="16063" x14ac:dyDescent="0.3"/>
    <row r="16064" x14ac:dyDescent="0.3"/>
    <row r="16065" x14ac:dyDescent="0.3"/>
    <row r="16066" x14ac:dyDescent="0.3"/>
    <row r="16067" x14ac:dyDescent="0.3"/>
    <row r="16068" x14ac:dyDescent="0.3"/>
    <row r="16069" x14ac:dyDescent="0.3"/>
    <row r="16070" x14ac:dyDescent="0.3"/>
    <row r="16071" x14ac:dyDescent="0.3"/>
    <row r="16072" x14ac:dyDescent="0.3"/>
    <row r="16073" x14ac:dyDescent="0.3"/>
    <row r="16074" x14ac:dyDescent="0.3"/>
    <row r="16075" x14ac:dyDescent="0.3"/>
    <row r="16076" x14ac:dyDescent="0.3"/>
    <row r="16077" x14ac:dyDescent="0.3"/>
    <row r="16078" x14ac:dyDescent="0.3"/>
    <row r="16079" x14ac:dyDescent="0.3"/>
    <row r="16080" x14ac:dyDescent="0.3"/>
    <row r="16081" x14ac:dyDescent="0.3"/>
    <row r="16082" x14ac:dyDescent="0.3"/>
    <row r="16083" x14ac:dyDescent="0.3"/>
    <row r="16084" x14ac:dyDescent="0.3"/>
    <row r="16085" x14ac:dyDescent="0.3"/>
    <row r="16086" x14ac:dyDescent="0.3"/>
    <row r="16087" x14ac:dyDescent="0.3"/>
    <row r="16088" x14ac:dyDescent="0.3"/>
    <row r="16089" x14ac:dyDescent="0.3"/>
    <row r="16090" x14ac:dyDescent="0.3"/>
    <row r="16091" x14ac:dyDescent="0.3"/>
    <row r="16092" x14ac:dyDescent="0.3"/>
    <row r="16093" x14ac:dyDescent="0.3"/>
    <row r="16094" x14ac:dyDescent="0.3"/>
    <row r="16095" x14ac:dyDescent="0.3"/>
    <row r="16096" x14ac:dyDescent="0.3"/>
    <row r="16097" x14ac:dyDescent="0.3"/>
    <row r="16098" x14ac:dyDescent="0.3"/>
    <row r="16099" x14ac:dyDescent="0.3"/>
    <row r="16100" x14ac:dyDescent="0.3"/>
    <row r="16101" x14ac:dyDescent="0.3"/>
    <row r="16102" x14ac:dyDescent="0.3"/>
    <row r="16103" x14ac:dyDescent="0.3"/>
    <row r="16104" x14ac:dyDescent="0.3"/>
    <row r="16105" x14ac:dyDescent="0.3"/>
    <row r="16106" x14ac:dyDescent="0.3"/>
    <row r="16107" x14ac:dyDescent="0.3"/>
    <row r="16108" x14ac:dyDescent="0.3"/>
    <row r="16109" x14ac:dyDescent="0.3"/>
    <row r="16110" x14ac:dyDescent="0.3"/>
    <row r="16111" x14ac:dyDescent="0.3"/>
    <row r="16112" x14ac:dyDescent="0.3"/>
    <row r="16113" x14ac:dyDescent="0.3"/>
    <row r="16114" x14ac:dyDescent="0.3"/>
    <row r="16115" x14ac:dyDescent="0.3"/>
    <row r="16116" x14ac:dyDescent="0.3"/>
    <row r="16117" x14ac:dyDescent="0.3"/>
    <row r="16118" x14ac:dyDescent="0.3"/>
    <row r="16119" x14ac:dyDescent="0.3"/>
    <row r="16120" x14ac:dyDescent="0.3"/>
    <row r="16121" x14ac:dyDescent="0.3"/>
    <row r="16122" x14ac:dyDescent="0.3"/>
    <row r="16123" x14ac:dyDescent="0.3"/>
    <row r="16124" x14ac:dyDescent="0.3"/>
    <row r="16125" x14ac:dyDescent="0.3"/>
    <row r="16126" x14ac:dyDescent="0.3"/>
    <row r="16127" x14ac:dyDescent="0.3"/>
    <row r="16128" x14ac:dyDescent="0.3"/>
    <row r="16129" x14ac:dyDescent="0.3"/>
    <row r="16130" x14ac:dyDescent="0.3"/>
    <row r="16131" x14ac:dyDescent="0.3"/>
    <row r="16132" x14ac:dyDescent="0.3"/>
    <row r="16133" x14ac:dyDescent="0.3"/>
    <row r="16134" x14ac:dyDescent="0.3"/>
    <row r="16135" x14ac:dyDescent="0.3"/>
    <row r="16136" x14ac:dyDescent="0.3"/>
    <row r="16137" x14ac:dyDescent="0.3"/>
    <row r="16138" x14ac:dyDescent="0.3"/>
    <row r="16139" x14ac:dyDescent="0.3"/>
    <row r="16140" x14ac:dyDescent="0.3"/>
    <row r="16141" x14ac:dyDescent="0.3"/>
    <row r="16142" x14ac:dyDescent="0.3"/>
    <row r="16143" x14ac:dyDescent="0.3"/>
    <row r="16144" x14ac:dyDescent="0.3"/>
    <row r="16145" x14ac:dyDescent="0.3"/>
    <row r="16146" x14ac:dyDescent="0.3"/>
    <row r="16147" x14ac:dyDescent="0.3"/>
    <row r="16148" x14ac:dyDescent="0.3"/>
    <row r="16149" x14ac:dyDescent="0.3"/>
    <row r="16150" x14ac:dyDescent="0.3"/>
    <row r="16151" x14ac:dyDescent="0.3"/>
    <row r="16152" x14ac:dyDescent="0.3"/>
    <row r="16153" x14ac:dyDescent="0.3"/>
    <row r="16154" x14ac:dyDescent="0.3"/>
    <row r="16155" x14ac:dyDescent="0.3"/>
    <row r="16156" x14ac:dyDescent="0.3"/>
    <row r="16157" x14ac:dyDescent="0.3"/>
    <row r="16158" x14ac:dyDescent="0.3"/>
    <row r="16159" x14ac:dyDescent="0.3"/>
    <row r="16160" x14ac:dyDescent="0.3"/>
    <row r="16161" x14ac:dyDescent="0.3"/>
    <row r="16162" x14ac:dyDescent="0.3"/>
    <row r="16163" x14ac:dyDescent="0.3"/>
    <row r="16164" x14ac:dyDescent="0.3"/>
    <row r="16165" x14ac:dyDescent="0.3"/>
    <row r="16166" x14ac:dyDescent="0.3"/>
    <row r="16167" x14ac:dyDescent="0.3"/>
    <row r="16168" x14ac:dyDescent="0.3"/>
    <row r="16169" x14ac:dyDescent="0.3"/>
    <row r="16170" x14ac:dyDescent="0.3"/>
    <row r="16171" x14ac:dyDescent="0.3"/>
    <row r="16172" x14ac:dyDescent="0.3"/>
    <row r="16173" x14ac:dyDescent="0.3"/>
    <row r="16174" x14ac:dyDescent="0.3"/>
    <row r="16175" x14ac:dyDescent="0.3"/>
    <row r="16176" x14ac:dyDescent="0.3"/>
    <row r="16177" x14ac:dyDescent="0.3"/>
    <row r="16178" x14ac:dyDescent="0.3"/>
    <row r="16179" x14ac:dyDescent="0.3"/>
    <row r="16180" x14ac:dyDescent="0.3"/>
    <row r="16181" x14ac:dyDescent="0.3"/>
    <row r="16182" x14ac:dyDescent="0.3"/>
    <row r="16183" x14ac:dyDescent="0.3"/>
    <row r="16184" x14ac:dyDescent="0.3"/>
    <row r="16185" x14ac:dyDescent="0.3"/>
    <row r="16186" x14ac:dyDescent="0.3"/>
    <row r="16187" x14ac:dyDescent="0.3"/>
    <row r="16188" x14ac:dyDescent="0.3"/>
    <row r="16189" x14ac:dyDescent="0.3"/>
    <row r="16190" x14ac:dyDescent="0.3"/>
    <row r="16191" x14ac:dyDescent="0.3"/>
    <row r="16192" x14ac:dyDescent="0.3"/>
    <row r="16193" x14ac:dyDescent="0.3"/>
    <row r="16194" x14ac:dyDescent="0.3"/>
    <row r="16195" x14ac:dyDescent="0.3"/>
    <row r="16196" x14ac:dyDescent="0.3"/>
    <row r="16197" x14ac:dyDescent="0.3"/>
    <row r="16198" x14ac:dyDescent="0.3"/>
    <row r="16199" x14ac:dyDescent="0.3"/>
    <row r="16200" x14ac:dyDescent="0.3"/>
    <row r="16201" x14ac:dyDescent="0.3"/>
    <row r="16202" x14ac:dyDescent="0.3"/>
    <row r="16203" x14ac:dyDescent="0.3"/>
    <row r="16204" x14ac:dyDescent="0.3"/>
    <row r="16205" x14ac:dyDescent="0.3"/>
    <row r="16206" x14ac:dyDescent="0.3"/>
    <row r="16207" x14ac:dyDescent="0.3"/>
    <row r="16208" x14ac:dyDescent="0.3"/>
    <row r="16209" x14ac:dyDescent="0.3"/>
    <row r="16210" x14ac:dyDescent="0.3"/>
    <row r="16211" x14ac:dyDescent="0.3"/>
    <row r="16212" x14ac:dyDescent="0.3"/>
    <row r="16213" x14ac:dyDescent="0.3"/>
    <row r="16214" x14ac:dyDescent="0.3"/>
    <row r="16215" x14ac:dyDescent="0.3"/>
    <row r="16216" x14ac:dyDescent="0.3"/>
    <row r="16217" x14ac:dyDescent="0.3"/>
    <row r="16218" x14ac:dyDescent="0.3"/>
    <row r="16219" x14ac:dyDescent="0.3"/>
    <row r="16220" x14ac:dyDescent="0.3"/>
    <row r="16221" x14ac:dyDescent="0.3"/>
    <row r="16222" x14ac:dyDescent="0.3"/>
    <row r="16223" x14ac:dyDescent="0.3"/>
    <row r="16224" x14ac:dyDescent="0.3"/>
    <row r="16225" x14ac:dyDescent="0.3"/>
    <row r="16226" x14ac:dyDescent="0.3"/>
    <row r="16227" x14ac:dyDescent="0.3"/>
    <row r="16228" x14ac:dyDescent="0.3"/>
    <row r="16229" x14ac:dyDescent="0.3"/>
    <row r="16230" x14ac:dyDescent="0.3"/>
    <row r="16231" x14ac:dyDescent="0.3"/>
    <row r="16232" x14ac:dyDescent="0.3"/>
    <row r="16233" x14ac:dyDescent="0.3"/>
    <row r="16234" x14ac:dyDescent="0.3"/>
    <row r="16235" x14ac:dyDescent="0.3"/>
    <row r="16236" x14ac:dyDescent="0.3"/>
    <row r="16237" x14ac:dyDescent="0.3"/>
    <row r="16238" x14ac:dyDescent="0.3"/>
    <row r="16239" x14ac:dyDescent="0.3"/>
    <row r="16240" x14ac:dyDescent="0.3"/>
    <row r="16241" x14ac:dyDescent="0.3"/>
    <row r="16242" x14ac:dyDescent="0.3"/>
    <row r="16243" x14ac:dyDescent="0.3"/>
    <row r="16244" x14ac:dyDescent="0.3"/>
    <row r="16245" x14ac:dyDescent="0.3"/>
    <row r="16246" x14ac:dyDescent="0.3"/>
    <row r="16247" x14ac:dyDescent="0.3"/>
    <row r="16248" x14ac:dyDescent="0.3"/>
    <row r="16249" x14ac:dyDescent="0.3"/>
    <row r="16250" x14ac:dyDescent="0.3"/>
    <row r="16251" x14ac:dyDescent="0.3"/>
    <row r="16252" x14ac:dyDescent="0.3"/>
    <row r="16253" x14ac:dyDescent="0.3"/>
    <row r="16254" x14ac:dyDescent="0.3"/>
    <row r="16255" x14ac:dyDescent="0.3"/>
    <row r="16256" x14ac:dyDescent="0.3"/>
    <row r="16257" x14ac:dyDescent="0.3"/>
    <row r="16258" x14ac:dyDescent="0.3"/>
    <row r="16259" x14ac:dyDescent="0.3"/>
    <row r="16260" x14ac:dyDescent="0.3"/>
    <row r="16261" x14ac:dyDescent="0.3"/>
    <row r="16262" x14ac:dyDescent="0.3"/>
    <row r="16263" x14ac:dyDescent="0.3"/>
    <row r="16264" x14ac:dyDescent="0.3"/>
    <row r="16265" x14ac:dyDescent="0.3"/>
    <row r="16266" x14ac:dyDescent="0.3"/>
    <row r="16267" x14ac:dyDescent="0.3"/>
    <row r="16268" x14ac:dyDescent="0.3"/>
    <row r="16269" x14ac:dyDescent="0.3"/>
    <row r="16270" x14ac:dyDescent="0.3"/>
    <row r="16271" x14ac:dyDescent="0.3"/>
    <row r="16272" x14ac:dyDescent="0.3"/>
    <row r="16273" x14ac:dyDescent="0.3"/>
    <row r="16274" x14ac:dyDescent="0.3"/>
    <row r="16275" x14ac:dyDescent="0.3"/>
    <row r="16276" x14ac:dyDescent="0.3"/>
    <row r="16277" x14ac:dyDescent="0.3"/>
    <row r="16278" x14ac:dyDescent="0.3"/>
    <row r="16279" x14ac:dyDescent="0.3"/>
    <row r="16280" x14ac:dyDescent="0.3"/>
    <row r="16281" x14ac:dyDescent="0.3"/>
    <row r="16282" x14ac:dyDescent="0.3"/>
    <row r="16283" x14ac:dyDescent="0.3"/>
    <row r="16284" x14ac:dyDescent="0.3"/>
    <row r="16285" x14ac:dyDescent="0.3"/>
    <row r="16286" x14ac:dyDescent="0.3"/>
    <row r="16287" x14ac:dyDescent="0.3"/>
    <row r="16288" x14ac:dyDescent="0.3"/>
    <row r="16289" x14ac:dyDescent="0.3"/>
    <row r="16290" x14ac:dyDescent="0.3"/>
    <row r="16291" x14ac:dyDescent="0.3"/>
    <row r="16292" x14ac:dyDescent="0.3"/>
    <row r="16293" x14ac:dyDescent="0.3"/>
    <row r="16294" x14ac:dyDescent="0.3"/>
    <row r="16295" x14ac:dyDescent="0.3"/>
    <row r="16296" x14ac:dyDescent="0.3"/>
    <row r="16297" x14ac:dyDescent="0.3"/>
    <row r="16298" x14ac:dyDescent="0.3"/>
    <row r="16299" x14ac:dyDescent="0.3"/>
    <row r="16300" x14ac:dyDescent="0.3"/>
    <row r="16301" x14ac:dyDescent="0.3"/>
    <row r="16302" x14ac:dyDescent="0.3"/>
    <row r="16303" x14ac:dyDescent="0.3"/>
    <row r="16304" x14ac:dyDescent="0.3"/>
    <row r="16305" x14ac:dyDescent="0.3"/>
    <row r="16306" x14ac:dyDescent="0.3"/>
    <row r="16307" x14ac:dyDescent="0.3"/>
    <row r="16308" x14ac:dyDescent="0.3"/>
    <row r="16309" x14ac:dyDescent="0.3"/>
    <row r="16310" x14ac:dyDescent="0.3"/>
    <row r="16311" x14ac:dyDescent="0.3"/>
    <row r="16312" x14ac:dyDescent="0.3"/>
    <row r="16313" x14ac:dyDescent="0.3"/>
    <row r="16314" x14ac:dyDescent="0.3"/>
    <row r="16315" x14ac:dyDescent="0.3"/>
    <row r="16316" x14ac:dyDescent="0.3"/>
    <row r="16317" x14ac:dyDescent="0.3"/>
    <row r="16318" x14ac:dyDescent="0.3"/>
    <row r="16319" x14ac:dyDescent="0.3"/>
    <row r="16320" x14ac:dyDescent="0.3"/>
    <row r="16321" x14ac:dyDescent="0.3"/>
    <row r="16322" x14ac:dyDescent="0.3"/>
    <row r="16323" x14ac:dyDescent="0.3"/>
    <row r="16324" x14ac:dyDescent="0.3"/>
    <row r="16325" x14ac:dyDescent="0.3"/>
    <row r="16326" x14ac:dyDescent="0.3"/>
    <row r="16327" x14ac:dyDescent="0.3"/>
    <row r="16328" x14ac:dyDescent="0.3"/>
    <row r="16329" x14ac:dyDescent="0.3"/>
    <row r="16330" x14ac:dyDescent="0.3"/>
    <row r="16331" x14ac:dyDescent="0.3"/>
    <row r="16332" x14ac:dyDescent="0.3"/>
    <row r="16333" x14ac:dyDescent="0.3"/>
    <row r="16334" x14ac:dyDescent="0.3"/>
    <row r="16335" x14ac:dyDescent="0.3"/>
    <row r="16336" x14ac:dyDescent="0.3"/>
    <row r="16337" x14ac:dyDescent="0.3"/>
    <row r="16338" x14ac:dyDescent="0.3"/>
    <row r="16339" x14ac:dyDescent="0.3"/>
    <row r="16340" x14ac:dyDescent="0.3"/>
    <row r="16341" x14ac:dyDescent="0.3"/>
    <row r="16342" x14ac:dyDescent="0.3"/>
    <row r="16343" x14ac:dyDescent="0.3"/>
    <row r="16344" x14ac:dyDescent="0.3"/>
    <row r="16345" x14ac:dyDescent="0.3"/>
    <row r="16346" x14ac:dyDescent="0.3"/>
    <row r="16347" x14ac:dyDescent="0.3"/>
    <row r="16348" x14ac:dyDescent="0.3"/>
    <row r="16349" x14ac:dyDescent="0.3"/>
    <row r="16350" x14ac:dyDescent="0.3"/>
    <row r="16351" x14ac:dyDescent="0.3"/>
    <row r="16352" x14ac:dyDescent="0.3"/>
    <row r="16353" x14ac:dyDescent="0.3"/>
    <row r="16354" x14ac:dyDescent="0.3"/>
    <row r="16355" x14ac:dyDescent="0.3"/>
    <row r="16356" x14ac:dyDescent="0.3"/>
    <row r="16357" x14ac:dyDescent="0.3"/>
    <row r="16358" x14ac:dyDescent="0.3"/>
    <row r="16359" x14ac:dyDescent="0.3"/>
    <row r="16360" x14ac:dyDescent="0.3"/>
    <row r="16361" x14ac:dyDescent="0.3"/>
    <row r="16362" x14ac:dyDescent="0.3"/>
    <row r="16363" x14ac:dyDescent="0.3"/>
    <row r="16364" x14ac:dyDescent="0.3"/>
    <row r="16365" x14ac:dyDescent="0.3"/>
    <row r="16366" x14ac:dyDescent="0.3"/>
    <row r="16367" x14ac:dyDescent="0.3"/>
    <row r="16368" x14ac:dyDescent="0.3"/>
    <row r="16369" x14ac:dyDescent="0.3"/>
    <row r="16370" x14ac:dyDescent="0.3"/>
    <row r="16371" x14ac:dyDescent="0.3"/>
    <row r="16372" x14ac:dyDescent="0.3"/>
    <row r="16373" x14ac:dyDescent="0.3"/>
    <row r="16374" x14ac:dyDescent="0.3"/>
    <row r="16375" x14ac:dyDescent="0.3"/>
    <row r="16376" x14ac:dyDescent="0.3"/>
    <row r="16377" x14ac:dyDescent="0.3"/>
    <row r="16378" x14ac:dyDescent="0.3"/>
    <row r="16379" x14ac:dyDescent="0.3"/>
    <row r="16380" x14ac:dyDescent="0.3"/>
    <row r="16381" x14ac:dyDescent="0.3"/>
    <row r="16382" x14ac:dyDescent="0.3"/>
    <row r="16383" x14ac:dyDescent="0.3"/>
    <row r="16384" x14ac:dyDescent="0.3"/>
    <row r="16385" x14ac:dyDescent="0.3"/>
    <row r="16386" x14ac:dyDescent="0.3"/>
    <row r="16387" x14ac:dyDescent="0.3"/>
    <row r="16388" x14ac:dyDescent="0.3"/>
    <row r="16389" x14ac:dyDescent="0.3"/>
    <row r="16390" x14ac:dyDescent="0.3"/>
    <row r="16391" x14ac:dyDescent="0.3"/>
    <row r="16392" x14ac:dyDescent="0.3"/>
    <row r="16393" x14ac:dyDescent="0.3"/>
    <row r="16394" x14ac:dyDescent="0.3"/>
    <row r="16395" x14ac:dyDescent="0.3"/>
    <row r="16396" x14ac:dyDescent="0.3"/>
    <row r="16397" x14ac:dyDescent="0.3"/>
    <row r="16398" x14ac:dyDescent="0.3"/>
    <row r="16399" x14ac:dyDescent="0.3"/>
    <row r="16400" x14ac:dyDescent="0.3"/>
    <row r="16401" x14ac:dyDescent="0.3"/>
    <row r="16402" x14ac:dyDescent="0.3"/>
    <row r="16403" x14ac:dyDescent="0.3"/>
    <row r="16404" x14ac:dyDescent="0.3"/>
    <row r="16405" x14ac:dyDescent="0.3"/>
    <row r="16406" x14ac:dyDescent="0.3"/>
    <row r="16407" x14ac:dyDescent="0.3"/>
    <row r="16408" x14ac:dyDescent="0.3"/>
    <row r="16409" x14ac:dyDescent="0.3"/>
    <row r="16410" x14ac:dyDescent="0.3"/>
    <row r="16411" x14ac:dyDescent="0.3"/>
    <row r="16412" x14ac:dyDescent="0.3"/>
    <row r="16413" x14ac:dyDescent="0.3"/>
    <row r="16414" x14ac:dyDescent="0.3"/>
    <row r="16415" x14ac:dyDescent="0.3"/>
    <row r="16416" x14ac:dyDescent="0.3"/>
    <row r="16417" x14ac:dyDescent="0.3"/>
    <row r="16418" x14ac:dyDescent="0.3"/>
    <row r="16419" x14ac:dyDescent="0.3"/>
    <row r="16420" x14ac:dyDescent="0.3"/>
    <row r="16421" x14ac:dyDescent="0.3"/>
    <row r="16422" x14ac:dyDescent="0.3"/>
    <row r="16423" x14ac:dyDescent="0.3"/>
    <row r="16424" x14ac:dyDescent="0.3"/>
    <row r="16425" x14ac:dyDescent="0.3"/>
    <row r="16426" x14ac:dyDescent="0.3"/>
    <row r="16427" x14ac:dyDescent="0.3"/>
    <row r="16428" x14ac:dyDescent="0.3"/>
    <row r="16429" x14ac:dyDescent="0.3"/>
    <row r="16430" x14ac:dyDescent="0.3"/>
    <row r="16431" x14ac:dyDescent="0.3"/>
    <row r="16432" x14ac:dyDescent="0.3"/>
    <row r="16433" x14ac:dyDescent="0.3"/>
    <row r="16434" x14ac:dyDescent="0.3"/>
    <row r="16435" x14ac:dyDescent="0.3"/>
    <row r="16436" x14ac:dyDescent="0.3"/>
    <row r="16437" x14ac:dyDescent="0.3"/>
    <row r="16438" x14ac:dyDescent="0.3"/>
    <row r="16439" x14ac:dyDescent="0.3"/>
    <row r="16440" x14ac:dyDescent="0.3"/>
    <row r="16441" x14ac:dyDescent="0.3"/>
    <row r="16442" x14ac:dyDescent="0.3"/>
    <row r="16443" x14ac:dyDescent="0.3"/>
    <row r="16444" x14ac:dyDescent="0.3"/>
    <row r="16445" x14ac:dyDescent="0.3"/>
    <row r="16446" x14ac:dyDescent="0.3"/>
    <row r="16447" x14ac:dyDescent="0.3"/>
    <row r="16448" x14ac:dyDescent="0.3"/>
    <row r="16449" x14ac:dyDescent="0.3"/>
    <row r="16450" x14ac:dyDescent="0.3"/>
    <row r="16451" x14ac:dyDescent="0.3"/>
    <row r="16452" x14ac:dyDescent="0.3"/>
    <row r="16453" x14ac:dyDescent="0.3"/>
    <row r="16454" x14ac:dyDescent="0.3"/>
    <row r="16455" x14ac:dyDescent="0.3"/>
    <row r="16456" x14ac:dyDescent="0.3"/>
    <row r="16457" x14ac:dyDescent="0.3"/>
    <row r="16458" x14ac:dyDescent="0.3"/>
    <row r="16459" x14ac:dyDescent="0.3"/>
    <row r="16460" x14ac:dyDescent="0.3"/>
    <row r="16461" x14ac:dyDescent="0.3"/>
    <row r="16462" x14ac:dyDescent="0.3"/>
    <row r="16463" x14ac:dyDescent="0.3"/>
    <row r="16464" x14ac:dyDescent="0.3"/>
    <row r="16465" x14ac:dyDescent="0.3"/>
    <row r="16466" x14ac:dyDescent="0.3"/>
    <row r="16467" x14ac:dyDescent="0.3"/>
    <row r="16468" x14ac:dyDescent="0.3"/>
    <row r="16469" x14ac:dyDescent="0.3"/>
    <row r="16470" x14ac:dyDescent="0.3"/>
    <row r="16471" x14ac:dyDescent="0.3"/>
    <row r="16472" x14ac:dyDescent="0.3"/>
    <row r="16473" x14ac:dyDescent="0.3"/>
    <row r="16474" x14ac:dyDescent="0.3"/>
    <row r="16475" x14ac:dyDescent="0.3"/>
    <row r="16476" x14ac:dyDescent="0.3"/>
    <row r="16477" x14ac:dyDescent="0.3"/>
    <row r="16478" x14ac:dyDescent="0.3"/>
    <row r="16479" x14ac:dyDescent="0.3"/>
    <row r="16480" x14ac:dyDescent="0.3"/>
    <row r="16481" x14ac:dyDescent="0.3"/>
    <row r="16482" x14ac:dyDescent="0.3"/>
    <row r="16483" x14ac:dyDescent="0.3"/>
    <row r="16484" x14ac:dyDescent="0.3"/>
    <row r="16485" x14ac:dyDescent="0.3"/>
    <row r="16486" x14ac:dyDescent="0.3"/>
    <row r="16487" x14ac:dyDescent="0.3"/>
    <row r="16488" x14ac:dyDescent="0.3"/>
    <row r="16489" x14ac:dyDescent="0.3"/>
    <row r="16490" x14ac:dyDescent="0.3"/>
    <row r="16491" x14ac:dyDescent="0.3"/>
    <row r="16492" x14ac:dyDescent="0.3"/>
    <row r="16493" x14ac:dyDescent="0.3"/>
    <row r="16494" x14ac:dyDescent="0.3"/>
    <row r="16495" x14ac:dyDescent="0.3"/>
    <row r="16496" x14ac:dyDescent="0.3"/>
    <row r="16497" x14ac:dyDescent="0.3"/>
    <row r="16498" x14ac:dyDescent="0.3"/>
    <row r="16499" x14ac:dyDescent="0.3"/>
    <row r="16500" x14ac:dyDescent="0.3"/>
    <row r="16501" x14ac:dyDescent="0.3"/>
    <row r="16502" x14ac:dyDescent="0.3"/>
    <row r="16503" x14ac:dyDescent="0.3"/>
    <row r="16504" x14ac:dyDescent="0.3"/>
    <row r="16505" x14ac:dyDescent="0.3"/>
    <row r="16506" x14ac:dyDescent="0.3"/>
    <row r="16507" x14ac:dyDescent="0.3"/>
    <row r="16508" x14ac:dyDescent="0.3"/>
    <row r="16509" x14ac:dyDescent="0.3"/>
    <row r="16510" x14ac:dyDescent="0.3"/>
    <row r="16511" x14ac:dyDescent="0.3"/>
    <row r="16512" x14ac:dyDescent="0.3"/>
    <row r="16513" x14ac:dyDescent="0.3"/>
    <row r="16514" x14ac:dyDescent="0.3"/>
    <row r="16515" x14ac:dyDescent="0.3"/>
    <row r="16516" x14ac:dyDescent="0.3"/>
    <row r="16517" x14ac:dyDescent="0.3"/>
    <row r="16518" x14ac:dyDescent="0.3"/>
    <row r="16519" x14ac:dyDescent="0.3"/>
    <row r="16520" x14ac:dyDescent="0.3"/>
    <row r="16521" x14ac:dyDescent="0.3"/>
    <row r="16522" x14ac:dyDescent="0.3"/>
    <row r="16523" x14ac:dyDescent="0.3"/>
    <row r="16524" x14ac:dyDescent="0.3"/>
    <row r="16525" x14ac:dyDescent="0.3"/>
    <row r="16526" x14ac:dyDescent="0.3"/>
    <row r="16527" x14ac:dyDescent="0.3"/>
    <row r="16528" x14ac:dyDescent="0.3"/>
    <row r="16529" x14ac:dyDescent="0.3"/>
    <row r="16530" x14ac:dyDescent="0.3"/>
    <row r="16531" x14ac:dyDescent="0.3"/>
    <row r="16532" x14ac:dyDescent="0.3"/>
    <row r="16533" x14ac:dyDescent="0.3"/>
    <row r="16534" x14ac:dyDescent="0.3"/>
    <row r="16535" x14ac:dyDescent="0.3"/>
    <row r="16536" x14ac:dyDescent="0.3"/>
    <row r="16537" x14ac:dyDescent="0.3"/>
    <row r="16538" x14ac:dyDescent="0.3"/>
    <row r="16539" x14ac:dyDescent="0.3"/>
    <row r="16540" x14ac:dyDescent="0.3"/>
    <row r="16541" x14ac:dyDescent="0.3"/>
    <row r="16542" x14ac:dyDescent="0.3"/>
    <row r="16543" x14ac:dyDescent="0.3"/>
    <row r="16544" x14ac:dyDescent="0.3"/>
    <row r="16545" x14ac:dyDescent="0.3"/>
    <row r="16546" x14ac:dyDescent="0.3"/>
    <row r="16547" x14ac:dyDescent="0.3"/>
    <row r="16548" x14ac:dyDescent="0.3"/>
    <row r="16549" x14ac:dyDescent="0.3"/>
    <row r="16550" x14ac:dyDescent="0.3"/>
    <row r="16551" x14ac:dyDescent="0.3"/>
    <row r="16552" x14ac:dyDescent="0.3"/>
    <row r="16553" x14ac:dyDescent="0.3"/>
    <row r="16554" x14ac:dyDescent="0.3"/>
    <row r="16555" x14ac:dyDescent="0.3"/>
    <row r="16556" x14ac:dyDescent="0.3"/>
    <row r="16557" x14ac:dyDescent="0.3"/>
    <row r="16558" x14ac:dyDescent="0.3"/>
    <row r="16559" x14ac:dyDescent="0.3"/>
    <row r="16560" x14ac:dyDescent="0.3"/>
    <row r="16561" x14ac:dyDescent="0.3"/>
    <row r="16562" x14ac:dyDescent="0.3"/>
    <row r="16563" x14ac:dyDescent="0.3"/>
    <row r="16564" x14ac:dyDescent="0.3"/>
    <row r="16565" x14ac:dyDescent="0.3"/>
    <row r="16566" x14ac:dyDescent="0.3"/>
    <row r="16567" x14ac:dyDescent="0.3"/>
    <row r="16568" x14ac:dyDescent="0.3"/>
    <row r="16569" x14ac:dyDescent="0.3"/>
    <row r="16570" x14ac:dyDescent="0.3"/>
    <row r="16571" x14ac:dyDescent="0.3"/>
    <row r="16572" x14ac:dyDescent="0.3"/>
    <row r="16573" x14ac:dyDescent="0.3"/>
    <row r="16574" x14ac:dyDescent="0.3"/>
    <row r="16575" x14ac:dyDescent="0.3"/>
    <row r="16576" x14ac:dyDescent="0.3"/>
    <row r="16577" x14ac:dyDescent="0.3"/>
    <row r="16578" x14ac:dyDescent="0.3"/>
    <row r="16579" x14ac:dyDescent="0.3"/>
    <row r="16580" x14ac:dyDescent="0.3"/>
    <row r="16581" x14ac:dyDescent="0.3"/>
    <row r="16582" x14ac:dyDescent="0.3"/>
    <row r="16583" x14ac:dyDescent="0.3"/>
    <row r="16584" x14ac:dyDescent="0.3"/>
    <row r="16585" x14ac:dyDescent="0.3"/>
    <row r="16586" x14ac:dyDescent="0.3"/>
    <row r="16587" x14ac:dyDescent="0.3"/>
    <row r="16588" x14ac:dyDescent="0.3"/>
    <row r="16589" x14ac:dyDescent="0.3"/>
    <row r="16590" x14ac:dyDescent="0.3"/>
    <row r="16591" x14ac:dyDescent="0.3"/>
    <row r="16592" x14ac:dyDescent="0.3"/>
    <row r="16593" x14ac:dyDescent="0.3"/>
    <row r="16594" x14ac:dyDescent="0.3"/>
    <row r="16595" x14ac:dyDescent="0.3"/>
    <row r="16596" x14ac:dyDescent="0.3"/>
    <row r="16597" x14ac:dyDescent="0.3"/>
    <row r="16598" x14ac:dyDescent="0.3"/>
    <row r="16599" x14ac:dyDescent="0.3"/>
    <row r="16600" x14ac:dyDescent="0.3"/>
    <row r="16601" x14ac:dyDescent="0.3"/>
    <row r="16602" x14ac:dyDescent="0.3"/>
    <row r="16603" x14ac:dyDescent="0.3"/>
    <row r="16604" x14ac:dyDescent="0.3"/>
    <row r="16605" x14ac:dyDescent="0.3"/>
    <row r="16606" x14ac:dyDescent="0.3"/>
    <row r="16607" x14ac:dyDescent="0.3"/>
    <row r="16608" x14ac:dyDescent="0.3"/>
    <row r="16609" x14ac:dyDescent="0.3"/>
    <row r="16610" x14ac:dyDescent="0.3"/>
    <row r="16611" x14ac:dyDescent="0.3"/>
    <row r="16612" x14ac:dyDescent="0.3"/>
    <row r="16613" x14ac:dyDescent="0.3"/>
    <row r="16614" x14ac:dyDescent="0.3"/>
    <row r="16615" x14ac:dyDescent="0.3"/>
    <row r="16616" x14ac:dyDescent="0.3"/>
    <row r="16617" x14ac:dyDescent="0.3"/>
    <row r="16618" x14ac:dyDescent="0.3"/>
    <row r="16619" x14ac:dyDescent="0.3"/>
    <row r="16620" x14ac:dyDescent="0.3"/>
    <row r="16621" x14ac:dyDescent="0.3"/>
    <row r="16622" x14ac:dyDescent="0.3"/>
    <row r="16623" x14ac:dyDescent="0.3"/>
    <row r="16624" x14ac:dyDescent="0.3"/>
    <row r="16625" x14ac:dyDescent="0.3"/>
    <row r="16626" x14ac:dyDescent="0.3"/>
    <row r="16627" x14ac:dyDescent="0.3"/>
    <row r="16628" x14ac:dyDescent="0.3"/>
    <row r="16629" x14ac:dyDescent="0.3"/>
    <row r="16630" x14ac:dyDescent="0.3"/>
    <row r="16631" x14ac:dyDescent="0.3"/>
    <row r="16632" x14ac:dyDescent="0.3"/>
    <row r="16633" x14ac:dyDescent="0.3"/>
    <row r="16634" x14ac:dyDescent="0.3"/>
    <row r="16635" x14ac:dyDescent="0.3"/>
    <row r="16636" x14ac:dyDescent="0.3"/>
    <row r="16637" x14ac:dyDescent="0.3"/>
    <row r="16638" x14ac:dyDescent="0.3"/>
    <row r="16639" x14ac:dyDescent="0.3"/>
    <row r="16640" x14ac:dyDescent="0.3"/>
    <row r="16641" x14ac:dyDescent="0.3"/>
    <row r="16642" x14ac:dyDescent="0.3"/>
    <row r="16643" x14ac:dyDescent="0.3"/>
    <row r="16644" x14ac:dyDescent="0.3"/>
    <row r="16645" x14ac:dyDescent="0.3"/>
    <row r="16646" x14ac:dyDescent="0.3"/>
    <row r="16647" x14ac:dyDescent="0.3"/>
    <row r="16648" x14ac:dyDescent="0.3"/>
    <row r="16649" x14ac:dyDescent="0.3"/>
    <row r="16650" x14ac:dyDescent="0.3"/>
    <row r="16651" x14ac:dyDescent="0.3"/>
    <row r="16652" x14ac:dyDescent="0.3"/>
    <row r="16653" x14ac:dyDescent="0.3"/>
    <row r="16654" x14ac:dyDescent="0.3"/>
    <row r="16655" x14ac:dyDescent="0.3"/>
    <row r="16656" x14ac:dyDescent="0.3"/>
    <row r="16657" x14ac:dyDescent="0.3"/>
    <row r="16658" x14ac:dyDescent="0.3"/>
    <row r="16659" x14ac:dyDescent="0.3"/>
    <row r="16660" x14ac:dyDescent="0.3"/>
    <row r="16661" x14ac:dyDescent="0.3"/>
    <row r="16662" x14ac:dyDescent="0.3"/>
    <row r="16663" x14ac:dyDescent="0.3"/>
    <row r="16664" x14ac:dyDescent="0.3"/>
    <row r="16665" x14ac:dyDescent="0.3"/>
    <row r="16666" x14ac:dyDescent="0.3"/>
    <row r="16667" x14ac:dyDescent="0.3"/>
    <row r="16668" x14ac:dyDescent="0.3"/>
    <row r="16669" x14ac:dyDescent="0.3"/>
    <row r="16670" x14ac:dyDescent="0.3"/>
    <row r="16671" x14ac:dyDescent="0.3"/>
    <row r="16672" x14ac:dyDescent="0.3"/>
    <row r="16673" x14ac:dyDescent="0.3"/>
    <row r="16674" x14ac:dyDescent="0.3"/>
    <row r="16675" x14ac:dyDescent="0.3"/>
    <row r="16676" x14ac:dyDescent="0.3"/>
    <row r="16677" x14ac:dyDescent="0.3"/>
    <row r="16678" x14ac:dyDescent="0.3"/>
    <row r="16679" x14ac:dyDescent="0.3"/>
    <row r="16680" x14ac:dyDescent="0.3"/>
    <row r="16681" x14ac:dyDescent="0.3"/>
    <row r="16682" x14ac:dyDescent="0.3"/>
    <row r="16683" x14ac:dyDescent="0.3"/>
    <row r="16684" x14ac:dyDescent="0.3"/>
    <row r="16685" x14ac:dyDescent="0.3"/>
    <row r="16686" x14ac:dyDescent="0.3"/>
    <row r="16687" x14ac:dyDescent="0.3"/>
    <row r="16688" x14ac:dyDescent="0.3"/>
    <row r="16689" x14ac:dyDescent="0.3"/>
    <row r="16690" x14ac:dyDescent="0.3"/>
    <row r="16691" x14ac:dyDescent="0.3"/>
    <row r="16692" x14ac:dyDescent="0.3"/>
    <row r="16693" x14ac:dyDescent="0.3"/>
    <row r="16694" x14ac:dyDescent="0.3"/>
    <row r="16695" x14ac:dyDescent="0.3"/>
    <row r="16696" x14ac:dyDescent="0.3"/>
    <row r="16697" x14ac:dyDescent="0.3"/>
    <row r="16698" x14ac:dyDescent="0.3"/>
    <row r="16699" x14ac:dyDescent="0.3"/>
    <row r="16700" x14ac:dyDescent="0.3"/>
    <row r="16701" x14ac:dyDescent="0.3"/>
    <row r="16702" x14ac:dyDescent="0.3"/>
    <row r="16703" x14ac:dyDescent="0.3"/>
    <row r="16704" x14ac:dyDescent="0.3"/>
    <row r="16705" x14ac:dyDescent="0.3"/>
    <row r="16706" x14ac:dyDescent="0.3"/>
    <row r="16707" x14ac:dyDescent="0.3"/>
    <row r="16708" x14ac:dyDescent="0.3"/>
    <row r="16709" x14ac:dyDescent="0.3"/>
    <row r="16710" x14ac:dyDescent="0.3"/>
    <row r="16711" x14ac:dyDescent="0.3"/>
    <row r="16712" x14ac:dyDescent="0.3"/>
    <row r="16713" x14ac:dyDescent="0.3"/>
    <row r="16714" x14ac:dyDescent="0.3"/>
    <row r="16715" x14ac:dyDescent="0.3"/>
    <row r="16716" x14ac:dyDescent="0.3"/>
    <row r="16717" x14ac:dyDescent="0.3"/>
    <row r="16718" x14ac:dyDescent="0.3"/>
    <row r="16719" x14ac:dyDescent="0.3"/>
    <row r="16720" x14ac:dyDescent="0.3"/>
    <row r="16721" x14ac:dyDescent="0.3"/>
    <row r="16722" x14ac:dyDescent="0.3"/>
    <row r="16723" x14ac:dyDescent="0.3"/>
    <row r="16724" x14ac:dyDescent="0.3"/>
    <row r="16725" x14ac:dyDescent="0.3"/>
    <row r="16726" x14ac:dyDescent="0.3"/>
    <row r="16727" x14ac:dyDescent="0.3"/>
    <row r="16728" x14ac:dyDescent="0.3"/>
    <row r="16729" x14ac:dyDescent="0.3"/>
    <row r="16730" x14ac:dyDescent="0.3"/>
    <row r="16731" x14ac:dyDescent="0.3"/>
    <row r="16732" x14ac:dyDescent="0.3"/>
    <row r="16733" x14ac:dyDescent="0.3"/>
    <row r="16734" x14ac:dyDescent="0.3"/>
    <row r="16735" x14ac:dyDescent="0.3"/>
    <row r="16736" x14ac:dyDescent="0.3"/>
    <row r="16737" x14ac:dyDescent="0.3"/>
    <row r="16738" x14ac:dyDescent="0.3"/>
    <row r="16739" x14ac:dyDescent="0.3"/>
    <row r="16740" x14ac:dyDescent="0.3"/>
    <row r="16741" x14ac:dyDescent="0.3"/>
    <row r="16742" x14ac:dyDescent="0.3"/>
    <row r="16743" x14ac:dyDescent="0.3"/>
    <row r="16744" x14ac:dyDescent="0.3"/>
    <row r="16745" x14ac:dyDescent="0.3"/>
    <row r="16746" x14ac:dyDescent="0.3"/>
    <row r="16747" x14ac:dyDescent="0.3"/>
    <row r="16748" x14ac:dyDescent="0.3"/>
    <row r="16749" x14ac:dyDescent="0.3"/>
    <row r="16750" x14ac:dyDescent="0.3"/>
    <row r="16751" x14ac:dyDescent="0.3"/>
    <row r="16752" x14ac:dyDescent="0.3"/>
    <row r="16753" x14ac:dyDescent="0.3"/>
    <row r="16754" x14ac:dyDescent="0.3"/>
    <row r="16755" x14ac:dyDescent="0.3"/>
    <row r="16756" x14ac:dyDescent="0.3"/>
    <row r="16757" x14ac:dyDescent="0.3"/>
    <row r="16758" x14ac:dyDescent="0.3"/>
    <row r="16759" x14ac:dyDescent="0.3"/>
    <row r="16760" x14ac:dyDescent="0.3"/>
    <row r="16761" x14ac:dyDescent="0.3"/>
    <row r="16762" x14ac:dyDescent="0.3"/>
    <row r="16763" x14ac:dyDescent="0.3"/>
    <row r="16764" x14ac:dyDescent="0.3"/>
    <row r="16765" x14ac:dyDescent="0.3"/>
    <row r="16766" x14ac:dyDescent="0.3"/>
    <row r="16767" x14ac:dyDescent="0.3"/>
    <row r="16768" x14ac:dyDescent="0.3"/>
    <row r="16769" x14ac:dyDescent="0.3"/>
    <row r="16770" x14ac:dyDescent="0.3"/>
    <row r="16771" x14ac:dyDescent="0.3"/>
    <row r="16772" x14ac:dyDescent="0.3"/>
    <row r="16773" x14ac:dyDescent="0.3"/>
    <row r="16774" x14ac:dyDescent="0.3"/>
    <row r="16775" x14ac:dyDescent="0.3"/>
    <row r="16776" x14ac:dyDescent="0.3"/>
    <row r="16777" x14ac:dyDescent="0.3"/>
    <row r="16778" x14ac:dyDescent="0.3"/>
    <row r="16779" x14ac:dyDescent="0.3"/>
    <row r="16780" x14ac:dyDescent="0.3"/>
    <row r="16781" x14ac:dyDescent="0.3"/>
    <row r="16782" x14ac:dyDescent="0.3"/>
    <row r="16783" x14ac:dyDescent="0.3"/>
    <row r="16784" x14ac:dyDescent="0.3"/>
    <row r="16785" x14ac:dyDescent="0.3"/>
    <row r="16786" x14ac:dyDescent="0.3"/>
    <row r="16787" x14ac:dyDescent="0.3"/>
    <row r="16788" x14ac:dyDescent="0.3"/>
    <row r="16789" x14ac:dyDescent="0.3"/>
    <row r="16790" x14ac:dyDescent="0.3"/>
    <row r="16791" x14ac:dyDescent="0.3"/>
    <row r="16792" x14ac:dyDescent="0.3"/>
    <row r="16793" x14ac:dyDescent="0.3"/>
    <row r="16794" x14ac:dyDescent="0.3"/>
    <row r="16795" x14ac:dyDescent="0.3"/>
    <row r="16796" x14ac:dyDescent="0.3"/>
    <row r="16797" x14ac:dyDescent="0.3"/>
    <row r="16798" x14ac:dyDescent="0.3"/>
    <row r="16799" x14ac:dyDescent="0.3"/>
    <row r="16800" x14ac:dyDescent="0.3"/>
    <row r="16801" x14ac:dyDescent="0.3"/>
    <row r="16802" x14ac:dyDescent="0.3"/>
    <row r="16803" x14ac:dyDescent="0.3"/>
    <row r="16804" x14ac:dyDescent="0.3"/>
    <row r="16805" x14ac:dyDescent="0.3"/>
    <row r="16806" x14ac:dyDescent="0.3"/>
    <row r="16807" x14ac:dyDescent="0.3"/>
    <row r="16808" x14ac:dyDescent="0.3"/>
    <row r="16809" x14ac:dyDescent="0.3"/>
    <row r="16810" x14ac:dyDescent="0.3"/>
    <row r="16811" x14ac:dyDescent="0.3"/>
    <row r="16812" x14ac:dyDescent="0.3"/>
    <row r="16813" x14ac:dyDescent="0.3"/>
    <row r="16814" x14ac:dyDescent="0.3"/>
    <row r="16815" x14ac:dyDescent="0.3"/>
    <row r="16816" x14ac:dyDescent="0.3"/>
    <row r="16817" x14ac:dyDescent="0.3"/>
    <row r="16818" x14ac:dyDescent="0.3"/>
    <row r="16819" x14ac:dyDescent="0.3"/>
    <row r="16820" x14ac:dyDescent="0.3"/>
    <row r="16821" x14ac:dyDescent="0.3"/>
    <row r="16822" x14ac:dyDescent="0.3"/>
    <row r="16823" x14ac:dyDescent="0.3"/>
    <row r="16824" x14ac:dyDescent="0.3"/>
    <row r="16825" x14ac:dyDescent="0.3"/>
    <row r="16826" x14ac:dyDescent="0.3"/>
    <row r="16827" x14ac:dyDescent="0.3"/>
    <row r="16828" x14ac:dyDescent="0.3"/>
    <row r="16829" x14ac:dyDescent="0.3"/>
    <row r="16830" x14ac:dyDescent="0.3"/>
    <row r="16831" x14ac:dyDescent="0.3"/>
    <row r="16832" x14ac:dyDescent="0.3"/>
    <row r="16833" x14ac:dyDescent="0.3"/>
    <row r="16834" x14ac:dyDescent="0.3"/>
    <row r="16835" x14ac:dyDescent="0.3"/>
    <row r="16836" x14ac:dyDescent="0.3"/>
    <row r="16837" x14ac:dyDescent="0.3"/>
    <row r="16838" x14ac:dyDescent="0.3"/>
    <row r="16839" x14ac:dyDescent="0.3"/>
    <row r="16840" x14ac:dyDescent="0.3"/>
    <row r="16841" x14ac:dyDescent="0.3"/>
    <row r="16842" x14ac:dyDescent="0.3"/>
    <row r="16843" x14ac:dyDescent="0.3"/>
    <row r="16844" x14ac:dyDescent="0.3"/>
    <row r="16845" x14ac:dyDescent="0.3"/>
    <row r="16846" x14ac:dyDescent="0.3"/>
    <row r="16847" x14ac:dyDescent="0.3"/>
    <row r="16848" x14ac:dyDescent="0.3"/>
    <row r="16849" x14ac:dyDescent="0.3"/>
    <row r="16850" x14ac:dyDescent="0.3"/>
    <row r="16851" x14ac:dyDescent="0.3"/>
    <row r="16852" x14ac:dyDescent="0.3"/>
    <row r="16853" x14ac:dyDescent="0.3"/>
    <row r="16854" x14ac:dyDescent="0.3"/>
    <row r="16855" x14ac:dyDescent="0.3"/>
    <row r="16856" x14ac:dyDescent="0.3"/>
    <row r="16857" x14ac:dyDescent="0.3"/>
    <row r="16858" x14ac:dyDescent="0.3"/>
    <row r="16859" x14ac:dyDescent="0.3"/>
    <row r="16860" x14ac:dyDescent="0.3"/>
    <row r="16861" x14ac:dyDescent="0.3"/>
    <row r="16862" x14ac:dyDescent="0.3"/>
    <row r="16863" x14ac:dyDescent="0.3"/>
    <row r="16864" x14ac:dyDescent="0.3"/>
    <row r="16865" x14ac:dyDescent="0.3"/>
    <row r="16866" x14ac:dyDescent="0.3"/>
    <row r="16867" x14ac:dyDescent="0.3"/>
    <row r="16868" x14ac:dyDescent="0.3"/>
    <row r="16869" x14ac:dyDescent="0.3"/>
    <row r="16870" x14ac:dyDescent="0.3"/>
    <row r="16871" x14ac:dyDescent="0.3"/>
    <row r="16872" x14ac:dyDescent="0.3"/>
    <row r="16873" x14ac:dyDescent="0.3"/>
    <row r="16874" x14ac:dyDescent="0.3"/>
    <row r="16875" x14ac:dyDescent="0.3"/>
    <row r="16876" x14ac:dyDescent="0.3"/>
    <row r="16877" x14ac:dyDescent="0.3"/>
    <row r="16878" x14ac:dyDescent="0.3"/>
    <row r="16879" x14ac:dyDescent="0.3"/>
    <row r="16880" x14ac:dyDescent="0.3"/>
    <row r="16881" x14ac:dyDescent="0.3"/>
    <row r="16882" x14ac:dyDescent="0.3"/>
    <row r="16883" x14ac:dyDescent="0.3"/>
    <row r="16884" x14ac:dyDescent="0.3"/>
    <row r="16885" x14ac:dyDescent="0.3"/>
    <row r="16886" x14ac:dyDescent="0.3"/>
    <row r="16887" x14ac:dyDescent="0.3"/>
    <row r="16888" x14ac:dyDescent="0.3"/>
    <row r="16889" x14ac:dyDescent="0.3"/>
    <row r="16890" x14ac:dyDescent="0.3"/>
    <row r="16891" x14ac:dyDescent="0.3"/>
    <row r="16892" x14ac:dyDescent="0.3"/>
    <row r="16893" x14ac:dyDescent="0.3"/>
    <row r="16894" x14ac:dyDescent="0.3"/>
    <row r="16895" x14ac:dyDescent="0.3"/>
    <row r="16896" x14ac:dyDescent="0.3"/>
    <row r="16897" x14ac:dyDescent="0.3"/>
    <row r="16898" x14ac:dyDescent="0.3"/>
    <row r="16899" x14ac:dyDescent="0.3"/>
    <row r="16900" x14ac:dyDescent="0.3"/>
    <row r="16901" x14ac:dyDescent="0.3"/>
    <row r="16902" x14ac:dyDescent="0.3"/>
    <row r="16903" x14ac:dyDescent="0.3"/>
    <row r="16904" x14ac:dyDescent="0.3"/>
    <row r="16905" x14ac:dyDescent="0.3"/>
    <row r="16906" x14ac:dyDescent="0.3"/>
    <row r="16907" x14ac:dyDescent="0.3"/>
    <row r="16908" x14ac:dyDescent="0.3"/>
    <row r="16909" x14ac:dyDescent="0.3"/>
    <row r="16910" x14ac:dyDescent="0.3"/>
    <row r="16911" x14ac:dyDescent="0.3"/>
    <row r="16912" x14ac:dyDescent="0.3"/>
    <row r="16913" x14ac:dyDescent="0.3"/>
    <row r="16914" x14ac:dyDescent="0.3"/>
    <row r="16915" x14ac:dyDescent="0.3"/>
    <row r="16916" x14ac:dyDescent="0.3"/>
    <row r="16917" x14ac:dyDescent="0.3"/>
    <row r="16918" x14ac:dyDescent="0.3"/>
    <row r="16919" x14ac:dyDescent="0.3"/>
    <row r="16920" x14ac:dyDescent="0.3"/>
    <row r="16921" x14ac:dyDescent="0.3"/>
    <row r="16922" x14ac:dyDescent="0.3"/>
    <row r="16923" x14ac:dyDescent="0.3"/>
    <row r="16924" x14ac:dyDescent="0.3"/>
    <row r="16925" x14ac:dyDescent="0.3"/>
    <row r="16926" x14ac:dyDescent="0.3"/>
    <row r="16927" x14ac:dyDescent="0.3"/>
    <row r="16928" x14ac:dyDescent="0.3"/>
    <row r="16929" x14ac:dyDescent="0.3"/>
    <row r="16930" x14ac:dyDescent="0.3"/>
    <row r="16931" x14ac:dyDescent="0.3"/>
    <row r="16932" x14ac:dyDescent="0.3"/>
    <row r="16933" x14ac:dyDescent="0.3"/>
    <row r="16934" x14ac:dyDescent="0.3"/>
    <row r="16935" x14ac:dyDescent="0.3"/>
    <row r="16936" x14ac:dyDescent="0.3"/>
    <row r="16937" x14ac:dyDescent="0.3"/>
    <row r="16938" x14ac:dyDescent="0.3"/>
    <row r="16939" x14ac:dyDescent="0.3"/>
    <row r="16940" x14ac:dyDescent="0.3"/>
    <row r="16941" x14ac:dyDescent="0.3"/>
    <row r="16942" x14ac:dyDescent="0.3"/>
    <row r="16943" x14ac:dyDescent="0.3"/>
    <row r="16944" x14ac:dyDescent="0.3"/>
    <row r="16945" x14ac:dyDescent="0.3"/>
    <row r="16946" x14ac:dyDescent="0.3"/>
    <row r="16947" x14ac:dyDescent="0.3"/>
    <row r="16948" x14ac:dyDescent="0.3"/>
    <row r="16949" x14ac:dyDescent="0.3"/>
    <row r="16950" x14ac:dyDescent="0.3"/>
    <row r="16951" x14ac:dyDescent="0.3"/>
    <row r="16952" x14ac:dyDescent="0.3"/>
    <row r="16953" x14ac:dyDescent="0.3"/>
    <row r="16954" x14ac:dyDescent="0.3"/>
    <row r="16955" x14ac:dyDescent="0.3"/>
    <row r="16956" x14ac:dyDescent="0.3"/>
    <row r="16957" x14ac:dyDescent="0.3"/>
    <row r="16958" x14ac:dyDescent="0.3"/>
    <row r="16959" x14ac:dyDescent="0.3"/>
    <row r="16960" x14ac:dyDescent="0.3"/>
    <row r="16961" x14ac:dyDescent="0.3"/>
    <row r="16962" x14ac:dyDescent="0.3"/>
    <row r="16963" x14ac:dyDescent="0.3"/>
    <row r="16964" x14ac:dyDescent="0.3"/>
    <row r="16965" x14ac:dyDescent="0.3"/>
    <row r="16966" x14ac:dyDescent="0.3"/>
    <row r="16967" x14ac:dyDescent="0.3"/>
    <row r="16968" x14ac:dyDescent="0.3"/>
    <row r="16969" x14ac:dyDescent="0.3"/>
    <row r="16970" x14ac:dyDescent="0.3"/>
    <row r="16971" x14ac:dyDescent="0.3"/>
    <row r="16972" x14ac:dyDescent="0.3"/>
    <row r="16973" x14ac:dyDescent="0.3"/>
    <row r="16974" x14ac:dyDescent="0.3"/>
    <row r="16975" x14ac:dyDescent="0.3"/>
    <row r="16976" x14ac:dyDescent="0.3"/>
    <row r="16977" x14ac:dyDescent="0.3"/>
    <row r="16978" x14ac:dyDescent="0.3"/>
    <row r="16979" x14ac:dyDescent="0.3"/>
    <row r="16980" x14ac:dyDescent="0.3"/>
    <row r="16981" x14ac:dyDescent="0.3"/>
    <row r="16982" x14ac:dyDescent="0.3"/>
    <row r="16983" x14ac:dyDescent="0.3"/>
    <row r="16984" x14ac:dyDescent="0.3"/>
    <row r="16985" x14ac:dyDescent="0.3"/>
    <row r="16986" x14ac:dyDescent="0.3"/>
    <row r="16987" x14ac:dyDescent="0.3"/>
    <row r="16988" x14ac:dyDescent="0.3"/>
    <row r="16989" x14ac:dyDescent="0.3"/>
    <row r="16990" x14ac:dyDescent="0.3"/>
    <row r="16991" x14ac:dyDescent="0.3"/>
    <row r="16992" x14ac:dyDescent="0.3"/>
    <row r="16993" x14ac:dyDescent="0.3"/>
    <row r="16994" x14ac:dyDescent="0.3"/>
    <row r="16995" x14ac:dyDescent="0.3"/>
    <row r="16996" x14ac:dyDescent="0.3"/>
    <row r="16997" x14ac:dyDescent="0.3"/>
    <row r="16998" x14ac:dyDescent="0.3"/>
    <row r="16999" x14ac:dyDescent="0.3"/>
    <row r="17000" x14ac:dyDescent="0.3"/>
    <row r="17001" x14ac:dyDescent="0.3"/>
    <row r="17002" x14ac:dyDescent="0.3"/>
    <row r="17003" x14ac:dyDescent="0.3"/>
    <row r="17004" x14ac:dyDescent="0.3"/>
    <row r="17005" x14ac:dyDescent="0.3"/>
    <row r="17006" x14ac:dyDescent="0.3"/>
    <row r="17007" x14ac:dyDescent="0.3"/>
    <row r="17008" x14ac:dyDescent="0.3"/>
    <row r="17009" x14ac:dyDescent="0.3"/>
    <row r="17010" x14ac:dyDescent="0.3"/>
    <row r="17011" x14ac:dyDescent="0.3"/>
    <row r="17012" x14ac:dyDescent="0.3"/>
    <row r="17013" x14ac:dyDescent="0.3"/>
    <row r="17014" x14ac:dyDescent="0.3"/>
    <row r="17015" x14ac:dyDescent="0.3"/>
    <row r="17016" x14ac:dyDescent="0.3"/>
    <row r="17017" x14ac:dyDescent="0.3"/>
    <row r="17018" x14ac:dyDescent="0.3"/>
    <row r="17019" x14ac:dyDescent="0.3"/>
    <row r="17020" x14ac:dyDescent="0.3"/>
    <row r="17021" x14ac:dyDescent="0.3"/>
    <row r="17022" x14ac:dyDescent="0.3"/>
    <row r="17023" x14ac:dyDescent="0.3"/>
    <row r="17024" x14ac:dyDescent="0.3"/>
    <row r="17025" x14ac:dyDescent="0.3"/>
    <row r="17026" x14ac:dyDescent="0.3"/>
    <row r="17027" x14ac:dyDescent="0.3"/>
    <row r="17028" x14ac:dyDescent="0.3"/>
    <row r="17029" x14ac:dyDescent="0.3"/>
    <row r="17030" x14ac:dyDescent="0.3"/>
    <row r="17031" x14ac:dyDescent="0.3"/>
    <row r="17032" x14ac:dyDescent="0.3"/>
    <row r="17033" x14ac:dyDescent="0.3"/>
    <row r="17034" x14ac:dyDescent="0.3"/>
    <row r="17035" x14ac:dyDescent="0.3"/>
    <row r="17036" x14ac:dyDescent="0.3"/>
    <row r="17037" x14ac:dyDescent="0.3"/>
    <row r="17038" x14ac:dyDescent="0.3"/>
    <row r="17039" x14ac:dyDescent="0.3"/>
    <row r="17040" x14ac:dyDescent="0.3"/>
    <row r="17041" x14ac:dyDescent="0.3"/>
    <row r="17042" x14ac:dyDescent="0.3"/>
    <row r="17043" x14ac:dyDescent="0.3"/>
    <row r="17044" x14ac:dyDescent="0.3"/>
    <row r="17045" x14ac:dyDescent="0.3"/>
    <row r="17046" x14ac:dyDescent="0.3"/>
    <row r="17047" x14ac:dyDescent="0.3"/>
    <row r="17048" x14ac:dyDescent="0.3"/>
    <row r="17049" x14ac:dyDescent="0.3"/>
    <row r="17050" x14ac:dyDescent="0.3"/>
    <row r="17051" x14ac:dyDescent="0.3"/>
    <row r="17052" x14ac:dyDescent="0.3"/>
    <row r="17053" x14ac:dyDescent="0.3"/>
    <row r="17054" x14ac:dyDescent="0.3"/>
    <row r="17055" x14ac:dyDescent="0.3"/>
    <row r="17056" x14ac:dyDescent="0.3"/>
    <row r="17057" x14ac:dyDescent="0.3"/>
    <row r="17058" x14ac:dyDescent="0.3"/>
    <row r="17059" x14ac:dyDescent="0.3"/>
    <row r="17060" x14ac:dyDescent="0.3"/>
    <row r="17061" x14ac:dyDescent="0.3"/>
    <row r="17062" x14ac:dyDescent="0.3"/>
    <row r="17063" x14ac:dyDescent="0.3"/>
    <row r="17064" x14ac:dyDescent="0.3"/>
    <row r="17065" x14ac:dyDescent="0.3"/>
    <row r="17066" x14ac:dyDescent="0.3"/>
    <row r="17067" x14ac:dyDescent="0.3"/>
    <row r="17068" x14ac:dyDescent="0.3"/>
    <row r="17069" x14ac:dyDescent="0.3"/>
    <row r="17070" x14ac:dyDescent="0.3"/>
    <row r="17071" x14ac:dyDescent="0.3"/>
    <row r="17072" x14ac:dyDescent="0.3"/>
    <row r="17073" x14ac:dyDescent="0.3"/>
    <row r="17074" x14ac:dyDescent="0.3"/>
    <row r="17075" x14ac:dyDescent="0.3"/>
    <row r="17076" x14ac:dyDescent="0.3"/>
    <row r="17077" x14ac:dyDescent="0.3"/>
    <row r="17078" x14ac:dyDescent="0.3"/>
    <row r="17079" x14ac:dyDescent="0.3"/>
    <row r="17080" x14ac:dyDescent="0.3"/>
    <row r="17081" x14ac:dyDescent="0.3"/>
    <row r="17082" x14ac:dyDescent="0.3"/>
    <row r="17083" x14ac:dyDescent="0.3"/>
    <row r="17084" x14ac:dyDescent="0.3"/>
    <row r="17085" x14ac:dyDescent="0.3"/>
    <row r="17086" x14ac:dyDescent="0.3"/>
    <row r="17087" x14ac:dyDescent="0.3"/>
    <row r="17088" x14ac:dyDescent="0.3"/>
    <row r="17089" x14ac:dyDescent="0.3"/>
    <row r="17090" x14ac:dyDescent="0.3"/>
    <row r="17091" x14ac:dyDescent="0.3"/>
    <row r="17092" x14ac:dyDescent="0.3"/>
    <row r="17093" x14ac:dyDescent="0.3"/>
    <row r="17094" x14ac:dyDescent="0.3"/>
    <row r="17095" x14ac:dyDescent="0.3"/>
    <row r="17096" x14ac:dyDescent="0.3"/>
    <row r="17097" x14ac:dyDescent="0.3"/>
    <row r="17098" x14ac:dyDescent="0.3"/>
    <row r="17099" x14ac:dyDescent="0.3"/>
    <row r="17100" x14ac:dyDescent="0.3"/>
    <row r="17101" x14ac:dyDescent="0.3"/>
    <row r="17102" x14ac:dyDescent="0.3"/>
    <row r="17103" x14ac:dyDescent="0.3"/>
    <row r="17104" x14ac:dyDescent="0.3"/>
    <row r="17105" x14ac:dyDescent="0.3"/>
    <row r="17106" x14ac:dyDescent="0.3"/>
    <row r="17107" x14ac:dyDescent="0.3"/>
    <row r="17108" x14ac:dyDescent="0.3"/>
    <row r="17109" x14ac:dyDescent="0.3"/>
    <row r="17110" x14ac:dyDescent="0.3"/>
    <row r="17111" x14ac:dyDescent="0.3"/>
    <row r="17112" x14ac:dyDescent="0.3"/>
    <row r="17113" x14ac:dyDescent="0.3"/>
    <row r="17114" x14ac:dyDescent="0.3"/>
    <row r="17115" x14ac:dyDescent="0.3"/>
    <row r="17116" x14ac:dyDescent="0.3"/>
    <row r="17117" x14ac:dyDescent="0.3"/>
    <row r="17118" x14ac:dyDescent="0.3"/>
    <row r="17119" x14ac:dyDescent="0.3"/>
    <row r="17120" x14ac:dyDescent="0.3"/>
    <row r="17121" x14ac:dyDescent="0.3"/>
    <row r="17122" x14ac:dyDescent="0.3"/>
    <row r="17123" x14ac:dyDescent="0.3"/>
    <row r="17124" x14ac:dyDescent="0.3"/>
    <row r="17125" x14ac:dyDescent="0.3"/>
    <row r="17126" x14ac:dyDescent="0.3"/>
    <row r="17127" x14ac:dyDescent="0.3"/>
    <row r="17128" x14ac:dyDescent="0.3"/>
    <row r="17129" x14ac:dyDescent="0.3"/>
    <row r="17130" x14ac:dyDescent="0.3"/>
    <row r="17131" x14ac:dyDescent="0.3"/>
    <row r="17132" x14ac:dyDescent="0.3"/>
    <row r="17133" x14ac:dyDescent="0.3"/>
    <row r="17134" x14ac:dyDescent="0.3"/>
    <row r="17135" x14ac:dyDescent="0.3"/>
    <row r="17136" x14ac:dyDescent="0.3"/>
    <row r="17137" x14ac:dyDescent="0.3"/>
    <row r="17138" x14ac:dyDescent="0.3"/>
    <row r="17139" x14ac:dyDescent="0.3"/>
    <row r="17140" x14ac:dyDescent="0.3"/>
    <row r="17141" x14ac:dyDescent="0.3"/>
    <row r="17142" x14ac:dyDescent="0.3"/>
    <row r="17143" x14ac:dyDescent="0.3"/>
    <row r="17144" x14ac:dyDescent="0.3"/>
    <row r="17145" x14ac:dyDescent="0.3"/>
    <row r="17146" x14ac:dyDescent="0.3"/>
    <row r="17147" x14ac:dyDescent="0.3"/>
    <row r="17148" x14ac:dyDescent="0.3"/>
    <row r="17149" x14ac:dyDescent="0.3"/>
    <row r="17150" x14ac:dyDescent="0.3"/>
    <row r="17151" x14ac:dyDescent="0.3"/>
    <row r="17152" x14ac:dyDescent="0.3"/>
    <row r="17153" x14ac:dyDescent="0.3"/>
    <row r="17154" x14ac:dyDescent="0.3"/>
    <row r="17155" x14ac:dyDescent="0.3"/>
    <row r="17156" x14ac:dyDescent="0.3"/>
    <row r="17157" x14ac:dyDescent="0.3"/>
    <row r="17158" x14ac:dyDescent="0.3"/>
    <row r="17159" x14ac:dyDescent="0.3"/>
    <row r="17160" x14ac:dyDescent="0.3"/>
    <row r="17161" x14ac:dyDescent="0.3"/>
    <row r="17162" x14ac:dyDescent="0.3"/>
    <row r="17163" x14ac:dyDescent="0.3"/>
    <row r="17164" x14ac:dyDescent="0.3"/>
    <row r="17165" x14ac:dyDescent="0.3"/>
    <row r="17166" x14ac:dyDescent="0.3"/>
    <row r="17167" x14ac:dyDescent="0.3"/>
    <row r="17168" x14ac:dyDescent="0.3"/>
    <row r="17169" x14ac:dyDescent="0.3"/>
    <row r="17170" x14ac:dyDescent="0.3"/>
    <row r="17171" x14ac:dyDescent="0.3"/>
    <row r="17172" x14ac:dyDescent="0.3"/>
    <row r="17173" x14ac:dyDescent="0.3"/>
    <row r="17174" x14ac:dyDescent="0.3"/>
    <row r="17175" x14ac:dyDescent="0.3"/>
    <row r="17176" x14ac:dyDescent="0.3"/>
    <row r="17177" x14ac:dyDescent="0.3"/>
    <row r="17178" x14ac:dyDescent="0.3"/>
    <row r="17179" x14ac:dyDescent="0.3"/>
    <row r="17180" x14ac:dyDescent="0.3"/>
    <row r="17181" x14ac:dyDescent="0.3"/>
    <row r="17182" x14ac:dyDescent="0.3"/>
    <row r="17183" x14ac:dyDescent="0.3"/>
    <row r="17184" x14ac:dyDescent="0.3"/>
    <row r="17185" x14ac:dyDescent="0.3"/>
    <row r="17186" x14ac:dyDescent="0.3"/>
    <row r="17187" x14ac:dyDescent="0.3"/>
    <row r="17188" x14ac:dyDescent="0.3"/>
    <row r="17189" x14ac:dyDescent="0.3"/>
    <row r="17190" x14ac:dyDescent="0.3"/>
    <row r="17191" x14ac:dyDescent="0.3"/>
    <row r="17192" x14ac:dyDescent="0.3"/>
    <row r="17193" x14ac:dyDescent="0.3"/>
    <row r="17194" x14ac:dyDescent="0.3"/>
    <row r="17195" x14ac:dyDescent="0.3"/>
    <row r="17196" x14ac:dyDescent="0.3"/>
    <row r="17197" x14ac:dyDescent="0.3"/>
    <row r="17198" x14ac:dyDescent="0.3"/>
    <row r="17199" x14ac:dyDescent="0.3"/>
    <row r="17200" x14ac:dyDescent="0.3"/>
    <row r="17201" x14ac:dyDescent="0.3"/>
    <row r="17202" x14ac:dyDescent="0.3"/>
    <row r="17203" x14ac:dyDescent="0.3"/>
    <row r="17204" x14ac:dyDescent="0.3"/>
    <row r="17205" x14ac:dyDescent="0.3"/>
    <row r="17206" x14ac:dyDescent="0.3"/>
    <row r="17207" x14ac:dyDescent="0.3"/>
    <row r="17208" x14ac:dyDescent="0.3"/>
    <row r="17209" x14ac:dyDescent="0.3"/>
    <row r="17210" x14ac:dyDescent="0.3"/>
    <row r="17211" x14ac:dyDescent="0.3"/>
    <row r="17212" x14ac:dyDescent="0.3"/>
    <row r="17213" x14ac:dyDescent="0.3"/>
    <row r="17214" x14ac:dyDescent="0.3"/>
    <row r="17215" x14ac:dyDescent="0.3"/>
    <row r="17216" x14ac:dyDescent="0.3"/>
    <row r="17217" x14ac:dyDescent="0.3"/>
    <row r="17218" x14ac:dyDescent="0.3"/>
    <row r="17219" x14ac:dyDescent="0.3"/>
    <row r="17220" x14ac:dyDescent="0.3"/>
    <row r="17221" x14ac:dyDescent="0.3"/>
    <row r="17222" x14ac:dyDescent="0.3"/>
    <row r="17223" x14ac:dyDescent="0.3"/>
    <row r="17224" x14ac:dyDescent="0.3"/>
    <row r="17225" x14ac:dyDescent="0.3"/>
    <row r="17226" x14ac:dyDescent="0.3"/>
    <row r="17227" x14ac:dyDescent="0.3"/>
    <row r="17228" x14ac:dyDescent="0.3"/>
    <row r="17229" x14ac:dyDescent="0.3"/>
    <row r="17230" x14ac:dyDescent="0.3"/>
    <row r="17231" x14ac:dyDescent="0.3"/>
    <row r="17232" x14ac:dyDescent="0.3"/>
    <row r="17233" x14ac:dyDescent="0.3"/>
    <row r="17234" x14ac:dyDescent="0.3"/>
    <row r="17235" x14ac:dyDescent="0.3"/>
    <row r="17236" x14ac:dyDescent="0.3"/>
    <row r="17237" x14ac:dyDescent="0.3"/>
    <row r="17238" x14ac:dyDescent="0.3"/>
    <row r="17239" x14ac:dyDescent="0.3"/>
    <row r="17240" x14ac:dyDescent="0.3"/>
    <row r="17241" x14ac:dyDescent="0.3"/>
    <row r="17242" x14ac:dyDescent="0.3"/>
    <row r="17243" x14ac:dyDescent="0.3"/>
    <row r="17244" x14ac:dyDescent="0.3"/>
    <row r="17245" x14ac:dyDescent="0.3"/>
    <row r="17246" x14ac:dyDescent="0.3"/>
    <row r="17247" x14ac:dyDescent="0.3"/>
    <row r="17248" x14ac:dyDescent="0.3"/>
    <row r="17249" x14ac:dyDescent="0.3"/>
    <row r="17250" x14ac:dyDescent="0.3"/>
    <row r="17251" x14ac:dyDescent="0.3"/>
    <row r="17252" x14ac:dyDescent="0.3"/>
    <row r="17253" x14ac:dyDescent="0.3"/>
    <row r="17254" x14ac:dyDescent="0.3"/>
    <row r="17255" x14ac:dyDescent="0.3"/>
    <row r="17256" x14ac:dyDescent="0.3"/>
    <row r="17257" x14ac:dyDescent="0.3"/>
    <row r="17258" x14ac:dyDescent="0.3"/>
    <row r="17259" x14ac:dyDescent="0.3"/>
    <row r="17260" x14ac:dyDescent="0.3"/>
    <row r="17261" x14ac:dyDescent="0.3"/>
    <row r="17262" x14ac:dyDescent="0.3"/>
    <row r="17263" x14ac:dyDescent="0.3"/>
    <row r="17264" x14ac:dyDescent="0.3"/>
    <row r="17265" x14ac:dyDescent="0.3"/>
    <row r="17266" x14ac:dyDescent="0.3"/>
    <row r="17267" x14ac:dyDescent="0.3"/>
    <row r="17268" x14ac:dyDescent="0.3"/>
    <row r="17269" x14ac:dyDescent="0.3"/>
    <row r="17270" x14ac:dyDescent="0.3"/>
    <row r="17271" x14ac:dyDescent="0.3"/>
    <row r="17272" x14ac:dyDescent="0.3"/>
    <row r="17273" x14ac:dyDescent="0.3"/>
    <row r="17274" x14ac:dyDescent="0.3"/>
    <row r="17275" x14ac:dyDescent="0.3"/>
    <row r="17276" x14ac:dyDescent="0.3"/>
    <row r="17277" x14ac:dyDescent="0.3"/>
    <row r="17278" x14ac:dyDescent="0.3"/>
    <row r="17279" x14ac:dyDescent="0.3"/>
    <row r="17280" x14ac:dyDescent="0.3"/>
    <row r="17281" x14ac:dyDescent="0.3"/>
    <row r="17282" x14ac:dyDescent="0.3"/>
    <row r="17283" x14ac:dyDescent="0.3"/>
    <row r="17284" x14ac:dyDescent="0.3"/>
    <row r="17285" x14ac:dyDescent="0.3"/>
    <row r="17286" x14ac:dyDescent="0.3"/>
    <row r="17287" x14ac:dyDescent="0.3"/>
    <row r="17288" x14ac:dyDescent="0.3"/>
    <row r="17289" x14ac:dyDescent="0.3"/>
    <row r="17290" x14ac:dyDescent="0.3"/>
    <row r="17291" x14ac:dyDescent="0.3"/>
    <row r="17292" x14ac:dyDescent="0.3"/>
    <row r="17293" x14ac:dyDescent="0.3"/>
    <row r="17294" x14ac:dyDescent="0.3"/>
    <row r="17295" x14ac:dyDescent="0.3"/>
    <row r="17296" x14ac:dyDescent="0.3"/>
    <row r="17297" x14ac:dyDescent="0.3"/>
    <row r="17298" x14ac:dyDescent="0.3"/>
    <row r="17299" x14ac:dyDescent="0.3"/>
    <row r="17300" x14ac:dyDescent="0.3"/>
    <row r="17301" x14ac:dyDescent="0.3"/>
    <row r="17302" x14ac:dyDescent="0.3"/>
    <row r="17303" x14ac:dyDescent="0.3"/>
    <row r="17304" x14ac:dyDescent="0.3"/>
    <row r="17305" x14ac:dyDescent="0.3"/>
    <row r="17306" x14ac:dyDescent="0.3"/>
    <row r="17307" x14ac:dyDescent="0.3"/>
    <row r="17308" x14ac:dyDescent="0.3"/>
    <row r="17309" x14ac:dyDescent="0.3"/>
    <row r="17310" x14ac:dyDescent="0.3"/>
    <row r="17311" x14ac:dyDescent="0.3"/>
    <row r="17312" x14ac:dyDescent="0.3"/>
    <row r="17313" x14ac:dyDescent="0.3"/>
    <row r="17314" x14ac:dyDescent="0.3"/>
    <row r="17315" x14ac:dyDescent="0.3"/>
    <row r="17316" x14ac:dyDescent="0.3"/>
    <row r="17317" x14ac:dyDescent="0.3"/>
    <row r="17318" x14ac:dyDescent="0.3"/>
    <row r="17319" x14ac:dyDescent="0.3"/>
    <row r="17320" x14ac:dyDescent="0.3"/>
    <row r="17321" x14ac:dyDescent="0.3"/>
    <row r="17322" x14ac:dyDescent="0.3"/>
    <row r="17323" x14ac:dyDescent="0.3"/>
    <row r="17324" x14ac:dyDescent="0.3"/>
    <row r="17325" x14ac:dyDescent="0.3"/>
    <row r="17326" x14ac:dyDescent="0.3"/>
    <row r="17327" x14ac:dyDescent="0.3"/>
    <row r="17328" x14ac:dyDescent="0.3"/>
    <row r="17329" x14ac:dyDescent="0.3"/>
    <row r="17330" x14ac:dyDescent="0.3"/>
    <row r="17331" x14ac:dyDescent="0.3"/>
    <row r="17332" x14ac:dyDescent="0.3"/>
    <row r="17333" x14ac:dyDescent="0.3"/>
    <row r="17334" x14ac:dyDescent="0.3"/>
    <row r="17335" x14ac:dyDescent="0.3"/>
    <row r="17336" x14ac:dyDescent="0.3"/>
    <row r="17337" x14ac:dyDescent="0.3"/>
    <row r="17338" x14ac:dyDescent="0.3"/>
    <row r="17339" x14ac:dyDescent="0.3"/>
    <row r="17340" x14ac:dyDescent="0.3"/>
    <row r="17341" x14ac:dyDescent="0.3"/>
    <row r="17342" x14ac:dyDescent="0.3"/>
    <row r="17343" x14ac:dyDescent="0.3"/>
    <row r="17344" x14ac:dyDescent="0.3"/>
    <row r="17345" x14ac:dyDescent="0.3"/>
    <row r="17346" x14ac:dyDescent="0.3"/>
    <row r="17347" x14ac:dyDescent="0.3"/>
    <row r="17348" x14ac:dyDescent="0.3"/>
    <row r="17349" x14ac:dyDescent="0.3"/>
    <row r="17350" x14ac:dyDescent="0.3"/>
    <row r="17351" x14ac:dyDescent="0.3"/>
    <row r="17352" x14ac:dyDescent="0.3"/>
    <row r="17353" x14ac:dyDescent="0.3"/>
    <row r="17354" x14ac:dyDescent="0.3"/>
    <row r="17355" x14ac:dyDescent="0.3"/>
    <row r="17356" x14ac:dyDescent="0.3"/>
    <row r="17357" x14ac:dyDescent="0.3"/>
    <row r="17358" x14ac:dyDescent="0.3"/>
    <row r="17359" x14ac:dyDescent="0.3"/>
    <row r="17360" x14ac:dyDescent="0.3"/>
    <row r="17361" x14ac:dyDescent="0.3"/>
    <row r="17362" x14ac:dyDescent="0.3"/>
    <row r="17363" x14ac:dyDescent="0.3"/>
    <row r="17364" x14ac:dyDescent="0.3"/>
    <row r="17365" x14ac:dyDescent="0.3"/>
    <row r="17366" x14ac:dyDescent="0.3"/>
    <row r="17367" x14ac:dyDescent="0.3"/>
    <row r="17368" x14ac:dyDescent="0.3"/>
    <row r="17369" x14ac:dyDescent="0.3"/>
    <row r="17370" x14ac:dyDescent="0.3"/>
    <row r="17371" x14ac:dyDescent="0.3"/>
    <row r="17372" x14ac:dyDescent="0.3"/>
    <row r="17373" x14ac:dyDescent="0.3"/>
    <row r="17374" x14ac:dyDescent="0.3"/>
    <row r="17375" x14ac:dyDescent="0.3"/>
    <row r="17376" x14ac:dyDescent="0.3"/>
    <row r="17377" x14ac:dyDescent="0.3"/>
    <row r="17378" x14ac:dyDescent="0.3"/>
    <row r="17379" x14ac:dyDescent="0.3"/>
    <row r="17380" x14ac:dyDescent="0.3"/>
    <row r="17381" x14ac:dyDescent="0.3"/>
    <row r="17382" x14ac:dyDescent="0.3"/>
    <row r="17383" x14ac:dyDescent="0.3"/>
    <row r="17384" x14ac:dyDescent="0.3"/>
    <row r="17385" x14ac:dyDescent="0.3"/>
    <row r="17386" x14ac:dyDescent="0.3"/>
    <row r="17387" x14ac:dyDescent="0.3"/>
    <row r="17388" x14ac:dyDescent="0.3"/>
    <row r="17389" x14ac:dyDescent="0.3"/>
    <row r="17390" x14ac:dyDescent="0.3"/>
    <row r="17391" x14ac:dyDescent="0.3"/>
    <row r="17392" x14ac:dyDescent="0.3"/>
    <row r="17393" x14ac:dyDescent="0.3"/>
    <row r="17394" x14ac:dyDescent="0.3"/>
    <row r="17395" x14ac:dyDescent="0.3"/>
    <row r="17396" x14ac:dyDescent="0.3"/>
    <row r="17397" x14ac:dyDescent="0.3"/>
    <row r="17398" x14ac:dyDescent="0.3"/>
    <row r="17399" x14ac:dyDescent="0.3"/>
    <row r="17400" x14ac:dyDescent="0.3"/>
    <row r="17401" x14ac:dyDescent="0.3"/>
    <row r="17402" x14ac:dyDescent="0.3"/>
    <row r="17403" x14ac:dyDescent="0.3"/>
    <row r="17404" x14ac:dyDescent="0.3"/>
    <row r="17405" x14ac:dyDescent="0.3"/>
    <row r="17406" x14ac:dyDescent="0.3"/>
    <row r="17407" x14ac:dyDescent="0.3"/>
    <row r="17408" x14ac:dyDescent="0.3"/>
    <row r="17409" x14ac:dyDescent="0.3"/>
    <row r="17410" x14ac:dyDescent="0.3"/>
    <row r="17411" x14ac:dyDescent="0.3"/>
    <row r="17412" x14ac:dyDescent="0.3"/>
    <row r="17413" x14ac:dyDescent="0.3"/>
    <row r="17414" x14ac:dyDescent="0.3"/>
    <row r="17415" x14ac:dyDescent="0.3"/>
    <row r="17416" x14ac:dyDescent="0.3"/>
    <row r="17417" x14ac:dyDescent="0.3"/>
    <row r="17418" x14ac:dyDescent="0.3"/>
    <row r="17419" x14ac:dyDescent="0.3"/>
    <row r="17420" x14ac:dyDescent="0.3"/>
    <row r="17421" x14ac:dyDescent="0.3"/>
    <row r="17422" x14ac:dyDescent="0.3"/>
    <row r="17423" x14ac:dyDescent="0.3"/>
    <row r="17424" x14ac:dyDescent="0.3"/>
    <row r="17425" x14ac:dyDescent="0.3"/>
    <row r="17426" x14ac:dyDescent="0.3"/>
    <row r="17427" x14ac:dyDescent="0.3"/>
    <row r="17428" x14ac:dyDescent="0.3"/>
    <row r="17429" x14ac:dyDescent="0.3"/>
    <row r="17430" x14ac:dyDescent="0.3"/>
    <row r="17431" x14ac:dyDescent="0.3"/>
    <row r="17432" x14ac:dyDescent="0.3"/>
    <row r="17433" x14ac:dyDescent="0.3"/>
    <row r="17434" x14ac:dyDescent="0.3"/>
    <row r="17435" x14ac:dyDescent="0.3"/>
    <row r="17436" x14ac:dyDescent="0.3"/>
    <row r="17437" x14ac:dyDescent="0.3"/>
    <row r="17438" x14ac:dyDescent="0.3"/>
    <row r="17439" x14ac:dyDescent="0.3"/>
    <row r="17440" x14ac:dyDescent="0.3"/>
    <row r="17441" x14ac:dyDescent="0.3"/>
    <row r="17442" x14ac:dyDescent="0.3"/>
    <row r="17443" x14ac:dyDescent="0.3"/>
    <row r="17444" x14ac:dyDescent="0.3"/>
    <row r="17445" x14ac:dyDescent="0.3"/>
    <row r="17446" x14ac:dyDescent="0.3"/>
    <row r="17447" x14ac:dyDescent="0.3"/>
    <row r="17448" x14ac:dyDescent="0.3"/>
    <row r="17449" x14ac:dyDescent="0.3"/>
    <row r="17450" x14ac:dyDescent="0.3"/>
    <row r="17451" x14ac:dyDescent="0.3"/>
    <row r="17452" x14ac:dyDescent="0.3"/>
    <row r="17453" x14ac:dyDescent="0.3"/>
    <row r="17454" x14ac:dyDescent="0.3"/>
    <row r="17455" x14ac:dyDescent="0.3"/>
    <row r="17456" x14ac:dyDescent="0.3"/>
    <row r="17457" x14ac:dyDescent="0.3"/>
    <row r="17458" x14ac:dyDescent="0.3"/>
    <row r="17459" x14ac:dyDescent="0.3"/>
    <row r="17460" x14ac:dyDescent="0.3"/>
    <row r="17461" x14ac:dyDescent="0.3"/>
    <row r="17462" x14ac:dyDescent="0.3"/>
    <row r="17463" x14ac:dyDescent="0.3"/>
    <row r="17464" x14ac:dyDescent="0.3"/>
    <row r="17465" x14ac:dyDescent="0.3"/>
    <row r="17466" x14ac:dyDescent="0.3"/>
    <row r="17467" x14ac:dyDescent="0.3"/>
    <row r="17468" x14ac:dyDescent="0.3"/>
    <row r="17469" x14ac:dyDescent="0.3"/>
    <row r="17470" x14ac:dyDescent="0.3"/>
    <row r="17471" x14ac:dyDescent="0.3"/>
    <row r="17472" x14ac:dyDescent="0.3"/>
    <row r="17473" x14ac:dyDescent="0.3"/>
    <row r="17474" x14ac:dyDescent="0.3"/>
    <row r="17475" x14ac:dyDescent="0.3"/>
    <row r="17476" x14ac:dyDescent="0.3"/>
    <row r="17477" x14ac:dyDescent="0.3"/>
    <row r="17478" x14ac:dyDescent="0.3"/>
    <row r="17479" x14ac:dyDescent="0.3"/>
    <row r="17480" x14ac:dyDescent="0.3"/>
    <row r="17481" x14ac:dyDescent="0.3"/>
    <row r="17482" x14ac:dyDescent="0.3"/>
    <row r="17483" x14ac:dyDescent="0.3"/>
    <row r="17484" x14ac:dyDescent="0.3"/>
    <row r="17485" x14ac:dyDescent="0.3"/>
    <row r="17486" x14ac:dyDescent="0.3"/>
    <row r="17487" x14ac:dyDescent="0.3"/>
    <row r="17488" x14ac:dyDescent="0.3"/>
    <row r="17489" x14ac:dyDescent="0.3"/>
    <row r="17490" x14ac:dyDescent="0.3"/>
    <row r="17491" x14ac:dyDescent="0.3"/>
    <row r="17492" x14ac:dyDescent="0.3"/>
    <row r="17493" x14ac:dyDescent="0.3"/>
    <row r="17494" x14ac:dyDescent="0.3"/>
    <row r="17495" x14ac:dyDescent="0.3"/>
    <row r="17496" x14ac:dyDescent="0.3"/>
    <row r="17497" x14ac:dyDescent="0.3"/>
    <row r="17498" x14ac:dyDescent="0.3"/>
    <row r="17499" x14ac:dyDescent="0.3"/>
    <row r="17500" x14ac:dyDescent="0.3"/>
    <row r="17501" x14ac:dyDescent="0.3"/>
    <row r="17502" x14ac:dyDescent="0.3"/>
    <row r="17503" x14ac:dyDescent="0.3"/>
    <row r="17504" x14ac:dyDescent="0.3"/>
    <row r="17505" x14ac:dyDescent="0.3"/>
    <row r="17506" x14ac:dyDescent="0.3"/>
    <row r="17507" x14ac:dyDescent="0.3"/>
    <row r="17508" x14ac:dyDescent="0.3"/>
    <row r="17509" x14ac:dyDescent="0.3"/>
    <row r="17510" x14ac:dyDescent="0.3"/>
    <row r="17511" x14ac:dyDescent="0.3"/>
    <row r="17512" x14ac:dyDescent="0.3"/>
    <row r="17513" x14ac:dyDescent="0.3"/>
    <row r="17514" x14ac:dyDescent="0.3"/>
    <row r="17515" x14ac:dyDescent="0.3"/>
    <row r="17516" x14ac:dyDescent="0.3"/>
    <row r="17517" x14ac:dyDescent="0.3"/>
    <row r="17518" x14ac:dyDescent="0.3"/>
    <row r="17519" x14ac:dyDescent="0.3"/>
    <row r="17520" x14ac:dyDescent="0.3"/>
    <row r="17521" x14ac:dyDescent="0.3"/>
    <row r="17522" x14ac:dyDescent="0.3"/>
    <row r="17523" x14ac:dyDescent="0.3"/>
    <row r="17524" x14ac:dyDescent="0.3"/>
    <row r="17525" x14ac:dyDescent="0.3"/>
    <row r="17526" x14ac:dyDescent="0.3"/>
    <row r="17527" x14ac:dyDescent="0.3"/>
    <row r="17528" x14ac:dyDescent="0.3"/>
    <row r="17529" x14ac:dyDescent="0.3"/>
    <row r="17530" x14ac:dyDescent="0.3"/>
    <row r="17531" x14ac:dyDescent="0.3"/>
    <row r="17532" x14ac:dyDescent="0.3"/>
    <row r="17533" x14ac:dyDescent="0.3"/>
    <row r="17534" x14ac:dyDescent="0.3"/>
    <row r="17535" x14ac:dyDescent="0.3"/>
    <row r="17536" x14ac:dyDescent="0.3"/>
    <row r="17537" x14ac:dyDescent="0.3"/>
    <row r="17538" x14ac:dyDescent="0.3"/>
    <row r="17539" x14ac:dyDescent="0.3"/>
    <row r="17540" x14ac:dyDescent="0.3"/>
    <row r="17541" x14ac:dyDescent="0.3"/>
    <row r="17542" x14ac:dyDescent="0.3"/>
    <row r="17543" x14ac:dyDescent="0.3"/>
    <row r="17544" x14ac:dyDescent="0.3"/>
    <row r="17545" x14ac:dyDescent="0.3"/>
    <row r="17546" x14ac:dyDescent="0.3"/>
    <row r="17547" x14ac:dyDescent="0.3"/>
    <row r="17548" x14ac:dyDescent="0.3"/>
    <row r="17549" x14ac:dyDescent="0.3"/>
    <row r="17550" x14ac:dyDescent="0.3"/>
    <row r="17551" x14ac:dyDescent="0.3"/>
    <row r="17552" x14ac:dyDescent="0.3"/>
    <row r="17553" x14ac:dyDescent="0.3"/>
    <row r="17554" x14ac:dyDescent="0.3"/>
    <row r="17555" x14ac:dyDescent="0.3"/>
    <row r="17556" x14ac:dyDescent="0.3"/>
    <row r="17557" x14ac:dyDescent="0.3"/>
    <row r="17558" x14ac:dyDescent="0.3"/>
    <row r="17559" x14ac:dyDescent="0.3"/>
    <row r="17560" x14ac:dyDescent="0.3"/>
    <row r="17561" x14ac:dyDescent="0.3"/>
    <row r="17562" x14ac:dyDescent="0.3"/>
    <row r="17563" x14ac:dyDescent="0.3"/>
    <row r="17564" x14ac:dyDescent="0.3"/>
    <row r="17565" x14ac:dyDescent="0.3"/>
    <row r="17566" x14ac:dyDescent="0.3"/>
    <row r="17567" x14ac:dyDescent="0.3"/>
    <row r="17568" x14ac:dyDescent="0.3"/>
    <row r="17569" x14ac:dyDescent="0.3"/>
    <row r="17570" x14ac:dyDescent="0.3"/>
    <row r="17571" x14ac:dyDescent="0.3"/>
    <row r="17572" x14ac:dyDescent="0.3"/>
    <row r="17573" x14ac:dyDescent="0.3"/>
    <row r="17574" x14ac:dyDescent="0.3"/>
    <row r="17575" x14ac:dyDescent="0.3"/>
    <row r="17576" x14ac:dyDescent="0.3"/>
    <row r="17577" x14ac:dyDescent="0.3"/>
    <row r="17578" x14ac:dyDescent="0.3"/>
    <row r="17579" x14ac:dyDescent="0.3"/>
    <row r="17580" x14ac:dyDescent="0.3"/>
    <row r="17581" x14ac:dyDescent="0.3"/>
    <row r="17582" x14ac:dyDescent="0.3"/>
    <row r="17583" x14ac:dyDescent="0.3"/>
    <row r="17584" x14ac:dyDescent="0.3"/>
    <row r="17585" x14ac:dyDescent="0.3"/>
    <row r="17586" x14ac:dyDescent="0.3"/>
    <row r="17587" x14ac:dyDescent="0.3"/>
    <row r="17588" x14ac:dyDescent="0.3"/>
    <row r="17589" x14ac:dyDescent="0.3"/>
    <row r="17590" x14ac:dyDescent="0.3"/>
    <row r="17591" x14ac:dyDescent="0.3"/>
    <row r="17592" x14ac:dyDescent="0.3"/>
    <row r="17593" x14ac:dyDescent="0.3"/>
    <row r="17594" x14ac:dyDescent="0.3"/>
    <row r="17595" x14ac:dyDescent="0.3"/>
    <row r="17596" x14ac:dyDescent="0.3"/>
    <row r="17597" x14ac:dyDescent="0.3"/>
    <row r="17598" x14ac:dyDescent="0.3"/>
    <row r="17599" x14ac:dyDescent="0.3"/>
    <row r="17600" x14ac:dyDescent="0.3"/>
    <row r="17601" x14ac:dyDescent="0.3"/>
    <row r="17602" x14ac:dyDescent="0.3"/>
    <row r="17603" x14ac:dyDescent="0.3"/>
    <row r="17604" x14ac:dyDescent="0.3"/>
    <row r="17605" x14ac:dyDescent="0.3"/>
    <row r="17606" x14ac:dyDescent="0.3"/>
    <row r="17607" x14ac:dyDescent="0.3"/>
    <row r="17608" x14ac:dyDescent="0.3"/>
    <row r="17609" x14ac:dyDescent="0.3"/>
    <row r="17610" x14ac:dyDescent="0.3"/>
    <row r="17611" x14ac:dyDescent="0.3"/>
    <row r="17612" x14ac:dyDescent="0.3"/>
    <row r="17613" x14ac:dyDescent="0.3"/>
    <row r="17614" x14ac:dyDescent="0.3"/>
    <row r="17615" x14ac:dyDescent="0.3"/>
    <row r="17616" x14ac:dyDescent="0.3"/>
    <row r="17617" x14ac:dyDescent="0.3"/>
    <row r="17618" x14ac:dyDescent="0.3"/>
    <row r="17619" x14ac:dyDescent="0.3"/>
    <row r="17620" x14ac:dyDescent="0.3"/>
    <row r="17621" x14ac:dyDescent="0.3"/>
    <row r="17622" x14ac:dyDescent="0.3"/>
    <row r="17623" x14ac:dyDescent="0.3"/>
    <row r="17624" x14ac:dyDescent="0.3"/>
    <row r="17625" x14ac:dyDescent="0.3"/>
    <row r="17626" x14ac:dyDescent="0.3"/>
    <row r="17627" x14ac:dyDescent="0.3"/>
    <row r="17628" x14ac:dyDescent="0.3"/>
    <row r="17629" x14ac:dyDescent="0.3"/>
    <row r="17630" x14ac:dyDescent="0.3"/>
    <row r="17631" x14ac:dyDescent="0.3"/>
    <row r="17632" x14ac:dyDescent="0.3"/>
    <row r="17633" x14ac:dyDescent="0.3"/>
    <row r="17634" x14ac:dyDescent="0.3"/>
    <row r="17635" x14ac:dyDescent="0.3"/>
    <row r="17636" x14ac:dyDescent="0.3"/>
    <row r="17637" x14ac:dyDescent="0.3"/>
    <row r="17638" x14ac:dyDescent="0.3"/>
    <row r="17639" x14ac:dyDescent="0.3"/>
    <row r="17640" x14ac:dyDescent="0.3"/>
    <row r="17641" x14ac:dyDescent="0.3"/>
    <row r="17642" x14ac:dyDescent="0.3"/>
    <row r="17643" x14ac:dyDescent="0.3"/>
    <row r="17644" x14ac:dyDescent="0.3"/>
    <row r="17645" x14ac:dyDescent="0.3"/>
    <row r="17646" x14ac:dyDescent="0.3"/>
    <row r="17647" x14ac:dyDescent="0.3"/>
    <row r="17648" x14ac:dyDescent="0.3"/>
    <row r="17649" x14ac:dyDescent="0.3"/>
    <row r="17650" x14ac:dyDescent="0.3"/>
    <row r="17651" x14ac:dyDescent="0.3"/>
    <row r="17652" x14ac:dyDescent="0.3"/>
    <row r="17653" x14ac:dyDescent="0.3"/>
    <row r="17654" x14ac:dyDescent="0.3"/>
    <row r="17655" x14ac:dyDescent="0.3"/>
    <row r="17656" x14ac:dyDescent="0.3"/>
    <row r="17657" x14ac:dyDescent="0.3"/>
    <row r="17658" x14ac:dyDescent="0.3"/>
    <row r="17659" x14ac:dyDescent="0.3"/>
    <row r="17660" x14ac:dyDescent="0.3"/>
    <row r="17661" x14ac:dyDescent="0.3"/>
    <row r="17662" x14ac:dyDescent="0.3"/>
    <row r="17663" x14ac:dyDescent="0.3"/>
    <row r="17664" x14ac:dyDescent="0.3"/>
    <row r="17665" x14ac:dyDescent="0.3"/>
    <row r="17666" x14ac:dyDescent="0.3"/>
    <row r="17667" x14ac:dyDescent="0.3"/>
    <row r="17668" x14ac:dyDescent="0.3"/>
    <row r="17669" x14ac:dyDescent="0.3"/>
    <row r="17670" x14ac:dyDescent="0.3"/>
    <row r="17671" x14ac:dyDescent="0.3"/>
    <row r="17672" x14ac:dyDescent="0.3"/>
    <row r="17673" x14ac:dyDescent="0.3"/>
    <row r="17674" x14ac:dyDescent="0.3"/>
    <row r="17675" x14ac:dyDescent="0.3"/>
    <row r="17676" x14ac:dyDescent="0.3"/>
    <row r="17677" x14ac:dyDescent="0.3"/>
    <row r="17678" x14ac:dyDescent="0.3"/>
    <row r="17679" x14ac:dyDescent="0.3"/>
    <row r="17680" x14ac:dyDescent="0.3"/>
    <row r="17681" x14ac:dyDescent="0.3"/>
    <row r="17682" x14ac:dyDescent="0.3"/>
    <row r="17683" x14ac:dyDescent="0.3"/>
    <row r="17684" x14ac:dyDescent="0.3"/>
    <row r="17685" x14ac:dyDescent="0.3"/>
    <row r="17686" x14ac:dyDescent="0.3"/>
    <row r="17687" x14ac:dyDescent="0.3"/>
    <row r="17688" x14ac:dyDescent="0.3"/>
    <row r="17689" x14ac:dyDescent="0.3"/>
    <row r="17690" x14ac:dyDescent="0.3"/>
    <row r="17691" x14ac:dyDescent="0.3"/>
    <row r="17692" x14ac:dyDescent="0.3"/>
    <row r="17693" x14ac:dyDescent="0.3"/>
    <row r="17694" x14ac:dyDescent="0.3"/>
    <row r="17695" x14ac:dyDescent="0.3"/>
    <row r="17696" x14ac:dyDescent="0.3"/>
    <row r="17697" x14ac:dyDescent="0.3"/>
    <row r="17698" x14ac:dyDescent="0.3"/>
    <row r="17699" x14ac:dyDescent="0.3"/>
    <row r="17700" x14ac:dyDescent="0.3"/>
    <row r="17701" x14ac:dyDescent="0.3"/>
    <row r="17702" x14ac:dyDescent="0.3"/>
    <row r="17703" x14ac:dyDescent="0.3"/>
    <row r="17704" x14ac:dyDescent="0.3"/>
    <row r="17705" x14ac:dyDescent="0.3"/>
    <row r="17706" x14ac:dyDescent="0.3"/>
    <row r="17707" x14ac:dyDescent="0.3"/>
    <row r="17708" x14ac:dyDescent="0.3"/>
    <row r="17709" x14ac:dyDescent="0.3"/>
    <row r="17710" x14ac:dyDescent="0.3"/>
    <row r="17711" x14ac:dyDescent="0.3"/>
    <row r="17712" x14ac:dyDescent="0.3"/>
    <row r="17713" x14ac:dyDescent="0.3"/>
    <row r="17714" x14ac:dyDescent="0.3"/>
    <row r="17715" x14ac:dyDescent="0.3"/>
    <row r="17716" x14ac:dyDescent="0.3"/>
    <row r="17717" x14ac:dyDescent="0.3"/>
    <row r="17718" x14ac:dyDescent="0.3"/>
    <row r="17719" x14ac:dyDescent="0.3"/>
    <row r="17720" x14ac:dyDescent="0.3"/>
    <row r="17721" x14ac:dyDescent="0.3"/>
    <row r="17722" x14ac:dyDescent="0.3"/>
    <row r="17723" x14ac:dyDescent="0.3"/>
    <row r="17724" x14ac:dyDescent="0.3"/>
    <row r="17725" x14ac:dyDescent="0.3"/>
    <row r="17726" x14ac:dyDescent="0.3"/>
    <row r="17727" x14ac:dyDescent="0.3"/>
    <row r="17728" x14ac:dyDescent="0.3"/>
    <row r="17729" x14ac:dyDescent="0.3"/>
    <row r="17730" x14ac:dyDescent="0.3"/>
    <row r="17731" x14ac:dyDescent="0.3"/>
    <row r="17732" x14ac:dyDescent="0.3"/>
    <row r="17733" x14ac:dyDescent="0.3"/>
    <row r="17734" x14ac:dyDescent="0.3"/>
    <row r="17735" x14ac:dyDescent="0.3"/>
    <row r="17736" x14ac:dyDescent="0.3"/>
    <row r="17737" x14ac:dyDescent="0.3"/>
    <row r="17738" x14ac:dyDescent="0.3"/>
    <row r="17739" x14ac:dyDescent="0.3"/>
    <row r="17740" x14ac:dyDescent="0.3"/>
    <row r="17741" x14ac:dyDescent="0.3"/>
    <row r="17742" x14ac:dyDescent="0.3"/>
    <row r="17743" x14ac:dyDescent="0.3"/>
    <row r="17744" x14ac:dyDescent="0.3"/>
    <row r="17745" x14ac:dyDescent="0.3"/>
    <row r="17746" x14ac:dyDescent="0.3"/>
    <row r="17747" x14ac:dyDescent="0.3"/>
    <row r="17748" x14ac:dyDescent="0.3"/>
    <row r="17749" x14ac:dyDescent="0.3"/>
    <row r="17750" x14ac:dyDescent="0.3"/>
    <row r="17751" x14ac:dyDescent="0.3"/>
    <row r="17752" x14ac:dyDescent="0.3"/>
    <row r="17753" x14ac:dyDescent="0.3"/>
    <row r="17754" x14ac:dyDescent="0.3"/>
    <row r="17755" x14ac:dyDescent="0.3"/>
    <row r="17756" x14ac:dyDescent="0.3"/>
    <row r="17757" x14ac:dyDescent="0.3"/>
    <row r="17758" x14ac:dyDescent="0.3"/>
    <row r="17759" x14ac:dyDescent="0.3"/>
    <row r="17760" x14ac:dyDescent="0.3"/>
    <row r="17761" x14ac:dyDescent="0.3"/>
    <row r="17762" x14ac:dyDescent="0.3"/>
    <row r="17763" x14ac:dyDescent="0.3"/>
    <row r="17764" x14ac:dyDescent="0.3"/>
    <row r="17765" x14ac:dyDescent="0.3"/>
    <row r="17766" x14ac:dyDescent="0.3"/>
    <row r="17767" x14ac:dyDescent="0.3"/>
    <row r="17768" x14ac:dyDescent="0.3"/>
    <row r="17769" x14ac:dyDescent="0.3"/>
    <row r="17770" x14ac:dyDescent="0.3"/>
    <row r="17771" x14ac:dyDescent="0.3"/>
    <row r="17772" x14ac:dyDescent="0.3"/>
    <row r="17773" x14ac:dyDescent="0.3"/>
    <row r="17774" x14ac:dyDescent="0.3"/>
    <row r="17775" x14ac:dyDescent="0.3"/>
    <row r="17776" x14ac:dyDescent="0.3"/>
    <row r="17777" x14ac:dyDescent="0.3"/>
    <row r="17778" x14ac:dyDescent="0.3"/>
    <row r="17779" x14ac:dyDescent="0.3"/>
    <row r="17780" x14ac:dyDescent="0.3"/>
    <row r="17781" x14ac:dyDescent="0.3"/>
    <row r="17782" x14ac:dyDescent="0.3"/>
    <row r="17783" x14ac:dyDescent="0.3"/>
    <row r="17784" x14ac:dyDescent="0.3"/>
    <row r="17785" x14ac:dyDescent="0.3"/>
    <row r="17786" x14ac:dyDescent="0.3"/>
    <row r="17787" x14ac:dyDescent="0.3"/>
    <row r="17788" x14ac:dyDescent="0.3"/>
    <row r="17789" x14ac:dyDescent="0.3"/>
    <row r="17790" x14ac:dyDescent="0.3"/>
    <row r="17791" x14ac:dyDescent="0.3"/>
    <row r="17792" x14ac:dyDescent="0.3"/>
    <row r="17793" x14ac:dyDescent="0.3"/>
    <row r="17794" x14ac:dyDescent="0.3"/>
    <row r="17795" x14ac:dyDescent="0.3"/>
    <row r="17796" x14ac:dyDescent="0.3"/>
    <row r="17797" x14ac:dyDescent="0.3"/>
    <row r="17798" x14ac:dyDescent="0.3"/>
    <row r="17799" x14ac:dyDescent="0.3"/>
    <row r="17800" x14ac:dyDescent="0.3"/>
    <row r="17801" x14ac:dyDescent="0.3"/>
    <row r="17802" x14ac:dyDescent="0.3"/>
    <row r="17803" x14ac:dyDescent="0.3"/>
    <row r="17804" x14ac:dyDescent="0.3"/>
    <row r="17805" x14ac:dyDescent="0.3"/>
    <row r="17806" x14ac:dyDescent="0.3"/>
    <row r="17807" x14ac:dyDescent="0.3"/>
    <row r="17808" x14ac:dyDescent="0.3"/>
    <row r="17809" x14ac:dyDescent="0.3"/>
    <row r="17810" x14ac:dyDescent="0.3"/>
    <row r="17811" x14ac:dyDescent="0.3"/>
    <row r="17812" x14ac:dyDescent="0.3"/>
    <row r="17813" x14ac:dyDescent="0.3"/>
    <row r="17814" x14ac:dyDescent="0.3"/>
    <row r="17815" x14ac:dyDescent="0.3"/>
    <row r="17816" x14ac:dyDescent="0.3"/>
    <row r="17817" x14ac:dyDescent="0.3"/>
    <row r="17818" x14ac:dyDescent="0.3"/>
    <row r="17819" x14ac:dyDescent="0.3"/>
    <row r="17820" x14ac:dyDescent="0.3"/>
    <row r="17821" x14ac:dyDescent="0.3"/>
    <row r="17822" x14ac:dyDescent="0.3"/>
    <row r="17823" x14ac:dyDescent="0.3"/>
    <row r="17824" x14ac:dyDescent="0.3"/>
    <row r="17825" x14ac:dyDescent="0.3"/>
    <row r="17826" x14ac:dyDescent="0.3"/>
    <row r="17827" x14ac:dyDescent="0.3"/>
    <row r="17828" x14ac:dyDescent="0.3"/>
    <row r="17829" x14ac:dyDescent="0.3"/>
    <row r="17830" x14ac:dyDescent="0.3"/>
    <row r="17831" x14ac:dyDescent="0.3"/>
    <row r="17832" x14ac:dyDescent="0.3"/>
    <row r="17833" x14ac:dyDescent="0.3"/>
    <row r="17834" x14ac:dyDescent="0.3"/>
    <row r="17835" x14ac:dyDescent="0.3"/>
    <row r="17836" x14ac:dyDescent="0.3"/>
    <row r="17837" x14ac:dyDescent="0.3"/>
    <row r="17838" x14ac:dyDescent="0.3"/>
    <row r="17839" x14ac:dyDescent="0.3"/>
    <row r="17840" x14ac:dyDescent="0.3"/>
    <row r="17841" x14ac:dyDescent="0.3"/>
    <row r="17842" x14ac:dyDescent="0.3"/>
    <row r="17843" x14ac:dyDescent="0.3"/>
    <row r="17844" x14ac:dyDescent="0.3"/>
    <row r="17845" x14ac:dyDescent="0.3"/>
    <row r="17846" x14ac:dyDescent="0.3"/>
    <row r="17847" x14ac:dyDescent="0.3"/>
    <row r="17848" x14ac:dyDescent="0.3"/>
    <row r="17849" x14ac:dyDescent="0.3"/>
    <row r="17850" x14ac:dyDescent="0.3"/>
    <row r="17851" x14ac:dyDescent="0.3"/>
    <row r="17852" x14ac:dyDescent="0.3"/>
    <row r="17853" x14ac:dyDescent="0.3"/>
    <row r="17854" x14ac:dyDescent="0.3"/>
    <row r="17855" x14ac:dyDescent="0.3"/>
    <row r="17856" x14ac:dyDescent="0.3"/>
    <row r="17857" x14ac:dyDescent="0.3"/>
    <row r="17858" x14ac:dyDescent="0.3"/>
    <row r="17859" x14ac:dyDescent="0.3"/>
    <row r="17860" x14ac:dyDescent="0.3"/>
    <row r="17861" x14ac:dyDescent="0.3"/>
    <row r="17862" x14ac:dyDescent="0.3"/>
    <row r="17863" x14ac:dyDescent="0.3"/>
    <row r="17864" x14ac:dyDescent="0.3"/>
    <row r="17865" x14ac:dyDescent="0.3"/>
    <row r="17866" x14ac:dyDescent="0.3"/>
    <row r="17867" x14ac:dyDescent="0.3"/>
    <row r="17868" x14ac:dyDescent="0.3"/>
    <row r="17869" x14ac:dyDescent="0.3"/>
    <row r="17870" x14ac:dyDescent="0.3"/>
    <row r="17871" x14ac:dyDescent="0.3"/>
    <row r="17872" x14ac:dyDescent="0.3"/>
    <row r="17873" x14ac:dyDescent="0.3"/>
    <row r="17874" x14ac:dyDescent="0.3"/>
    <row r="17875" x14ac:dyDescent="0.3"/>
    <row r="17876" x14ac:dyDescent="0.3"/>
    <row r="17877" x14ac:dyDescent="0.3"/>
    <row r="17878" x14ac:dyDescent="0.3"/>
    <row r="17879" x14ac:dyDescent="0.3"/>
    <row r="17880" x14ac:dyDescent="0.3"/>
    <row r="17881" x14ac:dyDescent="0.3"/>
    <row r="17882" x14ac:dyDescent="0.3"/>
    <row r="17883" x14ac:dyDescent="0.3"/>
    <row r="17884" x14ac:dyDescent="0.3"/>
    <row r="17885" x14ac:dyDescent="0.3"/>
    <row r="17886" x14ac:dyDescent="0.3"/>
    <row r="17887" x14ac:dyDescent="0.3"/>
    <row r="17888" x14ac:dyDescent="0.3"/>
    <row r="17889" x14ac:dyDescent="0.3"/>
    <row r="17890" x14ac:dyDescent="0.3"/>
    <row r="17891" x14ac:dyDescent="0.3"/>
    <row r="17892" x14ac:dyDescent="0.3"/>
    <row r="17893" x14ac:dyDescent="0.3"/>
    <row r="17894" x14ac:dyDescent="0.3"/>
    <row r="17895" x14ac:dyDescent="0.3"/>
    <row r="17896" x14ac:dyDescent="0.3"/>
    <row r="17897" x14ac:dyDescent="0.3"/>
    <row r="17898" x14ac:dyDescent="0.3"/>
    <row r="17899" x14ac:dyDescent="0.3"/>
    <row r="17900" x14ac:dyDescent="0.3"/>
    <row r="17901" x14ac:dyDescent="0.3"/>
    <row r="17902" x14ac:dyDescent="0.3"/>
    <row r="17903" x14ac:dyDescent="0.3"/>
    <row r="17904" x14ac:dyDescent="0.3"/>
    <row r="17905" x14ac:dyDescent="0.3"/>
    <row r="17906" x14ac:dyDescent="0.3"/>
    <row r="17907" x14ac:dyDescent="0.3"/>
    <row r="17908" x14ac:dyDescent="0.3"/>
    <row r="17909" x14ac:dyDescent="0.3"/>
    <row r="17910" x14ac:dyDescent="0.3"/>
    <row r="17911" x14ac:dyDescent="0.3"/>
    <row r="17912" x14ac:dyDescent="0.3"/>
    <row r="17913" x14ac:dyDescent="0.3"/>
    <row r="17914" x14ac:dyDescent="0.3"/>
    <row r="17915" x14ac:dyDescent="0.3"/>
    <row r="17916" x14ac:dyDescent="0.3"/>
    <row r="17917" x14ac:dyDescent="0.3"/>
    <row r="17918" x14ac:dyDescent="0.3"/>
    <row r="17919" x14ac:dyDescent="0.3"/>
    <row r="17920" x14ac:dyDescent="0.3"/>
    <row r="17921" x14ac:dyDescent="0.3"/>
    <row r="17922" x14ac:dyDescent="0.3"/>
    <row r="17923" x14ac:dyDescent="0.3"/>
    <row r="17924" x14ac:dyDescent="0.3"/>
    <row r="17925" x14ac:dyDescent="0.3"/>
    <row r="17926" x14ac:dyDescent="0.3"/>
    <row r="17927" x14ac:dyDescent="0.3"/>
    <row r="17928" x14ac:dyDescent="0.3"/>
    <row r="17929" x14ac:dyDescent="0.3"/>
    <row r="17930" x14ac:dyDescent="0.3"/>
    <row r="17931" x14ac:dyDescent="0.3"/>
    <row r="17932" x14ac:dyDescent="0.3"/>
    <row r="17933" x14ac:dyDescent="0.3"/>
    <row r="17934" x14ac:dyDescent="0.3"/>
    <row r="17935" x14ac:dyDescent="0.3"/>
    <row r="17936" x14ac:dyDescent="0.3"/>
    <row r="17937" x14ac:dyDescent="0.3"/>
    <row r="17938" x14ac:dyDescent="0.3"/>
    <row r="17939" x14ac:dyDescent="0.3"/>
    <row r="17940" x14ac:dyDescent="0.3"/>
    <row r="17941" x14ac:dyDescent="0.3"/>
    <row r="17942" x14ac:dyDescent="0.3"/>
    <row r="17943" x14ac:dyDescent="0.3"/>
    <row r="17944" x14ac:dyDescent="0.3"/>
    <row r="17945" x14ac:dyDescent="0.3"/>
    <row r="17946" x14ac:dyDescent="0.3"/>
    <row r="17947" x14ac:dyDescent="0.3"/>
    <row r="17948" x14ac:dyDescent="0.3"/>
    <row r="17949" x14ac:dyDescent="0.3"/>
    <row r="17950" x14ac:dyDescent="0.3"/>
    <row r="17951" x14ac:dyDescent="0.3"/>
    <row r="17952" x14ac:dyDescent="0.3"/>
    <row r="17953" x14ac:dyDescent="0.3"/>
    <row r="17954" x14ac:dyDescent="0.3"/>
    <row r="17955" x14ac:dyDescent="0.3"/>
    <row r="17956" x14ac:dyDescent="0.3"/>
    <row r="17957" x14ac:dyDescent="0.3"/>
    <row r="17958" x14ac:dyDescent="0.3"/>
    <row r="17959" x14ac:dyDescent="0.3"/>
    <row r="17960" x14ac:dyDescent="0.3"/>
    <row r="17961" x14ac:dyDescent="0.3"/>
    <row r="17962" x14ac:dyDescent="0.3"/>
    <row r="17963" x14ac:dyDescent="0.3"/>
    <row r="17964" x14ac:dyDescent="0.3"/>
    <row r="17965" x14ac:dyDescent="0.3"/>
    <row r="17966" x14ac:dyDescent="0.3"/>
    <row r="17967" x14ac:dyDescent="0.3"/>
    <row r="17968" x14ac:dyDescent="0.3"/>
    <row r="17969" x14ac:dyDescent="0.3"/>
    <row r="17970" x14ac:dyDescent="0.3"/>
    <row r="17971" x14ac:dyDescent="0.3"/>
    <row r="17972" x14ac:dyDescent="0.3"/>
    <row r="17973" x14ac:dyDescent="0.3"/>
    <row r="17974" x14ac:dyDescent="0.3"/>
    <row r="17975" x14ac:dyDescent="0.3"/>
    <row r="17976" x14ac:dyDescent="0.3"/>
    <row r="17977" x14ac:dyDescent="0.3"/>
    <row r="17978" x14ac:dyDescent="0.3"/>
    <row r="17979" x14ac:dyDescent="0.3"/>
    <row r="17980" x14ac:dyDescent="0.3"/>
    <row r="17981" x14ac:dyDescent="0.3"/>
    <row r="17982" x14ac:dyDescent="0.3"/>
    <row r="17983" x14ac:dyDescent="0.3"/>
    <row r="17984" x14ac:dyDescent="0.3"/>
    <row r="17985" x14ac:dyDescent="0.3"/>
    <row r="17986" x14ac:dyDescent="0.3"/>
    <row r="17987" x14ac:dyDescent="0.3"/>
    <row r="17988" x14ac:dyDescent="0.3"/>
    <row r="17989" x14ac:dyDescent="0.3"/>
    <row r="17990" x14ac:dyDescent="0.3"/>
    <row r="17991" x14ac:dyDescent="0.3"/>
    <row r="17992" x14ac:dyDescent="0.3"/>
    <row r="17993" x14ac:dyDescent="0.3"/>
    <row r="17994" x14ac:dyDescent="0.3"/>
    <row r="17995" x14ac:dyDescent="0.3"/>
    <row r="17996" x14ac:dyDescent="0.3"/>
    <row r="17997" x14ac:dyDescent="0.3"/>
    <row r="17998" x14ac:dyDescent="0.3"/>
    <row r="17999" x14ac:dyDescent="0.3"/>
    <row r="18000" x14ac:dyDescent="0.3"/>
    <row r="18001" x14ac:dyDescent="0.3"/>
    <row r="18002" x14ac:dyDescent="0.3"/>
    <row r="18003" x14ac:dyDescent="0.3"/>
    <row r="18004" x14ac:dyDescent="0.3"/>
    <row r="18005" x14ac:dyDescent="0.3"/>
    <row r="18006" x14ac:dyDescent="0.3"/>
    <row r="18007" x14ac:dyDescent="0.3"/>
    <row r="18008" x14ac:dyDescent="0.3"/>
    <row r="18009" x14ac:dyDescent="0.3"/>
    <row r="18010" x14ac:dyDescent="0.3"/>
    <row r="18011" x14ac:dyDescent="0.3"/>
    <row r="18012" x14ac:dyDescent="0.3"/>
    <row r="18013" x14ac:dyDescent="0.3"/>
    <row r="18014" x14ac:dyDescent="0.3"/>
    <row r="18015" x14ac:dyDescent="0.3"/>
    <row r="18016" x14ac:dyDescent="0.3"/>
    <row r="18017" x14ac:dyDescent="0.3"/>
    <row r="18018" x14ac:dyDescent="0.3"/>
    <row r="18019" x14ac:dyDescent="0.3"/>
    <row r="18020" x14ac:dyDescent="0.3"/>
    <row r="18021" x14ac:dyDescent="0.3"/>
    <row r="18022" x14ac:dyDescent="0.3"/>
    <row r="18023" x14ac:dyDescent="0.3"/>
    <row r="18024" x14ac:dyDescent="0.3"/>
    <row r="18025" x14ac:dyDescent="0.3"/>
    <row r="18026" x14ac:dyDescent="0.3"/>
    <row r="18027" x14ac:dyDescent="0.3"/>
    <row r="18028" x14ac:dyDescent="0.3"/>
    <row r="18029" x14ac:dyDescent="0.3"/>
    <row r="18030" x14ac:dyDescent="0.3"/>
    <row r="18031" x14ac:dyDescent="0.3"/>
    <row r="18032" x14ac:dyDescent="0.3"/>
    <row r="18033" x14ac:dyDescent="0.3"/>
    <row r="18034" x14ac:dyDescent="0.3"/>
    <row r="18035" x14ac:dyDescent="0.3"/>
    <row r="18036" x14ac:dyDescent="0.3"/>
    <row r="18037" x14ac:dyDescent="0.3"/>
    <row r="18038" x14ac:dyDescent="0.3"/>
    <row r="18039" x14ac:dyDescent="0.3"/>
    <row r="18040" x14ac:dyDescent="0.3"/>
    <row r="18041" x14ac:dyDescent="0.3"/>
    <row r="18042" x14ac:dyDescent="0.3"/>
    <row r="18043" x14ac:dyDescent="0.3"/>
    <row r="18044" x14ac:dyDescent="0.3"/>
    <row r="18045" x14ac:dyDescent="0.3"/>
    <row r="18046" x14ac:dyDescent="0.3"/>
    <row r="18047" x14ac:dyDescent="0.3"/>
    <row r="18048" x14ac:dyDescent="0.3"/>
    <row r="18049" x14ac:dyDescent="0.3"/>
    <row r="18050" x14ac:dyDescent="0.3"/>
    <row r="18051" x14ac:dyDescent="0.3"/>
    <row r="18052" x14ac:dyDescent="0.3"/>
    <row r="18053" x14ac:dyDescent="0.3"/>
    <row r="18054" x14ac:dyDescent="0.3"/>
    <row r="18055" x14ac:dyDescent="0.3"/>
    <row r="18056" x14ac:dyDescent="0.3"/>
    <row r="18057" x14ac:dyDescent="0.3"/>
    <row r="18058" x14ac:dyDescent="0.3"/>
    <row r="18059" x14ac:dyDescent="0.3"/>
    <row r="18060" x14ac:dyDescent="0.3"/>
    <row r="18061" x14ac:dyDescent="0.3"/>
    <row r="18062" x14ac:dyDescent="0.3"/>
    <row r="18063" x14ac:dyDescent="0.3"/>
    <row r="18064" x14ac:dyDescent="0.3"/>
    <row r="18065" x14ac:dyDescent="0.3"/>
    <row r="18066" x14ac:dyDescent="0.3"/>
    <row r="18067" x14ac:dyDescent="0.3"/>
    <row r="18068" x14ac:dyDescent="0.3"/>
    <row r="18069" x14ac:dyDescent="0.3"/>
    <row r="18070" x14ac:dyDescent="0.3"/>
    <row r="18071" x14ac:dyDescent="0.3"/>
    <row r="18072" x14ac:dyDescent="0.3"/>
    <row r="18073" x14ac:dyDescent="0.3"/>
    <row r="18074" x14ac:dyDescent="0.3"/>
    <row r="18075" x14ac:dyDescent="0.3"/>
    <row r="18076" x14ac:dyDescent="0.3"/>
    <row r="18077" x14ac:dyDescent="0.3"/>
    <row r="18078" x14ac:dyDescent="0.3"/>
    <row r="18079" x14ac:dyDescent="0.3"/>
    <row r="18080" x14ac:dyDescent="0.3"/>
    <row r="18081" x14ac:dyDescent="0.3"/>
    <row r="18082" x14ac:dyDescent="0.3"/>
    <row r="18083" x14ac:dyDescent="0.3"/>
    <row r="18084" x14ac:dyDescent="0.3"/>
    <row r="18085" x14ac:dyDescent="0.3"/>
    <row r="18086" x14ac:dyDescent="0.3"/>
    <row r="18087" x14ac:dyDescent="0.3"/>
    <row r="18088" x14ac:dyDescent="0.3"/>
    <row r="18089" x14ac:dyDescent="0.3"/>
    <row r="18090" x14ac:dyDescent="0.3"/>
    <row r="18091" x14ac:dyDescent="0.3"/>
    <row r="18092" x14ac:dyDescent="0.3"/>
    <row r="18093" x14ac:dyDescent="0.3"/>
    <row r="18094" x14ac:dyDescent="0.3"/>
    <row r="18095" x14ac:dyDescent="0.3"/>
    <row r="18096" x14ac:dyDescent="0.3"/>
    <row r="18097" x14ac:dyDescent="0.3"/>
    <row r="18098" x14ac:dyDescent="0.3"/>
    <row r="18099" x14ac:dyDescent="0.3"/>
    <row r="18100" x14ac:dyDescent="0.3"/>
    <row r="18101" x14ac:dyDescent="0.3"/>
    <row r="18102" x14ac:dyDescent="0.3"/>
    <row r="18103" x14ac:dyDescent="0.3"/>
    <row r="18104" x14ac:dyDescent="0.3"/>
    <row r="18105" x14ac:dyDescent="0.3"/>
    <row r="18106" x14ac:dyDescent="0.3"/>
    <row r="18107" x14ac:dyDescent="0.3"/>
    <row r="18108" x14ac:dyDescent="0.3"/>
    <row r="18109" x14ac:dyDescent="0.3"/>
    <row r="18110" x14ac:dyDescent="0.3"/>
    <row r="18111" x14ac:dyDescent="0.3"/>
    <row r="18112" x14ac:dyDescent="0.3"/>
    <row r="18113" x14ac:dyDescent="0.3"/>
    <row r="18114" x14ac:dyDescent="0.3"/>
    <row r="18115" x14ac:dyDescent="0.3"/>
    <row r="18116" x14ac:dyDescent="0.3"/>
    <row r="18117" x14ac:dyDescent="0.3"/>
    <row r="18118" x14ac:dyDescent="0.3"/>
    <row r="18119" x14ac:dyDescent="0.3"/>
    <row r="18120" x14ac:dyDescent="0.3"/>
    <row r="18121" x14ac:dyDescent="0.3"/>
    <row r="18122" x14ac:dyDescent="0.3"/>
    <row r="18123" x14ac:dyDescent="0.3"/>
    <row r="18124" x14ac:dyDescent="0.3"/>
    <row r="18125" x14ac:dyDescent="0.3"/>
    <row r="18126" x14ac:dyDescent="0.3"/>
    <row r="18127" x14ac:dyDescent="0.3"/>
    <row r="18128" x14ac:dyDescent="0.3"/>
    <row r="18129" x14ac:dyDescent="0.3"/>
    <row r="18130" x14ac:dyDescent="0.3"/>
    <row r="18131" x14ac:dyDescent="0.3"/>
    <row r="18132" x14ac:dyDescent="0.3"/>
    <row r="18133" x14ac:dyDescent="0.3"/>
    <row r="18134" x14ac:dyDescent="0.3"/>
    <row r="18135" x14ac:dyDescent="0.3"/>
    <row r="18136" x14ac:dyDescent="0.3"/>
    <row r="18137" x14ac:dyDescent="0.3"/>
    <row r="18138" x14ac:dyDescent="0.3"/>
    <row r="18139" x14ac:dyDescent="0.3"/>
    <row r="18140" x14ac:dyDescent="0.3"/>
    <row r="18141" x14ac:dyDescent="0.3"/>
    <row r="18142" x14ac:dyDescent="0.3"/>
    <row r="18143" x14ac:dyDescent="0.3"/>
    <row r="18144" x14ac:dyDescent="0.3"/>
    <row r="18145" x14ac:dyDescent="0.3"/>
    <row r="18146" x14ac:dyDescent="0.3"/>
    <row r="18147" x14ac:dyDescent="0.3"/>
    <row r="18148" x14ac:dyDescent="0.3"/>
    <row r="18149" x14ac:dyDescent="0.3"/>
    <row r="18150" x14ac:dyDescent="0.3"/>
    <row r="18151" x14ac:dyDescent="0.3"/>
    <row r="18152" x14ac:dyDescent="0.3"/>
    <row r="18153" x14ac:dyDescent="0.3"/>
    <row r="18154" x14ac:dyDescent="0.3"/>
    <row r="18155" x14ac:dyDescent="0.3"/>
    <row r="18156" x14ac:dyDescent="0.3"/>
    <row r="18157" x14ac:dyDescent="0.3"/>
    <row r="18158" x14ac:dyDescent="0.3"/>
    <row r="18159" x14ac:dyDescent="0.3"/>
    <row r="18160" x14ac:dyDescent="0.3"/>
    <row r="18161" x14ac:dyDescent="0.3"/>
    <row r="18162" x14ac:dyDescent="0.3"/>
    <row r="18163" x14ac:dyDescent="0.3"/>
    <row r="18164" x14ac:dyDescent="0.3"/>
    <row r="18165" x14ac:dyDescent="0.3"/>
    <row r="18166" x14ac:dyDescent="0.3"/>
    <row r="18167" x14ac:dyDescent="0.3"/>
    <row r="18168" x14ac:dyDescent="0.3"/>
    <row r="18169" x14ac:dyDescent="0.3"/>
    <row r="18170" x14ac:dyDescent="0.3"/>
    <row r="18171" x14ac:dyDescent="0.3"/>
    <row r="18172" x14ac:dyDescent="0.3"/>
    <row r="18173" x14ac:dyDescent="0.3"/>
    <row r="18174" x14ac:dyDescent="0.3"/>
    <row r="18175" x14ac:dyDescent="0.3"/>
    <row r="18176" x14ac:dyDescent="0.3"/>
    <row r="18177" x14ac:dyDescent="0.3"/>
    <row r="18178" x14ac:dyDescent="0.3"/>
    <row r="18179" x14ac:dyDescent="0.3"/>
    <row r="18180" x14ac:dyDescent="0.3"/>
    <row r="18181" x14ac:dyDescent="0.3"/>
    <row r="18182" x14ac:dyDescent="0.3"/>
    <row r="18183" x14ac:dyDescent="0.3"/>
    <row r="18184" x14ac:dyDescent="0.3"/>
    <row r="18185" x14ac:dyDescent="0.3"/>
    <row r="18186" x14ac:dyDescent="0.3"/>
    <row r="18187" x14ac:dyDescent="0.3"/>
    <row r="18188" x14ac:dyDescent="0.3"/>
    <row r="18189" x14ac:dyDescent="0.3"/>
    <row r="18190" x14ac:dyDescent="0.3"/>
    <row r="18191" x14ac:dyDescent="0.3"/>
    <row r="18192" x14ac:dyDescent="0.3"/>
    <row r="18193" x14ac:dyDescent="0.3"/>
    <row r="18194" x14ac:dyDescent="0.3"/>
    <row r="18195" x14ac:dyDescent="0.3"/>
    <row r="18196" x14ac:dyDescent="0.3"/>
    <row r="18197" x14ac:dyDescent="0.3"/>
    <row r="18198" x14ac:dyDescent="0.3"/>
    <row r="18199" x14ac:dyDescent="0.3"/>
    <row r="18200" x14ac:dyDescent="0.3"/>
    <row r="18201" x14ac:dyDescent="0.3"/>
    <row r="18202" x14ac:dyDescent="0.3"/>
    <row r="18203" x14ac:dyDescent="0.3"/>
    <row r="18204" x14ac:dyDescent="0.3"/>
    <row r="18205" x14ac:dyDescent="0.3"/>
    <row r="18206" x14ac:dyDescent="0.3"/>
    <row r="18207" x14ac:dyDescent="0.3"/>
    <row r="18208" x14ac:dyDescent="0.3"/>
    <row r="18209" x14ac:dyDescent="0.3"/>
    <row r="18210" x14ac:dyDescent="0.3"/>
    <row r="18211" x14ac:dyDescent="0.3"/>
    <row r="18212" x14ac:dyDescent="0.3"/>
    <row r="18213" x14ac:dyDescent="0.3"/>
    <row r="18214" x14ac:dyDescent="0.3"/>
    <row r="18215" x14ac:dyDescent="0.3"/>
    <row r="18216" x14ac:dyDescent="0.3"/>
    <row r="18217" x14ac:dyDescent="0.3"/>
    <row r="18218" x14ac:dyDescent="0.3"/>
    <row r="18219" x14ac:dyDescent="0.3"/>
    <row r="18220" x14ac:dyDescent="0.3"/>
    <row r="18221" x14ac:dyDescent="0.3"/>
    <row r="18222" x14ac:dyDescent="0.3"/>
    <row r="18223" x14ac:dyDescent="0.3"/>
    <row r="18224" x14ac:dyDescent="0.3"/>
    <row r="18225" x14ac:dyDescent="0.3"/>
    <row r="18226" x14ac:dyDescent="0.3"/>
    <row r="18227" x14ac:dyDescent="0.3"/>
    <row r="18228" x14ac:dyDescent="0.3"/>
    <row r="18229" x14ac:dyDescent="0.3"/>
    <row r="18230" x14ac:dyDescent="0.3"/>
    <row r="18231" x14ac:dyDescent="0.3"/>
    <row r="18232" x14ac:dyDescent="0.3"/>
    <row r="18233" x14ac:dyDescent="0.3"/>
    <row r="18234" x14ac:dyDescent="0.3"/>
    <row r="18235" x14ac:dyDescent="0.3"/>
    <row r="18236" x14ac:dyDescent="0.3"/>
    <row r="18237" x14ac:dyDescent="0.3"/>
    <row r="18238" x14ac:dyDescent="0.3"/>
    <row r="18239" x14ac:dyDescent="0.3"/>
    <row r="18240" x14ac:dyDescent="0.3"/>
    <row r="18241" x14ac:dyDescent="0.3"/>
    <row r="18242" x14ac:dyDescent="0.3"/>
    <row r="18243" x14ac:dyDescent="0.3"/>
    <row r="18244" x14ac:dyDescent="0.3"/>
    <row r="18245" x14ac:dyDescent="0.3"/>
    <row r="18246" x14ac:dyDescent="0.3"/>
    <row r="18247" x14ac:dyDescent="0.3"/>
    <row r="18248" x14ac:dyDescent="0.3"/>
    <row r="18249" x14ac:dyDescent="0.3"/>
    <row r="18250" x14ac:dyDescent="0.3"/>
    <row r="18251" x14ac:dyDescent="0.3"/>
    <row r="18252" x14ac:dyDescent="0.3"/>
    <row r="18253" x14ac:dyDescent="0.3"/>
    <row r="18254" x14ac:dyDescent="0.3"/>
    <row r="18255" x14ac:dyDescent="0.3"/>
    <row r="18256" x14ac:dyDescent="0.3"/>
    <row r="18257" x14ac:dyDescent="0.3"/>
    <row r="18258" x14ac:dyDescent="0.3"/>
    <row r="18259" x14ac:dyDescent="0.3"/>
    <row r="18260" x14ac:dyDescent="0.3"/>
    <row r="18261" x14ac:dyDescent="0.3"/>
    <row r="18262" x14ac:dyDescent="0.3"/>
    <row r="18263" x14ac:dyDescent="0.3"/>
    <row r="18264" x14ac:dyDescent="0.3"/>
    <row r="18265" x14ac:dyDescent="0.3"/>
    <row r="18266" x14ac:dyDescent="0.3"/>
    <row r="18267" x14ac:dyDescent="0.3"/>
    <row r="18268" x14ac:dyDescent="0.3"/>
    <row r="18269" x14ac:dyDescent="0.3"/>
    <row r="18270" x14ac:dyDescent="0.3"/>
    <row r="18271" x14ac:dyDescent="0.3"/>
    <row r="18272" x14ac:dyDescent="0.3"/>
    <row r="18273" x14ac:dyDescent="0.3"/>
    <row r="18274" x14ac:dyDescent="0.3"/>
    <row r="18275" x14ac:dyDescent="0.3"/>
    <row r="18276" x14ac:dyDescent="0.3"/>
    <row r="18277" x14ac:dyDescent="0.3"/>
    <row r="18278" x14ac:dyDescent="0.3"/>
    <row r="18279" x14ac:dyDescent="0.3"/>
    <row r="18280" x14ac:dyDescent="0.3"/>
    <row r="18281" x14ac:dyDescent="0.3"/>
    <row r="18282" x14ac:dyDescent="0.3"/>
    <row r="18283" x14ac:dyDescent="0.3"/>
    <row r="18284" x14ac:dyDescent="0.3"/>
    <row r="18285" x14ac:dyDescent="0.3"/>
    <row r="18286" x14ac:dyDescent="0.3"/>
    <row r="18287" x14ac:dyDescent="0.3"/>
    <row r="18288" x14ac:dyDescent="0.3"/>
    <row r="18289" x14ac:dyDescent="0.3"/>
    <row r="18290" x14ac:dyDescent="0.3"/>
    <row r="18291" x14ac:dyDescent="0.3"/>
    <row r="18292" x14ac:dyDescent="0.3"/>
    <row r="18293" x14ac:dyDescent="0.3"/>
    <row r="18294" x14ac:dyDescent="0.3"/>
    <row r="18295" x14ac:dyDescent="0.3"/>
    <row r="18296" x14ac:dyDescent="0.3"/>
    <row r="18297" x14ac:dyDescent="0.3"/>
    <row r="18298" x14ac:dyDescent="0.3"/>
    <row r="18299" x14ac:dyDescent="0.3"/>
    <row r="18300" x14ac:dyDescent="0.3"/>
    <row r="18301" x14ac:dyDescent="0.3"/>
    <row r="18302" x14ac:dyDescent="0.3"/>
    <row r="18303" x14ac:dyDescent="0.3"/>
    <row r="18304" x14ac:dyDescent="0.3"/>
    <row r="18305" x14ac:dyDescent="0.3"/>
    <row r="18306" x14ac:dyDescent="0.3"/>
    <row r="18307" x14ac:dyDescent="0.3"/>
    <row r="18308" x14ac:dyDescent="0.3"/>
    <row r="18309" x14ac:dyDescent="0.3"/>
    <row r="18310" x14ac:dyDescent="0.3"/>
    <row r="18311" x14ac:dyDescent="0.3"/>
    <row r="18312" x14ac:dyDescent="0.3"/>
    <row r="18313" x14ac:dyDescent="0.3"/>
    <row r="18314" x14ac:dyDescent="0.3"/>
    <row r="18315" x14ac:dyDescent="0.3"/>
    <row r="18316" x14ac:dyDescent="0.3"/>
    <row r="18317" x14ac:dyDescent="0.3"/>
    <row r="18318" x14ac:dyDescent="0.3"/>
    <row r="18319" x14ac:dyDescent="0.3"/>
    <row r="18320" x14ac:dyDescent="0.3"/>
    <row r="18321" x14ac:dyDescent="0.3"/>
    <row r="18322" x14ac:dyDescent="0.3"/>
    <row r="18323" x14ac:dyDescent="0.3"/>
    <row r="18324" x14ac:dyDescent="0.3"/>
    <row r="18325" x14ac:dyDescent="0.3"/>
    <row r="18326" x14ac:dyDescent="0.3"/>
    <row r="18327" x14ac:dyDescent="0.3"/>
    <row r="18328" x14ac:dyDescent="0.3"/>
    <row r="18329" x14ac:dyDescent="0.3"/>
    <row r="18330" x14ac:dyDescent="0.3"/>
    <row r="18331" x14ac:dyDescent="0.3"/>
    <row r="18332" x14ac:dyDescent="0.3"/>
    <row r="18333" x14ac:dyDescent="0.3"/>
    <row r="18334" x14ac:dyDescent="0.3"/>
    <row r="18335" x14ac:dyDescent="0.3"/>
    <row r="18336" x14ac:dyDescent="0.3"/>
    <row r="18337" x14ac:dyDescent="0.3"/>
    <row r="18338" x14ac:dyDescent="0.3"/>
    <row r="18339" x14ac:dyDescent="0.3"/>
    <row r="18340" x14ac:dyDescent="0.3"/>
    <row r="18341" x14ac:dyDescent="0.3"/>
    <row r="18342" x14ac:dyDescent="0.3"/>
    <row r="18343" x14ac:dyDescent="0.3"/>
    <row r="18344" x14ac:dyDescent="0.3"/>
    <row r="18345" x14ac:dyDescent="0.3"/>
    <row r="18346" x14ac:dyDescent="0.3"/>
    <row r="18347" x14ac:dyDescent="0.3"/>
    <row r="18348" x14ac:dyDescent="0.3"/>
    <row r="18349" x14ac:dyDescent="0.3"/>
    <row r="18350" x14ac:dyDescent="0.3"/>
    <row r="18351" x14ac:dyDescent="0.3"/>
    <row r="18352" x14ac:dyDescent="0.3"/>
    <row r="18353" x14ac:dyDescent="0.3"/>
    <row r="18354" x14ac:dyDescent="0.3"/>
    <row r="18355" x14ac:dyDescent="0.3"/>
    <row r="18356" x14ac:dyDescent="0.3"/>
    <row r="18357" x14ac:dyDescent="0.3"/>
    <row r="18358" x14ac:dyDescent="0.3"/>
    <row r="18359" x14ac:dyDescent="0.3"/>
    <row r="18360" x14ac:dyDescent="0.3"/>
    <row r="18361" x14ac:dyDescent="0.3"/>
    <row r="18362" x14ac:dyDescent="0.3"/>
    <row r="18363" x14ac:dyDescent="0.3"/>
    <row r="18364" x14ac:dyDescent="0.3"/>
    <row r="18365" x14ac:dyDescent="0.3"/>
    <row r="18366" x14ac:dyDescent="0.3"/>
    <row r="18367" x14ac:dyDescent="0.3"/>
    <row r="18368" x14ac:dyDescent="0.3"/>
    <row r="18369" x14ac:dyDescent="0.3"/>
    <row r="18370" x14ac:dyDescent="0.3"/>
    <row r="18371" x14ac:dyDescent="0.3"/>
    <row r="18372" x14ac:dyDescent="0.3"/>
    <row r="18373" x14ac:dyDescent="0.3"/>
    <row r="18374" x14ac:dyDescent="0.3"/>
    <row r="18375" x14ac:dyDescent="0.3"/>
    <row r="18376" x14ac:dyDescent="0.3"/>
    <row r="18377" x14ac:dyDescent="0.3"/>
    <row r="18378" x14ac:dyDescent="0.3"/>
    <row r="18379" x14ac:dyDescent="0.3"/>
    <row r="18380" x14ac:dyDescent="0.3"/>
    <row r="18381" x14ac:dyDescent="0.3"/>
    <row r="18382" x14ac:dyDescent="0.3"/>
    <row r="18383" x14ac:dyDescent="0.3"/>
    <row r="18384" x14ac:dyDescent="0.3"/>
    <row r="18385" x14ac:dyDescent="0.3"/>
    <row r="18386" x14ac:dyDescent="0.3"/>
    <row r="18387" x14ac:dyDescent="0.3"/>
    <row r="18388" x14ac:dyDescent="0.3"/>
    <row r="18389" x14ac:dyDescent="0.3"/>
    <row r="18390" x14ac:dyDescent="0.3"/>
    <row r="18391" x14ac:dyDescent="0.3"/>
    <row r="18392" x14ac:dyDescent="0.3"/>
    <row r="18393" x14ac:dyDescent="0.3"/>
    <row r="18394" x14ac:dyDescent="0.3"/>
    <row r="18395" x14ac:dyDescent="0.3"/>
    <row r="18396" x14ac:dyDescent="0.3"/>
    <row r="18397" x14ac:dyDescent="0.3"/>
    <row r="18398" x14ac:dyDescent="0.3"/>
    <row r="18399" x14ac:dyDescent="0.3"/>
    <row r="18400" x14ac:dyDescent="0.3"/>
    <row r="18401" x14ac:dyDescent="0.3"/>
    <row r="18402" x14ac:dyDescent="0.3"/>
    <row r="18403" x14ac:dyDescent="0.3"/>
    <row r="18404" x14ac:dyDescent="0.3"/>
    <row r="18405" x14ac:dyDescent="0.3"/>
    <row r="18406" x14ac:dyDescent="0.3"/>
    <row r="18407" x14ac:dyDescent="0.3"/>
    <row r="18408" x14ac:dyDescent="0.3"/>
    <row r="18409" x14ac:dyDescent="0.3"/>
    <row r="18410" x14ac:dyDescent="0.3"/>
    <row r="18411" x14ac:dyDescent="0.3"/>
    <row r="18412" x14ac:dyDescent="0.3"/>
    <row r="18413" x14ac:dyDescent="0.3"/>
    <row r="18414" x14ac:dyDescent="0.3"/>
    <row r="18415" x14ac:dyDescent="0.3"/>
    <row r="18416" x14ac:dyDescent="0.3"/>
    <row r="18417" x14ac:dyDescent="0.3"/>
    <row r="18418" x14ac:dyDescent="0.3"/>
    <row r="18419" x14ac:dyDescent="0.3"/>
    <row r="18420" x14ac:dyDescent="0.3"/>
    <row r="18421" x14ac:dyDescent="0.3"/>
    <row r="18422" x14ac:dyDescent="0.3"/>
    <row r="18423" x14ac:dyDescent="0.3"/>
    <row r="18424" x14ac:dyDescent="0.3"/>
    <row r="18425" x14ac:dyDescent="0.3"/>
    <row r="18426" x14ac:dyDescent="0.3"/>
    <row r="18427" x14ac:dyDescent="0.3"/>
    <row r="18428" x14ac:dyDescent="0.3"/>
    <row r="18429" x14ac:dyDescent="0.3"/>
    <row r="18430" x14ac:dyDescent="0.3"/>
    <row r="18431" x14ac:dyDescent="0.3"/>
    <row r="18432" x14ac:dyDescent="0.3"/>
    <row r="18433" x14ac:dyDescent="0.3"/>
    <row r="18434" x14ac:dyDescent="0.3"/>
    <row r="18435" x14ac:dyDescent="0.3"/>
    <row r="18436" x14ac:dyDescent="0.3"/>
    <row r="18437" x14ac:dyDescent="0.3"/>
    <row r="18438" x14ac:dyDescent="0.3"/>
    <row r="18439" x14ac:dyDescent="0.3"/>
    <row r="18440" x14ac:dyDescent="0.3"/>
    <row r="18441" x14ac:dyDescent="0.3"/>
    <row r="18442" x14ac:dyDescent="0.3"/>
    <row r="18443" x14ac:dyDescent="0.3"/>
    <row r="18444" x14ac:dyDescent="0.3"/>
    <row r="18445" x14ac:dyDescent="0.3"/>
    <row r="18446" x14ac:dyDescent="0.3"/>
    <row r="18447" x14ac:dyDescent="0.3"/>
    <row r="18448" x14ac:dyDescent="0.3"/>
    <row r="18449" x14ac:dyDescent="0.3"/>
    <row r="18450" x14ac:dyDescent="0.3"/>
    <row r="18451" x14ac:dyDescent="0.3"/>
    <row r="18452" x14ac:dyDescent="0.3"/>
    <row r="18453" x14ac:dyDescent="0.3"/>
    <row r="18454" x14ac:dyDescent="0.3"/>
    <row r="18455" x14ac:dyDescent="0.3"/>
    <row r="18456" x14ac:dyDescent="0.3"/>
    <row r="18457" x14ac:dyDescent="0.3"/>
    <row r="18458" x14ac:dyDescent="0.3"/>
    <row r="18459" x14ac:dyDescent="0.3"/>
    <row r="18460" x14ac:dyDescent="0.3"/>
    <row r="18461" x14ac:dyDescent="0.3"/>
    <row r="18462" x14ac:dyDescent="0.3"/>
    <row r="18463" x14ac:dyDescent="0.3"/>
    <row r="18464" x14ac:dyDescent="0.3"/>
    <row r="18465" x14ac:dyDescent="0.3"/>
    <row r="18466" x14ac:dyDescent="0.3"/>
    <row r="18467" x14ac:dyDescent="0.3"/>
    <row r="18468" x14ac:dyDescent="0.3"/>
    <row r="18469" x14ac:dyDescent="0.3"/>
    <row r="18470" x14ac:dyDescent="0.3"/>
    <row r="18471" x14ac:dyDescent="0.3"/>
    <row r="18472" x14ac:dyDescent="0.3"/>
    <row r="18473" x14ac:dyDescent="0.3"/>
    <row r="18474" x14ac:dyDescent="0.3"/>
    <row r="18475" x14ac:dyDescent="0.3"/>
    <row r="18476" x14ac:dyDescent="0.3"/>
    <row r="18477" x14ac:dyDescent="0.3"/>
    <row r="18478" x14ac:dyDescent="0.3"/>
    <row r="18479" x14ac:dyDescent="0.3"/>
    <row r="18480" x14ac:dyDescent="0.3"/>
    <row r="18481" x14ac:dyDescent="0.3"/>
    <row r="18482" x14ac:dyDescent="0.3"/>
    <row r="18483" x14ac:dyDescent="0.3"/>
    <row r="18484" x14ac:dyDescent="0.3"/>
    <row r="18485" x14ac:dyDescent="0.3"/>
    <row r="18486" x14ac:dyDescent="0.3"/>
    <row r="18487" x14ac:dyDescent="0.3"/>
    <row r="18488" x14ac:dyDescent="0.3"/>
    <row r="18489" x14ac:dyDescent="0.3"/>
    <row r="18490" x14ac:dyDescent="0.3"/>
    <row r="18491" x14ac:dyDescent="0.3"/>
    <row r="18492" x14ac:dyDescent="0.3"/>
    <row r="18493" x14ac:dyDescent="0.3"/>
    <row r="18494" x14ac:dyDescent="0.3"/>
    <row r="18495" x14ac:dyDescent="0.3"/>
    <row r="18496" x14ac:dyDescent="0.3"/>
    <row r="18497" x14ac:dyDescent="0.3"/>
    <row r="18498" x14ac:dyDescent="0.3"/>
    <row r="18499" x14ac:dyDescent="0.3"/>
    <row r="18500" x14ac:dyDescent="0.3"/>
    <row r="18501" x14ac:dyDescent="0.3"/>
    <row r="18502" x14ac:dyDescent="0.3"/>
    <row r="18503" x14ac:dyDescent="0.3"/>
    <row r="18504" x14ac:dyDescent="0.3"/>
    <row r="18505" x14ac:dyDescent="0.3"/>
    <row r="18506" x14ac:dyDescent="0.3"/>
    <row r="18507" x14ac:dyDescent="0.3"/>
    <row r="18508" x14ac:dyDescent="0.3"/>
    <row r="18509" x14ac:dyDescent="0.3"/>
    <row r="18510" x14ac:dyDescent="0.3"/>
    <row r="18511" x14ac:dyDescent="0.3"/>
    <row r="18512" x14ac:dyDescent="0.3"/>
    <row r="18513" x14ac:dyDescent="0.3"/>
    <row r="18514" x14ac:dyDescent="0.3"/>
    <row r="18515" x14ac:dyDescent="0.3"/>
    <row r="18516" x14ac:dyDescent="0.3"/>
    <row r="18517" x14ac:dyDescent="0.3"/>
    <row r="18518" x14ac:dyDescent="0.3"/>
    <row r="18519" x14ac:dyDescent="0.3"/>
    <row r="18520" x14ac:dyDescent="0.3"/>
    <row r="18521" x14ac:dyDescent="0.3"/>
    <row r="18522" x14ac:dyDescent="0.3"/>
    <row r="18523" x14ac:dyDescent="0.3"/>
    <row r="18524" x14ac:dyDescent="0.3"/>
    <row r="18525" x14ac:dyDescent="0.3"/>
    <row r="18526" x14ac:dyDescent="0.3"/>
    <row r="18527" x14ac:dyDescent="0.3"/>
    <row r="18528" x14ac:dyDescent="0.3"/>
    <row r="18529" x14ac:dyDescent="0.3"/>
    <row r="18530" x14ac:dyDescent="0.3"/>
    <row r="18531" x14ac:dyDescent="0.3"/>
    <row r="18532" x14ac:dyDescent="0.3"/>
    <row r="18533" x14ac:dyDescent="0.3"/>
    <row r="18534" x14ac:dyDescent="0.3"/>
    <row r="18535" x14ac:dyDescent="0.3"/>
    <row r="18536" x14ac:dyDescent="0.3"/>
    <row r="18537" x14ac:dyDescent="0.3"/>
    <row r="18538" x14ac:dyDescent="0.3"/>
    <row r="18539" x14ac:dyDescent="0.3"/>
    <row r="18540" x14ac:dyDescent="0.3"/>
    <row r="18541" x14ac:dyDescent="0.3"/>
    <row r="18542" x14ac:dyDescent="0.3"/>
    <row r="18543" x14ac:dyDescent="0.3"/>
    <row r="18544" x14ac:dyDescent="0.3"/>
    <row r="18545" x14ac:dyDescent="0.3"/>
    <row r="18546" x14ac:dyDescent="0.3"/>
    <row r="18547" x14ac:dyDescent="0.3"/>
    <row r="18548" x14ac:dyDescent="0.3"/>
    <row r="18549" x14ac:dyDescent="0.3"/>
    <row r="18550" x14ac:dyDescent="0.3"/>
    <row r="18551" x14ac:dyDescent="0.3"/>
    <row r="18552" x14ac:dyDescent="0.3"/>
    <row r="18553" x14ac:dyDescent="0.3"/>
    <row r="18554" x14ac:dyDescent="0.3"/>
    <row r="18555" x14ac:dyDescent="0.3"/>
    <row r="18556" x14ac:dyDescent="0.3"/>
    <row r="18557" x14ac:dyDescent="0.3"/>
    <row r="18558" x14ac:dyDescent="0.3"/>
    <row r="18559" x14ac:dyDescent="0.3"/>
    <row r="18560" x14ac:dyDescent="0.3"/>
    <row r="18561" x14ac:dyDescent="0.3"/>
    <row r="18562" x14ac:dyDescent="0.3"/>
    <row r="18563" x14ac:dyDescent="0.3"/>
    <row r="18564" x14ac:dyDescent="0.3"/>
    <row r="18565" x14ac:dyDescent="0.3"/>
    <row r="18566" x14ac:dyDescent="0.3"/>
    <row r="18567" x14ac:dyDescent="0.3"/>
    <row r="18568" x14ac:dyDescent="0.3"/>
    <row r="18569" x14ac:dyDescent="0.3"/>
    <row r="18570" x14ac:dyDescent="0.3"/>
    <row r="18571" x14ac:dyDescent="0.3"/>
    <row r="18572" x14ac:dyDescent="0.3"/>
    <row r="18573" x14ac:dyDescent="0.3"/>
    <row r="18574" x14ac:dyDescent="0.3"/>
    <row r="18575" x14ac:dyDescent="0.3"/>
    <row r="18576" x14ac:dyDescent="0.3"/>
    <row r="18577" x14ac:dyDescent="0.3"/>
    <row r="18578" x14ac:dyDescent="0.3"/>
    <row r="18579" x14ac:dyDescent="0.3"/>
    <row r="18580" x14ac:dyDescent="0.3"/>
    <row r="18581" x14ac:dyDescent="0.3"/>
    <row r="18582" x14ac:dyDescent="0.3"/>
    <row r="18583" x14ac:dyDescent="0.3"/>
    <row r="18584" x14ac:dyDescent="0.3"/>
    <row r="18585" x14ac:dyDescent="0.3"/>
    <row r="18586" x14ac:dyDescent="0.3"/>
    <row r="18587" x14ac:dyDescent="0.3"/>
    <row r="18588" x14ac:dyDescent="0.3"/>
    <row r="18589" x14ac:dyDescent="0.3"/>
    <row r="18590" x14ac:dyDescent="0.3"/>
    <row r="18591" x14ac:dyDescent="0.3"/>
    <row r="18592" x14ac:dyDescent="0.3"/>
    <row r="18593" x14ac:dyDescent="0.3"/>
    <row r="18594" x14ac:dyDescent="0.3"/>
    <row r="18595" x14ac:dyDescent="0.3"/>
    <row r="18596" x14ac:dyDescent="0.3"/>
    <row r="18597" x14ac:dyDescent="0.3"/>
    <row r="18598" x14ac:dyDescent="0.3"/>
    <row r="18599" x14ac:dyDescent="0.3"/>
    <row r="18600" x14ac:dyDescent="0.3"/>
    <row r="18601" x14ac:dyDescent="0.3"/>
    <row r="18602" x14ac:dyDescent="0.3"/>
    <row r="18603" x14ac:dyDescent="0.3"/>
    <row r="18604" x14ac:dyDescent="0.3"/>
    <row r="18605" x14ac:dyDescent="0.3"/>
    <row r="18606" x14ac:dyDescent="0.3"/>
    <row r="18607" x14ac:dyDescent="0.3"/>
    <row r="18608" x14ac:dyDescent="0.3"/>
    <row r="18609" x14ac:dyDescent="0.3"/>
    <row r="18610" x14ac:dyDescent="0.3"/>
    <row r="18611" x14ac:dyDescent="0.3"/>
    <row r="18612" x14ac:dyDescent="0.3"/>
    <row r="18613" x14ac:dyDescent="0.3"/>
    <row r="18614" x14ac:dyDescent="0.3"/>
    <row r="18615" x14ac:dyDescent="0.3"/>
    <row r="18616" x14ac:dyDescent="0.3"/>
    <row r="18617" x14ac:dyDescent="0.3"/>
    <row r="18618" x14ac:dyDescent="0.3"/>
    <row r="18619" x14ac:dyDescent="0.3"/>
    <row r="18620" x14ac:dyDescent="0.3"/>
    <row r="18621" x14ac:dyDescent="0.3"/>
    <row r="18622" x14ac:dyDescent="0.3"/>
    <row r="18623" x14ac:dyDescent="0.3"/>
    <row r="18624" x14ac:dyDescent="0.3"/>
    <row r="18625" x14ac:dyDescent="0.3"/>
    <row r="18626" x14ac:dyDescent="0.3"/>
    <row r="18627" x14ac:dyDescent="0.3"/>
    <row r="18628" x14ac:dyDescent="0.3"/>
    <row r="18629" x14ac:dyDescent="0.3"/>
    <row r="18630" x14ac:dyDescent="0.3"/>
    <row r="18631" x14ac:dyDescent="0.3"/>
    <row r="18632" x14ac:dyDescent="0.3"/>
    <row r="18633" x14ac:dyDescent="0.3"/>
    <row r="18634" x14ac:dyDescent="0.3"/>
    <row r="18635" x14ac:dyDescent="0.3"/>
    <row r="18636" x14ac:dyDescent="0.3"/>
    <row r="18637" x14ac:dyDescent="0.3"/>
    <row r="18638" x14ac:dyDescent="0.3"/>
    <row r="18639" x14ac:dyDescent="0.3"/>
    <row r="18640" x14ac:dyDescent="0.3"/>
    <row r="18641" x14ac:dyDescent="0.3"/>
    <row r="18642" x14ac:dyDescent="0.3"/>
    <row r="18643" x14ac:dyDescent="0.3"/>
    <row r="18644" x14ac:dyDescent="0.3"/>
    <row r="18645" x14ac:dyDescent="0.3"/>
    <row r="18646" x14ac:dyDescent="0.3"/>
    <row r="18647" x14ac:dyDescent="0.3"/>
    <row r="18648" x14ac:dyDescent="0.3"/>
    <row r="18649" x14ac:dyDescent="0.3"/>
    <row r="18650" x14ac:dyDescent="0.3"/>
    <row r="18651" x14ac:dyDescent="0.3"/>
    <row r="18652" x14ac:dyDescent="0.3"/>
    <row r="18653" x14ac:dyDescent="0.3"/>
    <row r="18654" x14ac:dyDescent="0.3"/>
    <row r="18655" x14ac:dyDescent="0.3"/>
    <row r="18656" x14ac:dyDescent="0.3"/>
    <row r="18657" x14ac:dyDescent="0.3"/>
    <row r="18658" x14ac:dyDescent="0.3"/>
    <row r="18659" x14ac:dyDescent="0.3"/>
    <row r="18660" x14ac:dyDescent="0.3"/>
    <row r="18661" x14ac:dyDescent="0.3"/>
    <row r="18662" x14ac:dyDescent="0.3"/>
    <row r="18663" x14ac:dyDescent="0.3"/>
    <row r="18664" x14ac:dyDescent="0.3"/>
    <row r="18665" x14ac:dyDescent="0.3"/>
    <row r="18666" x14ac:dyDescent="0.3"/>
    <row r="18667" x14ac:dyDescent="0.3"/>
    <row r="18668" x14ac:dyDescent="0.3"/>
    <row r="18669" x14ac:dyDescent="0.3"/>
    <row r="18670" x14ac:dyDescent="0.3"/>
    <row r="18671" x14ac:dyDescent="0.3"/>
    <row r="18672" x14ac:dyDescent="0.3"/>
    <row r="18673" x14ac:dyDescent="0.3"/>
    <row r="18674" x14ac:dyDescent="0.3"/>
    <row r="18675" x14ac:dyDescent="0.3"/>
    <row r="18676" x14ac:dyDescent="0.3"/>
    <row r="18677" x14ac:dyDescent="0.3"/>
    <row r="18678" x14ac:dyDescent="0.3"/>
    <row r="18679" x14ac:dyDescent="0.3"/>
    <row r="18680" x14ac:dyDescent="0.3"/>
    <row r="18681" x14ac:dyDescent="0.3"/>
    <row r="18682" x14ac:dyDescent="0.3"/>
    <row r="18683" x14ac:dyDescent="0.3"/>
    <row r="18684" x14ac:dyDescent="0.3"/>
    <row r="18685" x14ac:dyDescent="0.3"/>
    <row r="18686" x14ac:dyDescent="0.3"/>
    <row r="18687" x14ac:dyDescent="0.3"/>
    <row r="18688" x14ac:dyDescent="0.3"/>
    <row r="18689" x14ac:dyDescent="0.3"/>
    <row r="18690" x14ac:dyDescent="0.3"/>
    <row r="18691" x14ac:dyDescent="0.3"/>
    <row r="18692" x14ac:dyDescent="0.3"/>
    <row r="18693" x14ac:dyDescent="0.3"/>
    <row r="18694" x14ac:dyDescent="0.3"/>
    <row r="18695" x14ac:dyDescent="0.3"/>
    <row r="18696" x14ac:dyDescent="0.3"/>
    <row r="18697" x14ac:dyDescent="0.3"/>
    <row r="18698" x14ac:dyDescent="0.3"/>
    <row r="18699" x14ac:dyDescent="0.3"/>
    <row r="18700" x14ac:dyDescent="0.3"/>
    <row r="18701" x14ac:dyDescent="0.3"/>
    <row r="18702" x14ac:dyDescent="0.3"/>
    <row r="18703" x14ac:dyDescent="0.3"/>
    <row r="18704" x14ac:dyDescent="0.3"/>
    <row r="18705" x14ac:dyDescent="0.3"/>
    <row r="18706" x14ac:dyDescent="0.3"/>
    <row r="18707" x14ac:dyDescent="0.3"/>
    <row r="18708" x14ac:dyDescent="0.3"/>
    <row r="18709" x14ac:dyDescent="0.3"/>
    <row r="18710" x14ac:dyDescent="0.3"/>
    <row r="18711" x14ac:dyDescent="0.3"/>
    <row r="18712" x14ac:dyDescent="0.3"/>
    <row r="18713" x14ac:dyDescent="0.3"/>
    <row r="18714" x14ac:dyDescent="0.3"/>
    <row r="18715" x14ac:dyDescent="0.3"/>
    <row r="18716" x14ac:dyDescent="0.3"/>
    <row r="18717" x14ac:dyDescent="0.3"/>
    <row r="18718" x14ac:dyDescent="0.3"/>
    <row r="18719" x14ac:dyDescent="0.3"/>
    <row r="18720" x14ac:dyDescent="0.3"/>
    <row r="18721" x14ac:dyDescent="0.3"/>
    <row r="18722" x14ac:dyDescent="0.3"/>
    <row r="18723" x14ac:dyDescent="0.3"/>
    <row r="18724" x14ac:dyDescent="0.3"/>
    <row r="18725" x14ac:dyDescent="0.3"/>
    <row r="18726" x14ac:dyDescent="0.3"/>
    <row r="18727" x14ac:dyDescent="0.3"/>
    <row r="18728" x14ac:dyDescent="0.3"/>
    <row r="18729" x14ac:dyDescent="0.3"/>
    <row r="18730" x14ac:dyDescent="0.3"/>
    <row r="18731" x14ac:dyDescent="0.3"/>
    <row r="18732" x14ac:dyDescent="0.3"/>
    <row r="18733" x14ac:dyDescent="0.3"/>
    <row r="18734" x14ac:dyDescent="0.3"/>
    <row r="18735" x14ac:dyDescent="0.3"/>
    <row r="18736" x14ac:dyDescent="0.3"/>
    <row r="18737" x14ac:dyDescent="0.3"/>
    <row r="18738" x14ac:dyDescent="0.3"/>
    <row r="18739" x14ac:dyDescent="0.3"/>
    <row r="18740" x14ac:dyDescent="0.3"/>
    <row r="18741" x14ac:dyDescent="0.3"/>
    <row r="18742" x14ac:dyDescent="0.3"/>
    <row r="18743" x14ac:dyDescent="0.3"/>
    <row r="18744" x14ac:dyDescent="0.3"/>
    <row r="18745" x14ac:dyDescent="0.3"/>
    <row r="18746" x14ac:dyDescent="0.3"/>
    <row r="18747" x14ac:dyDescent="0.3"/>
    <row r="18748" x14ac:dyDescent="0.3"/>
    <row r="18749" x14ac:dyDescent="0.3"/>
    <row r="18750" x14ac:dyDescent="0.3"/>
    <row r="18751" x14ac:dyDescent="0.3"/>
    <row r="18752" x14ac:dyDescent="0.3"/>
    <row r="18753" x14ac:dyDescent="0.3"/>
    <row r="18754" x14ac:dyDescent="0.3"/>
    <row r="18755" x14ac:dyDescent="0.3"/>
    <row r="18756" x14ac:dyDescent="0.3"/>
    <row r="18757" x14ac:dyDescent="0.3"/>
    <row r="18758" x14ac:dyDescent="0.3"/>
    <row r="18759" x14ac:dyDescent="0.3"/>
    <row r="18760" x14ac:dyDescent="0.3"/>
    <row r="18761" x14ac:dyDescent="0.3"/>
    <row r="18762" x14ac:dyDescent="0.3"/>
    <row r="18763" x14ac:dyDescent="0.3"/>
    <row r="18764" x14ac:dyDescent="0.3"/>
    <row r="18765" x14ac:dyDescent="0.3"/>
    <row r="18766" x14ac:dyDescent="0.3"/>
    <row r="18767" x14ac:dyDescent="0.3"/>
    <row r="18768" x14ac:dyDescent="0.3"/>
    <row r="18769" x14ac:dyDescent="0.3"/>
    <row r="18770" x14ac:dyDescent="0.3"/>
    <row r="18771" x14ac:dyDescent="0.3"/>
    <row r="18772" x14ac:dyDescent="0.3"/>
    <row r="18773" x14ac:dyDescent="0.3"/>
    <row r="18774" x14ac:dyDescent="0.3"/>
    <row r="18775" x14ac:dyDescent="0.3"/>
    <row r="18776" x14ac:dyDescent="0.3"/>
    <row r="18777" x14ac:dyDescent="0.3"/>
    <row r="18778" x14ac:dyDescent="0.3"/>
    <row r="18779" x14ac:dyDescent="0.3"/>
    <row r="18780" x14ac:dyDescent="0.3"/>
    <row r="18781" x14ac:dyDescent="0.3"/>
    <row r="18782" x14ac:dyDescent="0.3"/>
    <row r="18783" x14ac:dyDescent="0.3"/>
    <row r="18784" x14ac:dyDescent="0.3"/>
    <row r="18785" x14ac:dyDescent="0.3"/>
    <row r="18786" x14ac:dyDescent="0.3"/>
    <row r="18787" x14ac:dyDescent="0.3"/>
    <row r="18788" x14ac:dyDescent="0.3"/>
    <row r="18789" x14ac:dyDescent="0.3"/>
    <row r="18790" x14ac:dyDescent="0.3"/>
    <row r="18791" x14ac:dyDescent="0.3"/>
    <row r="18792" x14ac:dyDescent="0.3"/>
    <row r="18793" x14ac:dyDescent="0.3"/>
    <row r="18794" x14ac:dyDescent="0.3"/>
    <row r="18795" x14ac:dyDescent="0.3"/>
    <row r="18796" x14ac:dyDescent="0.3"/>
    <row r="18797" x14ac:dyDescent="0.3"/>
    <row r="18798" x14ac:dyDescent="0.3"/>
    <row r="18799" x14ac:dyDescent="0.3"/>
    <row r="18800" x14ac:dyDescent="0.3"/>
    <row r="18801" x14ac:dyDescent="0.3"/>
    <row r="18802" x14ac:dyDescent="0.3"/>
    <row r="18803" x14ac:dyDescent="0.3"/>
    <row r="18804" x14ac:dyDescent="0.3"/>
    <row r="18805" x14ac:dyDescent="0.3"/>
    <row r="18806" x14ac:dyDescent="0.3"/>
    <row r="18807" x14ac:dyDescent="0.3"/>
    <row r="18808" x14ac:dyDescent="0.3"/>
    <row r="18809" x14ac:dyDescent="0.3"/>
    <row r="18810" x14ac:dyDescent="0.3"/>
    <row r="18811" x14ac:dyDescent="0.3"/>
    <row r="18812" x14ac:dyDescent="0.3"/>
    <row r="18813" x14ac:dyDescent="0.3"/>
    <row r="18814" x14ac:dyDescent="0.3"/>
    <row r="18815" x14ac:dyDescent="0.3"/>
    <row r="18816" x14ac:dyDescent="0.3"/>
    <row r="18817" x14ac:dyDescent="0.3"/>
    <row r="18818" x14ac:dyDescent="0.3"/>
    <row r="18819" x14ac:dyDescent="0.3"/>
    <row r="18820" x14ac:dyDescent="0.3"/>
    <row r="18821" x14ac:dyDescent="0.3"/>
    <row r="18822" x14ac:dyDescent="0.3"/>
    <row r="18823" x14ac:dyDescent="0.3"/>
    <row r="18824" x14ac:dyDescent="0.3"/>
    <row r="18825" x14ac:dyDescent="0.3"/>
    <row r="18826" x14ac:dyDescent="0.3"/>
    <row r="18827" x14ac:dyDescent="0.3"/>
    <row r="18828" x14ac:dyDescent="0.3"/>
    <row r="18829" x14ac:dyDescent="0.3"/>
    <row r="18830" x14ac:dyDescent="0.3"/>
    <row r="18831" x14ac:dyDescent="0.3"/>
    <row r="18832" x14ac:dyDescent="0.3"/>
    <row r="18833" x14ac:dyDescent="0.3"/>
    <row r="18834" x14ac:dyDescent="0.3"/>
    <row r="18835" x14ac:dyDescent="0.3"/>
    <row r="18836" x14ac:dyDescent="0.3"/>
    <row r="18837" x14ac:dyDescent="0.3"/>
    <row r="18838" x14ac:dyDescent="0.3"/>
    <row r="18839" x14ac:dyDescent="0.3"/>
    <row r="18840" x14ac:dyDescent="0.3"/>
    <row r="18841" x14ac:dyDescent="0.3"/>
    <row r="18842" x14ac:dyDescent="0.3"/>
    <row r="18843" x14ac:dyDescent="0.3"/>
    <row r="18844" x14ac:dyDescent="0.3"/>
    <row r="18845" x14ac:dyDescent="0.3"/>
    <row r="18846" x14ac:dyDescent="0.3"/>
    <row r="18847" x14ac:dyDescent="0.3"/>
    <row r="18848" x14ac:dyDescent="0.3"/>
    <row r="18849" x14ac:dyDescent="0.3"/>
    <row r="18850" x14ac:dyDescent="0.3"/>
    <row r="18851" x14ac:dyDescent="0.3"/>
    <row r="18852" x14ac:dyDescent="0.3"/>
    <row r="18853" x14ac:dyDescent="0.3"/>
    <row r="18854" x14ac:dyDescent="0.3"/>
    <row r="18855" x14ac:dyDescent="0.3"/>
    <row r="18856" x14ac:dyDescent="0.3"/>
    <row r="18857" x14ac:dyDescent="0.3"/>
    <row r="18858" x14ac:dyDescent="0.3"/>
    <row r="18859" x14ac:dyDescent="0.3"/>
    <row r="18860" x14ac:dyDescent="0.3"/>
    <row r="18861" x14ac:dyDescent="0.3"/>
    <row r="18862" x14ac:dyDescent="0.3"/>
    <row r="18863" x14ac:dyDescent="0.3"/>
    <row r="18864" x14ac:dyDescent="0.3"/>
    <row r="18865" x14ac:dyDescent="0.3"/>
    <row r="18866" x14ac:dyDescent="0.3"/>
    <row r="18867" x14ac:dyDescent="0.3"/>
    <row r="18868" x14ac:dyDescent="0.3"/>
    <row r="18869" x14ac:dyDescent="0.3"/>
    <row r="18870" x14ac:dyDescent="0.3"/>
    <row r="18871" x14ac:dyDescent="0.3"/>
    <row r="18872" x14ac:dyDescent="0.3"/>
    <row r="18873" x14ac:dyDescent="0.3"/>
    <row r="18874" x14ac:dyDescent="0.3"/>
    <row r="18875" x14ac:dyDescent="0.3"/>
    <row r="18876" x14ac:dyDescent="0.3"/>
    <row r="18877" x14ac:dyDescent="0.3"/>
    <row r="18878" x14ac:dyDescent="0.3"/>
    <row r="18879" x14ac:dyDescent="0.3"/>
    <row r="18880" x14ac:dyDescent="0.3"/>
    <row r="18881" x14ac:dyDescent="0.3"/>
    <row r="18882" x14ac:dyDescent="0.3"/>
    <row r="18883" x14ac:dyDescent="0.3"/>
    <row r="18884" x14ac:dyDescent="0.3"/>
    <row r="18885" x14ac:dyDescent="0.3"/>
    <row r="18886" x14ac:dyDescent="0.3"/>
    <row r="18887" x14ac:dyDescent="0.3"/>
    <row r="18888" x14ac:dyDescent="0.3"/>
    <row r="18889" x14ac:dyDescent="0.3"/>
    <row r="18890" x14ac:dyDescent="0.3"/>
    <row r="18891" x14ac:dyDescent="0.3"/>
    <row r="18892" x14ac:dyDescent="0.3"/>
    <row r="18893" x14ac:dyDescent="0.3"/>
    <row r="18894" x14ac:dyDescent="0.3"/>
    <row r="18895" x14ac:dyDescent="0.3"/>
    <row r="18896" x14ac:dyDescent="0.3"/>
    <row r="18897" x14ac:dyDescent="0.3"/>
    <row r="18898" x14ac:dyDescent="0.3"/>
    <row r="18899" x14ac:dyDescent="0.3"/>
    <row r="18900" x14ac:dyDescent="0.3"/>
    <row r="18901" x14ac:dyDescent="0.3"/>
    <row r="18902" x14ac:dyDescent="0.3"/>
    <row r="18903" x14ac:dyDescent="0.3"/>
    <row r="18904" x14ac:dyDescent="0.3"/>
    <row r="18905" x14ac:dyDescent="0.3"/>
    <row r="18906" x14ac:dyDescent="0.3"/>
    <row r="18907" x14ac:dyDescent="0.3"/>
    <row r="18908" x14ac:dyDescent="0.3"/>
    <row r="18909" x14ac:dyDescent="0.3"/>
    <row r="18910" x14ac:dyDescent="0.3"/>
    <row r="18911" x14ac:dyDescent="0.3"/>
    <row r="18912" x14ac:dyDescent="0.3"/>
    <row r="18913" x14ac:dyDescent="0.3"/>
    <row r="18914" x14ac:dyDescent="0.3"/>
    <row r="18915" x14ac:dyDescent="0.3"/>
    <row r="18916" x14ac:dyDescent="0.3"/>
    <row r="18917" x14ac:dyDescent="0.3"/>
    <row r="18918" x14ac:dyDescent="0.3"/>
    <row r="18919" x14ac:dyDescent="0.3"/>
    <row r="18920" x14ac:dyDescent="0.3"/>
    <row r="18921" x14ac:dyDescent="0.3"/>
    <row r="18922" x14ac:dyDescent="0.3"/>
    <row r="18923" x14ac:dyDescent="0.3"/>
    <row r="18924" x14ac:dyDescent="0.3"/>
    <row r="18925" x14ac:dyDescent="0.3"/>
    <row r="18926" x14ac:dyDescent="0.3"/>
    <row r="18927" x14ac:dyDescent="0.3"/>
    <row r="18928" x14ac:dyDescent="0.3"/>
    <row r="18929" x14ac:dyDescent="0.3"/>
    <row r="18930" x14ac:dyDescent="0.3"/>
    <row r="18931" x14ac:dyDescent="0.3"/>
    <row r="18932" x14ac:dyDescent="0.3"/>
    <row r="18933" x14ac:dyDescent="0.3"/>
    <row r="18934" x14ac:dyDescent="0.3"/>
    <row r="18935" x14ac:dyDescent="0.3"/>
    <row r="18936" x14ac:dyDescent="0.3"/>
    <row r="18937" x14ac:dyDescent="0.3"/>
    <row r="18938" x14ac:dyDescent="0.3"/>
    <row r="18939" x14ac:dyDescent="0.3"/>
    <row r="18940" x14ac:dyDescent="0.3"/>
    <row r="18941" x14ac:dyDescent="0.3"/>
    <row r="18942" x14ac:dyDescent="0.3"/>
    <row r="18943" x14ac:dyDescent="0.3"/>
    <row r="18944" x14ac:dyDescent="0.3"/>
    <row r="18945" x14ac:dyDescent="0.3"/>
    <row r="18946" x14ac:dyDescent="0.3"/>
    <row r="18947" x14ac:dyDescent="0.3"/>
    <row r="18948" x14ac:dyDescent="0.3"/>
    <row r="18949" x14ac:dyDescent="0.3"/>
    <row r="18950" x14ac:dyDescent="0.3"/>
    <row r="18951" x14ac:dyDescent="0.3"/>
    <row r="18952" x14ac:dyDescent="0.3"/>
    <row r="18953" x14ac:dyDescent="0.3"/>
    <row r="18954" x14ac:dyDescent="0.3"/>
    <row r="18955" x14ac:dyDescent="0.3"/>
    <row r="18956" x14ac:dyDescent="0.3"/>
    <row r="18957" x14ac:dyDescent="0.3"/>
    <row r="18958" x14ac:dyDescent="0.3"/>
    <row r="18959" x14ac:dyDescent="0.3"/>
    <row r="18960" x14ac:dyDescent="0.3"/>
    <row r="18961" x14ac:dyDescent="0.3"/>
    <row r="18962" x14ac:dyDescent="0.3"/>
    <row r="18963" x14ac:dyDescent="0.3"/>
    <row r="18964" x14ac:dyDescent="0.3"/>
    <row r="18965" x14ac:dyDescent="0.3"/>
    <row r="18966" x14ac:dyDescent="0.3"/>
    <row r="18967" x14ac:dyDescent="0.3"/>
    <row r="18968" x14ac:dyDescent="0.3"/>
    <row r="18969" x14ac:dyDescent="0.3"/>
    <row r="18970" x14ac:dyDescent="0.3"/>
    <row r="18971" x14ac:dyDescent="0.3"/>
    <row r="18972" x14ac:dyDescent="0.3"/>
    <row r="18973" x14ac:dyDescent="0.3"/>
    <row r="18974" x14ac:dyDescent="0.3"/>
    <row r="18975" x14ac:dyDescent="0.3"/>
    <row r="18976" x14ac:dyDescent="0.3"/>
    <row r="18977" x14ac:dyDescent="0.3"/>
    <row r="18978" x14ac:dyDescent="0.3"/>
    <row r="18979" x14ac:dyDescent="0.3"/>
    <row r="18980" x14ac:dyDescent="0.3"/>
    <row r="18981" x14ac:dyDescent="0.3"/>
    <row r="18982" x14ac:dyDescent="0.3"/>
    <row r="18983" x14ac:dyDescent="0.3"/>
    <row r="18984" x14ac:dyDescent="0.3"/>
    <row r="18985" x14ac:dyDescent="0.3"/>
    <row r="18986" x14ac:dyDescent="0.3"/>
    <row r="18987" x14ac:dyDescent="0.3"/>
    <row r="18988" x14ac:dyDescent="0.3"/>
    <row r="18989" x14ac:dyDescent="0.3"/>
    <row r="18990" x14ac:dyDescent="0.3"/>
    <row r="18991" x14ac:dyDescent="0.3"/>
    <row r="18992" x14ac:dyDescent="0.3"/>
    <row r="18993" x14ac:dyDescent="0.3"/>
    <row r="18994" x14ac:dyDescent="0.3"/>
    <row r="18995" x14ac:dyDescent="0.3"/>
    <row r="18996" x14ac:dyDescent="0.3"/>
    <row r="18997" x14ac:dyDescent="0.3"/>
    <row r="18998" x14ac:dyDescent="0.3"/>
    <row r="18999" x14ac:dyDescent="0.3"/>
    <row r="19000" x14ac:dyDescent="0.3"/>
    <row r="19001" x14ac:dyDescent="0.3"/>
    <row r="19002" x14ac:dyDescent="0.3"/>
    <row r="19003" x14ac:dyDescent="0.3"/>
    <row r="19004" x14ac:dyDescent="0.3"/>
    <row r="19005" x14ac:dyDescent="0.3"/>
    <row r="19006" x14ac:dyDescent="0.3"/>
    <row r="19007" x14ac:dyDescent="0.3"/>
    <row r="19008" x14ac:dyDescent="0.3"/>
    <row r="19009" x14ac:dyDescent="0.3"/>
    <row r="19010" x14ac:dyDescent="0.3"/>
    <row r="19011" x14ac:dyDescent="0.3"/>
    <row r="19012" x14ac:dyDescent="0.3"/>
    <row r="19013" x14ac:dyDescent="0.3"/>
    <row r="19014" x14ac:dyDescent="0.3"/>
    <row r="19015" x14ac:dyDescent="0.3"/>
    <row r="19016" x14ac:dyDescent="0.3"/>
    <row r="19017" x14ac:dyDescent="0.3"/>
    <row r="19018" x14ac:dyDescent="0.3"/>
    <row r="19019" x14ac:dyDescent="0.3"/>
    <row r="19020" x14ac:dyDescent="0.3"/>
    <row r="19021" x14ac:dyDescent="0.3"/>
    <row r="19022" x14ac:dyDescent="0.3"/>
    <row r="19023" x14ac:dyDescent="0.3"/>
    <row r="19024" x14ac:dyDescent="0.3"/>
    <row r="19025" x14ac:dyDescent="0.3"/>
    <row r="19026" x14ac:dyDescent="0.3"/>
    <row r="19027" x14ac:dyDescent="0.3"/>
    <row r="19028" x14ac:dyDescent="0.3"/>
    <row r="19029" x14ac:dyDescent="0.3"/>
    <row r="19030" x14ac:dyDescent="0.3"/>
    <row r="19031" x14ac:dyDescent="0.3"/>
    <row r="19032" x14ac:dyDescent="0.3"/>
    <row r="19033" x14ac:dyDescent="0.3"/>
    <row r="19034" x14ac:dyDescent="0.3"/>
    <row r="19035" x14ac:dyDescent="0.3"/>
    <row r="19036" x14ac:dyDescent="0.3"/>
    <row r="19037" x14ac:dyDescent="0.3"/>
    <row r="19038" x14ac:dyDescent="0.3"/>
    <row r="19039" x14ac:dyDescent="0.3"/>
    <row r="19040" x14ac:dyDescent="0.3"/>
    <row r="19041" x14ac:dyDescent="0.3"/>
    <row r="19042" x14ac:dyDescent="0.3"/>
    <row r="19043" x14ac:dyDescent="0.3"/>
    <row r="19044" x14ac:dyDescent="0.3"/>
    <row r="19045" x14ac:dyDescent="0.3"/>
    <row r="19046" x14ac:dyDescent="0.3"/>
    <row r="19047" x14ac:dyDescent="0.3"/>
    <row r="19048" x14ac:dyDescent="0.3"/>
    <row r="19049" x14ac:dyDescent="0.3"/>
    <row r="19050" x14ac:dyDescent="0.3"/>
    <row r="19051" x14ac:dyDescent="0.3"/>
    <row r="19052" x14ac:dyDescent="0.3"/>
    <row r="19053" x14ac:dyDescent="0.3"/>
    <row r="19054" x14ac:dyDescent="0.3"/>
    <row r="19055" x14ac:dyDescent="0.3"/>
    <row r="19056" x14ac:dyDescent="0.3"/>
    <row r="19057" x14ac:dyDescent="0.3"/>
    <row r="19058" x14ac:dyDescent="0.3"/>
    <row r="19059" x14ac:dyDescent="0.3"/>
    <row r="19060" x14ac:dyDescent="0.3"/>
    <row r="19061" x14ac:dyDescent="0.3"/>
    <row r="19062" x14ac:dyDescent="0.3"/>
    <row r="19063" x14ac:dyDescent="0.3"/>
    <row r="19064" x14ac:dyDescent="0.3"/>
    <row r="19065" x14ac:dyDescent="0.3"/>
    <row r="19066" x14ac:dyDescent="0.3"/>
    <row r="19067" x14ac:dyDescent="0.3"/>
    <row r="19068" x14ac:dyDescent="0.3"/>
    <row r="19069" x14ac:dyDescent="0.3"/>
    <row r="19070" x14ac:dyDescent="0.3"/>
    <row r="19071" x14ac:dyDescent="0.3"/>
    <row r="19072" x14ac:dyDescent="0.3"/>
    <row r="19073" x14ac:dyDescent="0.3"/>
    <row r="19074" x14ac:dyDescent="0.3"/>
    <row r="19075" x14ac:dyDescent="0.3"/>
    <row r="19076" x14ac:dyDescent="0.3"/>
    <row r="19077" x14ac:dyDescent="0.3"/>
    <row r="19078" x14ac:dyDescent="0.3"/>
    <row r="19079" x14ac:dyDescent="0.3"/>
    <row r="19080" x14ac:dyDescent="0.3"/>
    <row r="19081" x14ac:dyDescent="0.3"/>
    <row r="19082" x14ac:dyDescent="0.3"/>
    <row r="19083" x14ac:dyDescent="0.3"/>
    <row r="19084" x14ac:dyDescent="0.3"/>
    <row r="19085" x14ac:dyDescent="0.3"/>
    <row r="19086" x14ac:dyDescent="0.3"/>
    <row r="19087" x14ac:dyDescent="0.3"/>
    <row r="19088" x14ac:dyDescent="0.3"/>
    <row r="19089" x14ac:dyDescent="0.3"/>
    <row r="19090" x14ac:dyDescent="0.3"/>
    <row r="19091" x14ac:dyDescent="0.3"/>
    <row r="19092" x14ac:dyDescent="0.3"/>
    <row r="19093" x14ac:dyDescent="0.3"/>
    <row r="19094" x14ac:dyDescent="0.3"/>
    <row r="19095" x14ac:dyDescent="0.3"/>
    <row r="19096" x14ac:dyDescent="0.3"/>
    <row r="19097" x14ac:dyDescent="0.3"/>
    <row r="19098" x14ac:dyDescent="0.3"/>
    <row r="19099" x14ac:dyDescent="0.3"/>
    <row r="19100" x14ac:dyDescent="0.3"/>
    <row r="19101" x14ac:dyDescent="0.3"/>
    <row r="19102" x14ac:dyDescent="0.3"/>
    <row r="19103" x14ac:dyDescent="0.3"/>
    <row r="19104" x14ac:dyDescent="0.3"/>
    <row r="19105" x14ac:dyDescent="0.3"/>
    <row r="19106" x14ac:dyDescent="0.3"/>
    <row r="19107" x14ac:dyDescent="0.3"/>
    <row r="19108" x14ac:dyDescent="0.3"/>
    <row r="19109" x14ac:dyDescent="0.3"/>
    <row r="19110" x14ac:dyDescent="0.3"/>
    <row r="19111" x14ac:dyDescent="0.3"/>
    <row r="19112" x14ac:dyDescent="0.3"/>
    <row r="19113" x14ac:dyDescent="0.3"/>
    <row r="19114" x14ac:dyDescent="0.3"/>
    <row r="19115" x14ac:dyDescent="0.3"/>
    <row r="19116" x14ac:dyDescent="0.3"/>
    <row r="19117" x14ac:dyDescent="0.3"/>
    <row r="19118" x14ac:dyDescent="0.3"/>
    <row r="19119" x14ac:dyDescent="0.3"/>
    <row r="19120" x14ac:dyDescent="0.3"/>
    <row r="19121" x14ac:dyDescent="0.3"/>
    <row r="19122" x14ac:dyDescent="0.3"/>
    <row r="19123" x14ac:dyDescent="0.3"/>
    <row r="19124" x14ac:dyDescent="0.3"/>
    <row r="19125" x14ac:dyDescent="0.3"/>
    <row r="19126" x14ac:dyDescent="0.3"/>
    <row r="19127" x14ac:dyDescent="0.3"/>
    <row r="19128" x14ac:dyDescent="0.3"/>
    <row r="19129" x14ac:dyDescent="0.3"/>
    <row r="19130" x14ac:dyDescent="0.3"/>
    <row r="19131" x14ac:dyDescent="0.3"/>
    <row r="19132" x14ac:dyDescent="0.3"/>
    <row r="19133" x14ac:dyDescent="0.3"/>
    <row r="19134" x14ac:dyDescent="0.3"/>
    <row r="19135" x14ac:dyDescent="0.3"/>
    <row r="19136" x14ac:dyDescent="0.3"/>
    <row r="19137" x14ac:dyDescent="0.3"/>
    <row r="19138" x14ac:dyDescent="0.3"/>
    <row r="19139" x14ac:dyDescent="0.3"/>
    <row r="19140" x14ac:dyDescent="0.3"/>
    <row r="19141" x14ac:dyDescent="0.3"/>
    <row r="19142" x14ac:dyDescent="0.3"/>
    <row r="19143" x14ac:dyDescent="0.3"/>
    <row r="19144" x14ac:dyDescent="0.3"/>
    <row r="19145" x14ac:dyDescent="0.3"/>
    <row r="19146" x14ac:dyDescent="0.3"/>
    <row r="19147" x14ac:dyDescent="0.3"/>
    <row r="19148" x14ac:dyDescent="0.3"/>
    <row r="19149" x14ac:dyDescent="0.3"/>
    <row r="19150" x14ac:dyDescent="0.3"/>
    <row r="19151" x14ac:dyDescent="0.3"/>
    <row r="19152" x14ac:dyDescent="0.3"/>
    <row r="19153" x14ac:dyDescent="0.3"/>
    <row r="19154" x14ac:dyDescent="0.3"/>
    <row r="19155" x14ac:dyDescent="0.3"/>
    <row r="19156" x14ac:dyDescent="0.3"/>
    <row r="19157" x14ac:dyDescent="0.3"/>
    <row r="19158" x14ac:dyDescent="0.3"/>
    <row r="19159" x14ac:dyDescent="0.3"/>
    <row r="19160" x14ac:dyDescent="0.3"/>
    <row r="19161" x14ac:dyDescent="0.3"/>
    <row r="19162" x14ac:dyDescent="0.3"/>
    <row r="19163" x14ac:dyDescent="0.3"/>
    <row r="19164" x14ac:dyDescent="0.3"/>
    <row r="19165" x14ac:dyDescent="0.3"/>
    <row r="19166" x14ac:dyDescent="0.3"/>
    <row r="19167" x14ac:dyDescent="0.3"/>
    <row r="19168" x14ac:dyDescent="0.3"/>
    <row r="19169" x14ac:dyDescent="0.3"/>
    <row r="19170" x14ac:dyDescent="0.3"/>
    <row r="19171" x14ac:dyDescent="0.3"/>
    <row r="19172" x14ac:dyDescent="0.3"/>
    <row r="19173" x14ac:dyDescent="0.3"/>
    <row r="19174" x14ac:dyDescent="0.3"/>
    <row r="19175" x14ac:dyDescent="0.3"/>
    <row r="19176" x14ac:dyDescent="0.3"/>
    <row r="19177" x14ac:dyDescent="0.3"/>
    <row r="19178" x14ac:dyDescent="0.3"/>
    <row r="19179" x14ac:dyDescent="0.3"/>
    <row r="19180" x14ac:dyDescent="0.3"/>
    <row r="19181" x14ac:dyDescent="0.3"/>
    <row r="19182" x14ac:dyDescent="0.3"/>
    <row r="19183" x14ac:dyDescent="0.3"/>
    <row r="19184" x14ac:dyDescent="0.3"/>
    <row r="19185" x14ac:dyDescent="0.3"/>
    <row r="19186" x14ac:dyDescent="0.3"/>
    <row r="19187" x14ac:dyDescent="0.3"/>
    <row r="19188" x14ac:dyDescent="0.3"/>
    <row r="19189" x14ac:dyDescent="0.3"/>
    <row r="19190" x14ac:dyDescent="0.3"/>
    <row r="19191" x14ac:dyDescent="0.3"/>
    <row r="19192" x14ac:dyDescent="0.3"/>
    <row r="19193" x14ac:dyDescent="0.3"/>
    <row r="19194" x14ac:dyDescent="0.3"/>
    <row r="19195" x14ac:dyDescent="0.3"/>
    <row r="19196" x14ac:dyDescent="0.3"/>
    <row r="19197" x14ac:dyDescent="0.3"/>
    <row r="19198" x14ac:dyDescent="0.3"/>
    <row r="19199" x14ac:dyDescent="0.3"/>
    <row r="19200" x14ac:dyDescent="0.3"/>
    <row r="19201" x14ac:dyDescent="0.3"/>
    <row r="19202" x14ac:dyDescent="0.3"/>
    <row r="19203" x14ac:dyDescent="0.3"/>
    <row r="19204" x14ac:dyDescent="0.3"/>
    <row r="19205" x14ac:dyDescent="0.3"/>
    <row r="19206" x14ac:dyDescent="0.3"/>
    <row r="19207" x14ac:dyDescent="0.3"/>
    <row r="19208" x14ac:dyDescent="0.3"/>
    <row r="19209" x14ac:dyDescent="0.3"/>
    <row r="19210" x14ac:dyDescent="0.3"/>
    <row r="19211" x14ac:dyDescent="0.3"/>
    <row r="19212" x14ac:dyDescent="0.3"/>
    <row r="19213" x14ac:dyDescent="0.3"/>
    <row r="19214" x14ac:dyDescent="0.3"/>
    <row r="19215" x14ac:dyDescent="0.3"/>
    <row r="19216" x14ac:dyDescent="0.3"/>
    <row r="19217" x14ac:dyDescent="0.3"/>
    <row r="19218" x14ac:dyDescent="0.3"/>
    <row r="19219" x14ac:dyDescent="0.3"/>
    <row r="19220" x14ac:dyDescent="0.3"/>
    <row r="19221" x14ac:dyDescent="0.3"/>
    <row r="19222" x14ac:dyDescent="0.3"/>
    <row r="19223" x14ac:dyDescent="0.3"/>
    <row r="19224" x14ac:dyDescent="0.3"/>
    <row r="19225" x14ac:dyDescent="0.3"/>
    <row r="19226" x14ac:dyDescent="0.3"/>
    <row r="19227" x14ac:dyDescent="0.3"/>
    <row r="19228" x14ac:dyDescent="0.3"/>
    <row r="19229" x14ac:dyDescent="0.3"/>
    <row r="19230" x14ac:dyDescent="0.3"/>
    <row r="19231" x14ac:dyDescent="0.3"/>
    <row r="19232" x14ac:dyDescent="0.3"/>
    <row r="19233" x14ac:dyDescent="0.3"/>
    <row r="19234" x14ac:dyDescent="0.3"/>
    <row r="19235" x14ac:dyDescent="0.3"/>
    <row r="19236" x14ac:dyDescent="0.3"/>
    <row r="19237" x14ac:dyDescent="0.3"/>
    <row r="19238" x14ac:dyDescent="0.3"/>
    <row r="19239" x14ac:dyDescent="0.3"/>
    <row r="19240" x14ac:dyDescent="0.3"/>
    <row r="19241" x14ac:dyDescent="0.3"/>
    <row r="19242" x14ac:dyDescent="0.3"/>
    <row r="19243" x14ac:dyDescent="0.3"/>
    <row r="19244" x14ac:dyDescent="0.3"/>
    <row r="19245" x14ac:dyDescent="0.3"/>
    <row r="19246" x14ac:dyDescent="0.3"/>
    <row r="19247" x14ac:dyDescent="0.3"/>
    <row r="19248" x14ac:dyDescent="0.3"/>
    <row r="19249" x14ac:dyDescent="0.3"/>
    <row r="19250" x14ac:dyDescent="0.3"/>
    <row r="19251" x14ac:dyDescent="0.3"/>
    <row r="19252" x14ac:dyDescent="0.3"/>
    <row r="19253" x14ac:dyDescent="0.3"/>
    <row r="19254" x14ac:dyDescent="0.3"/>
    <row r="19255" x14ac:dyDescent="0.3"/>
    <row r="19256" x14ac:dyDescent="0.3"/>
    <row r="19257" x14ac:dyDescent="0.3"/>
    <row r="19258" x14ac:dyDescent="0.3"/>
    <row r="19259" x14ac:dyDescent="0.3"/>
    <row r="19260" x14ac:dyDescent="0.3"/>
    <row r="19261" x14ac:dyDescent="0.3"/>
    <row r="19262" x14ac:dyDescent="0.3"/>
    <row r="19263" x14ac:dyDescent="0.3"/>
    <row r="19264" x14ac:dyDescent="0.3"/>
    <row r="19265" x14ac:dyDescent="0.3"/>
    <row r="19266" x14ac:dyDescent="0.3"/>
    <row r="19267" x14ac:dyDescent="0.3"/>
    <row r="19268" x14ac:dyDescent="0.3"/>
    <row r="19269" x14ac:dyDescent="0.3"/>
    <row r="19270" x14ac:dyDescent="0.3"/>
    <row r="19271" x14ac:dyDescent="0.3"/>
    <row r="19272" x14ac:dyDescent="0.3"/>
    <row r="19273" x14ac:dyDescent="0.3"/>
    <row r="19274" x14ac:dyDescent="0.3"/>
    <row r="19275" x14ac:dyDescent="0.3"/>
    <row r="19276" x14ac:dyDescent="0.3"/>
    <row r="19277" x14ac:dyDescent="0.3"/>
    <row r="19278" x14ac:dyDescent="0.3"/>
    <row r="19279" x14ac:dyDescent="0.3"/>
    <row r="19280" x14ac:dyDescent="0.3"/>
    <row r="19281" x14ac:dyDescent="0.3"/>
    <row r="19282" x14ac:dyDescent="0.3"/>
    <row r="19283" x14ac:dyDescent="0.3"/>
    <row r="19284" x14ac:dyDescent="0.3"/>
    <row r="19285" x14ac:dyDescent="0.3"/>
    <row r="19286" x14ac:dyDescent="0.3"/>
    <row r="19287" x14ac:dyDescent="0.3"/>
    <row r="19288" x14ac:dyDescent="0.3"/>
    <row r="19289" x14ac:dyDescent="0.3"/>
    <row r="19290" x14ac:dyDescent="0.3"/>
    <row r="19291" x14ac:dyDescent="0.3"/>
    <row r="19292" x14ac:dyDescent="0.3"/>
    <row r="19293" x14ac:dyDescent="0.3"/>
    <row r="19294" x14ac:dyDescent="0.3"/>
    <row r="19295" x14ac:dyDescent="0.3"/>
    <row r="19296" x14ac:dyDescent="0.3"/>
    <row r="19297" x14ac:dyDescent="0.3"/>
    <row r="19298" x14ac:dyDescent="0.3"/>
    <row r="19299" x14ac:dyDescent="0.3"/>
    <row r="19300" x14ac:dyDescent="0.3"/>
    <row r="19301" x14ac:dyDescent="0.3"/>
    <row r="19302" x14ac:dyDescent="0.3"/>
    <row r="19303" x14ac:dyDescent="0.3"/>
    <row r="19304" x14ac:dyDescent="0.3"/>
    <row r="19305" x14ac:dyDescent="0.3"/>
    <row r="19306" x14ac:dyDescent="0.3"/>
    <row r="19307" x14ac:dyDescent="0.3"/>
    <row r="19308" x14ac:dyDescent="0.3"/>
    <row r="19309" x14ac:dyDescent="0.3"/>
    <row r="19310" x14ac:dyDescent="0.3"/>
    <row r="19311" x14ac:dyDescent="0.3"/>
    <row r="19312" x14ac:dyDescent="0.3"/>
    <row r="19313" x14ac:dyDescent="0.3"/>
    <row r="19314" x14ac:dyDescent="0.3"/>
    <row r="19315" x14ac:dyDescent="0.3"/>
    <row r="19316" x14ac:dyDescent="0.3"/>
    <row r="19317" x14ac:dyDescent="0.3"/>
    <row r="19318" x14ac:dyDescent="0.3"/>
    <row r="19319" x14ac:dyDescent="0.3"/>
    <row r="19320" x14ac:dyDescent="0.3"/>
    <row r="19321" x14ac:dyDescent="0.3"/>
    <row r="19322" x14ac:dyDescent="0.3"/>
    <row r="19323" x14ac:dyDescent="0.3"/>
    <row r="19324" x14ac:dyDescent="0.3"/>
    <row r="19325" x14ac:dyDescent="0.3"/>
    <row r="19326" x14ac:dyDescent="0.3"/>
    <row r="19327" x14ac:dyDescent="0.3"/>
    <row r="19328" x14ac:dyDescent="0.3"/>
    <row r="19329" x14ac:dyDescent="0.3"/>
    <row r="19330" x14ac:dyDescent="0.3"/>
    <row r="19331" x14ac:dyDescent="0.3"/>
    <row r="19332" x14ac:dyDescent="0.3"/>
    <row r="19333" x14ac:dyDescent="0.3"/>
    <row r="19334" x14ac:dyDescent="0.3"/>
    <row r="19335" x14ac:dyDescent="0.3"/>
    <row r="19336" x14ac:dyDescent="0.3"/>
    <row r="19337" x14ac:dyDescent="0.3"/>
    <row r="19338" x14ac:dyDescent="0.3"/>
    <row r="19339" x14ac:dyDescent="0.3"/>
    <row r="19340" x14ac:dyDescent="0.3"/>
    <row r="19341" x14ac:dyDescent="0.3"/>
    <row r="19342" x14ac:dyDescent="0.3"/>
    <row r="19343" x14ac:dyDescent="0.3"/>
    <row r="19344" x14ac:dyDescent="0.3"/>
    <row r="19345" x14ac:dyDescent="0.3"/>
    <row r="19346" x14ac:dyDescent="0.3"/>
    <row r="19347" x14ac:dyDescent="0.3"/>
    <row r="19348" x14ac:dyDescent="0.3"/>
    <row r="19349" x14ac:dyDescent="0.3"/>
    <row r="19350" x14ac:dyDescent="0.3"/>
    <row r="19351" x14ac:dyDescent="0.3"/>
    <row r="19352" x14ac:dyDescent="0.3"/>
    <row r="19353" x14ac:dyDescent="0.3"/>
    <row r="19354" x14ac:dyDescent="0.3"/>
    <row r="19355" x14ac:dyDescent="0.3"/>
    <row r="19356" x14ac:dyDescent="0.3"/>
    <row r="19357" x14ac:dyDescent="0.3"/>
    <row r="19358" x14ac:dyDescent="0.3"/>
    <row r="19359" x14ac:dyDescent="0.3"/>
    <row r="19360" x14ac:dyDescent="0.3"/>
    <row r="19361" x14ac:dyDescent="0.3"/>
    <row r="19362" x14ac:dyDescent="0.3"/>
    <row r="19363" x14ac:dyDescent="0.3"/>
    <row r="19364" x14ac:dyDescent="0.3"/>
    <row r="19365" x14ac:dyDescent="0.3"/>
    <row r="19366" x14ac:dyDescent="0.3"/>
    <row r="19367" x14ac:dyDescent="0.3"/>
    <row r="19368" x14ac:dyDescent="0.3"/>
    <row r="19369" x14ac:dyDescent="0.3"/>
    <row r="19370" x14ac:dyDescent="0.3"/>
    <row r="19371" x14ac:dyDescent="0.3"/>
    <row r="19372" x14ac:dyDescent="0.3"/>
    <row r="19373" x14ac:dyDescent="0.3"/>
    <row r="19374" x14ac:dyDescent="0.3"/>
    <row r="19375" x14ac:dyDescent="0.3"/>
    <row r="19376" x14ac:dyDescent="0.3"/>
    <row r="19377" x14ac:dyDescent="0.3"/>
    <row r="19378" x14ac:dyDescent="0.3"/>
    <row r="19379" x14ac:dyDescent="0.3"/>
    <row r="19380" x14ac:dyDescent="0.3"/>
    <row r="19381" x14ac:dyDescent="0.3"/>
    <row r="19382" x14ac:dyDescent="0.3"/>
    <row r="19383" x14ac:dyDescent="0.3"/>
    <row r="19384" x14ac:dyDescent="0.3"/>
    <row r="19385" x14ac:dyDescent="0.3"/>
    <row r="19386" x14ac:dyDescent="0.3"/>
    <row r="19387" x14ac:dyDescent="0.3"/>
    <row r="19388" x14ac:dyDescent="0.3"/>
    <row r="19389" x14ac:dyDescent="0.3"/>
    <row r="19390" x14ac:dyDescent="0.3"/>
    <row r="19391" x14ac:dyDescent="0.3"/>
    <row r="19392" x14ac:dyDescent="0.3"/>
    <row r="19393" x14ac:dyDescent="0.3"/>
    <row r="19394" x14ac:dyDescent="0.3"/>
    <row r="19395" x14ac:dyDescent="0.3"/>
    <row r="19396" x14ac:dyDescent="0.3"/>
    <row r="19397" x14ac:dyDescent="0.3"/>
    <row r="19398" x14ac:dyDescent="0.3"/>
    <row r="19399" x14ac:dyDescent="0.3"/>
    <row r="19400" x14ac:dyDescent="0.3"/>
    <row r="19401" x14ac:dyDescent="0.3"/>
    <row r="19402" x14ac:dyDescent="0.3"/>
    <row r="19403" x14ac:dyDescent="0.3"/>
    <row r="19404" x14ac:dyDescent="0.3"/>
    <row r="19405" x14ac:dyDescent="0.3"/>
    <row r="19406" x14ac:dyDescent="0.3"/>
    <row r="19407" x14ac:dyDescent="0.3"/>
    <row r="19408" x14ac:dyDescent="0.3"/>
    <row r="19409" x14ac:dyDescent="0.3"/>
    <row r="19410" x14ac:dyDescent="0.3"/>
    <row r="19411" x14ac:dyDescent="0.3"/>
    <row r="19412" x14ac:dyDescent="0.3"/>
    <row r="19413" x14ac:dyDescent="0.3"/>
    <row r="19414" x14ac:dyDescent="0.3"/>
    <row r="19415" x14ac:dyDescent="0.3"/>
    <row r="19416" x14ac:dyDescent="0.3"/>
    <row r="19417" x14ac:dyDescent="0.3"/>
    <row r="19418" x14ac:dyDescent="0.3"/>
    <row r="19419" x14ac:dyDescent="0.3"/>
    <row r="19420" x14ac:dyDescent="0.3"/>
    <row r="19421" x14ac:dyDescent="0.3"/>
    <row r="19422" x14ac:dyDescent="0.3"/>
    <row r="19423" x14ac:dyDescent="0.3"/>
    <row r="19424" x14ac:dyDescent="0.3"/>
    <row r="19425" x14ac:dyDescent="0.3"/>
    <row r="19426" x14ac:dyDescent="0.3"/>
    <row r="19427" x14ac:dyDescent="0.3"/>
    <row r="19428" x14ac:dyDescent="0.3"/>
    <row r="19429" x14ac:dyDescent="0.3"/>
    <row r="19430" x14ac:dyDescent="0.3"/>
    <row r="19431" x14ac:dyDescent="0.3"/>
    <row r="19432" x14ac:dyDescent="0.3"/>
    <row r="19433" x14ac:dyDescent="0.3"/>
    <row r="19434" x14ac:dyDescent="0.3"/>
    <row r="19435" x14ac:dyDescent="0.3"/>
    <row r="19436" x14ac:dyDescent="0.3"/>
    <row r="19437" x14ac:dyDescent="0.3"/>
    <row r="19438" x14ac:dyDescent="0.3"/>
    <row r="19439" x14ac:dyDescent="0.3"/>
    <row r="19440" x14ac:dyDescent="0.3"/>
    <row r="19441" x14ac:dyDescent="0.3"/>
    <row r="19442" x14ac:dyDescent="0.3"/>
    <row r="19443" x14ac:dyDescent="0.3"/>
    <row r="19444" x14ac:dyDescent="0.3"/>
    <row r="19445" x14ac:dyDescent="0.3"/>
    <row r="19446" x14ac:dyDescent="0.3"/>
    <row r="19447" x14ac:dyDescent="0.3"/>
    <row r="19448" x14ac:dyDescent="0.3"/>
    <row r="19449" x14ac:dyDescent="0.3"/>
    <row r="19450" x14ac:dyDescent="0.3"/>
    <row r="19451" x14ac:dyDescent="0.3"/>
    <row r="19452" x14ac:dyDescent="0.3"/>
    <row r="19453" x14ac:dyDescent="0.3"/>
    <row r="19454" x14ac:dyDescent="0.3"/>
    <row r="19455" x14ac:dyDescent="0.3"/>
    <row r="19456" x14ac:dyDescent="0.3"/>
    <row r="19457" x14ac:dyDescent="0.3"/>
    <row r="19458" x14ac:dyDescent="0.3"/>
    <row r="19459" x14ac:dyDescent="0.3"/>
    <row r="19460" x14ac:dyDescent="0.3"/>
    <row r="19461" x14ac:dyDescent="0.3"/>
    <row r="19462" x14ac:dyDescent="0.3"/>
    <row r="19463" x14ac:dyDescent="0.3"/>
    <row r="19464" x14ac:dyDescent="0.3"/>
    <row r="19465" x14ac:dyDescent="0.3"/>
    <row r="19466" x14ac:dyDescent="0.3"/>
    <row r="19467" x14ac:dyDescent="0.3"/>
    <row r="19468" x14ac:dyDescent="0.3"/>
    <row r="19469" x14ac:dyDescent="0.3"/>
    <row r="19470" x14ac:dyDescent="0.3"/>
    <row r="19471" x14ac:dyDescent="0.3"/>
    <row r="19472" x14ac:dyDescent="0.3"/>
    <row r="19473" x14ac:dyDescent="0.3"/>
    <row r="19474" x14ac:dyDescent="0.3"/>
    <row r="19475" x14ac:dyDescent="0.3"/>
    <row r="19476" x14ac:dyDescent="0.3"/>
    <row r="19477" x14ac:dyDescent="0.3"/>
    <row r="19478" x14ac:dyDescent="0.3"/>
    <row r="19479" x14ac:dyDescent="0.3"/>
    <row r="19480" x14ac:dyDescent="0.3"/>
    <row r="19481" x14ac:dyDescent="0.3"/>
    <row r="19482" x14ac:dyDescent="0.3"/>
    <row r="19483" x14ac:dyDescent="0.3"/>
    <row r="19484" x14ac:dyDescent="0.3"/>
    <row r="19485" x14ac:dyDescent="0.3"/>
    <row r="19486" x14ac:dyDescent="0.3"/>
    <row r="19487" x14ac:dyDescent="0.3"/>
    <row r="19488" x14ac:dyDescent="0.3"/>
    <row r="19489" x14ac:dyDescent="0.3"/>
    <row r="19490" x14ac:dyDescent="0.3"/>
    <row r="19491" x14ac:dyDescent="0.3"/>
    <row r="19492" x14ac:dyDescent="0.3"/>
    <row r="19493" x14ac:dyDescent="0.3"/>
    <row r="19494" x14ac:dyDescent="0.3"/>
    <row r="19495" x14ac:dyDescent="0.3"/>
    <row r="19496" x14ac:dyDescent="0.3"/>
    <row r="19497" x14ac:dyDescent="0.3"/>
    <row r="19498" x14ac:dyDescent="0.3"/>
    <row r="19499" x14ac:dyDescent="0.3"/>
    <row r="19500" x14ac:dyDescent="0.3"/>
    <row r="19501" x14ac:dyDescent="0.3"/>
    <row r="19502" x14ac:dyDescent="0.3"/>
    <row r="19503" x14ac:dyDescent="0.3"/>
    <row r="19504" x14ac:dyDescent="0.3"/>
    <row r="19505" x14ac:dyDescent="0.3"/>
    <row r="19506" x14ac:dyDescent="0.3"/>
    <row r="19507" x14ac:dyDescent="0.3"/>
    <row r="19508" x14ac:dyDescent="0.3"/>
    <row r="19509" x14ac:dyDescent="0.3"/>
    <row r="19510" x14ac:dyDescent="0.3"/>
    <row r="19511" x14ac:dyDescent="0.3"/>
    <row r="19512" x14ac:dyDescent="0.3"/>
    <row r="19513" x14ac:dyDescent="0.3"/>
    <row r="19514" x14ac:dyDescent="0.3"/>
    <row r="19515" x14ac:dyDescent="0.3"/>
    <row r="19516" x14ac:dyDescent="0.3"/>
    <row r="19517" x14ac:dyDescent="0.3"/>
    <row r="19518" x14ac:dyDescent="0.3"/>
    <row r="19519" x14ac:dyDescent="0.3"/>
    <row r="19520" x14ac:dyDescent="0.3"/>
    <row r="19521" x14ac:dyDescent="0.3"/>
    <row r="19522" x14ac:dyDescent="0.3"/>
    <row r="19523" x14ac:dyDescent="0.3"/>
    <row r="19524" x14ac:dyDescent="0.3"/>
    <row r="19525" x14ac:dyDescent="0.3"/>
    <row r="19526" x14ac:dyDescent="0.3"/>
    <row r="19527" x14ac:dyDescent="0.3"/>
    <row r="19528" x14ac:dyDescent="0.3"/>
    <row r="19529" x14ac:dyDescent="0.3"/>
    <row r="19530" x14ac:dyDescent="0.3"/>
    <row r="19531" x14ac:dyDescent="0.3"/>
    <row r="19532" x14ac:dyDescent="0.3"/>
    <row r="19533" x14ac:dyDescent="0.3"/>
    <row r="19534" x14ac:dyDescent="0.3"/>
    <row r="19535" x14ac:dyDescent="0.3"/>
    <row r="19536" x14ac:dyDescent="0.3"/>
    <row r="19537" x14ac:dyDescent="0.3"/>
    <row r="19538" x14ac:dyDescent="0.3"/>
    <row r="19539" x14ac:dyDescent="0.3"/>
    <row r="19540" x14ac:dyDescent="0.3"/>
    <row r="19541" x14ac:dyDescent="0.3"/>
    <row r="19542" x14ac:dyDescent="0.3"/>
    <row r="19543" x14ac:dyDescent="0.3"/>
    <row r="19544" x14ac:dyDescent="0.3"/>
    <row r="19545" x14ac:dyDescent="0.3"/>
    <row r="19546" x14ac:dyDescent="0.3"/>
    <row r="19547" x14ac:dyDescent="0.3"/>
    <row r="19548" x14ac:dyDescent="0.3"/>
    <row r="19549" x14ac:dyDescent="0.3"/>
    <row r="19550" x14ac:dyDescent="0.3"/>
    <row r="19551" x14ac:dyDescent="0.3"/>
    <row r="19552" x14ac:dyDescent="0.3"/>
    <row r="19553" x14ac:dyDescent="0.3"/>
    <row r="19554" x14ac:dyDescent="0.3"/>
    <row r="19555" x14ac:dyDescent="0.3"/>
    <row r="19556" x14ac:dyDescent="0.3"/>
    <row r="19557" x14ac:dyDescent="0.3"/>
    <row r="19558" x14ac:dyDescent="0.3"/>
    <row r="19559" x14ac:dyDescent="0.3"/>
    <row r="19560" x14ac:dyDescent="0.3"/>
    <row r="19561" x14ac:dyDescent="0.3"/>
    <row r="19562" x14ac:dyDescent="0.3"/>
    <row r="19563" x14ac:dyDescent="0.3"/>
    <row r="19564" x14ac:dyDescent="0.3"/>
    <row r="19565" x14ac:dyDescent="0.3"/>
    <row r="19566" x14ac:dyDescent="0.3"/>
    <row r="19567" x14ac:dyDescent="0.3"/>
    <row r="19568" x14ac:dyDescent="0.3"/>
    <row r="19569" x14ac:dyDescent="0.3"/>
    <row r="19570" x14ac:dyDescent="0.3"/>
    <row r="19571" x14ac:dyDescent="0.3"/>
    <row r="19572" x14ac:dyDescent="0.3"/>
    <row r="19573" x14ac:dyDescent="0.3"/>
    <row r="19574" x14ac:dyDescent="0.3"/>
    <row r="19575" x14ac:dyDescent="0.3"/>
    <row r="19576" x14ac:dyDescent="0.3"/>
    <row r="19577" x14ac:dyDescent="0.3"/>
    <row r="19578" x14ac:dyDescent="0.3"/>
    <row r="19579" x14ac:dyDescent="0.3"/>
    <row r="19580" x14ac:dyDescent="0.3"/>
    <row r="19581" x14ac:dyDescent="0.3"/>
    <row r="19582" x14ac:dyDescent="0.3"/>
    <row r="19583" x14ac:dyDescent="0.3"/>
    <row r="19584" x14ac:dyDescent="0.3"/>
    <row r="19585" x14ac:dyDescent="0.3"/>
    <row r="19586" x14ac:dyDescent="0.3"/>
    <row r="19587" x14ac:dyDescent="0.3"/>
    <row r="19588" x14ac:dyDescent="0.3"/>
    <row r="19589" x14ac:dyDescent="0.3"/>
    <row r="19590" x14ac:dyDescent="0.3"/>
    <row r="19591" x14ac:dyDescent="0.3"/>
    <row r="19592" x14ac:dyDescent="0.3"/>
    <row r="19593" x14ac:dyDescent="0.3"/>
    <row r="19594" x14ac:dyDescent="0.3"/>
    <row r="19595" x14ac:dyDescent="0.3"/>
    <row r="19596" x14ac:dyDescent="0.3"/>
    <row r="19597" x14ac:dyDescent="0.3"/>
    <row r="19598" x14ac:dyDescent="0.3"/>
    <row r="19599" x14ac:dyDescent="0.3"/>
    <row r="19600" x14ac:dyDescent="0.3"/>
    <row r="19601" x14ac:dyDescent="0.3"/>
    <row r="19602" x14ac:dyDescent="0.3"/>
    <row r="19603" x14ac:dyDescent="0.3"/>
    <row r="19604" x14ac:dyDescent="0.3"/>
    <row r="19605" x14ac:dyDescent="0.3"/>
    <row r="19606" x14ac:dyDescent="0.3"/>
    <row r="19607" x14ac:dyDescent="0.3"/>
    <row r="19608" x14ac:dyDescent="0.3"/>
    <row r="19609" x14ac:dyDescent="0.3"/>
    <row r="19610" x14ac:dyDescent="0.3"/>
    <row r="19611" x14ac:dyDescent="0.3"/>
    <row r="19612" x14ac:dyDescent="0.3"/>
    <row r="19613" x14ac:dyDescent="0.3"/>
    <row r="19614" x14ac:dyDescent="0.3"/>
    <row r="19615" x14ac:dyDescent="0.3"/>
    <row r="19616" x14ac:dyDescent="0.3"/>
    <row r="19617" x14ac:dyDescent="0.3"/>
    <row r="19618" x14ac:dyDescent="0.3"/>
    <row r="19619" x14ac:dyDescent="0.3"/>
    <row r="19620" x14ac:dyDescent="0.3"/>
    <row r="19621" x14ac:dyDescent="0.3"/>
    <row r="19622" x14ac:dyDescent="0.3"/>
    <row r="19623" x14ac:dyDescent="0.3"/>
    <row r="19624" x14ac:dyDescent="0.3"/>
    <row r="19625" x14ac:dyDescent="0.3"/>
    <row r="19626" x14ac:dyDescent="0.3"/>
    <row r="19627" x14ac:dyDescent="0.3"/>
    <row r="19628" x14ac:dyDescent="0.3"/>
    <row r="19629" x14ac:dyDescent="0.3"/>
    <row r="19630" x14ac:dyDescent="0.3"/>
    <row r="19631" x14ac:dyDescent="0.3"/>
    <row r="19632" x14ac:dyDescent="0.3"/>
    <row r="19633" x14ac:dyDescent="0.3"/>
    <row r="19634" x14ac:dyDescent="0.3"/>
    <row r="19635" x14ac:dyDescent="0.3"/>
    <row r="19636" x14ac:dyDescent="0.3"/>
    <row r="19637" x14ac:dyDescent="0.3"/>
    <row r="19638" x14ac:dyDescent="0.3"/>
    <row r="19639" x14ac:dyDescent="0.3"/>
    <row r="19640" x14ac:dyDescent="0.3"/>
    <row r="19641" x14ac:dyDescent="0.3"/>
    <row r="19642" x14ac:dyDescent="0.3"/>
    <row r="19643" x14ac:dyDescent="0.3"/>
    <row r="19644" x14ac:dyDescent="0.3"/>
    <row r="19645" x14ac:dyDescent="0.3"/>
    <row r="19646" x14ac:dyDescent="0.3"/>
    <row r="19647" x14ac:dyDescent="0.3"/>
    <row r="19648" x14ac:dyDescent="0.3"/>
    <row r="19649" x14ac:dyDescent="0.3"/>
    <row r="19650" x14ac:dyDescent="0.3"/>
    <row r="19651" x14ac:dyDescent="0.3"/>
    <row r="19652" x14ac:dyDescent="0.3"/>
    <row r="19653" x14ac:dyDescent="0.3"/>
    <row r="19654" x14ac:dyDescent="0.3"/>
    <row r="19655" x14ac:dyDescent="0.3"/>
    <row r="19656" x14ac:dyDescent="0.3"/>
    <row r="19657" x14ac:dyDescent="0.3"/>
    <row r="19658" x14ac:dyDescent="0.3"/>
    <row r="19659" x14ac:dyDescent="0.3"/>
    <row r="19660" x14ac:dyDescent="0.3"/>
    <row r="19661" x14ac:dyDescent="0.3"/>
    <row r="19662" x14ac:dyDescent="0.3"/>
    <row r="19663" x14ac:dyDescent="0.3"/>
    <row r="19664" x14ac:dyDescent="0.3"/>
    <row r="19665" x14ac:dyDescent="0.3"/>
    <row r="19666" x14ac:dyDescent="0.3"/>
    <row r="19667" x14ac:dyDescent="0.3"/>
    <row r="19668" x14ac:dyDescent="0.3"/>
    <row r="19669" x14ac:dyDescent="0.3"/>
    <row r="19670" x14ac:dyDescent="0.3"/>
    <row r="19671" x14ac:dyDescent="0.3"/>
    <row r="19672" x14ac:dyDescent="0.3"/>
    <row r="19673" x14ac:dyDescent="0.3"/>
    <row r="19674" x14ac:dyDescent="0.3"/>
    <row r="19675" x14ac:dyDescent="0.3"/>
    <row r="19676" x14ac:dyDescent="0.3"/>
    <row r="19677" x14ac:dyDescent="0.3"/>
    <row r="19678" x14ac:dyDescent="0.3"/>
    <row r="19679" x14ac:dyDescent="0.3"/>
    <row r="19680" x14ac:dyDescent="0.3"/>
    <row r="19681" x14ac:dyDescent="0.3"/>
    <row r="19682" x14ac:dyDescent="0.3"/>
    <row r="19683" x14ac:dyDescent="0.3"/>
    <row r="19684" x14ac:dyDescent="0.3"/>
    <row r="19685" x14ac:dyDescent="0.3"/>
    <row r="19686" x14ac:dyDescent="0.3"/>
    <row r="19687" x14ac:dyDescent="0.3"/>
    <row r="19688" x14ac:dyDescent="0.3"/>
    <row r="19689" x14ac:dyDescent="0.3"/>
    <row r="19690" x14ac:dyDescent="0.3"/>
    <row r="19691" x14ac:dyDescent="0.3"/>
    <row r="19692" x14ac:dyDescent="0.3"/>
    <row r="19693" x14ac:dyDescent="0.3"/>
    <row r="19694" x14ac:dyDescent="0.3"/>
    <row r="19695" x14ac:dyDescent="0.3"/>
    <row r="19696" x14ac:dyDescent="0.3"/>
    <row r="19697" x14ac:dyDescent="0.3"/>
    <row r="19698" x14ac:dyDescent="0.3"/>
    <row r="19699" x14ac:dyDescent="0.3"/>
    <row r="19700" x14ac:dyDescent="0.3"/>
    <row r="19701" x14ac:dyDescent="0.3"/>
    <row r="19702" x14ac:dyDescent="0.3"/>
    <row r="19703" x14ac:dyDescent="0.3"/>
    <row r="19704" x14ac:dyDescent="0.3"/>
    <row r="19705" x14ac:dyDescent="0.3"/>
    <row r="19706" x14ac:dyDescent="0.3"/>
    <row r="19707" x14ac:dyDescent="0.3"/>
    <row r="19708" x14ac:dyDescent="0.3"/>
    <row r="19709" x14ac:dyDescent="0.3"/>
    <row r="19710" x14ac:dyDescent="0.3"/>
    <row r="19711" x14ac:dyDescent="0.3"/>
    <row r="19712" x14ac:dyDescent="0.3"/>
    <row r="19713" x14ac:dyDescent="0.3"/>
    <row r="19714" x14ac:dyDescent="0.3"/>
    <row r="19715" x14ac:dyDescent="0.3"/>
    <row r="19716" x14ac:dyDescent="0.3"/>
    <row r="19717" x14ac:dyDescent="0.3"/>
    <row r="19718" x14ac:dyDescent="0.3"/>
    <row r="19719" x14ac:dyDescent="0.3"/>
    <row r="19720" x14ac:dyDescent="0.3"/>
    <row r="19721" x14ac:dyDescent="0.3"/>
    <row r="19722" x14ac:dyDescent="0.3"/>
    <row r="19723" x14ac:dyDescent="0.3"/>
    <row r="19724" x14ac:dyDescent="0.3"/>
    <row r="19725" x14ac:dyDescent="0.3"/>
    <row r="19726" x14ac:dyDescent="0.3"/>
    <row r="19727" x14ac:dyDescent="0.3"/>
    <row r="19728" x14ac:dyDescent="0.3"/>
    <row r="19729" x14ac:dyDescent="0.3"/>
    <row r="19730" x14ac:dyDescent="0.3"/>
    <row r="19731" x14ac:dyDescent="0.3"/>
    <row r="19732" x14ac:dyDescent="0.3"/>
    <row r="19733" x14ac:dyDescent="0.3"/>
    <row r="19734" x14ac:dyDescent="0.3"/>
    <row r="19735" x14ac:dyDescent="0.3"/>
    <row r="19736" x14ac:dyDescent="0.3"/>
    <row r="19737" x14ac:dyDescent="0.3"/>
    <row r="19738" x14ac:dyDescent="0.3"/>
    <row r="19739" x14ac:dyDescent="0.3"/>
    <row r="19740" x14ac:dyDescent="0.3"/>
    <row r="19741" x14ac:dyDescent="0.3"/>
    <row r="19742" x14ac:dyDescent="0.3"/>
    <row r="19743" x14ac:dyDescent="0.3"/>
    <row r="19744" x14ac:dyDescent="0.3"/>
    <row r="19745" x14ac:dyDescent="0.3"/>
    <row r="19746" x14ac:dyDescent="0.3"/>
    <row r="19747" x14ac:dyDescent="0.3"/>
    <row r="19748" x14ac:dyDescent="0.3"/>
    <row r="19749" x14ac:dyDescent="0.3"/>
    <row r="19750" x14ac:dyDescent="0.3"/>
    <row r="19751" x14ac:dyDescent="0.3"/>
    <row r="19752" x14ac:dyDescent="0.3"/>
    <row r="19753" x14ac:dyDescent="0.3"/>
    <row r="19754" x14ac:dyDescent="0.3"/>
    <row r="19755" x14ac:dyDescent="0.3"/>
    <row r="19756" x14ac:dyDescent="0.3"/>
    <row r="19757" x14ac:dyDescent="0.3"/>
    <row r="19758" x14ac:dyDescent="0.3"/>
    <row r="19759" x14ac:dyDescent="0.3"/>
    <row r="19760" x14ac:dyDescent="0.3"/>
    <row r="19761" x14ac:dyDescent="0.3"/>
    <row r="19762" x14ac:dyDescent="0.3"/>
    <row r="19763" x14ac:dyDescent="0.3"/>
    <row r="19764" x14ac:dyDescent="0.3"/>
    <row r="19765" x14ac:dyDescent="0.3"/>
    <row r="19766" x14ac:dyDescent="0.3"/>
    <row r="19767" x14ac:dyDescent="0.3"/>
    <row r="19768" x14ac:dyDescent="0.3"/>
    <row r="19769" x14ac:dyDescent="0.3"/>
    <row r="19770" x14ac:dyDescent="0.3"/>
    <row r="19771" x14ac:dyDescent="0.3"/>
    <row r="19772" x14ac:dyDescent="0.3"/>
    <row r="19773" x14ac:dyDescent="0.3"/>
    <row r="19774" x14ac:dyDescent="0.3"/>
    <row r="19775" x14ac:dyDescent="0.3"/>
    <row r="19776" x14ac:dyDescent="0.3"/>
    <row r="19777" x14ac:dyDescent="0.3"/>
    <row r="19778" x14ac:dyDescent="0.3"/>
    <row r="19779" x14ac:dyDescent="0.3"/>
    <row r="19780" x14ac:dyDescent="0.3"/>
    <row r="19781" x14ac:dyDescent="0.3"/>
    <row r="19782" x14ac:dyDescent="0.3"/>
    <row r="19783" x14ac:dyDescent="0.3"/>
    <row r="19784" x14ac:dyDescent="0.3"/>
    <row r="19785" x14ac:dyDescent="0.3"/>
    <row r="19786" x14ac:dyDescent="0.3"/>
    <row r="19787" x14ac:dyDescent="0.3"/>
    <row r="19788" x14ac:dyDescent="0.3"/>
    <row r="19789" x14ac:dyDescent="0.3"/>
    <row r="19790" x14ac:dyDescent="0.3"/>
    <row r="19791" x14ac:dyDescent="0.3"/>
    <row r="19792" x14ac:dyDescent="0.3"/>
    <row r="19793" x14ac:dyDescent="0.3"/>
    <row r="19794" x14ac:dyDescent="0.3"/>
    <row r="19795" x14ac:dyDescent="0.3"/>
    <row r="19796" x14ac:dyDescent="0.3"/>
    <row r="19797" x14ac:dyDescent="0.3"/>
    <row r="19798" x14ac:dyDescent="0.3"/>
    <row r="19799" x14ac:dyDescent="0.3"/>
    <row r="19800" x14ac:dyDescent="0.3"/>
    <row r="19801" x14ac:dyDescent="0.3"/>
    <row r="19802" x14ac:dyDescent="0.3"/>
    <row r="19803" x14ac:dyDescent="0.3"/>
    <row r="19804" x14ac:dyDescent="0.3"/>
    <row r="19805" x14ac:dyDescent="0.3"/>
    <row r="19806" x14ac:dyDescent="0.3"/>
    <row r="19807" x14ac:dyDescent="0.3"/>
    <row r="19808" x14ac:dyDescent="0.3"/>
    <row r="19809" x14ac:dyDescent="0.3"/>
    <row r="19810" x14ac:dyDescent="0.3"/>
    <row r="19811" x14ac:dyDescent="0.3"/>
    <row r="19812" x14ac:dyDescent="0.3"/>
    <row r="19813" x14ac:dyDescent="0.3"/>
    <row r="19814" x14ac:dyDescent="0.3"/>
    <row r="19815" x14ac:dyDescent="0.3"/>
    <row r="19816" x14ac:dyDescent="0.3"/>
    <row r="19817" x14ac:dyDescent="0.3"/>
    <row r="19818" x14ac:dyDescent="0.3"/>
    <row r="19819" x14ac:dyDescent="0.3"/>
    <row r="19820" x14ac:dyDescent="0.3"/>
    <row r="19821" x14ac:dyDescent="0.3"/>
    <row r="19822" x14ac:dyDescent="0.3"/>
    <row r="19823" x14ac:dyDescent="0.3"/>
    <row r="19824" x14ac:dyDescent="0.3"/>
    <row r="19825" x14ac:dyDescent="0.3"/>
    <row r="19826" x14ac:dyDescent="0.3"/>
    <row r="19827" x14ac:dyDescent="0.3"/>
    <row r="19828" x14ac:dyDescent="0.3"/>
    <row r="19829" x14ac:dyDescent="0.3"/>
    <row r="19830" x14ac:dyDescent="0.3"/>
    <row r="19831" x14ac:dyDescent="0.3"/>
    <row r="19832" x14ac:dyDescent="0.3"/>
    <row r="19833" x14ac:dyDescent="0.3"/>
    <row r="19834" x14ac:dyDescent="0.3"/>
    <row r="19835" x14ac:dyDescent="0.3"/>
    <row r="19836" x14ac:dyDescent="0.3"/>
    <row r="19837" x14ac:dyDescent="0.3"/>
    <row r="19838" x14ac:dyDescent="0.3"/>
    <row r="19839" x14ac:dyDescent="0.3"/>
    <row r="19840" x14ac:dyDescent="0.3"/>
    <row r="19841" x14ac:dyDescent="0.3"/>
    <row r="19842" x14ac:dyDescent="0.3"/>
    <row r="19843" x14ac:dyDescent="0.3"/>
    <row r="19844" x14ac:dyDescent="0.3"/>
    <row r="19845" x14ac:dyDescent="0.3"/>
    <row r="19846" x14ac:dyDescent="0.3"/>
    <row r="19847" x14ac:dyDescent="0.3"/>
    <row r="19848" x14ac:dyDescent="0.3"/>
    <row r="19849" x14ac:dyDescent="0.3"/>
    <row r="19850" x14ac:dyDescent="0.3"/>
    <row r="19851" x14ac:dyDescent="0.3"/>
    <row r="19852" x14ac:dyDescent="0.3"/>
    <row r="19853" x14ac:dyDescent="0.3"/>
    <row r="19854" x14ac:dyDescent="0.3"/>
    <row r="19855" x14ac:dyDescent="0.3"/>
    <row r="19856" x14ac:dyDescent="0.3"/>
    <row r="19857" x14ac:dyDescent="0.3"/>
    <row r="19858" x14ac:dyDescent="0.3"/>
    <row r="19859" x14ac:dyDescent="0.3"/>
    <row r="19860" x14ac:dyDescent="0.3"/>
    <row r="19861" x14ac:dyDescent="0.3"/>
    <row r="19862" x14ac:dyDescent="0.3"/>
    <row r="19863" x14ac:dyDescent="0.3"/>
    <row r="19864" x14ac:dyDescent="0.3"/>
    <row r="19865" x14ac:dyDescent="0.3"/>
    <row r="19866" x14ac:dyDescent="0.3"/>
    <row r="19867" x14ac:dyDescent="0.3"/>
    <row r="19868" x14ac:dyDescent="0.3"/>
    <row r="19869" x14ac:dyDescent="0.3"/>
    <row r="19870" x14ac:dyDescent="0.3"/>
    <row r="19871" x14ac:dyDescent="0.3"/>
    <row r="19872" x14ac:dyDescent="0.3"/>
    <row r="19873" x14ac:dyDescent="0.3"/>
    <row r="19874" x14ac:dyDescent="0.3"/>
    <row r="19875" x14ac:dyDescent="0.3"/>
    <row r="19876" x14ac:dyDescent="0.3"/>
    <row r="19877" x14ac:dyDescent="0.3"/>
    <row r="19878" x14ac:dyDescent="0.3"/>
    <row r="19879" x14ac:dyDescent="0.3"/>
    <row r="19880" x14ac:dyDescent="0.3"/>
    <row r="19881" x14ac:dyDescent="0.3"/>
    <row r="19882" x14ac:dyDescent="0.3"/>
    <row r="19883" x14ac:dyDescent="0.3"/>
    <row r="19884" x14ac:dyDescent="0.3"/>
    <row r="19885" x14ac:dyDescent="0.3"/>
    <row r="19886" x14ac:dyDescent="0.3"/>
    <row r="19887" x14ac:dyDescent="0.3"/>
    <row r="19888" x14ac:dyDescent="0.3"/>
    <row r="19889" x14ac:dyDescent="0.3"/>
    <row r="19890" x14ac:dyDescent="0.3"/>
    <row r="19891" x14ac:dyDescent="0.3"/>
    <row r="19892" x14ac:dyDescent="0.3"/>
    <row r="19893" x14ac:dyDescent="0.3"/>
    <row r="19894" x14ac:dyDescent="0.3"/>
    <row r="19895" x14ac:dyDescent="0.3"/>
    <row r="19896" x14ac:dyDescent="0.3"/>
    <row r="19897" x14ac:dyDescent="0.3"/>
    <row r="19898" x14ac:dyDescent="0.3"/>
    <row r="19899" x14ac:dyDescent="0.3"/>
    <row r="19900" x14ac:dyDescent="0.3"/>
    <row r="19901" x14ac:dyDescent="0.3"/>
    <row r="19902" x14ac:dyDescent="0.3"/>
    <row r="19903" x14ac:dyDescent="0.3"/>
    <row r="19904" x14ac:dyDescent="0.3"/>
    <row r="19905" x14ac:dyDescent="0.3"/>
    <row r="19906" x14ac:dyDescent="0.3"/>
    <row r="19907" x14ac:dyDescent="0.3"/>
    <row r="19908" x14ac:dyDescent="0.3"/>
    <row r="19909" x14ac:dyDescent="0.3"/>
    <row r="19910" x14ac:dyDescent="0.3"/>
    <row r="19911" x14ac:dyDescent="0.3"/>
    <row r="19912" x14ac:dyDescent="0.3"/>
    <row r="19913" x14ac:dyDescent="0.3"/>
    <row r="19914" x14ac:dyDescent="0.3"/>
    <row r="19915" x14ac:dyDescent="0.3"/>
    <row r="19916" x14ac:dyDescent="0.3"/>
    <row r="19917" x14ac:dyDescent="0.3"/>
    <row r="19918" x14ac:dyDescent="0.3"/>
    <row r="19919" x14ac:dyDescent="0.3"/>
    <row r="19920" x14ac:dyDescent="0.3"/>
    <row r="19921" x14ac:dyDescent="0.3"/>
    <row r="19922" x14ac:dyDescent="0.3"/>
    <row r="19923" x14ac:dyDescent="0.3"/>
    <row r="19924" x14ac:dyDescent="0.3"/>
    <row r="19925" x14ac:dyDescent="0.3"/>
    <row r="19926" x14ac:dyDescent="0.3"/>
    <row r="19927" x14ac:dyDescent="0.3"/>
    <row r="19928" x14ac:dyDescent="0.3"/>
    <row r="19929" x14ac:dyDescent="0.3"/>
    <row r="19930" x14ac:dyDescent="0.3"/>
    <row r="19931" x14ac:dyDescent="0.3"/>
    <row r="19932" x14ac:dyDescent="0.3"/>
    <row r="19933" x14ac:dyDescent="0.3"/>
    <row r="19934" x14ac:dyDescent="0.3"/>
    <row r="19935" x14ac:dyDescent="0.3"/>
    <row r="19936" x14ac:dyDescent="0.3"/>
    <row r="19937" x14ac:dyDescent="0.3"/>
    <row r="19938" x14ac:dyDescent="0.3"/>
    <row r="19939" x14ac:dyDescent="0.3"/>
    <row r="19940" x14ac:dyDescent="0.3"/>
    <row r="19941" x14ac:dyDescent="0.3"/>
    <row r="19942" x14ac:dyDescent="0.3"/>
    <row r="19943" x14ac:dyDescent="0.3"/>
    <row r="19944" x14ac:dyDescent="0.3"/>
    <row r="19945" x14ac:dyDescent="0.3"/>
    <row r="19946" x14ac:dyDescent="0.3"/>
    <row r="19947" x14ac:dyDescent="0.3"/>
    <row r="19948" x14ac:dyDescent="0.3"/>
    <row r="19949" x14ac:dyDescent="0.3"/>
    <row r="19950" x14ac:dyDescent="0.3"/>
    <row r="19951" x14ac:dyDescent="0.3"/>
    <row r="19952" x14ac:dyDescent="0.3"/>
    <row r="19953" x14ac:dyDescent="0.3"/>
    <row r="19954" x14ac:dyDescent="0.3"/>
    <row r="19955" x14ac:dyDescent="0.3"/>
    <row r="19956" x14ac:dyDescent="0.3"/>
    <row r="19957" x14ac:dyDescent="0.3"/>
    <row r="19958" x14ac:dyDescent="0.3"/>
    <row r="19959" x14ac:dyDescent="0.3"/>
    <row r="19960" x14ac:dyDescent="0.3"/>
    <row r="19961" x14ac:dyDescent="0.3"/>
    <row r="19962" x14ac:dyDescent="0.3"/>
    <row r="19963" x14ac:dyDescent="0.3"/>
    <row r="19964" x14ac:dyDescent="0.3"/>
    <row r="19965" x14ac:dyDescent="0.3"/>
    <row r="19966" x14ac:dyDescent="0.3"/>
    <row r="19967" x14ac:dyDescent="0.3"/>
    <row r="19968" x14ac:dyDescent="0.3"/>
    <row r="19969" x14ac:dyDescent="0.3"/>
    <row r="19970" x14ac:dyDescent="0.3"/>
    <row r="19971" x14ac:dyDescent="0.3"/>
    <row r="19972" x14ac:dyDescent="0.3"/>
    <row r="19973" x14ac:dyDescent="0.3"/>
    <row r="19974" x14ac:dyDescent="0.3"/>
    <row r="19975" x14ac:dyDescent="0.3"/>
    <row r="19976" x14ac:dyDescent="0.3"/>
    <row r="19977" x14ac:dyDescent="0.3"/>
    <row r="19978" x14ac:dyDescent="0.3"/>
    <row r="19979" x14ac:dyDescent="0.3"/>
    <row r="19980" x14ac:dyDescent="0.3"/>
    <row r="19981" x14ac:dyDescent="0.3"/>
    <row r="19982" x14ac:dyDescent="0.3"/>
    <row r="19983" x14ac:dyDescent="0.3"/>
    <row r="19984" x14ac:dyDescent="0.3"/>
    <row r="19985" x14ac:dyDescent="0.3"/>
    <row r="19986" x14ac:dyDescent="0.3"/>
    <row r="19987" x14ac:dyDescent="0.3"/>
    <row r="19988" x14ac:dyDescent="0.3"/>
    <row r="19989" x14ac:dyDescent="0.3"/>
    <row r="19990" x14ac:dyDescent="0.3"/>
    <row r="19991" x14ac:dyDescent="0.3"/>
    <row r="19992" x14ac:dyDescent="0.3"/>
    <row r="19993" x14ac:dyDescent="0.3"/>
    <row r="19994" x14ac:dyDescent="0.3"/>
    <row r="19995" x14ac:dyDescent="0.3"/>
    <row r="19996" x14ac:dyDescent="0.3"/>
    <row r="19997" x14ac:dyDescent="0.3"/>
    <row r="19998" x14ac:dyDescent="0.3"/>
    <row r="19999" x14ac:dyDescent="0.3"/>
    <row r="20000" x14ac:dyDescent="0.3"/>
    <row r="20001" x14ac:dyDescent="0.3"/>
    <row r="20002" x14ac:dyDescent="0.3"/>
    <row r="20003" x14ac:dyDescent="0.3"/>
    <row r="20004" x14ac:dyDescent="0.3"/>
    <row r="20005" x14ac:dyDescent="0.3"/>
    <row r="20006" x14ac:dyDescent="0.3"/>
    <row r="20007" x14ac:dyDescent="0.3"/>
    <row r="20008" x14ac:dyDescent="0.3"/>
    <row r="20009" x14ac:dyDescent="0.3"/>
    <row r="20010" x14ac:dyDescent="0.3"/>
    <row r="20011" x14ac:dyDescent="0.3"/>
    <row r="20012" x14ac:dyDescent="0.3"/>
    <row r="20013" x14ac:dyDescent="0.3"/>
    <row r="20014" x14ac:dyDescent="0.3"/>
    <row r="20015" x14ac:dyDescent="0.3"/>
    <row r="20016" x14ac:dyDescent="0.3"/>
    <row r="20017" x14ac:dyDescent="0.3"/>
    <row r="20018" x14ac:dyDescent="0.3"/>
    <row r="20019" x14ac:dyDescent="0.3"/>
    <row r="20020" x14ac:dyDescent="0.3"/>
    <row r="20021" x14ac:dyDescent="0.3"/>
    <row r="20022" x14ac:dyDescent="0.3"/>
    <row r="20023" x14ac:dyDescent="0.3"/>
    <row r="20024" x14ac:dyDescent="0.3"/>
    <row r="20025" x14ac:dyDescent="0.3"/>
    <row r="20026" x14ac:dyDescent="0.3"/>
    <row r="20027" x14ac:dyDescent="0.3"/>
    <row r="20028" x14ac:dyDescent="0.3"/>
    <row r="20029" x14ac:dyDescent="0.3"/>
    <row r="20030" x14ac:dyDescent="0.3"/>
    <row r="20031" x14ac:dyDescent="0.3"/>
    <row r="20032" x14ac:dyDescent="0.3"/>
    <row r="20033" x14ac:dyDescent="0.3"/>
    <row r="20034" x14ac:dyDescent="0.3"/>
    <row r="20035" x14ac:dyDescent="0.3"/>
    <row r="20036" x14ac:dyDescent="0.3"/>
    <row r="20037" x14ac:dyDescent="0.3"/>
    <row r="20038" x14ac:dyDescent="0.3"/>
    <row r="20039" x14ac:dyDescent="0.3"/>
    <row r="20040" x14ac:dyDescent="0.3"/>
    <row r="20041" x14ac:dyDescent="0.3"/>
    <row r="20042" x14ac:dyDescent="0.3"/>
    <row r="20043" x14ac:dyDescent="0.3"/>
    <row r="20044" x14ac:dyDescent="0.3"/>
    <row r="20045" x14ac:dyDescent="0.3"/>
    <row r="20046" x14ac:dyDescent="0.3"/>
    <row r="20047" x14ac:dyDescent="0.3"/>
    <row r="20048" x14ac:dyDescent="0.3"/>
    <row r="20049" x14ac:dyDescent="0.3"/>
    <row r="20050" x14ac:dyDescent="0.3"/>
    <row r="20051" x14ac:dyDescent="0.3"/>
    <row r="20052" x14ac:dyDescent="0.3"/>
    <row r="20053" x14ac:dyDescent="0.3"/>
    <row r="20054" x14ac:dyDescent="0.3"/>
    <row r="20055" x14ac:dyDescent="0.3"/>
    <row r="20056" x14ac:dyDescent="0.3"/>
    <row r="20057" x14ac:dyDescent="0.3"/>
    <row r="20058" x14ac:dyDescent="0.3"/>
    <row r="20059" x14ac:dyDescent="0.3"/>
    <row r="20060" x14ac:dyDescent="0.3"/>
    <row r="20061" x14ac:dyDescent="0.3"/>
    <row r="20062" x14ac:dyDescent="0.3"/>
    <row r="20063" x14ac:dyDescent="0.3"/>
    <row r="20064" x14ac:dyDescent="0.3"/>
    <row r="20065" x14ac:dyDescent="0.3"/>
    <row r="20066" x14ac:dyDescent="0.3"/>
    <row r="20067" x14ac:dyDescent="0.3"/>
    <row r="20068" x14ac:dyDescent="0.3"/>
    <row r="20069" x14ac:dyDescent="0.3"/>
    <row r="20070" x14ac:dyDescent="0.3"/>
    <row r="20071" x14ac:dyDescent="0.3"/>
    <row r="20072" x14ac:dyDescent="0.3"/>
    <row r="20073" x14ac:dyDescent="0.3"/>
    <row r="20074" x14ac:dyDescent="0.3"/>
    <row r="20075" x14ac:dyDescent="0.3"/>
    <row r="20076" x14ac:dyDescent="0.3"/>
    <row r="20077" x14ac:dyDescent="0.3"/>
    <row r="20078" x14ac:dyDescent="0.3"/>
    <row r="20079" x14ac:dyDescent="0.3"/>
    <row r="20080" x14ac:dyDescent="0.3"/>
    <row r="20081" x14ac:dyDescent="0.3"/>
    <row r="20082" x14ac:dyDescent="0.3"/>
    <row r="20083" x14ac:dyDescent="0.3"/>
    <row r="20084" x14ac:dyDescent="0.3"/>
    <row r="20085" x14ac:dyDescent="0.3"/>
    <row r="20086" x14ac:dyDescent="0.3"/>
    <row r="20087" x14ac:dyDescent="0.3"/>
    <row r="20088" x14ac:dyDescent="0.3"/>
    <row r="20089" x14ac:dyDescent="0.3"/>
    <row r="20090" x14ac:dyDescent="0.3"/>
    <row r="20091" x14ac:dyDescent="0.3"/>
    <row r="20092" x14ac:dyDescent="0.3"/>
    <row r="20093" x14ac:dyDescent="0.3"/>
    <row r="20094" x14ac:dyDescent="0.3"/>
    <row r="20095" x14ac:dyDescent="0.3"/>
    <row r="20096" x14ac:dyDescent="0.3"/>
    <row r="20097" x14ac:dyDescent="0.3"/>
    <row r="20098" x14ac:dyDescent="0.3"/>
    <row r="20099" x14ac:dyDescent="0.3"/>
    <row r="20100" x14ac:dyDescent="0.3"/>
    <row r="20101" x14ac:dyDescent="0.3"/>
    <row r="20102" x14ac:dyDescent="0.3"/>
    <row r="20103" x14ac:dyDescent="0.3"/>
    <row r="20104" x14ac:dyDescent="0.3"/>
    <row r="20105" x14ac:dyDescent="0.3"/>
    <row r="20106" x14ac:dyDescent="0.3"/>
    <row r="20107" x14ac:dyDescent="0.3"/>
    <row r="20108" x14ac:dyDescent="0.3"/>
    <row r="20109" x14ac:dyDescent="0.3"/>
    <row r="20110" x14ac:dyDescent="0.3"/>
    <row r="20111" x14ac:dyDescent="0.3"/>
    <row r="20112" x14ac:dyDescent="0.3"/>
    <row r="20113" x14ac:dyDescent="0.3"/>
    <row r="20114" x14ac:dyDescent="0.3"/>
    <row r="20115" x14ac:dyDescent="0.3"/>
    <row r="20116" x14ac:dyDescent="0.3"/>
    <row r="20117" x14ac:dyDescent="0.3"/>
    <row r="20118" x14ac:dyDescent="0.3"/>
    <row r="20119" x14ac:dyDescent="0.3"/>
    <row r="20120" x14ac:dyDescent="0.3"/>
    <row r="20121" x14ac:dyDescent="0.3"/>
    <row r="20122" x14ac:dyDescent="0.3"/>
    <row r="20123" x14ac:dyDescent="0.3"/>
    <row r="20124" x14ac:dyDescent="0.3"/>
    <row r="20125" x14ac:dyDescent="0.3"/>
    <row r="20126" x14ac:dyDescent="0.3"/>
    <row r="20127" x14ac:dyDescent="0.3"/>
    <row r="20128" x14ac:dyDescent="0.3"/>
    <row r="20129" x14ac:dyDescent="0.3"/>
    <row r="20130" x14ac:dyDescent="0.3"/>
    <row r="20131" x14ac:dyDescent="0.3"/>
    <row r="20132" x14ac:dyDescent="0.3"/>
    <row r="20133" x14ac:dyDescent="0.3"/>
    <row r="20134" x14ac:dyDescent="0.3"/>
    <row r="20135" x14ac:dyDescent="0.3"/>
    <row r="20136" x14ac:dyDescent="0.3"/>
    <row r="20137" x14ac:dyDescent="0.3"/>
    <row r="20138" x14ac:dyDescent="0.3"/>
    <row r="20139" x14ac:dyDescent="0.3"/>
    <row r="20140" x14ac:dyDescent="0.3"/>
    <row r="20141" x14ac:dyDescent="0.3"/>
    <row r="20142" x14ac:dyDescent="0.3"/>
    <row r="20143" x14ac:dyDescent="0.3"/>
    <row r="20144" x14ac:dyDescent="0.3"/>
    <row r="20145" x14ac:dyDescent="0.3"/>
    <row r="20146" x14ac:dyDescent="0.3"/>
    <row r="20147" x14ac:dyDescent="0.3"/>
    <row r="20148" x14ac:dyDescent="0.3"/>
    <row r="20149" x14ac:dyDescent="0.3"/>
    <row r="20150" x14ac:dyDescent="0.3"/>
    <row r="20151" x14ac:dyDescent="0.3"/>
    <row r="20152" x14ac:dyDescent="0.3"/>
    <row r="20153" x14ac:dyDescent="0.3"/>
    <row r="20154" x14ac:dyDescent="0.3"/>
    <row r="20155" x14ac:dyDescent="0.3"/>
    <row r="20156" x14ac:dyDescent="0.3"/>
    <row r="20157" x14ac:dyDescent="0.3"/>
    <row r="20158" x14ac:dyDescent="0.3"/>
    <row r="20159" x14ac:dyDescent="0.3"/>
    <row r="20160" x14ac:dyDescent="0.3"/>
    <row r="20161" x14ac:dyDescent="0.3"/>
    <row r="20162" x14ac:dyDescent="0.3"/>
    <row r="20163" x14ac:dyDescent="0.3"/>
    <row r="20164" x14ac:dyDescent="0.3"/>
    <row r="20165" x14ac:dyDescent="0.3"/>
    <row r="20166" x14ac:dyDescent="0.3"/>
    <row r="20167" x14ac:dyDescent="0.3"/>
    <row r="20168" x14ac:dyDescent="0.3"/>
    <row r="20169" x14ac:dyDescent="0.3"/>
    <row r="20170" x14ac:dyDescent="0.3"/>
    <row r="20171" x14ac:dyDescent="0.3"/>
    <row r="20172" x14ac:dyDescent="0.3"/>
    <row r="20173" x14ac:dyDescent="0.3"/>
    <row r="20174" x14ac:dyDescent="0.3"/>
    <row r="20175" x14ac:dyDescent="0.3"/>
    <row r="20176" x14ac:dyDescent="0.3"/>
    <row r="20177" x14ac:dyDescent="0.3"/>
    <row r="20178" x14ac:dyDescent="0.3"/>
    <row r="20179" x14ac:dyDescent="0.3"/>
    <row r="20180" x14ac:dyDescent="0.3"/>
    <row r="20181" x14ac:dyDescent="0.3"/>
    <row r="20182" x14ac:dyDescent="0.3"/>
    <row r="20183" x14ac:dyDescent="0.3"/>
    <row r="20184" x14ac:dyDescent="0.3"/>
    <row r="20185" x14ac:dyDescent="0.3"/>
    <row r="20186" x14ac:dyDescent="0.3"/>
    <row r="20187" x14ac:dyDescent="0.3"/>
    <row r="20188" x14ac:dyDescent="0.3"/>
    <row r="20189" x14ac:dyDescent="0.3"/>
    <row r="20190" x14ac:dyDescent="0.3"/>
    <row r="20191" x14ac:dyDescent="0.3"/>
    <row r="20192" x14ac:dyDescent="0.3"/>
    <row r="20193" x14ac:dyDescent="0.3"/>
    <row r="20194" x14ac:dyDescent="0.3"/>
    <row r="20195" x14ac:dyDescent="0.3"/>
    <row r="20196" x14ac:dyDescent="0.3"/>
    <row r="20197" x14ac:dyDescent="0.3"/>
    <row r="20198" x14ac:dyDescent="0.3"/>
    <row r="20199" x14ac:dyDescent="0.3"/>
    <row r="20200" x14ac:dyDescent="0.3"/>
    <row r="20201" x14ac:dyDescent="0.3"/>
    <row r="20202" x14ac:dyDescent="0.3"/>
    <row r="20203" x14ac:dyDescent="0.3"/>
    <row r="20204" x14ac:dyDescent="0.3"/>
    <row r="20205" x14ac:dyDescent="0.3"/>
    <row r="20206" x14ac:dyDescent="0.3"/>
    <row r="20207" x14ac:dyDescent="0.3"/>
    <row r="20208" x14ac:dyDescent="0.3"/>
    <row r="20209" x14ac:dyDescent="0.3"/>
    <row r="20210" x14ac:dyDescent="0.3"/>
    <row r="20211" x14ac:dyDescent="0.3"/>
    <row r="20212" x14ac:dyDescent="0.3"/>
    <row r="20213" x14ac:dyDescent="0.3"/>
    <row r="20214" x14ac:dyDescent="0.3"/>
    <row r="20215" x14ac:dyDescent="0.3"/>
    <row r="20216" x14ac:dyDescent="0.3"/>
    <row r="20217" x14ac:dyDescent="0.3"/>
    <row r="20218" x14ac:dyDescent="0.3"/>
    <row r="20219" x14ac:dyDescent="0.3"/>
    <row r="20220" x14ac:dyDescent="0.3"/>
    <row r="20221" x14ac:dyDescent="0.3"/>
    <row r="20222" x14ac:dyDescent="0.3"/>
    <row r="20223" x14ac:dyDescent="0.3"/>
    <row r="20224" x14ac:dyDescent="0.3"/>
    <row r="20225" x14ac:dyDescent="0.3"/>
    <row r="20226" x14ac:dyDescent="0.3"/>
    <row r="20227" x14ac:dyDescent="0.3"/>
    <row r="20228" x14ac:dyDescent="0.3"/>
    <row r="20229" x14ac:dyDescent="0.3"/>
    <row r="20230" x14ac:dyDescent="0.3"/>
    <row r="20231" x14ac:dyDescent="0.3"/>
    <row r="20232" x14ac:dyDescent="0.3"/>
    <row r="20233" x14ac:dyDescent="0.3"/>
    <row r="20234" x14ac:dyDescent="0.3"/>
    <row r="20235" x14ac:dyDescent="0.3"/>
    <row r="20236" x14ac:dyDescent="0.3"/>
    <row r="20237" x14ac:dyDescent="0.3"/>
    <row r="20238" x14ac:dyDescent="0.3"/>
    <row r="20239" x14ac:dyDescent="0.3"/>
    <row r="20240" x14ac:dyDescent="0.3"/>
    <row r="20241" x14ac:dyDescent="0.3"/>
    <row r="20242" x14ac:dyDescent="0.3"/>
    <row r="20243" x14ac:dyDescent="0.3"/>
    <row r="20244" x14ac:dyDescent="0.3"/>
    <row r="20245" x14ac:dyDescent="0.3"/>
    <row r="20246" x14ac:dyDescent="0.3"/>
    <row r="20247" x14ac:dyDescent="0.3"/>
    <row r="20248" x14ac:dyDescent="0.3"/>
    <row r="20249" x14ac:dyDescent="0.3"/>
    <row r="20250" x14ac:dyDescent="0.3"/>
    <row r="20251" x14ac:dyDescent="0.3"/>
    <row r="20252" x14ac:dyDescent="0.3"/>
    <row r="20253" x14ac:dyDescent="0.3"/>
    <row r="20254" x14ac:dyDescent="0.3"/>
    <row r="20255" x14ac:dyDescent="0.3"/>
    <row r="20256" x14ac:dyDescent="0.3"/>
    <row r="20257" x14ac:dyDescent="0.3"/>
    <row r="20258" x14ac:dyDescent="0.3"/>
    <row r="20259" x14ac:dyDescent="0.3"/>
    <row r="20260" x14ac:dyDescent="0.3"/>
    <row r="20261" x14ac:dyDescent="0.3"/>
    <row r="20262" x14ac:dyDescent="0.3"/>
    <row r="20263" x14ac:dyDescent="0.3"/>
    <row r="20264" x14ac:dyDescent="0.3"/>
    <row r="20265" x14ac:dyDescent="0.3"/>
    <row r="20266" x14ac:dyDescent="0.3"/>
    <row r="20267" x14ac:dyDescent="0.3"/>
    <row r="20268" x14ac:dyDescent="0.3"/>
    <row r="20269" x14ac:dyDescent="0.3"/>
    <row r="20270" x14ac:dyDescent="0.3"/>
    <row r="20271" x14ac:dyDescent="0.3"/>
    <row r="20272" x14ac:dyDescent="0.3"/>
    <row r="20273" x14ac:dyDescent="0.3"/>
    <row r="20274" x14ac:dyDescent="0.3"/>
    <row r="20275" x14ac:dyDescent="0.3"/>
    <row r="20276" x14ac:dyDescent="0.3"/>
    <row r="20277" x14ac:dyDescent="0.3"/>
    <row r="20278" x14ac:dyDescent="0.3"/>
    <row r="20279" x14ac:dyDescent="0.3"/>
    <row r="20280" x14ac:dyDescent="0.3"/>
    <row r="20281" x14ac:dyDescent="0.3"/>
    <row r="20282" x14ac:dyDescent="0.3"/>
    <row r="20283" x14ac:dyDescent="0.3"/>
    <row r="20284" x14ac:dyDescent="0.3"/>
    <row r="20285" x14ac:dyDescent="0.3"/>
    <row r="20286" x14ac:dyDescent="0.3"/>
    <row r="20287" x14ac:dyDescent="0.3"/>
    <row r="20288" x14ac:dyDescent="0.3"/>
    <row r="20289" x14ac:dyDescent="0.3"/>
    <row r="20290" x14ac:dyDescent="0.3"/>
    <row r="20291" x14ac:dyDescent="0.3"/>
    <row r="20292" x14ac:dyDescent="0.3"/>
    <row r="20293" x14ac:dyDescent="0.3"/>
    <row r="20294" x14ac:dyDescent="0.3"/>
    <row r="20295" x14ac:dyDescent="0.3"/>
    <row r="20296" x14ac:dyDescent="0.3"/>
    <row r="20297" x14ac:dyDescent="0.3"/>
    <row r="20298" x14ac:dyDescent="0.3"/>
    <row r="20299" x14ac:dyDescent="0.3"/>
    <row r="20300" x14ac:dyDescent="0.3"/>
    <row r="20301" x14ac:dyDescent="0.3"/>
    <row r="20302" x14ac:dyDescent="0.3"/>
    <row r="20303" x14ac:dyDescent="0.3"/>
    <row r="20304" x14ac:dyDescent="0.3"/>
    <row r="20305" x14ac:dyDescent="0.3"/>
    <row r="20306" x14ac:dyDescent="0.3"/>
    <row r="20307" x14ac:dyDescent="0.3"/>
    <row r="20308" x14ac:dyDescent="0.3"/>
    <row r="20309" x14ac:dyDescent="0.3"/>
    <row r="20310" x14ac:dyDescent="0.3"/>
    <row r="20311" x14ac:dyDescent="0.3"/>
    <row r="20312" x14ac:dyDescent="0.3"/>
    <row r="20313" x14ac:dyDescent="0.3"/>
    <row r="20314" x14ac:dyDescent="0.3"/>
    <row r="20315" x14ac:dyDescent="0.3"/>
    <row r="20316" x14ac:dyDescent="0.3"/>
    <row r="20317" x14ac:dyDescent="0.3"/>
    <row r="20318" x14ac:dyDescent="0.3"/>
    <row r="20319" x14ac:dyDescent="0.3"/>
    <row r="20320" x14ac:dyDescent="0.3"/>
    <row r="20321" x14ac:dyDescent="0.3"/>
    <row r="20322" x14ac:dyDescent="0.3"/>
    <row r="20323" x14ac:dyDescent="0.3"/>
    <row r="20324" x14ac:dyDescent="0.3"/>
    <row r="20325" x14ac:dyDescent="0.3"/>
    <row r="20326" x14ac:dyDescent="0.3"/>
    <row r="20327" x14ac:dyDescent="0.3"/>
    <row r="20328" x14ac:dyDescent="0.3"/>
    <row r="20329" x14ac:dyDescent="0.3"/>
    <row r="20330" x14ac:dyDescent="0.3"/>
    <row r="20331" x14ac:dyDescent="0.3"/>
    <row r="20332" x14ac:dyDescent="0.3"/>
    <row r="20333" x14ac:dyDescent="0.3"/>
    <row r="20334" x14ac:dyDescent="0.3"/>
    <row r="20335" x14ac:dyDescent="0.3"/>
    <row r="20336" x14ac:dyDescent="0.3"/>
    <row r="20337" x14ac:dyDescent="0.3"/>
    <row r="20338" x14ac:dyDescent="0.3"/>
    <row r="20339" x14ac:dyDescent="0.3"/>
    <row r="20340" x14ac:dyDescent="0.3"/>
    <row r="20341" x14ac:dyDescent="0.3"/>
    <row r="20342" x14ac:dyDescent="0.3"/>
    <row r="20343" x14ac:dyDescent="0.3"/>
    <row r="20344" x14ac:dyDescent="0.3"/>
    <row r="20345" x14ac:dyDescent="0.3"/>
    <row r="20346" x14ac:dyDescent="0.3"/>
    <row r="20347" x14ac:dyDescent="0.3"/>
    <row r="20348" x14ac:dyDescent="0.3"/>
    <row r="20349" x14ac:dyDescent="0.3"/>
    <row r="20350" x14ac:dyDescent="0.3"/>
    <row r="20351" x14ac:dyDescent="0.3"/>
    <row r="20352" x14ac:dyDescent="0.3"/>
    <row r="20353" x14ac:dyDescent="0.3"/>
    <row r="20354" x14ac:dyDescent="0.3"/>
    <row r="20355" x14ac:dyDescent="0.3"/>
    <row r="20356" x14ac:dyDescent="0.3"/>
    <row r="20357" x14ac:dyDescent="0.3"/>
    <row r="20358" x14ac:dyDescent="0.3"/>
    <row r="20359" x14ac:dyDescent="0.3"/>
    <row r="20360" x14ac:dyDescent="0.3"/>
    <row r="20361" x14ac:dyDescent="0.3"/>
    <row r="20362" x14ac:dyDescent="0.3"/>
    <row r="20363" x14ac:dyDescent="0.3"/>
    <row r="20364" x14ac:dyDescent="0.3"/>
    <row r="20365" x14ac:dyDescent="0.3"/>
    <row r="20366" x14ac:dyDescent="0.3"/>
    <row r="20367" x14ac:dyDescent="0.3"/>
    <row r="20368" x14ac:dyDescent="0.3"/>
    <row r="20369" x14ac:dyDescent="0.3"/>
    <row r="20370" x14ac:dyDescent="0.3"/>
    <row r="20371" x14ac:dyDescent="0.3"/>
    <row r="20372" x14ac:dyDescent="0.3"/>
    <row r="20373" x14ac:dyDescent="0.3"/>
    <row r="20374" x14ac:dyDescent="0.3"/>
    <row r="20375" x14ac:dyDescent="0.3"/>
    <row r="20376" x14ac:dyDescent="0.3"/>
    <row r="20377" x14ac:dyDescent="0.3"/>
    <row r="20378" x14ac:dyDescent="0.3"/>
    <row r="20379" x14ac:dyDescent="0.3"/>
    <row r="20380" x14ac:dyDescent="0.3"/>
    <row r="20381" x14ac:dyDescent="0.3"/>
    <row r="20382" x14ac:dyDescent="0.3"/>
    <row r="20383" x14ac:dyDescent="0.3"/>
    <row r="20384" x14ac:dyDescent="0.3"/>
    <row r="20385" x14ac:dyDescent="0.3"/>
    <row r="20386" x14ac:dyDescent="0.3"/>
    <row r="20387" x14ac:dyDescent="0.3"/>
    <row r="20388" x14ac:dyDescent="0.3"/>
    <row r="20389" x14ac:dyDescent="0.3"/>
    <row r="20390" x14ac:dyDescent="0.3"/>
    <row r="20391" x14ac:dyDescent="0.3"/>
    <row r="20392" x14ac:dyDescent="0.3"/>
    <row r="20393" x14ac:dyDescent="0.3"/>
    <row r="20394" x14ac:dyDescent="0.3"/>
    <row r="20395" x14ac:dyDescent="0.3"/>
    <row r="20396" x14ac:dyDescent="0.3"/>
    <row r="20397" x14ac:dyDescent="0.3"/>
    <row r="20398" x14ac:dyDescent="0.3"/>
    <row r="20399" x14ac:dyDescent="0.3"/>
    <row r="20400" x14ac:dyDescent="0.3"/>
    <row r="20401" x14ac:dyDescent="0.3"/>
    <row r="20402" x14ac:dyDescent="0.3"/>
    <row r="20403" x14ac:dyDescent="0.3"/>
    <row r="20404" x14ac:dyDescent="0.3"/>
    <row r="20405" x14ac:dyDescent="0.3"/>
    <row r="20406" x14ac:dyDescent="0.3"/>
    <row r="20407" x14ac:dyDescent="0.3"/>
    <row r="20408" x14ac:dyDescent="0.3"/>
    <row r="20409" x14ac:dyDescent="0.3"/>
    <row r="20410" x14ac:dyDescent="0.3"/>
    <row r="20411" x14ac:dyDescent="0.3"/>
    <row r="20412" x14ac:dyDescent="0.3"/>
    <row r="20413" x14ac:dyDescent="0.3"/>
    <row r="20414" x14ac:dyDescent="0.3"/>
    <row r="20415" x14ac:dyDescent="0.3"/>
    <row r="20416" x14ac:dyDescent="0.3"/>
    <row r="20417" x14ac:dyDescent="0.3"/>
    <row r="20418" x14ac:dyDescent="0.3"/>
    <row r="20419" x14ac:dyDescent="0.3"/>
    <row r="20420" x14ac:dyDescent="0.3"/>
    <row r="20421" x14ac:dyDescent="0.3"/>
    <row r="20422" x14ac:dyDescent="0.3"/>
    <row r="20423" x14ac:dyDescent="0.3"/>
    <row r="20424" x14ac:dyDescent="0.3"/>
    <row r="20425" x14ac:dyDescent="0.3"/>
    <row r="20426" x14ac:dyDescent="0.3"/>
    <row r="20427" x14ac:dyDescent="0.3"/>
    <row r="20428" x14ac:dyDescent="0.3"/>
    <row r="20429" x14ac:dyDescent="0.3"/>
    <row r="20430" x14ac:dyDescent="0.3"/>
    <row r="20431" x14ac:dyDescent="0.3"/>
    <row r="20432" x14ac:dyDescent="0.3"/>
    <row r="20433" x14ac:dyDescent="0.3"/>
    <row r="20434" x14ac:dyDescent="0.3"/>
    <row r="20435" x14ac:dyDescent="0.3"/>
    <row r="20436" x14ac:dyDescent="0.3"/>
    <row r="20437" x14ac:dyDescent="0.3"/>
    <row r="20438" x14ac:dyDescent="0.3"/>
    <row r="20439" x14ac:dyDescent="0.3"/>
    <row r="20440" x14ac:dyDescent="0.3"/>
    <row r="20441" x14ac:dyDescent="0.3"/>
    <row r="20442" x14ac:dyDescent="0.3"/>
    <row r="20443" x14ac:dyDescent="0.3"/>
    <row r="20444" x14ac:dyDescent="0.3"/>
    <row r="20445" x14ac:dyDescent="0.3"/>
    <row r="20446" x14ac:dyDescent="0.3"/>
    <row r="20447" x14ac:dyDescent="0.3"/>
    <row r="20448" x14ac:dyDescent="0.3"/>
    <row r="20449" x14ac:dyDescent="0.3"/>
    <row r="20450" x14ac:dyDescent="0.3"/>
    <row r="20451" x14ac:dyDescent="0.3"/>
    <row r="20452" x14ac:dyDescent="0.3"/>
    <row r="20453" x14ac:dyDescent="0.3"/>
    <row r="20454" x14ac:dyDescent="0.3"/>
    <row r="20455" x14ac:dyDescent="0.3"/>
    <row r="20456" x14ac:dyDescent="0.3"/>
    <row r="20457" x14ac:dyDescent="0.3"/>
    <row r="20458" x14ac:dyDescent="0.3"/>
    <row r="20459" x14ac:dyDescent="0.3"/>
    <row r="20460" x14ac:dyDescent="0.3"/>
    <row r="20461" x14ac:dyDescent="0.3"/>
    <row r="20462" x14ac:dyDescent="0.3"/>
    <row r="20463" x14ac:dyDescent="0.3"/>
    <row r="20464" x14ac:dyDescent="0.3"/>
    <row r="20465" x14ac:dyDescent="0.3"/>
    <row r="20466" x14ac:dyDescent="0.3"/>
    <row r="20467" x14ac:dyDescent="0.3"/>
    <row r="20468" x14ac:dyDescent="0.3"/>
    <row r="20469" x14ac:dyDescent="0.3"/>
    <row r="20470" x14ac:dyDescent="0.3"/>
    <row r="20471" x14ac:dyDescent="0.3"/>
    <row r="20472" x14ac:dyDescent="0.3"/>
    <row r="20473" x14ac:dyDescent="0.3"/>
    <row r="20474" x14ac:dyDescent="0.3"/>
    <row r="20475" x14ac:dyDescent="0.3"/>
    <row r="20476" x14ac:dyDescent="0.3"/>
    <row r="20477" x14ac:dyDescent="0.3"/>
    <row r="20478" x14ac:dyDescent="0.3"/>
    <row r="20479" x14ac:dyDescent="0.3"/>
    <row r="20480" x14ac:dyDescent="0.3"/>
    <row r="20481" x14ac:dyDescent="0.3"/>
    <row r="20482" x14ac:dyDescent="0.3"/>
    <row r="20483" x14ac:dyDescent="0.3"/>
    <row r="20484" x14ac:dyDescent="0.3"/>
    <row r="20485" x14ac:dyDescent="0.3"/>
    <row r="20486" x14ac:dyDescent="0.3"/>
    <row r="20487" x14ac:dyDescent="0.3"/>
    <row r="20488" x14ac:dyDescent="0.3"/>
    <row r="20489" x14ac:dyDescent="0.3"/>
    <row r="20490" x14ac:dyDescent="0.3"/>
    <row r="20491" x14ac:dyDescent="0.3"/>
    <row r="20492" x14ac:dyDescent="0.3"/>
    <row r="20493" x14ac:dyDescent="0.3"/>
    <row r="20494" x14ac:dyDescent="0.3"/>
    <row r="20495" x14ac:dyDescent="0.3"/>
    <row r="20496" x14ac:dyDescent="0.3"/>
    <row r="20497" x14ac:dyDescent="0.3"/>
    <row r="20498" x14ac:dyDescent="0.3"/>
    <row r="20499" x14ac:dyDescent="0.3"/>
    <row r="20500" x14ac:dyDescent="0.3"/>
    <row r="20501" x14ac:dyDescent="0.3"/>
    <row r="20502" x14ac:dyDescent="0.3"/>
    <row r="20503" x14ac:dyDescent="0.3"/>
    <row r="20504" x14ac:dyDescent="0.3"/>
    <row r="20505" x14ac:dyDescent="0.3"/>
    <row r="20506" x14ac:dyDescent="0.3"/>
    <row r="20507" x14ac:dyDescent="0.3"/>
    <row r="20508" x14ac:dyDescent="0.3"/>
    <row r="20509" x14ac:dyDescent="0.3"/>
    <row r="20510" x14ac:dyDescent="0.3"/>
    <row r="20511" x14ac:dyDescent="0.3"/>
    <row r="20512" x14ac:dyDescent="0.3"/>
    <row r="20513" x14ac:dyDescent="0.3"/>
    <row r="20514" x14ac:dyDescent="0.3"/>
    <row r="20515" x14ac:dyDescent="0.3"/>
    <row r="20516" x14ac:dyDescent="0.3"/>
    <row r="20517" x14ac:dyDescent="0.3"/>
    <row r="20518" x14ac:dyDescent="0.3"/>
    <row r="20519" x14ac:dyDescent="0.3"/>
    <row r="20520" x14ac:dyDescent="0.3"/>
    <row r="20521" x14ac:dyDescent="0.3"/>
    <row r="20522" x14ac:dyDescent="0.3"/>
    <row r="20523" x14ac:dyDescent="0.3"/>
    <row r="20524" x14ac:dyDescent="0.3"/>
    <row r="20525" x14ac:dyDescent="0.3"/>
    <row r="20526" x14ac:dyDescent="0.3"/>
    <row r="20527" x14ac:dyDescent="0.3"/>
    <row r="20528" x14ac:dyDescent="0.3"/>
    <row r="20529" x14ac:dyDescent="0.3"/>
    <row r="20530" x14ac:dyDescent="0.3"/>
    <row r="20531" x14ac:dyDescent="0.3"/>
    <row r="20532" x14ac:dyDescent="0.3"/>
    <row r="20533" x14ac:dyDescent="0.3"/>
    <row r="20534" x14ac:dyDescent="0.3"/>
    <row r="20535" x14ac:dyDescent="0.3"/>
    <row r="20536" x14ac:dyDescent="0.3"/>
    <row r="20537" x14ac:dyDescent="0.3"/>
    <row r="20538" x14ac:dyDescent="0.3"/>
    <row r="20539" x14ac:dyDescent="0.3"/>
    <row r="20540" x14ac:dyDescent="0.3"/>
    <row r="20541" x14ac:dyDescent="0.3"/>
    <row r="20542" x14ac:dyDescent="0.3"/>
    <row r="20543" x14ac:dyDescent="0.3"/>
    <row r="20544" x14ac:dyDescent="0.3"/>
    <row r="20545" x14ac:dyDescent="0.3"/>
    <row r="20546" x14ac:dyDescent="0.3"/>
    <row r="20547" x14ac:dyDescent="0.3"/>
    <row r="20548" x14ac:dyDescent="0.3"/>
    <row r="20549" x14ac:dyDescent="0.3"/>
    <row r="20550" x14ac:dyDescent="0.3"/>
    <row r="20551" x14ac:dyDescent="0.3"/>
    <row r="20552" x14ac:dyDescent="0.3"/>
    <row r="20553" x14ac:dyDescent="0.3"/>
    <row r="20554" x14ac:dyDescent="0.3"/>
    <row r="20555" x14ac:dyDescent="0.3"/>
    <row r="20556" x14ac:dyDescent="0.3"/>
    <row r="20557" x14ac:dyDescent="0.3"/>
    <row r="20558" x14ac:dyDescent="0.3"/>
    <row r="20559" x14ac:dyDescent="0.3"/>
    <row r="20560" x14ac:dyDescent="0.3"/>
    <row r="20561" x14ac:dyDescent="0.3"/>
    <row r="20562" x14ac:dyDescent="0.3"/>
    <row r="20563" x14ac:dyDescent="0.3"/>
    <row r="20564" x14ac:dyDescent="0.3"/>
    <row r="20565" x14ac:dyDescent="0.3"/>
    <row r="20566" x14ac:dyDescent="0.3"/>
    <row r="20567" x14ac:dyDescent="0.3"/>
    <row r="20568" x14ac:dyDescent="0.3"/>
    <row r="20569" x14ac:dyDescent="0.3"/>
    <row r="20570" x14ac:dyDescent="0.3"/>
    <row r="20571" x14ac:dyDescent="0.3"/>
    <row r="20572" x14ac:dyDescent="0.3"/>
    <row r="20573" x14ac:dyDescent="0.3"/>
    <row r="20574" x14ac:dyDescent="0.3"/>
    <row r="20575" x14ac:dyDescent="0.3"/>
    <row r="20576" x14ac:dyDescent="0.3"/>
    <row r="20577" x14ac:dyDescent="0.3"/>
    <row r="20578" x14ac:dyDescent="0.3"/>
    <row r="20579" x14ac:dyDescent="0.3"/>
    <row r="20580" x14ac:dyDescent="0.3"/>
    <row r="20581" x14ac:dyDescent="0.3"/>
    <row r="20582" x14ac:dyDescent="0.3"/>
    <row r="20583" x14ac:dyDescent="0.3"/>
    <row r="20584" x14ac:dyDescent="0.3"/>
    <row r="20585" x14ac:dyDescent="0.3"/>
    <row r="20586" x14ac:dyDescent="0.3"/>
    <row r="20587" x14ac:dyDescent="0.3"/>
    <row r="20588" x14ac:dyDescent="0.3"/>
    <row r="20589" x14ac:dyDescent="0.3"/>
    <row r="20590" x14ac:dyDescent="0.3"/>
    <row r="20591" x14ac:dyDescent="0.3"/>
    <row r="20592" x14ac:dyDescent="0.3"/>
    <row r="20593" x14ac:dyDescent="0.3"/>
    <row r="20594" x14ac:dyDescent="0.3"/>
    <row r="20595" x14ac:dyDescent="0.3"/>
    <row r="20596" x14ac:dyDescent="0.3"/>
    <row r="20597" x14ac:dyDescent="0.3"/>
    <row r="20598" x14ac:dyDescent="0.3"/>
    <row r="20599" x14ac:dyDescent="0.3"/>
    <row r="20600" x14ac:dyDescent="0.3"/>
    <row r="20601" x14ac:dyDescent="0.3"/>
    <row r="20602" x14ac:dyDescent="0.3"/>
    <row r="20603" x14ac:dyDescent="0.3"/>
    <row r="20604" x14ac:dyDescent="0.3"/>
    <row r="20605" x14ac:dyDescent="0.3"/>
    <row r="20606" x14ac:dyDescent="0.3"/>
    <row r="20607" x14ac:dyDescent="0.3"/>
    <row r="20608" x14ac:dyDescent="0.3"/>
    <row r="20609" x14ac:dyDescent="0.3"/>
    <row r="20610" x14ac:dyDescent="0.3"/>
    <row r="20611" x14ac:dyDescent="0.3"/>
    <row r="20612" x14ac:dyDescent="0.3"/>
    <row r="20613" x14ac:dyDescent="0.3"/>
    <row r="20614" x14ac:dyDescent="0.3"/>
    <row r="20615" x14ac:dyDescent="0.3"/>
    <row r="20616" x14ac:dyDescent="0.3"/>
    <row r="20617" x14ac:dyDescent="0.3"/>
    <row r="20618" x14ac:dyDescent="0.3"/>
    <row r="20619" x14ac:dyDescent="0.3"/>
    <row r="20620" x14ac:dyDescent="0.3"/>
    <row r="20621" x14ac:dyDescent="0.3"/>
    <row r="20622" x14ac:dyDescent="0.3"/>
    <row r="20623" x14ac:dyDescent="0.3"/>
    <row r="20624" x14ac:dyDescent="0.3"/>
    <row r="20625" x14ac:dyDescent="0.3"/>
    <row r="20626" x14ac:dyDescent="0.3"/>
    <row r="20627" x14ac:dyDescent="0.3"/>
    <row r="20628" x14ac:dyDescent="0.3"/>
    <row r="20629" x14ac:dyDescent="0.3"/>
    <row r="20630" x14ac:dyDescent="0.3"/>
    <row r="20631" x14ac:dyDescent="0.3"/>
    <row r="20632" x14ac:dyDescent="0.3"/>
    <row r="20633" x14ac:dyDescent="0.3"/>
    <row r="20634" x14ac:dyDescent="0.3"/>
    <row r="20635" x14ac:dyDescent="0.3"/>
    <row r="20636" x14ac:dyDescent="0.3"/>
    <row r="20637" x14ac:dyDescent="0.3"/>
    <row r="20638" x14ac:dyDescent="0.3"/>
    <row r="20639" x14ac:dyDescent="0.3"/>
    <row r="20640" x14ac:dyDescent="0.3"/>
    <row r="20641" x14ac:dyDescent="0.3"/>
    <row r="20642" x14ac:dyDescent="0.3"/>
    <row r="20643" x14ac:dyDescent="0.3"/>
    <row r="20644" x14ac:dyDescent="0.3"/>
    <row r="20645" x14ac:dyDescent="0.3"/>
    <row r="20646" x14ac:dyDescent="0.3"/>
    <row r="20647" x14ac:dyDescent="0.3"/>
    <row r="20648" x14ac:dyDescent="0.3"/>
    <row r="20649" x14ac:dyDescent="0.3"/>
    <row r="20650" x14ac:dyDescent="0.3"/>
    <row r="20651" x14ac:dyDescent="0.3"/>
    <row r="20652" x14ac:dyDescent="0.3"/>
    <row r="20653" x14ac:dyDescent="0.3"/>
    <row r="20654" x14ac:dyDescent="0.3"/>
    <row r="20655" x14ac:dyDescent="0.3"/>
    <row r="20656" x14ac:dyDescent="0.3"/>
    <row r="20657" x14ac:dyDescent="0.3"/>
    <row r="20658" x14ac:dyDescent="0.3"/>
    <row r="20659" x14ac:dyDescent="0.3"/>
    <row r="20660" x14ac:dyDescent="0.3"/>
    <row r="20661" x14ac:dyDescent="0.3"/>
    <row r="20662" x14ac:dyDescent="0.3"/>
    <row r="20663" x14ac:dyDescent="0.3"/>
    <row r="20664" x14ac:dyDescent="0.3"/>
    <row r="20665" x14ac:dyDescent="0.3"/>
    <row r="20666" x14ac:dyDescent="0.3"/>
    <row r="20667" x14ac:dyDescent="0.3"/>
    <row r="20668" x14ac:dyDescent="0.3"/>
    <row r="20669" x14ac:dyDescent="0.3"/>
    <row r="20670" x14ac:dyDescent="0.3"/>
    <row r="20671" x14ac:dyDescent="0.3"/>
    <row r="20672" x14ac:dyDescent="0.3"/>
    <row r="20673" x14ac:dyDescent="0.3"/>
    <row r="20674" x14ac:dyDescent="0.3"/>
    <row r="20675" x14ac:dyDescent="0.3"/>
    <row r="20676" x14ac:dyDescent="0.3"/>
    <row r="20677" x14ac:dyDescent="0.3"/>
    <row r="20678" x14ac:dyDescent="0.3"/>
    <row r="20679" x14ac:dyDescent="0.3"/>
    <row r="20680" x14ac:dyDescent="0.3"/>
    <row r="20681" x14ac:dyDescent="0.3"/>
    <row r="20682" x14ac:dyDescent="0.3"/>
    <row r="20683" x14ac:dyDescent="0.3"/>
    <row r="20684" x14ac:dyDescent="0.3"/>
    <row r="20685" x14ac:dyDescent="0.3"/>
    <row r="20686" x14ac:dyDescent="0.3"/>
    <row r="20687" x14ac:dyDescent="0.3"/>
    <row r="20688" x14ac:dyDescent="0.3"/>
    <row r="20689" x14ac:dyDescent="0.3"/>
    <row r="20690" x14ac:dyDescent="0.3"/>
    <row r="20691" x14ac:dyDescent="0.3"/>
    <row r="20692" x14ac:dyDescent="0.3"/>
    <row r="20693" x14ac:dyDescent="0.3"/>
    <row r="20694" x14ac:dyDescent="0.3"/>
    <row r="20695" x14ac:dyDescent="0.3"/>
    <row r="20696" x14ac:dyDescent="0.3"/>
    <row r="20697" x14ac:dyDescent="0.3"/>
    <row r="20698" x14ac:dyDescent="0.3"/>
    <row r="20699" x14ac:dyDescent="0.3"/>
    <row r="20700" x14ac:dyDescent="0.3"/>
    <row r="20701" x14ac:dyDescent="0.3"/>
    <row r="20702" x14ac:dyDescent="0.3"/>
    <row r="20703" x14ac:dyDescent="0.3"/>
    <row r="20704" x14ac:dyDescent="0.3"/>
    <row r="20705" x14ac:dyDescent="0.3"/>
    <row r="20706" x14ac:dyDescent="0.3"/>
    <row r="20707" x14ac:dyDescent="0.3"/>
    <row r="20708" x14ac:dyDescent="0.3"/>
    <row r="20709" x14ac:dyDescent="0.3"/>
    <row r="20710" x14ac:dyDescent="0.3"/>
    <row r="20711" x14ac:dyDescent="0.3"/>
    <row r="20712" x14ac:dyDescent="0.3"/>
    <row r="20713" x14ac:dyDescent="0.3"/>
    <row r="20714" x14ac:dyDescent="0.3"/>
    <row r="20715" x14ac:dyDescent="0.3"/>
    <row r="20716" x14ac:dyDescent="0.3"/>
    <row r="20717" x14ac:dyDescent="0.3"/>
    <row r="20718" x14ac:dyDescent="0.3"/>
    <row r="20719" x14ac:dyDescent="0.3"/>
    <row r="20720" x14ac:dyDescent="0.3"/>
    <row r="20721" x14ac:dyDescent="0.3"/>
    <row r="20722" x14ac:dyDescent="0.3"/>
    <row r="20723" x14ac:dyDescent="0.3"/>
    <row r="20724" x14ac:dyDescent="0.3"/>
    <row r="20725" x14ac:dyDescent="0.3"/>
    <row r="20726" x14ac:dyDescent="0.3"/>
    <row r="20727" x14ac:dyDescent="0.3"/>
    <row r="20728" x14ac:dyDescent="0.3"/>
    <row r="20729" x14ac:dyDescent="0.3"/>
    <row r="20730" x14ac:dyDescent="0.3"/>
    <row r="20731" x14ac:dyDescent="0.3"/>
    <row r="20732" x14ac:dyDescent="0.3"/>
    <row r="20733" x14ac:dyDescent="0.3"/>
    <row r="20734" x14ac:dyDescent="0.3"/>
    <row r="20735" x14ac:dyDescent="0.3"/>
    <row r="20736" x14ac:dyDescent="0.3"/>
    <row r="20737" x14ac:dyDescent="0.3"/>
    <row r="20738" x14ac:dyDescent="0.3"/>
    <row r="20739" x14ac:dyDescent="0.3"/>
    <row r="20740" x14ac:dyDescent="0.3"/>
    <row r="20741" x14ac:dyDescent="0.3"/>
    <row r="20742" x14ac:dyDescent="0.3"/>
    <row r="20743" x14ac:dyDescent="0.3"/>
    <row r="20744" x14ac:dyDescent="0.3"/>
    <row r="20745" x14ac:dyDescent="0.3"/>
    <row r="20746" x14ac:dyDescent="0.3"/>
    <row r="20747" x14ac:dyDescent="0.3"/>
    <row r="20748" x14ac:dyDescent="0.3"/>
    <row r="20749" x14ac:dyDescent="0.3"/>
    <row r="20750" x14ac:dyDescent="0.3"/>
    <row r="20751" x14ac:dyDescent="0.3"/>
    <row r="20752" x14ac:dyDescent="0.3"/>
    <row r="20753" x14ac:dyDescent="0.3"/>
    <row r="20754" x14ac:dyDescent="0.3"/>
    <row r="20755" x14ac:dyDescent="0.3"/>
    <row r="20756" x14ac:dyDescent="0.3"/>
    <row r="20757" x14ac:dyDescent="0.3"/>
    <row r="20758" x14ac:dyDescent="0.3"/>
    <row r="20759" x14ac:dyDescent="0.3"/>
    <row r="20760" x14ac:dyDescent="0.3"/>
    <row r="20761" x14ac:dyDescent="0.3"/>
    <row r="20762" x14ac:dyDescent="0.3"/>
    <row r="20763" x14ac:dyDescent="0.3"/>
    <row r="20764" x14ac:dyDescent="0.3"/>
    <row r="20765" x14ac:dyDescent="0.3"/>
    <row r="20766" x14ac:dyDescent="0.3"/>
    <row r="20767" x14ac:dyDescent="0.3"/>
    <row r="20768" x14ac:dyDescent="0.3"/>
    <row r="20769" x14ac:dyDescent="0.3"/>
    <row r="20770" x14ac:dyDescent="0.3"/>
    <row r="20771" x14ac:dyDescent="0.3"/>
    <row r="20772" x14ac:dyDescent="0.3"/>
    <row r="20773" x14ac:dyDescent="0.3"/>
    <row r="20774" x14ac:dyDescent="0.3"/>
    <row r="20775" x14ac:dyDescent="0.3"/>
    <row r="20776" x14ac:dyDescent="0.3"/>
    <row r="20777" x14ac:dyDescent="0.3"/>
    <row r="20778" x14ac:dyDescent="0.3"/>
    <row r="20779" x14ac:dyDescent="0.3"/>
    <row r="20780" x14ac:dyDescent="0.3"/>
    <row r="20781" x14ac:dyDescent="0.3"/>
    <row r="20782" x14ac:dyDescent="0.3"/>
    <row r="20783" x14ac:dyDescent="0.3"/>
    <row r="20784" x14ac:dyDescent="0.3"/>
    <row r="20785" x14ac:dyDescent="0.3"/>
    <row r="20786" x14ac:dyDescent="0.3"/>
    <row r="20787" x14ac:dyDescent="0.3"/>
    <row r="20788" x14ac:dyDescent="0.3"/>
    <row r="20789" x14ac:dyDescent="0.3"/>
    <row r="20790" x14ac:dyDescent="0.3"/>
    <row r="20791" x14ac:dyDescent="0.3"/>
    <row r="20792" x14ac:dyDescent="0.3"/>
    <row r="20793" x14ac:dyDescent="0.3"/>
    <row r="20794" x14ac:dyDescent="0.3"/>
    <row r="20795" x14ac:dyDescent="0.3"/>
    <row r="20796" x14ac:dyDescent="0.3"/>
    <row r="20797" x14ac:dyDescent="0.3"/>
    <row r="20798" x14ac:dyDescent="0.3"/>
    <row r="20799" x14ac:dyDescent="0.3"/>
    <row r="20800" x14ac:dyDescent="0.3"/>
    <row r="20801" x14ac:dyDescent="0.3"/>
    <row r="20802" x14ac:dyDescent="0.3"/>
    <row r="20803" x14ac:dyDescent="0.3"/>
    <row r="20804" x14ac:dyDescent="0.3"/>
    <row r="20805" x14ac:dyDescent="0.3"/>
    <row r="20806" x14ac:dyDescent="0.3"/>
    <row r="20807" x14ac:dyDescent="0.3"/>
    <row r="20808" x14ac:dyDescent="0.3"/>
    <row r="20809" x14ac:dyDescent="0.3"/>
    <row r="20810" x14ac:dyDescent="0.3"/>
    <row r="20811" x14ac:dyDescent="0.3"/>
    <row r="20812" x14ac:dyDescent="0.3"/>
    <row r="20813" x14ac:dyDescent="0.3"/>
    <row r="20814" x14ac:dyDescent="0.3"/>
    <row r="20815" x14ac:dyDescent="0.3"/>
    <row r="20816" x14ac:dyDescent="0.3"/>
    <row r="20817" x14ac:dyDescent="0.3"/>
    <row r="20818" x14ac:dyDescent="0.3"/>
    <row r="20819" x14ac:dyDescent="0.3"/>
    <row r="20820" x14ac:dyDescent="0.3"/>
    <row r="20821" x14ac:dyDescent="0.3"/>
    <row r="20822" x14ac:dyDescent="0.3"/>
    <row r="20823" x14ac:dyDescent="0.3"/>
    <row r="20824" x14ac:dyDescent="0.3"/>
    <row r="20825" x14ac:dyDescent="0.3"/>
    <row r="20826" x14ac:dyDescent="0.3"/>
    <row r="20827" x14ac:dyDescent="0.3"/>
    <row r="20828" x14ac:dyDescent="0.3"/>
    <row r="20829" x14ac:dyDescent="0.3"/>
    <row r="20830" x14ac:dyDescent="0.3"/>
    <row r="20831" x14ac:dyDescent="0.3"/>
    <row r="20832" x14ac:dyDescent="0.3"/>
    <row r="20833" x14ac:dyDescent="0.3"/>
    <row r="20834" x14ac:dyDescent="0.3"/>
    <row r="20835" x14ac:dyDescent="0.3"/>
    <row r="20836" x14ac:dyDescent="0.3"/>
    <row r="20837" x14ac:dyDescent="0.3"/>
    <row r="20838" x14ac:dyDescent="0.3"/>
    <row r="20839" x14ac:dyDescent="0.3"/>
    <row r="20840" x14ac:dyDescent="0.3"/>
    <row r="20841" x14ac:dyDescent="0.3"/>
    <row r="20842" x14ac:dyDescent="0.3"/>
    <row r="20843" x14ac:dyDescent="0.3"/>
    <row r="20844" x14ac:dyDescent="0.3"/>
    <row r="20845" x14ac:dyDescent="0.3"/>
    <row r="20846" x14ac:dyDescent="0.3"/>
    <row r="20847" x14ac:dyDescent="0.3"/>
    <row r="20848" x14ac:dyDescent="0.3"/>
    <row r="20849" x14ac:dyDescent="0.3"/>
    <row r="20850" x14ac:dyDescent="0.3"/>
    <row r="20851" x14ac:dyDescent="0.3"/>
    <row r="20852" x14ac:dyDescent="0.3"/>
    <row r="20853" x14ac:dyDescent="0.3"/>
    <row r="20854" x14ac:dyDescent="0.3"/>
    <row r="20855" x14ac:dyDescent="0.3"/>
    <row r="20856" x14ac:dyDescent="0.3"/>
    <row r="20857" x14ac:dyDescent="0.3"/>
    <row r="20858" x14ac:dyDescent="0.3"/>
    <row r="20859" x14ac:dyDescent="0.3"/>
    <row r="20860" x14ac:dyDescent="0.3"/>
    <row r="20861" x14ac:dyDescent="0.3"/>
    <row r="20862" x14ac:dyDescent="0.3"/>
    <row r="20863" x14ac:dyDescent="0.3"/>
    <row r="20864" x14ac:dyDescent="0.3"/>
    <row r="20865" x14ac:dyDescent="0.3"/>
    <row r="20866" x14ac:dyDescent="0.3"/>
    <row r="20867" x14ac:dyDescent="0.3"/>
    <row r="20868" x14ac:dyDescent="0.3"/>
    <row r="20869" x14ac:dyDescent="0.3"/>
    <row r="20870" x14ac:dyDescent="0.3"/>
    <row r="20871" x14ac:dyDescent="0.3"/>
    <row r="20872" x14ac:dyDescent="0.3"/>
    <row r="20873" x14ac:dyDescent="0.3"/>
    <row r="20874" x14ac:dyDescent="0.3"/>
    <row r="20875" x14ac:dyDescent="0.3"/>
    <row r="20876" x14ac:dyDescent="0.3"/>
    <row r="20877" x14ac:dyDescent="0.3"/>
    <row r="20878" x14ac:dyDescent="0.3"/>
    <row r="20879" x14ac:dyDescent="0.3"/>
    <row r="20880" x14ac:dyDescent="0.3"/>
    <row r="20881" x14ac:dyDescent="0.3"/>
    <row r="20882" x14ac:dyDescent="0.3"/>
    <row r="20883" x14ac:dyDescent="0.3"/>
    <row r="20884" x14ac:dyDescent="0.3"/>
    <row r="20885" x14ac:dyDescent="0.3"/>
    <row r="20886" x14ac:dyDescent="0.3"/>
    <row r="20887" x14ac:dyDescent="0.3"/>
    <row r="20888" x14ac:dyDescent="0.3"/>
    <row r="20889" x14ac:dyDescent="0.3"/>
    <row r="20890" x14ac:dyDescent="0.3"/>
    <row r="20891" x14ac:dyDescent="0.3"/>
    <row r="20892" x14ac:dyDescent="0.3"/>
    <row r="20893" x14ac:dyDescent="0.3"/>
    <row r="20894" x14ac:dyDescent="0.3"/>
    <row r="20895" x14ac:dyDescent="0.3"/>
    <row r="20896" x14ac:dyDescent="0.3"/>
    <row r="20897" x14ac:dyDescent="0.3"/>
    <row r="20898" x14ac:dyDescent="0.3"/>
    <row r="20899" x14ac:dyDescent="0.3"/>
    <row r="20900" x14ac:dyDescent="0.3"/>
    <row r="20901" x14ac:dyDescent="0.3"/>
    <row r="20902" x14ac:dyDescent="0.3"/>
    <row r="20903" x14ac:dyDescent="0.3"/>
    <row r="20904" x14ac:dyDescent="0.3"/>
    <row r="20905" x14ac:dyDescent="0.3"/>
    <row r="20906" x14ac:dyDescent="0.3"/>
    <row r="20907" x14ac:dyDescent="0.3"/>
    <row r="20908" x14ac:dyDescent="0.3"/>
    <row r="20909" x14ac:dyDescent="0.3"/>
    <row r="20910" x14ac:dyDescent="0.3"/>
    <row r="20911" x14ac:dyDescent="0.3"/>
    <row r="20912" x14ac:dyDescent="0.3"/>
    <row r="20913" x14ac:dyDescent="0.3"/>
    <row r="20914" x14ac:dyDescent="0.3"/>
    <row r="20915" x14ac:dyDescent="0.3"/>
    <row r="20916" x14ac:dyDescent="0.3"/>
    <row r="20917" x14ac:dyDescent="0.3"/>
    <row r="20918" x14ac:dyDescent="0.3"/>
    <row r="20919" x14ac:dyDescent="0.3"/>
    <row r="20920" x14ac:dyDescent="0.3"/>
    <row r="20921" x14ac:dyDescent="0.3"/>
    <row r="20922" x14ac:dyDescent="0.3"/>
    <row r="20923" x14ac:dyDescent="0.3"/>
    <row r="20924" x14ac:dyDescent="0.3"/>
    <row r="20925" x14ac:dyDescent="0.3"/>
    <row r="20926" x14ac:dyDescent="0.3"/>
    <row r="20927" x14ac:dyDescent="0.3"/>
    <row r="20928" x14ac:dyDescent="0.3"/>
    <row r="20929" x14ac:dyDescent="0.3"/>
    <row r="20930" x14ac:dyDescent="0.3"/>
    <row r="20931" x14ac:dyDescent="0.3"/>
    <row r="20932" x14ac:dyDescent="0.3"/>
    <row r="20933" x14ac:dyDescent="0.3"/>
    <row r="20934" x14ac:dyDescent="0.3"/>
    <row r="20935" x14ac:dyDescent="0.3"/>
    <row r="20936" x14ac:dyDescent="0.3"/>
    <row r="20937" x14ac:dyDescent="0.3"/>
    <row r="20938" x14ac:dyDescent="0.3"/>
    <row r="20939" x14ac:dyDescent="0.3"/>
    <row r="20940" x14ac:dyDescent="0.3"/>
    <row r="20941" x14ac:dyDescent="0.3"/>
    <row r="20942" x14ac:dyDescent="0.3"/>
    <row r="20943" x14ac:dyDescent="0.3"/>
    <row r="20944" x14ac:dyDescent="0.3"/>
    <row r="20945" x14ac:dyDescent="0.3"/>
    <row r="20946" x14ac:dyDescent="0.3"/>
    <row r="20947" x14ac:dyDescent="0.3"/>
    <row r="20948" x14ac:dyDescent="0.3"/>
    <row r="20949" x14ac:dyDescent="0.3"/>
    <row r="20950" x14ac:dyDescent="0.3"/>
    <row r="20951" x14ac:dyDescent="0.3"/>
    <row r="20952" x14ac:dyDescent="0.3"/>
    <row r="20953" x14ac:dyDescent="0.3"/>
    <row r="20954" x14ac:dyDescent="0.3"/>
    <row r="20955" x14ac:dyDescent="0.3"/>
    <row r="20956" x14ac:dyDescent="0.3"/>
    <row r="20957" x14ac:dyDescent="0.3"/>
    <row r="20958" x14ac:dyDescent="0.3"/>
    <row r="20959" x14ac:dyDescent="0.3"/>
    <row r="20960" x14ac:dyDescent="0.3"/>
    <row r="20961" x14ac:dyDescent="0.3"/>
    <row r="20962" x14ac:dyDescent="0.3"/>
    <row r="20963" x14ac:dyDescent="0.3"/>
    <row r="20964" x14ac:dyDescent="0.3"/>
    <row r="20965" x14ac:dyDescent="0.3"/>
    <row r="20966" x14ac:dyDescent="0.3"/>
    <row r="20967" x14ac:dyDescent="0.3"/>
    <row r="20968" x14ac:dyDescent="0.3"/>
    <row r="20969" x14ac:dyDescent="0.3"/>
    <row r="20970" x14ac:dyDescent="0.3"/>
    <row r="20971" x14ac:dyDescent="0.3"/>
    <row r="20972" x14ac:dyDescent="0.3"/>
    <row r="20973" x14ac:dyDescent="0.3"/>
    <row r="20974" x14ac:dyDescent="0.3"/>
    <row r="20975" x14ac:dyDescent="0.3"/>
    <row r="20976" x14ac:dyDescent="0.3"/>
    <row r="20977" x14ac:dyDescent="0.3"/>
    <row r="20978" x14ac:dyDescent="0.3"/>
    <row r="20979" x14ac:dyDescent="0.3"/>
    <row r="20980" x14ac:dyDescent="0.3"/>
    <row r="20981" x14ac:dyDescent="0.3"/>
    <row r="20982" x14ac:dyDescent="0.3"/>
    <row r="20983" x14ac:dyDescent="0.3"/>
    <row r="20984" x14ac:dyDescent="0.3"/>
    <row r="20985" x14ac:dyDescent="0.3"/>
    <row r="20986" x14ac:dyDescent="0.3"/>
    <row r="20987" x14ac:dyDescent="0.3"/>
    <row r="20988" x14ac:dyDescent="0.3"/>
    <row r="20989" x14ac:dyDescent="0.3"/>
    <row r="20990" x14ac:dyDescent="0.3"/>
    <row r="20991" x14ac:dyDescent="0.3"/>
    <row r="20992" x14ac:dyDescent="0.3"/>
    <row r="20993" x14ac:dyDescent="0.3"/>
    <row r="20994" x14ac:dyDescent="0.3"/>
    <row r="20995" x14ac:dyDescent="0.3"/>
    <row r="20996" x14ac:dyDescent="0.3"/>
    <row r="20997" x14ac:dyDescent="0.3"/>
    <row r="20998" x14ac:dyDescent="0.3"/>
    <row r="20999" x14ac:dyDescent="0.3"/>
    <row r="21000" x14ac:dyDescent="0.3"/>
    <row r="21001" x14ac:dyDescent="0.3"/>
    <row r="21002" x14ac:dyDescent="0.3"/>
    <row r="21003" x14ac:dyDescent="0.3"/>
    <row r="21004" x14ac:dyDescent="0.3"/>
    <row r="21005" x14ac:dyDescent="0.3"/>
    <row r="21006" x14ac:dyDescent="0.3"/>
    <row r="21007" x14ac:dyDescent="0.3"/>
    <row r="21008" x14ac:dyDescent="0.3"/>
    <row r="21009" x14ac:dyDescent="0.3"/>
    <row r="21010" x14ac:dyDescent="0.3"/>
    <row r="21011" x14ac:dyDescent="0.3"/>
    <row r="21012" x14ac:dyDescent="0.3"/>
    <row r="21013" x14ac:dyDescent="0.3"/>
    <row r="21014" x14ac:dyDescent="0.3"/>
    <row r="21015" x14ac:dyDescent="0.3"/>
    <row r="21016" x14ac:dyDescent="0.3"/>
    <row r="21017" x14ac:dyDescent="0.3"/>
    <row r="21018" x14ac:dyDescent="0.3"/>
    <row r="21019" x14ac:dyDescent="0.3"/>
    <row r="21020" x14ac:dyDescent="0.3"/>
    <row r="21021" x14ac:dyDescent="0.3"/>
    <row r="21022" x14ac:dyDescent="0.3"/>
    <row r="21023" x14ac:dyDescent="0.3"/>
    <row r="21024" x14ac:dyDescent="0.3"/>
    <row r="21025" x14ac:dyDescent="0.3"/>
    <row r="21026" x14ac:dyDescent="0.3"/>
    <row r="21027" x14ac:dyDescent="0.3"/>
    <row r="21028" x14ac:dyDescent="0.3"/>
    <row r="21029" x14ac:dyDescent="0.3"/>
    <row r="21030" x14ac:dyDescent="0.3"/>
    <row r="21031" x14ac:dyDescent="0.3"/>
    <row r="21032" x14ac:dyDescent="0.3"/>
    <row r="21033" x14ac:dyDescent="0.3"/>
    <row r="21034" x14ac:dyDescent="0.3"/>
    <row r="21035" x14ac:dyDescent="0.3"/>
    <row r="21036" x14ac:dyDescent="0.3"/>
    <row r="21037" x14ac:dyDescent="0.3"/>
    <row r="21038" x14ac:dyDescent="0.3"/>
    <row r="21039" x14ac:dyDescent="0.3"/>
    <row r="21040" x14ac:dyDescent="0.3"/>
    <row r="21041" x14ac:dyDescent="0.3"/>
    <row r="21042" x14ac:dyDescent="0.3"/>
    <row r="21043" x14ac:dyDescent="0.3"/>
    <row r="21044" x14ac:dyDescent="0.3"/>
    <row r="21045" x14ac:dyDescent="0.3"/>
    <row r="21046" x14ac:dyDescent="0.3"/>
    <row r="21047" x14ac:dyDescent="0.3"/>
    <row r="21048" x14ac:dyDescent="0.3"/>
    <row r="21049" x14ac:dyDescent="0.3"/>
    <row r="21050" x14ac:dyDescent="0.3"/>
    <row r="21051" x14ac:dyDescent="0.3"/>
    <row r="21052" x14ac:dyDescent="0.3"/>
    <row r="21053" x14ac:dyDescent="0.3"/>
    <row r="21054" x14ac:dyDescent="0.3"/>
    <row r="21055" x14ac:dyDescent="0.3"/>
    <row r="21056" x14ac:dyDescent="0.3"/>
    <row r="21057" x14ac:dyDescent="0.3"/>
    <row r="21058" x14ac:dyDescent="0.3"/>
    <row r="21059" x14ac:dyDescent="0.3"/>
    <row r="21060" x14ac:dyDescent="0.3"/>
    <row r="21061" x14ac:dyDescent="0.3"/>
    <row r="21062" x14ac:dyDescent="0.3"/>
    <row r="21063" x14ac:dyDescent="0.3"/>
    <row r="21064" x14ac:dyDescent="0.3"/>
    <row r="21065" x14ac:dyDescent="0.3"/>
    <row r="21066" x14ac:dyDescent="0.3"/>
    <row r="21067" x14ac:dyDescent="0.3"/>
    <row r="21068" x14ac:dyDescent="0.3"/>
    <row r="21069" x14ac:dyDescent="0.3"/>
    <row r="21070" x14ac:dyDescent="0.3"/>
    <row r="21071" x14ac:dyDescent="0.3"/>
    <row r="21072" x14ac:dyDescent="0.3"/>
    <row r="21073" x14ac:dyDescent="0.3"/>
    <row r="21074" x14ac:dyDescent="0.3"/>
    <row r="21075" x14ac:dyDescent="0.3"/>
    <row r="21076" x14ac:dyDescent="0.3"/>
    <row r="21077" x14ac:dyDescent="0.3"/>
    <row r="21078" x14ac:dyDescent="0.3"/>
    <row r="21079" x14ac:dyDescent="0.3"/>
    <row r="21080" x14ac:dyDescent="0.3"/>
    <row r="21081" x14ac:dyDescent="0.3"/>
    <row r="21082" x14ac:dyDescent="0.3"/>
    <row r="21083" x14ac:dyDescent="0.3"/>
    <row r="21084" x14ac:dyDescent="0.3"/>
    <row r="21085" x14ac:dyDescent="0.3"/>
    <row r="21086" x14ac:dyDescent="0.3"/>
    <row r="21087" x14ac:dyDescent="0.3"/>
    <row r="21088" x14ac:dyDescent="0.3"/>
    <row r="21089" x14ac:dyDescent="0.3"/>
    <row r="21090" x14ac:dyDescent="0.3"/>
    <row r="21091" x14ac:dyDescent="0.3"/>
    <row r="21092" x14ac:dyDescent="0.3"/>
    <row r="21093" x14ac:dyDescent="0.3"/>
    <row r="21094" x14ac:dyDescent="0.3"/>
    <row r="21095" x14ac:dyDescent="0.3"/>
    <row r="21096" x14ac:dyDescent="0.3"/>
    <row r="21097" x14ac:dyDescent="0.3"/>
    <row r="21098" x14ac:dyDescent="0.3"/>
    <row r="21099" x14ac:dyDescent="0.3"/>
    <row r="21100" x14ac:dyDescent="0.3"/>
    <row r="21101" x14ac:dyDescent="0.3"/>
    <row r="21102" x14ac:dyDescent="0.3"/>
    <row r="21103" x14ac:dyDescent="0.3"/>
    <row r="21104" x14ac:dyDescent="0.3"/>
    <row r="21105" x14ac:dyDescent="0.3"/>
    <row r="21106" x14ac:dyDescent="0.3"/>
    <row r="21107" x14ac:dyDescent="0.3"/>
    <row r="21108" x14ac:dyDescent="0.3"/>
    <row r="21109" x14ac:dyDescent="0.3"/>
    <row r="21110" x14ac:dyDescent="0.3"/>
    <row r="21111" x14ac:dyDescent="0.3"/>
    <row r="21112" x14ac:dyDescent="0.3"/>
    <row r="21113" x14ac:dyDescent="0.3"/>
    <row r="21114" x14ac:dyDescent="0.3"/>
    <row r="21115" x14ac:dyDescent="0.3"/>
    <row r="21116" x14ac:dyDescent="0.3"/>
    <row r="21117" x14ac:dyDescent="0.3"/>
    <row r="21118" x14ac:dyDescent="0.3"/>
    <row r="21119" x14ac:dyDescent="0.3"/>
    <row r="21120" x14ac:dyDescent="0.3"/>
    <row r="21121" x14ac:dyDescent="0.3"/>
    <row r="21122" x14ac:dyDescent="0.3"/>
    <row r="21123" x14ac:dyDescent="0.3"/>
    <row r="21124" x14ac:dyDescent="0.3"/>
    <row r="21125" x14ac:dyDescent="0.3"/>
    <row r="21126" x14ac:dyDescent="0.3"/>
    <row r="21127" x14ac:dyDescent="0.3"/>
    <row r="21128" x14ac:dyDescent="0.3"/>
    <row r="21129" x14ac:dyDescent="0.3"/>
    <row r="21130" x14ac:dyDescent="0.3"/>
    <row r="21131" x14ac:dyDescent="0.3"/>
    <row r="21132" x14ac:dyDescent="0.3"/>
    <row r="21133" x14ac:dyDescent="0.3"/>
    <row r="21134" x14ac:dyDescent="0.3"/>
    <row r="21135" x14ac:dyDescent="0.3"/>
    <row r="21136" x14ac:dyDescent="0.3"/>
    <row r="21137" x14ac:dyDescent="0.3"/>
    <row r="21138" x14ac:dyDescent="0.3"/>
    <row r="21139" x14ac:dyDescent="0.3"/>
    <row r="21140" x14ac:dyDescent="0.3"/>
    <row r="21141" x14ac:dyDescent="0.3"/>
    <row r="21142" x14ac:dyDescent="0.3"/>
    <row r="21143" x14ac:dyDescent="0.3"/>
    <row r="21144" x14ac:dyDescent="0.3"/>
    <row r="21145" x14ac:dyDescent="0.3"/>
    <row r="21146" x14ac:dyDescent="0.3"/>
    <row r="21147" x14ac:dyDescent="0.3"/>
    <row r="21148" x14ac:dyDescent="0.3"/>
    <row r="21149" x14ac:dyDescent="0.3"/>
    <row r="21150" x14ac:dyDescent="0.3"/>
    <row r="21151" x14ac:dyDescent="0.3"/>
    <row r="21152" x14ac:dyDescent="0.3"/>
    <row r="21153" x14ac:dyDescent="0.3"/>
    <row r="21154" x14ac:dyDescent="0.3"/>
    <row r="21155" x14ac:dyDescent="0.3"/>
    <row r="21156" x14ac:dyDescent="0.3"/>
    <row r="21157" x14ac:dyDescent="0.3"/>
    <row r="21158" x14ac:dyDescent="0.3"/>
    <row r="21159" x14ac:dyDescent="0.3"/>
    <row r="21160" x14ac:dyDescent="0.3"/>
    <row r="21161" x14ac:dyDescent="0.3"/>
    <row r="21162" x14ac:dyDescent="0.3"/>
    <row r="21163" x14ac:dyDescent="0.3"/>
    <row r="21164" x14ac:dyDescent="0.3"/>
    <row r="21165" x14ac:dyDescent="0.3"/>
    <row r="21166" x14ac:dyDescent="0.3"/>
    <row r="21167" x14ac:dyDescent="0.3"/>
    <row r="21168" x14ac:dyDescent="0.3"/>
    <row r="21169" x14ac:dyDescent="0.3"/>
    <row r="21170" x14ac:dyDescent="0.3"/>
    <row r="21171" x14ac:dyDescent="0.3"/>
    <row r="21172" x14ac:dyDescent="0.3"/>
    <row r="21173" x14ac:dyDescent="0.3"/>
    <row r="21174" x14ac:dyDescent="0.3"/>
    <row r="21175" x14ac:dyDescent="0.3"/>
    <row r="21176" x14ac:dyDescent="0.3"/>
    <row r="21177" x14ac:dyDescent="0.3"/>
    <row r="21178" x14ac:dyDescent="0.3"/>
    <row r="21179" x14ac:dyDescent="0.3"/>
    <row r="21180" x14ac:dyDescent="0.3"/>
    <row r="21181" x14ac:dyDescent="0.3"/>
    <row r="21182" x14ac:dyDescent="0.3"/>
    <row r="21183" x14ac:dyDescent="0.3"/>
    <row r="21184" x14ac:dyDescent="0.3"/>
    <row r="21185" x14ac:dyDescent="0.3"/>
    <row r="21186" x14ac:dyDescent="0.3"/>
    <row r="21187" x14ac:dyDescent="0.3"/>
    <row r="21188" x14ac:dyDescent="0.3"/>
    <row r="21189" x14ac:dyDescent="0.3"/>
    <row r="21190" x14ac:dyDescent="0.3"/>
    <row r="21191" x14ac:dyDescent="0.3"/>
    <row r="21192" x14ac:dyDescent="0.3"/>
    <row r="21193" x14ac:dyDescent="0.3"/>
    <row r="21194" x14ac:dyDescent="0.3"/>
    <row r="21195" x14ac:dyDescent="0.3"/>
    <row r="21196" x14ac:dyDescent="0.3"/>
    <row r="21197" x14ac:dyDescent="0.3"/>
    <row r="21198" x14ac:dyDescent="0.3"/>
    <row r="21199" x14ac:dyDescent="0.3"/>
    <row r="21200" x14ac:dyDescent="0.3"/>
    <row r="21201" x14ac:dyDescent="0.3"/>
    <row r="21202" x14ac:dyDescent="0.3"/>
    <row r="21203" x14ac:dyDescent="0.3"/>
    <row r="21204" x14ac:dyDescent="0.3"/>
    <row r="21205" x14ac:dyDescent="0.3"/>
    <row r="21206" x14ac:dyDescent="0.3"/>
    <row r="21207" x14ac:dyDescent="0.3"/>
    <row r="21208" x14ac:dyDescent="0.3"/>
    <row r="21209" x14ac:dyDescent="0.3"/>
    <row r="21210" x14ac:dyDescent="0.3"/>
    <row r="21211" x14ac:dyDescent="0.3"/>
    <row r="21212" x14ac:dyDescent="0.3"/>
    <row r="21213" x14ac:dyDescent="0.3"/>
    <row r="21214" x14ac:dyDescent="0.3"/>
    <row r="21215" x14ac:dyDescent="0.3"/>
    <row r="21216" x14ac:dyDescent="0.3"/>
    <row r="21217" x14ac:dyDescent="0.3"/>
    <row r="21218" x14ac:dyDescent="0.3"/>
    <row r="21219" x14ac:dyDescent="0.3"/>
    <row r="21220" x14ac:dyDescent="0.3"/>
    <row r="21221" x14ac:dyDescent="0.3"/>
    <row r="21222" x14ac:dyDescent="0.3"/>
    <row r="21223" x14ac:dyDescent="0.3"/>
    <row r="21224" x14ac:dyDescent="0.3"/>
    <row r="21225" x14ac:dyDescent="0.3"/>
    <row r="21226" x14ac:dyDescent="0.3"/>
    <row r="21227" x14ac:dyDescent="0.3"/>
    <row r="21228" x14ac:dyDescent="0.3"/>
    <row r="21229" x14ac:dyDescent="0.3"/>
    <row r="21230" x14ac:dyDescent="0.3"/>
    <row r="21231" x14ac:dyDescent="0.3"/>
    <row r="21232" x14ac:dyDescent="0.3"/>
    <row r="21233" x14ac:dyDescent="0.3"/>
    <row r="21234" x14ac:dyDescent="0.3"/>
    <row r="21235" x14ac:dyDescent="0.3"/>
    <row r="21236" x14ac:dyDescent="0.3"/>
    <row r="21237" x14ac:dyDescent="0.3"/>
    <row r="21238" x14ac:dyDescent="0.3"/>
    <row r="21239" x14ac:dyDescent="0.3"/>
    <row r="21240" x14ac:dyDescent="0.3"/>
    <row r="21241" x14ac:dyDescent="0.3"/>
    <row r="21242" x14ac:dyDescent="0.3"/>
    <row r="21243" x14ac:dyDescent="0.3"/>
    <row r="21244" x14ac:dyDescent="0.3"/>
    <row r="21245" x14ac:dyDescent="0.3"/>
    <row r="21246" x14ac:dyDescent="0.3"/>
    <row r="21247" x14ac:dyDescent="0.3"/>
    <row r="21248" x14ac:dyDescent="0.3"/>
    <row r="21249" x14ac:dyDescent="0.3"/>
    <row r="21250" x14ac:dyDescent="0.3"/>
    <row r="21251" x14ac:dyDescent="0.3"/>
    <row r="21252" x14ac:dyDescent="0.3"/>
    <row r="21253" x14ac:dyDescent="0.3"/>
    <row r="21254" x14ac:dyDescent="0.3"/>
    <row r="21255" x14ac:dyDescent="0.3"/>
    <row r="21256" x14ac:dyDescent="0.3"/>
    <row r="21257" x14ac:dyDescent="0.3"/>
    <row r="21258" x14ac:dyDescent="0.3"/>
    <row r="21259" x14ac:dyDescent="0.3"/>
    <row r="21260" x14ac:dyDescent="0.3"/>
    <row r="21261" x14ac:dyDescent="0.3"/>
    <row r="21262" x14ac:dyDescent="0.3"/>
    <row r="21263" x14ac:dyDescent="0.3"/>
    <row r="21264" x14ac:dyDescent="0.3"/>
    <row r="21265" x14ac:dyDescent="0.3"/>
    <row r="21266" x14ac:dyDescent="0.3"/>
    <row r="21267" x14ac:dyDescent="0.3"/>
    <row r="21268" x14ac:dyDescent="0.3"/>
    <row r="21269" x14ac:dyDescent="0.3"/>
    <row r="21270" x14ac:dyDescent="0.3"/>
    <row r="21271" x14ac:dyDescent="0.3"/>
    <row r="21272" x14ac:dyDescent="0.3"/>
    <row r="21273" x14ac:dyDescent="0.3"/>
    <row r="21274" x14ac:dyDescent="0.3"/>
    <row r="21275" x14ac:dyDescent="0.3"/>
    <row r="21276" x14ac:dyDescent="0.3"/>
    <row r="21277" x14ac:dyDescent="0.3"/>
    <row r="21278" x14ac:dyDescent="0.3"/>
    <row r="21279" x14ac:dyDescent="0.3"/>
    <row r="21280" x14ac:dyDescent="0.3"/>
    <row r="21281" x14ac:dyDescent="0.3"/>
    <row r="21282" x14ac:dyDescent="0.3"/>
    <row r="21283" x14ac:dyDescent="0.3"/>
    <row r="21284" x14ac:dyDescent="0.3"/>
    <row r="21285" x14ac:dyDescent="0.3"/>
    <row r="21286" x14ac:dyDescent="0.3"/>
    <row r="21287" x14ac:dyDescent="0.3"/>
    <row r="21288" x14ac:dyDescent="0.3"/>
    <row r="21289" x14ac:dyDescent="0.3"/>
    <row r="21290" x14ac:dyDescent="0.3"/>
    <row r="21291" x14ac:dyDescent="0.3"/>
    <row r="21292" x14ac:dyDescent="0.3"/>
    <row r="21293" x14ac:dyDescent="0.3"/>
    <row r="21294" x14ac:dyDescent="0.3"/>
    <row r="21295" x14ac:dyDescent="0.3"/>
    <row r="21296" x14ac:dyDescent="0.3"/>
    <row r="21297" x14ac:dyDescent="0.3"/>
    <row r="21298" x14ac:dyDescent="0.3"/>
    <row r="21299" x14ac:dyDescent="0.3"/>
    <row r="21300" x14ac:dyDescent="0.3"/>
    <row r="21301" x14ac:dyDescent="0.3"/>
    <row r="21302" x14ac:dyDescent="0.3"/>
    <row r="21303" x14ac:dyDescent="0.3"/>
    <row r="21304" x14ac:dyDescent="0.3"/>
    <row r="21305" x14ac:dyDescent="0.3"/>
    <row r="21306" x14ac:dyDescent="0.3"/>
    <row r="21307" x14ac:dyDescent="0.3"/>
    <row r="21308" x14ac:dyDescent="0.3"/>
    <row r="21309" x14ac:dyDescent="0.3"/>
    <row r="21310" x14ac:dyDescent="0.3"/>
    <row r="21311" x14ac:dyDescent="0.3"/>
    <row r="21312" x14ac:dyDescent="0.3"/>
    <row r="21313" x14ac:dyDescent="0.3"/>
    <row r="21314" x14ac:dyDescent="0.3"/>
    <row r="21315" x14ac:dyDescent="0.3"/>
    <row r="21316" x14ac:dyDescent="0.3"/>
    <row r="21317" x14ac:dyDescent="0.3"/>
    <row r="21318" x14ac:dyDescent="0.3"/>
    <row r="21319" x14ac:dyDescent="0.3"/>
    <row r="21320" x14ac:dyDescent="0.3"/>
    <row r="21321" x14ac:dyDescent="0.3"/>
    <row r="21322" x14ac:dyDescent="0.3"/>
    <row r="21323" x14ac:dyDescent="0.3"/>
    <row r="21324" x14ac:dyDescent="0.3"/>
    <row r="21325" x14ac:dyDescent="0.3"/>
    <row r="21326" x14ac:dyDescent="0.3"/>
    <row r="21327" x14ac:dyDescent="0.3"/>
    <row r="21328" x14ac:dyDescent="0.3"/>
    <row r="21329" x14ac:dyDescent="0.3"/>
    <row r="21330" x14ac:dyDescent="0.3"/>
    <row r="21331" x14ac:dyDescent="0.3"/>
    <row r="21332" x14ac:dyDescent="0.3"/>
    <row r="21333" x14ac:dyDescent="0.3"/>
    <row r="21334" x14ac:dyDescent="0.3"/>
    <row r="21335" x14ac:dyDescent="0.3"/>
    <row r="21336" x14ac:dyDescent="0.3"/>
    <row r="21337" x14ac:dyDescent="0.3"/>
    <row r="21338" x14ac:dyDescent="0.3"/>
    <row r="21339" x14ac:dyDescent="0.3"/>
    <row r="21340" x14ac:dyDescent="0.3"/>
    <row r="21341" x14ac:dyDescent="0.3"/>
    <row r="21342" x14ac:dyDescent="0.3"/>
    <row r="21343" x14ac:dyDescent="0.3"/>
    <row r="21344" x14ac:dyDescent="0.3"/>
    <row r="21345" x14ac:dyDescent="0.3"/>
    <row r="21346" x14ac:dyDescent="0.3"/>
    <row r="21347" x14ac:dyDescent="0.3"/>
    <row r="21348" x14ac:dyDescent="0.3"/>
    <row r="21349" x14ac:dyDescent="0.3"/>
    <row r="21350" x14ac:dyDescent="0.3"/>
    <row r="21351" x14ac:dyDescent="0.3"/>
    <row r="21352" x14ac:dyDescent="0.3"/>
    <row r="21353" x14ac:dyDescent="0.3"/>
    <row r="21354" x14ac:dyDescent="0.3"/>
    <row r="21355" x14ac:dyDescent="0.3"/>
    <row r="21356" x14ac:dyDescent="0.3"/>
    <row r="21357" x14ac:dyDescent="0.3"/>
    <row r="21358" x14ac:dyDescent="0.3"/>
    <row r="21359" x14ac:dyDescent="0.3"/>
    <row r="21360" x14ac:dyDescent="0.3"/>
    <row r="21361" x14ac:dyDescent="0.3"/>
    <row r="21362" x14ac:dyDescent="0.3"/>
    <row r="21363" x14ac:dyDescent="0.3"/>
    <row r="21364" x14ac:dyDescent="0.3"/>
    <row r="21365" x14ac:dyDescent="0.3"/>
    <row r="21366" x14ac:dyDescent="0.3"/>
    <row r="21367" x14ac:dyDescent="0.3"/>
    <row r="21368" x14ac:dyDescent="0.3"/>
    <row r="21369" x14ac:dyDescent="0.3"/>
    <row r="21370" x14ac:dyDescent="0.3"/>
    <row r="21371" x14ac:dyDescent="0.3"/>
    <row r="21372" x14ac:dyDescent="0.3"/>
    <row r="21373" x14ac:dyDescent="0.3"/>
    <row r="21374" x14ac:dyDescent="0.3"/>
    <row r="21375" x14ac:dyDescent="0.3"/>
    <row r="21376" x14ac:dyDescent="0.3"/>
    <row r="21377" x14ac:dyDescent="0.3"/>
    <row r="21378" x14ac:dyDescent="0.3"/>
    <row r="21379" x14ac:dyDescent="0.3"/>
    <row r="21380" x14ac:dyDescent="0.3"/>
    <row r="21381" x14ac:dyDescent="0.3"/>
    <row r="21382" x14ac:dyDescent="0.3"/>
    <row r="21383" x14ac:dyDescent="0.3"/>
    <row r="21384" x14ac:dyDescent="0.3"/>
    <row r="21385" x14ac:dyDescent="0.3"/>
    <row r="21386" x14ac:dyDescent="0.3"/>
    <row r="21387" x14ac:dyDescent="0.3"/>
    <row r="21388" x14ac:dyDescent="0.3"/>
    <row r="21389" x14ac:dyDescent="0.3"/>
    <row r="21390" x14ac:dyDescent="0.3"/>
    <row r="21391" x14ac:dyDescent="0.3"/>
    <row r="21392" x14ac:dyDescent="0.3"/>
    <row r="21393" x14ac:dyDescent="0.3"/>
    <row r="21394" x14ac:dyDescent="0.3"/>
    <row r="21395" x14ac:dyDescent="0.3"/>
    <row r="21396" x14ac:dyDescent="0.3"/>
    <row r="21397" x14ac:dyDescent="0.3"/>
    <row r="21398" x14ac:dyDescent="0.3"/>
    <row r="21399" x14ac:dyDescent="0.3"/>
    <row r="21400" x14ac:dyDescent="0.3"/>
    <row r="21401" x14ac:dyDescent="0.3"/>
    <row r="21402" x14ac:dyDescent="0.3"/>
    <row r="21403" x14ac:dyDescent="0.3"/>
    <row r="21404" x14ac:dyDescent="0.3"/>
    <row r="21405" x14ac:dyDescent="0.3"/>
    <row r="21406" x14ac:dyDescent="0.3"/>
    <row r="21407" x14ac:dyDescent="0.3"/>
    <row r="21408" x14ac:dyDescent="0.3"/>
    <row r="21409" x14ac:dyDescent="0.3"/>
    <row r="21410" x14ac:dyDescent="0.3"/>
    <row r="21411" x14ac:dyDescent="0.3"/>
    <row r="21412" x14ac:dyDescent="0.3"/>
    <row r="21413" x14ac:dyDescent="0.3"/>
    <row r="21414" x14ac:dyDescent="0.3"/>
    <row r="21415" x14ac:dyDescent="0.3"/>
    <row r="21416" x14ac:dyDescent="0.3"/>
    <row r="21417" x14ac:dyDescent="0.3"/>
    <row r="21418" x14ac:dyDescent="0.3"/>
    <row r="21419" x14ac:dyDescent="0.3"/>
    <row r="21420" x14ac:dyDescent="0.3"/>
    <row r="21421" x14ac:dyDescent="0.3"/>
    <row r="21422" x14ac:dyDescent="0.3"/>
    <row r="21423" x14ac:dyDescent="0.3"/>
    <row r="21424" x14ac:dyDescent="0.3"/>
    <row r="21425" x14ac:dyDescent="0.3"/>
    <row r="21426" x14ac:dyDescent="0.3"/>
    <row r="21427" x14ac:dyDescent="0.3"/>
    <row r="21428" x14ac:dyDescent="0.3"/>
    <row r="21429" x14ac:dyDescent="0.3"/>
    <row r="21430" x14ac:dyDescent="0.3"/>
    <row r="21431" x14ac:dyDescent="0.3"/>
    <row r="21432" x14ac:dyDescent="0.3"/>
    <row r="21433" x14ac:dyDescent="0.3"/>
    <row r="21434" x14ac:dyDescent="0.3"/>
    <row r="21435" x14ac:dyDescent="0.3"/>
    <row r="21436" x14ac:dyDescent="0.3"/>
    <row r="21437" x14ac:dyDescent="0.3"/>
    <row r="21438" x14ac:dyDescent="0.3"/>
    <row r="21439" x14ac:dyDescent="0.3"/>
    <row r="21440" x14ac:dyDescent="0.3"/>
    <row r="21441" x14ac:dyDescent="0.3"/>
    <row r="21442" x14ac:dyDescent="0.3"/>
    <row r="21443" x14ac:dyDescent="0.3"/>
    <row r="21444" x14ac:dyDescent="0.3"/>
    <row r="21445" x14ac:dyDescent="0.3"/>
    <row r="21446" x14ac:dyDescent="0.3"/>
    <row r="21447" x14ac:dyDescent="0.3"/>
    <row r="21448" x14ac:dyDescent="0.3"/>
    <row r="21449" x14ac:dyDescent="0.3"/>
    <row r="21450" x14ac:dyDescent="0.3"/>
    <row r="21451" x14ac:dyDescent="0.3"/>
    <row r="21452" x14ac:dyDescent="0.3"/>
    <row r="21453" x14ac:dyDescent="0.3"/>
    <row r="21454" x14ac:dyDescent="0.3"/>
    <row r="21455" x14ac:dyDescent="0.3"/>
    <row r="21456" x14ac:dyDescent="0.3"/>
    <row r="21457" x14ac:dyDescent="0.3"/>
    <row r="21458" x14ac:dyDescent="0.3"/>
    <row r="21459" x14ac:dyDescent="0.3"/>
    <row r="21460" x14ac:dyDescent="0.3"/>
    <row r="21461" x14ac:dyDescent="0.3"/>
    <row r="21462" x14ac:dyDescent="0.3"/>
    <row r="21463" x14ac:dyDescent="0.3"/>
    <row r="21464" x14ac:dyDescent="0.3"/>
    <row r="21465" x14ac:dyDescent="0.3"/>
    <row r="21466" x14ac:dyDescent="0.3"/>
    <row r="21467" x14ac:dyDescent="0.3"/>
    <row r="21468" x14ac:dyDescent="0.3"/>
    <row r="21469" x14ac:dyDescent="0.3"/>
    <row r="21470" x14ac:dyDescent="0.3"/>
    <row r="21471" x14ac:dyDescent="0.3"/>
    <row r="21472" x14ac:dyDescent="0.3"/>
    <row r="21473" x14ac:dyDescent="0.3"/>
    <row r="21474" x14ac:dyDescent="0.3"/>
    <row r="21475" x14ac:dyDescent="0.3"/>
    <row r="21476" x14ac:dyDescent="0.3"/>
    <row r="21477" x14ac:dyDescent="0.3"/>
    <row r="21478" x14ac:dyDescent="0.3"/>
    <row r="21479" x14ac:dyDescent="0.3"/>
    <row r="21480" x14ac:dyDescent="0.3"/>
    <row r="21481" x14ac:dyDescent="0.3"/>
    <row r="21482" x14ac:dyDescent="0.3"/>
    <row r="21483" x14ac:dyDescent="0.3"/>
    <row r="21484" x14ac:dyDescent="0.3"/>
    <row r="21485" x14ac:dyDescent="0.3"/>
    <row r="21486" x14ac:dyDescent="0.3"/>
    <row r="21487" x14ac:dyDescent="0.3"/>
    <row r="21488" x14ac:dyDescent="0.3"/>
    <row r="21489" x14ac:dyDescent="0.3"/>
    <row r="21490" x14ac:dyDescent="0.3"/>
    <row r="21491" x14ac:dyDescent="0.3"/>
    <row r="21492" x14ac:dyDescent="0.3"/>
    <row r="21493" x14ac:dyDescent="0.3"/>
    <row r="21494" x14ac:dyDescent="0.3"/>
    <row r="21495" x14ac:dyDescent="0.3"/>
    <row r="21496" x14ac:dyDescent="0.3"/>
    <row r="21497" x14ac:dyDescent="0.3"/>
    <row r="21498" x14ac:dyDescent="0.3"/>
    <row r="21499" x14ac:dyDescent="0.3"/>
    <row r="21500" x14ac:dyDescent="0.3"/>
    <row r="21501" x14ac:dyDescent="0.3"/>
    <row r="21502" x14ac:dyDescent="0.3"/>
    <row r="21503" x14ac:dyDescent="0.3"/>
    <row r="21504" x14ac:dyDescent="0.3"/>
    <row r="21505" x14ac:dyDescent="0.3"/>
    <row r="21506" x14ac:dyDescent="0.3"/>
    <row r="21507" x14ac:dyDescent="0.3"/>
    <row r="21508" x14ac:dyDescent="0.3"/>
    <row r="21509" x14ac:dyDescent="0.3"/>
    <row r="21510" x14ac:dyDescent="0.3"/>
    <row r="21511" x14ac:dyDescent="0.3"/>
    <row r="21512" x14ac:dyDescent="0.3"/>
    <row r="21513" x14ac:dyDescent="0.3"/>
    <row r="21514" x14ac:dyDescent="0.3"/>
    <row r="21515" x14ac:dyDescent="0.3"/>
    <row r="21516" x14ac:dyDescent="0.3"/>
    <row r="21517" x14ac:dyDescent="0.3"/>
    <row r="21518" x14ac:dyDescent="0.3"/>
    <row r="21519" x14ac:dyDescent="0.3"/>
    <row r="21520" x14ac:dyDescent="0.3"/>
    <row r="21521" x14ac:dyDescent="0.3"/>
    <row r="21522" x14ac:dyDescent="0.3"/>
    <row r="21523" x14ac:dyDescent="0.3"/>
    <row r="21524" x14ac:dyDescent="0.3"/>
    <row r="21525" x14ac:dyDescent="0.3"/>
    <row r="21526" x14ac:dyDescent="0.3"/>
    <row r="21527" x14ac:dyDescent="0.3"/>
    <row r="21528" x14ac:dyDescent="0.3"/>
    <row r="21529" x14ac:dyDescent="0.3"/>
    <row r="21530" x14ac:dyDescent="0.3"/>
    <row r="21531" x14ac:dyDescent="0.3"/>
    <row r="21532" x14ac:dyDescent="0.3"/>
    <row r="21533" x14ac:dyDescent="0.3"/>
    <row r="21534" x14ac:dyDescent="0.3"/>
    <row r="21535" x14ac:dyDescent="0.3"/>
    <row r="21536" x14ac:dyDescent="0.3"/>
    <row r="21537" x14ac:dyDescent="0.3"/>
    <row r="21538" x14ac:dyDescent="0.3"/>
    <row r="21539" x14ac:dyDescent="0.3"/>
    <row r="21540" x14ac:dyDescent="0.3"/>
    <row r="21541" x14ac:dyDescent="0.3"/>
    <row r="21542" x14ac:dyDescent="0.3"/>
    <row r="21543" x14ac:dyDescent="0.3"/>
    <row r="21544" x14ac:dyDescent="0.3"/>
    <row r="21545" x14ac:dyDescent="0.3"/>
    <row r="21546" x14ac:dyDescent="0.3"/>
    <row r="21547" x14ac:dyDescent="0.3"/>
    <row r="21548" x14ac:dyDescent="0.3"/>
    <row r="21549" x14ac:dyDescent="0.3"/>
    <row r="21550" x14ac:dyDescent="0.3"/>
    <row r="21551" x14ac:dyDescent="0.3"/>
    <row r="21552" x14ac:dyDescent="0.3"/>
    <row r="21553" x14ac:dyDescent="0.3"/>
    <row r="21554" x14ac:dyDescent="0.3"/>
    <row r="21555" x14ac:dyDescent="0.3"/>
    <row r="21556" x14ac:dyDescent="0.3"/>
    <row r="21557" x14ac:dyDescent="0.3"/>
    <row r="21558" x14ac:dyDescent="0.3"/>
    <row r="21559" x14ac:dyDescent="0.3"/>
    <row r="21560" x14ac:dyDescent="0.3"/>
    <row r="21561" x14ac:dyDescent="0.3"/>
    <row r="21562" x14ac:dyDescent="0.3"/>
    <row r="21563" x14ac:dyDescent="0.3"/>
    <row r="21564" x14ac:dyDescent="0.3"/>
    <row r="21565" x14ac:dyDescent="0.3"/>
    <row r="21566" x14ac:dyDescent="0.3"/>
    <row r="21567" x14ac:dyDescent="0.3"/>
    <row r="21568" x14ac:dyDescent="0.3"/>
    <row r="21569" x14ac:dyDescent="0.3"/>
    <row r="21570" x14ac:dyDescent="0.3"/>
    <row r="21571" x14ac:dyDescent="0.3"/>
    <row r="21572" x14ac:dyDescent="0.3"/>
    <row r="21573" x14ac:dyDescent="0.3"/>
    <row r="21574" x14ac:dyDescent="0.3"/>
    <row r="21575" x14ac:dyDescent="0.3"/>
    <row r="21576" x14ac:dyDescent="0.3"/>
    <row r="21577" x14ac:dyDescent="0.3"/>
    <row r="21578" x14ac:dyDescent="0.3"/>
    <row r="21579" x14ac:dyDescent="0.3"/>
    <row r="21580" x14ac:dyDescent="0.3"/>
    <row r="21581" x14ac:dyDescent="0.3"/>
    <row r="21582" x14ac:dyDescent="0.3"/>
    <row r="21583" x14ac:dyDescent="0.3"/>
    <row r="21584" x14ac:dyDescent="0.3"/>
    <row r="21585" x14ac:dyDescent="0.3"/>
    <row r="21586" x14ac:dyDescent="0.3"/>
    <row r="21587" x14ac:dyDescent="0.3"/>
    <row r="21588" x14ac:dyDescent="0.3"/>
    <row r="21589" x14ac:dyDescent="0.3"/>
    <row r="21590" x14ac:dyDescent="0.3"/>
    <row r="21591" x14ac:dyDescent="0.3"/>
    <row r="21592" x14ac:dyDescent="0.3"/>
    <row r="21593" x14ac:dyDescent="0.3"/>
    <row r="21594" x14ac:dyDescent="0.3"/>
    <row r="21595" x14ac:dyDescent="0.3"/>
    <row r="21596" x14ac:dyDescent="0.3"/>
    <row r="21597" x14ac:dyDescent="0.3"/>
    <row r="21598" x14ac:dyDescent="0.3"/>
    <row r="21599" x14ac:dyDescent="0.3"/>
    <row r="21600" x14ac:dyDescent="0.3"/>
    <row r="21601" x14ac:dyDescent="0.3"/>
    <row r="21602" x14ac:dyDescent="0.3"/>
    <row r="21603" x14ac:dyDescent="0.3"/>
    <row r="21604" x14ac:dyDescent="0.3"/>
    <row r="21605" x14ac:dyDescent="0.3"/>
    <row r="21606" x14ac:dyDescent="0.3"/>
    <row r="21607" x14ac:dyDescent="0.3"/>
    <row r="21608" x14ac:dyDescent="0.3"/>
    <row r="21609" x14ac:dyDescent="0.3"/>
    <row r="21610" x14ac:dyDescent="0.3"/>
    <row r="21611" x14ac:dyDescent="0.3"/>
    <row r="21612" x14ac:dyDescent="0.3"/>
    <row r="21613" x14ac:dyDescent="0.3"/>
    <row r="21614" x14ac:dyDescent="0.3"/>
    <row r="21615" x14ac:dyDescent="0.3"/>
    <row r="21616" x14ac:dyDescent="0.3"/>
    <row r="21617" x14ac:dyDescent="0.3"/>
    <row r="21618" x14ac:dyDescent="0.3"/>
    <row r="21619" x14ac:dyDescent="0.3"/>
    <row r="21620" x14ac:dyDescent="0.3"/>
    <row r="21621" x14ac:dyDescent="0.3"/>
    <row r="21622" x14ac:dyDescent="0.3"/>
    <row r="21623" x14ac:dyDescent="0.3"/>
    <row r="21624" x14ac:dyDescent="0.3"/>
    <row r="21625" x14ac:dyDescent="0.3"/>
    <row r="21626" x14ac:dyDescent="0.3"/>
    <row r="21627" x14ac:dyDescent="0.3"/>
    <row r="21628" x14ac:dyDescent="0.3"/>
    <row r="21629" x14ac:dyDescent="0.3"/>
    <row r="21630" x14ac:dyDescent="0.3"/>
    <row r="21631" x14ac:dyDescent="0.3"/>
    <row r="21632" x14ac:dyDescent="0.3"/>
    <row r="21633" x14ac:dyDescent="0.3"/>
    <row r="21634" x14ac:dyDescent="0.3"/>
    <row r="21635" x14ac:dyDescent="0.3"/>
    <row r="21636" x14ac:dyDescent="0.3"/>
    <row r="21637" x14ac:dyDescent="0.3"/>
    <row r="21638" x14ac:dyDescent="0.3"/>
    <row r="21639" x14ac:dyDescent="0.3"/>
    <row r="21640" x14ac:dyDescent="0.3"/>
    <row r="21641" x14ac:dyDescent="0.3"/>
    <row r="21642" x14ac:dyDescent="0.3"/>
    <row r="21643" x14ac:dyDescent="0.3"/>
    <row r="21644" x14ac:dyDescent="0.3"/>
    <row r="21645" x14ac:dyDescent="0.3"/>
    <row r="21646" x14ac:dyDescent="0.3"/>
    <row r="21647" x14ac:dyDescent="0.3"/>
    <row r="21648" x14ac:dyDescent="0.3"/>
    <row r="21649" x14ac:dyDescent="0.3"/>
    <row r="21650" x14ac:dyDescent="0.3"/>
    <row r="21651" x14ac:dyDescent="0.3"/>
    <row r="21652" x14ac:dyDescent="0.3"/>
    <row r="21653" x14ac:dyDescent="0.3"/>
    <row r="21654" x14ac:dyDescent="0.3"/>
    <row r="21655" x14ac:dyDescent="0.3"/>
    <row r="21656" x14ac:dyDescent="0.3"/>
    <row r="21657" x14ac:dyDescent="0.3"/>
    <row r="21658" x14ac:dyDescent="0.3"/>
    <row r="21659" x14ac:dyDescent="0.3"/>
    <row r="21660" x14ac:dyDescent="0.3"/>
    <row r="21661" x14ac:dyDescent="0.3"/>
    <row r="21662" x14ac:dyDescent="0.3"/>
    <row r="21663" x14ac:dyDescent="0.3"/>
    <row r="21664" x14ac:dyDescent="0.3"/>
    <row r="21665" x14ac:dyDescent="0.3"/>
    <row r="21666" x14ac:dyDescent="0.3"/>
    <row r="21667" x14ac:dyDescent="0.3"/>
    <row r="21668" x14ac:dyDescent="0.3"/>
    <row r="21669" x14ac:dyDescent="0.3"/>
    <row r="21670" x14ac:dyDescent="0.3"/>
    <row r="21671" x14ac:dyDescent="0.3"/>
    <row r="21672" x14ac:dyDescent="0.3"/>
    <row r="21673" x14ac:dyDescent="0.3"/>
    <row r="21674" x14ac:dyDescent="0.3"/>
    <row r="21675" x14ac:dyDescent="0.3"/>
    <row r="21676" x14ac:dyDescent="0.3"/>
    <row r="21677" x14ac:dyDescent="0.3"/>
    <row r="21678" x14ac:dyDescent="0.3"/>
    <row r="21679" x14ac:dyDescent="0.3"/>
    <row r="21680" x14ac:dyDescent="0.3"/>
    <row r="21681" x14ac:dyDescent="0.3"/>
    <row r="21682" x14ac:dyDescent="0.3"/>
    <row r="21683" x14ac:dyDescent="0.3"/>
    <row r="21684" x14ac:dyDescent="0.3"/>
    <row r="21685" x14ac:dyDescent="0.3"/>
    <row r="21686" x14ac:dyDescent="0.3"/>
    <row r="21687" x14ac:dyDescent="0.3"/>
    <row r="21688" x14ac:dyDescent="0.3"/>
    <row r="21689" x14ac:dyDescent="0.3"/>
    <row r="21690" x14ac:dyDescent="0.3"/>
    <row r="21691" x14ac:dyDescent="0.3"/>
    <row r="21692" x14ac:dyDescent="0.3"/>
    <row r="21693" x14ac:dyDescent="0.3"/>
    <row r="21694" x14ac:dyDescent="0.3"/>
    <row r="21695" x14ac:dyDescent="0.3"/>
    <row r="21696" x14ac:dyDescent="0.3"/>
    <row r="21697" x14ac:dyDescent="0.3"/>
    <row r="21698" x14ac:dyDescent="0.3"/>
    <row r="21699" x14ac:dyDescent="0.3"/>
    <row r="21700" x14ac:dyDescent="0.3"/>
    <row r="21701" x14ac:dyDescent="0.3"/>
    <row r="21702" x14ac:dyDescent="0.3"/>
    <row r="21703" x14ac:dyDescent="0.3"/>
    <row r="21704" x14ac:dyDescent="0.3"/>
    <row r="21705" x14ac:dyDescent="0.3"/>
    <row r="21706" x14ac:dyDescent="0.3"/>
    <row r="21707" x14ac:dyDescent="0.3"/>
    <row r="21708" x14ac:dyDescent="0.3"/>
    <row r="21709" x14ac:dyDescent="0.3"/>
    <row r="21710" x14ac:dyDescent="0.3"/>
    <row r="21711" x14ac:dyDescent="0.3"/>
    <row r="21712" x14ac:dyDescent="0.3"/>
    <row r="21713" x14ac:dyDescent="0.3"/>
    <row r="21714" x14ac:dyDescent="0.3"/>
    <row r="21715" x14ac:dyDescent="0.3"/>
    <row r="21716" x14ac:dyDescent="0.3"/>
    <row r="21717" x14ac:dyDescent="0.3"/>
    <row r="21718" x14ac:dyDescent="0.3"/>
    <row r="21719" x14ac:dyDescent="0.3"/>
    <row r="21720" x14ac:dyDescent="0.3"/>
    <row r="21721" x14ac:dyDescent="0.3"/>
    <row r="21722" x14ac:dyDescent="0.3"/>
    <row r="21723" x14ac:dyDescent="0.3"/>
    <row r="21724" x14ac:dyDescent="0.3"/>
    <row r="21725" x14ac:dyDescent="0.3"/>
    <row r="21726" x14ac:dyDescent="0.3"/>
    <row r="21727" x14ac:dyDescent="0.3"/>
    <row r="21728" x14ac:dyDescent="0.3"/>
    <row r="21729" x14ac:dyDescent="0.3"/>
    <row r="21730" x14ac:dyDescent="0.3"/>
    <row r="21731" x14ac:dyDescent="0.3"/>
    <row r="21732" x14ac:dyDescent="0.3"/>
    <row r="21733" x14ac:dyDescent="0.3"/>
    <row r="21734" x14ac:dyDescent="0.3"/>
    <row r="21735" x14ac:dyDescent="0.3"/>
    <row r="21736" x14ac:dyDescent="0.3"/>
    <row r="21737" x14ac:dyDescent="0.3"/>
    <row r="21738" x14ac:dyDescent="0.3"/>
    <row r="21739" x14ac:dyDescent="0.3"/>
    <row r="21740" x14ac:dyDescent="0.3"/>
    <row r="21741" x14ac:dyDescent="0.3"/>
    <row r="21742" x14ac:dyDescent="0.3"/>
    <row r="21743" x14ac:dyDescent="0.3"/>
    <row r="21744" x14ac:dyDescent="0.3"/>
    <row r="21745" x14ac:dyDescent="0.3"/>
    <row r="21746" x14ac:dyDescent="0.3"/>
    <row r="21747" x14ac:dyDescent="0.3"/>
    <row r="21748" x14ac:dyDescent="0.3"/>
    <row r="21749" x14ac:dyDescent="0.3"/>
    <row r="21750" x14ac:dyDescent="0.3"/>
    <row r="21751" x14ac:dyDescent="0.3"/>
    <row r="21752" x14ac:dyDescent="0.3"/>
    <row r="21753" x14ac:dyDescent="0.3"/>
    <row r="21754" x14ac:dyDescent="0.3"/>
    <row r="21755" x14ac:dyDescent="0.3"/>
    <row r="21756" x14ac:dyDescent="0.3"/>
    <row r="21757" x14ac:dyDescent="0.3"/>
    <row r="21758" x14ac:dyDescent="0.3"/>
    <row r="21759" x14ac:dyDescent="0.3"/>
    <row r="21760" x14ac:dyDescent="0.3"/>
    <row r="21761" x14ac:dyDescent="0.3"/>
    <row r="21762" x14ac:dyDescent="0.3"/>
    <row r="21763" x14ac:dyDescent="0.3"/>
    <row r="21764" x14ac:dyDescent="0.3"/>
    <row r="21765" x14ac:dyDescent="0.3"/>
    <row r="21766" x14ac:dyDescent="0.3"/>
    <row r="21767" x14ac:dyDescent="0.3"/>
    <row r="21768" x14ac:dyDescent="0.3"/>
    <row r="21769" x14ac:dyDescent="0.3"/>
    <row r="21770" x14ac:dyDescent="0.3"/>
    <row r="21771" x14ac:dyDescent="0.3"/>
    <row r="21772" x14ac:dyDescent="0.3"/>
    <row r="21773" x14ac:dyDescent="0.3"/>
    <row r="21774" x14ac:dyDescent="0.3"/>
    <row r="21775" x14ac:dyDescent="0.3"/>
    <row r="21776" x14ac:dyDescent="0.3"/>
    <row r="21777" x14ac:dyDescent="0.3"/>
    <row r="21778" x14ac:dyDescent="0.3"/>
    <row r="21779" x14ac:dyDescent="0.3"/>
    <row r="21780" x14ac:dyDescent="0.3"/>
    <row r="21781" x14ac:dyDescent="0.3"/>
    <row r="21782" x14ac:dyDescent="0.3"/>
    <row r="21783" x14ac:dyDescent="0.3"/>
    <row r="21784" x14ac:dyDescent="0.3"/>
    <row r="21785" x14ac:dyDescent="0.3"/>
    <row r="21786" x14ac:dyDescent="0.3"/>
    <row r="21787" x14ac:dyDescent="0.3"/>
    <row r="21788" x14ac:dyDescent="0.3"/>
    <row r="21789" x14ac:dyDescent="0.3"/>
    <row r="21790" x14ac:dyDescent="0.3"/>
    <row r="21791" x14ac:dyDescent="0.3"/>
    <row r="21792" x14ac:dyDescent="0.3"/>
    <row r="21793" x14ac:dyDescent="0.3"/>
    <row r="21794" x14ac:dyDescent="0.3"/>
    <row r="21795" x14ac:dyDescent="0.3"/>
    <row r="21796" x14ac:dyDescent="0.3"/>
    <row r="21797" x14ac:dyDescent="0.3"/>
    <row r="21798" x14ac:dyDescent="0.3"/>
    <row r="21799" x14ac:dyDescent="0.3"/>
    <row r="21800" x14ac:dyDescent="0.3"/>
    <row r="21801" x14ac:dyDescent="0.3"/>
    <row r="21802" x14ac:dyDescent="0.3"/>
    <row r="21803" x14ac:dyDescent="0.3"/>
    <row r="21804" x14ac:dyDescent="0.3"/>
    <row r="21805" x14ac:dyDescent="0.3"/>
    <row r="21806" x14ac:dyDescent="0.3"/>
    <row r="21807" x14ac:dyDescent="0.3"/>
    <row r="21808" x14ac:dyDescent="0.3"/>
    <row r="21809" x14ac:dyDescent="0.3"/>
    <row r="21810" x14ac:dyDescent="0.3"/>
    <row r="21811" x14ac:dyDescent="0.3"/>
    <row r="21812" x14ac:dyDescent="0.3"/>
    <row r="21813" x14ac:dyDescent="0.3"/>
    <row r="21814" x14ac:dyDescent="0.3"/>
    <row r="21815" x14ac:dyDescent="0.3"/>
    <row r="21816" x14ac:dyDescent="0.3"/>
    <row r="21817" x14ac:dyDescent="0.3"/>
    <row r="21818" x14ac:dyDescent="0.3"/>
    <row r="21819" x14ac:dyDescent="0.3"/>
    <row r="21820" x14ac:dyDescent="0.3"/>
    <row r="21821" x14ac:dyDescent="0.3"/>
    <row r="21822" x14ac:dyDescent="0.3"/>
    <row r="21823" x14ac:dyDescent="0.3"/>
    <row r="21824" x14ac:dyDescent="0.3"/>
    <row r="21825" x14ac:dyDescent="0.3"/>
    <row r="21826" x14ac:dyDescent="0.3"/>
    <row r="21827" x14ac:dyDescent="0.3"/>
    <row r="21828" x14ac:dyDescent="0.3"/>
    <row r="21829" x14ac:dyDescent="0.3"/>
    <row r="21830" x14ac:dyDescent="0.3"/>
    <row r="21831" x14ac:dyDescent="0.3"/>
    <row r="21832" x14ac:dyDescent="0.3"/>
    <row r="21833" x14ac:dyDescent="0.3"/>
    <row r="21834" x14ac:dyDescent="0.3"/>
    <row r="21835" x14ac:dyDescent="0.3"/>
    <row r="21836" x14ac:dyDescent="0.3"/>
    <row r="21837" x14ac:dyDescent="0.3"/>
    <row r="21838" x14ac:dyDescent="0.3"/>
    <row r="21839" x14ac:dyDescent="0.3"/>
    <row r="21840" x14ac:dyDescent="0.3"/>
    <row r="21841" x14ac:dyDescent="0.3"/>
    <row r="21842" x14ac:dyDescent="0.3"/>
    <row r="21843" x14ac:dyDescent="0.3"/>
    <row r="21844" x14ac:dyDescent="0.3"/>
    <row r="21845" x14ac:dyDescent="0.3"/>
    <row r="21846" x14ac:dyDescent="0.3"/>
    <row r="21847" x14ac:dyDescent="0.3"/>
    <row r="21848" x14ac:dyDescent="0.3"/>
    <row r="21849" x14ac:dyDescent="0.3"/>
    <row r="21850" x14ac:dyDescent="0.3"/>
    <row r="21851" x14ac:dyDescent="0.3"/>
    <row r="21852" x14ac:dyDescent="0.3"/>
    <row r="21853" x14ac:dyDescent="0.3"/>
    <row r="21854" x14ac:dyDescent="0.3"/>
    <row r="21855" x14ac:dyDescent="0.3"/>
    <row r="21856" x14ac:dyDescent="0.3"/>
    <row r="21857" x14ac:dyDescent="0.3"/>
    <row r="21858" x14ac:dyDescent="0.3"/>
    <row r="21859" x14ac:dyDescent="0.3"/>
    <row r="21860" x14ac:dyDescent="0.3"/>
    <row r="21861" x14ac:dyDescent="0.3"/>
    <row r="21862" x14ac:dyDescent="0.3"/>
    <row r="21863" x14ac:dyDescent="0.3"/>
    <row r="21864" x14ac:dyDescent="0.3"/>
    <row r="21865" x14ac:dyDescent="0.3"/>
    <row r="21866" x14ac:dyDescent="0.3"/>
    <row r="21867" x14ac:dyDescent="0.3"/>
    <row r="21868" x14ac:dyDescent="0.3"/>
    <row r="21869" x14ac:dyDescent="0.3"/>
    <row r="21870" x14ac:dyDescent="0.3"/>
    <row r="21871" x14ac:dyDescent="0.3"/>
    <row r="21872" x14ac:dyDescent="0.3"/>
    <row r="21873" x14ac:dyDescent="0.3"/>
    <row r="21874" x14ac:dyDescent="0.3"/>
    <row r="21875" x14ac:dyDescent="0.3"/>
    <row r="21876" x14ac:dyDescent="0.3"/>
    <row r="21877" x14ac:dyDescent="0.3"/>
    <row r="21878" x14ac:dyDescent="0.3"/>
    <row r="21879" x14ac:dyDescent="0.3"/>
    <row r="21880" x14ac:dyDescent="0.3"/>
    <row r="21881" x14ac:dyDescent="0.3"/>
    <row r="21882" x14ac:dyDescent="0.3"/>
    <row r="21883" x14ac:dyDescent="0.3"/>
    <row r="21884" x14ac:dyDescent="0.3"/>
    <row r="21885" x14ac:dyDescent="0.3"/>
    <row r="21886" x14ac:dyDescent="0.3"/>
    <row r="21887" x14ac:dyDescent="0.3"/>
    <row r="21888" x14ac:dyDescent="0.3"/>
    <row r="21889" x14ac:dyDescent="0.3"/>
    <row r="21890" x14ac:dyDescent="0.3"/>
    <row r="21891" x14ac:dyDescent="0.3"/>
    <row r="21892" x14ac:dyDescent="0.3"/>
    <row r="21893" x14ac:dyDescent="0.3"/>
    <row r="21894" x14ac:dyDescent="0.3"/>
    <row r="21895" x14ac:dyDescent="0.3"/>
    <row r="21896" x14ac:dyDescent="0.3"/>
    <row r="21897" x14ac:dyDescent="0.3"/>
    <row r="21898" x14ac:dyDescent="0.3"/>
    <row r="21899" x14ac:dyDescent="0.3"/>
    <row r="21900" x14ac:dyDescent="0.3"/>
    <row r="21901" x14ac:dyDescent="0.3"/>
    <row r="21902" x14ac:dyDescent="0.3"/>
    <row r="21903" x14ac:dyDescent="0.3"/>
    <row r="21904" x14ac:dyDescent="0.3"/>
    <row r="21905" x14ac:dyDescent="0.3"/>
    <row r="21906" x14ac:dyDescent="0.3"/>
    <row r="21907" x14ac:dyDescent="0.3"/>
    <row r="21908" x14ac:dyDescent="0.3"/>
    <row r="21909" x14ac:dyDescent="0.3"/>
    <row r="21910" x14ac:dyDescent="0.3"/>
    <row r="21911" x14ac:dyDescent="0.3"/>
    <row r="21912" x14ac:dyDescent="0.3"/>
    <row r="21913" x14ac:dyDescent="0.3"/>
    <row r="21914" x14ac:dyDescent="0.3"/>
    <row r="21915" x14ac:dyDescent="0.3"/>
    <row r="21916" x14ac:dyDescent="0.3"/>
    <row r="21917" x14ac:dyDescent="0.3"/>
    <row r="21918" x14ac:dyDescent="0.3"/>
    <row r="21919" x14ac:dyDescent="0.3"/>
    <row r="21920" x14ac:dyDescent="0.3"/>
    <row r="21921" x14ac:dyDescent="0.3"/>
    <row r="21922" x14ac:dyDescent="0.3"/>
    <row r="21923" x14ac:dyDescent="0.3"/>
    <row r="21924" x14ac:dyDescent="0.3"/>
    <row r="21925" x14ac:dyDescent="0.3"/>
    <row r="21926" x14ac:dyDescent="0.3"/>
    <row r="21927" x14ac:dyDescent="0.3"/>
    <row r="21928" x14ac:dyDescent="0.3"/>
    <row r="21929" x14ac:dyDescent="0.3"/>
    <row r="21930" x14ac:dyDescent="0.3"/>
    <row r="21931" x14ac:dyDescent="0.3"/>
    <row r="21932" x14ac:dyDescent="0.3"/>
    <row r="21933" x14ac:dyDescent="0.3"/>
    <row r="21934" x14ac:dyDescent="0.3"/>
    <row r="21935" x14ac:dyDescent="0.3"/>
    <row r="21936" x14ac:dyDescent="0.3"/>
    <row r="21937" x14ac:dyDescent="0.3"/>
    <row r="21938" x14ac:dyDescent="0.3"/>
    <row r="21939" x14ac:dyDescent="0.3"/>
    <row r="21940" x14ac:dyDescent="0.3"/>
    <row r="21941" x14ac:dyDescent="0.3"/>
    <row r="21942" x14ac:dyDescent="0.3"/>
    <row r="21943" x14ac:dyDescent="0.3"/>
    <row r="21944" x14ac:dyDescent="0.3"/>
    <row r="21945" x14ac:dyDescent="0.3"/>
    <row r="21946" x14ac:dyDescent="0.3"/>
    <row r="21947" x14ac:dyDescent="0.3"/>
    <row r="21948" x14ac:dyDescent="0.3"/>
    <row r="21949" x14ac:dyDescent="0.3"/>
    <row r="21950" x14ac:dyDescent="0.3"/>
    <row r="21951" x14ac:dyDescent="0.3"/>
    <row r="21952" x14ac:dyDescent="0.3"/>
    <row r="21953" x14ac:dyDescent="0.3"/>
    <row r="21954" x14ac:dyDescent="0.3"/>
    <row r="21955" x14ac:dyDescent="0.3"/>
    <row r="21956" x14ac:dyDescent="0.3"/>
    <row r="21957" x14ac:dyDescent="0.3"/>
    <row r="21958" x14ac:dyDescent="0.3"/>
    <row r="21959" x14ac:dyDescent="0.3"/>
    <row r="21960" x14ac:dyDescent="0.3"/>
    <row r="21961" x14ac:dyDescent="0.3"/>
    <row r="21962" x14ac:dyDescent="0.3"/>
    <row r="21963" x14ac:dyDescent="0.3"/>
    <row r="21964" x14ac:dyDescent="0.3"/>
    <row r="21965" x14ac:dyDescent="0.3"/>
    <row r="21966" x14ac:dyDescent="0.3"/>
    <row r="21967" x14ac:dyDescent="0.3"/>
    <row r="21968" x14ac:dyDescent="0.3"/>
    <row r="21969" x14ac:dyDescent="0.3"/>
    <row r="21970" x14ac:dyDescent="0.3"/>
    <row r="21971" x14ac:dyDescent="0.3"/>
    <row r="21972" x14ac:dyDescent="0.3"/>
    <row r="21973" x14ac:dyDescent="0.3"/>
    <row r="21974" x14ac:dyDescent="0.3"/>
    <row r="21975" x14ac:dyDescent="0.3"/>
    <row r="21976" x14ac:dyDescent="0.3"/>
    <row r="21977" x14ac:dyDescent="0.3"/>
    <row r="21978" x14ac:dyDescent="0.3"/>
    <row r="21979" x14ac:dyDescent="0.3"/>
    <row r="21980" x14ac:dyDescent="0.3"/>
    <row r="21981" x14ac:dyDescent="0.3"/>
    <row r="21982" x14ac:dyDescent="0.3"/>
    <row r="21983" x14ac:dyDescent="0.3"/>
    <row r="21984" x14ac:dyDescent="0.3"/>
    <row r="21985" x14ac:dyDescent="0.3"/>
    <row r="21986" x14ac:dyDescent="0.3"/>
    <row r="21987" x14ac:dyDescent="0.3"/>
    <row r="21988" x14ac:dyDescent="0.3"/>
    <row r="21989" x14ac:dyDescent="0.3"/>
    <row r="21990" x14ac:dyDescent="0.3"/>
    <row r="21991" x14ac:dyDescent="0.3"/>
    <row r="21992" x14ac:dyDescent="0.3"/>
    <row r="21993" x14ac:dyDescent="0.3"/>
    <row r="21994" x14ac:dyDescent="0.3"/>
    <row r="21995" x14ac:dyDescent="0.3"/>
    <row r="21996" x14ac:dyDescent="0.3"/>
    <row r="21997" x14ac:dyDescent="0.3"/>
    <row r="21998" x14ac:dyDescent="0.3"/>
    <row r="21999" x14ac:dyDescent="0.3"/>
    <row r="22000" x14ac:dyDescent="0.3"/>
    <row r="22001" x14ac:dyDescent="0.3"/>
    <row r="22002" x14ac:dyDescent="0.3"/>
    <row r="22003" x14ac:dyDescent="0.3"/>
    <row r="22004" x14ac:dyDescent="0.3"/>
    <row r="22005" x14ac:dyDescent="0.3"/>
    <row r="22006" x14ac:dyDescent="0.3"/>
    <row r="22007" x14ac:dyDescent="0.3"/>
    <row r="22008" x14ac:dyDescent="0.3"/>
    <row r="22009" x14ac:dyDescent="0.3"/>
    <row r="22010" x14ac:dyDescent="0.3"/>
    <row r="22011" x14ac:dyDescent="0.3"/>
    <row r="22012" x14ac:dyDescent="0.3"/>
    <row r="22013" x14ac:dyDescent="0.3"/>
    <row r="22014" x14ac:dyDescent="0.3"/>
    <row r="22015" x14ac:dyDescent="0.3"/>
    <row r="22016" x14ac:dyDescent="0.3"/>
    <row r="22017" x14ac:dyDescent="0.3"/>
    <row r="22018" x14ac:dyDescent="0.3"/>
    <row r="22019" x14ac:dyDescent="0.3"/>
    <row r="22020" x14ac:dyDescent="0.3"/>
    <row r="22021" x14ac:dyDescent="0.3"/>
    <row r="22022" x14ac:dyDescent="0.3"/>
    <row r="22023" x14ac:dyDescent="0.3"/>
    <row r="22024" x14ac:dyDescent="0.3"/>
    <row r="22025" x14ac:dyDescent="0.3"/>
    <row r="22026" x14ac:dyDescent="0.3"/>
    <row r="22027" x14ac:dyDescent="0.3"/>
    <row r="22028" x14ac:dyDescent="0.3"/>
    <row r="22029" x14ac:dyDescent="0.3"/>
    <row r="22030" x14ac:dyDescent="0.3"/>
    <row r="22031" x14ac:dyDescent="0.3"/>
    <row r="22032" x14ac:dyDescent="0.3"/>
    <row r="22033" x14ac:dyDescent="0.3"/>
    <row r="22034" x14ac:dyDescent="0.3"/>
    <row r="22035" x14ac:dyDescent="0.3"/>
    <row r="22036" x14ac:dyDescent="0.3"/>
    <row r="22037" x14ac:dyDescent="0.3"/>
    <row r="22038" x14ac:dyDescent="0.3"/>
    <row r="22039" x14ac:dyDescent="0.3"/>
    <row r="22040" x14ac:dyDescent="0.3"/>
    <row r="22041" x14ac:dyDescent="0.3"/>
    <row r="22042" x14ac:dyDescent="0.3"/>
    <row r="22043" x14ac:dyDescent="0.3"/>
    <row r="22044" x14ac:dyDescent="0.3"/>
    <row r="22045" x14ac:dyDescent="0.3"/>
    <row r="22046" x14ac:dyDescent="0.3"/>
    <row r="22047" x14ac:dyDescent="0.3"/>
    <row r="22048" x14ac:dyDescent="0.3"/>
    <row r="22049" x14ac:dyDescent="0.3"/>
    <row r="22050" x14ac:dyDescent="0.3"/>
    <row r="22051" x14ac:dyDescent="0.3"/>
    <row r="22052" x14ac:dyDescent="0.3"/>
    <row r="22053" x14ac:dyDescent="0.3"/>
    <row r="22054" x14ac:dyDescent="0.3"/>
    <row r="22055" x14ac:dyDescent="0.3"/>
    <row r="22056" x14ac:dyDescent="0.3"/>
    <row r="22057" x14ac:dyDescent="0.3"/>
    <row r="22058" x14ac:dyDescent="0.3"/>
    <row r="22059" x14ac:dyDescent="0.3"/>
    <row r="22060" x14ac:dyDescent="0.3"/>
    <row r="22061" x14ac:dyDescent="0.3"/>
    <row r="22062" x14ac:dyDescent="0.3"/>
    <row r="22063" x14ac:dyDescent="0.3"/>
    <row r="22064" x14ac:dyDescent="0.3"/>
    <row r="22065" x14ac:dyDescent="0.3"/>
    <row r="22066" x14ac:dyDescent="0.3"/>
    <row r="22067" x14ac:dyDescent="0.3"/>
    <row r="22068" x14ac:dyDescent="0.3"/>
    <row r="22069" x14ac:dyDescent="0.3"/>
    <row r="22070" x14ac:dyDescent="0.3"/>
    <row r="22071" x14ac:dyDescent="0.3"/>
    <row r="22072" x14ac:dyDescent="0.3"/>
    <row r="22073" x14ac:dyDescent="0.3"/>
    <row r="22074" x14ac:dyDescent="0.3"/>
    <row r="22075" x14ac:dyDescent="0.3"/>
    <row r="22076" x14ac:dyDescent="0.3"/>
    <row r="22077" x14ac:dyDescent="0.3"/>
    <row r="22078" x14ac:dyDescent="0.3"/>
    <row r="22079" x14ac:dyDescent="0.3"/>
    <row r="22080" x14ac:dyDescent="0.3"/>
    <row r="22081" x14ac:dyDescent="0.3"/>
    <row r="22082" x14ac:dyDescent="0.3"/>
    <row r="22083" x14ac:dyDescent="0.3"/>
    <row r="22084" x14ac:dyDescent="0.3"/>
    <row r="22085" x14ac:dyDescent="0.3"/>
    <row r="22086" x14ac:dyDescent="0.3"/>
    <row r="22087" x14ac:dyDescent="0.3"/>
    <row r="22088" x14ac:dyDescent="0.3"/>
    <row r="22089" x14ac:dyDescent="0.3"/>
    <row r="22090" x14ac:dyDescent="0.3"/>
    <row r="22091" x14ac:dyDescent="0.3"/>
    <row r="22092" x14ac:dyDescent="0.3"/>
    <row r="22093" x14ac:dyDescent="0.3"/>
    <row r="22094" x14ac:dyDescent="0.3"/>
    <row r="22095" x14ac:dyDescent="0.3"/>
    <row r="22096" x14ac:dyDescent="0.3"/>
    <row r="22097" x14ac:dyDescent="0.3"/>
    <row r="22098" x14ac:dyDescent="0.3"/>
    <row r="22099" x14ac:dyDescent="0.3"/>
    <row r="22100" x14ac:dyDescent="0.3"/>
    <row r="22101" x14ac:dyDescent="0.3"/>
    <row r="22102" x14ac:dyDescent="0.3"/>
    <row r="22103" x14ac:dyDescent="0.3"/>
    <row r="22104" x14ac:dyDescent="0.3"/>
    <row r="22105" x14ac:dyDescent="0.3"/>
    <row r="22106" x14ac:dyDescent="0.3"/>
    <row r="22107" x14ac:dyDescent="0.3"/>
    <row r="22108" x14ac:dyDescent="0.3"/>
    <row r="22109" x14ac:dyDescent="0.3"/>
    <row r="22110" x14ac:dyDescent="0.3"/>
    <row r="22111" x14ac:dyDescent="0.3"/>
    <row r="22112" x14ac:dyDescent="0.3"/>
    <row r="22113" x14ac:dyDescent="0.3"/>
    <row r="22114" x14ac:dyDescent="0.3"/>
    <row r="22115" x14ac:dyDescent="0.3"/>
    <row r="22116" x14ac:dyDescent="0.3"/>
    <row r="22117" x14ac:dyDescent="0.3"/>
    <row r="22118" x14ac:dyDescent="0.3"/>
    <row r="22119" x14ac:dyDescent="0.3"/>
    <row r="22120" x14ac:dyDescent="0.3"/>
    <row r="22121" x14ac:dyDescent="0.3"/>
    <row r="22122" x14ac:dyDescent="0.3"/>
    <row r="22123" x14ac:dyDescent="0.3"/>
    <row r="22124" x14ac:dyDescent="0.3"/>
    <row r="22125" x14ac:dyDescent="0.3"/>
    <row r="22126" x14ac:dyDescent="0.3"/>
    <row r="22127" x14ac:dyDescent="0.3"/>
    <row r="22128" x14ac:dyDescent="0.3"/>
    <row r="22129" x14ac:dyDescent="0.3"/>
    <row r="22130" x14ac:dyDescent="0.3"/>
    <row r="22131" x14ac:dyDescent="0.3"/>
    <row r="22132" x14ac:dyDescent="0.3"/>
    <row r="22133" x14ac:dyDescent="0.3"/>
    <row r="22134" x14ac:dyDescent="0.3"/>
    <row r="22135" x14ac:dyDescent="0.3"/>
    <row r="22136" x14ac:dyDescent="0.3"/>
    <row r="22137" x14ac:dyDescent="0.3"/>
    <row r="22138" x14ac:dyDescent="0.3"/>
    <row r="22139" x14ac:dyDescent="0.3"/>
    <row r="22140" x14ac:dyDescent="0.3"/>
    <row r="22141" x14ac:dyDescent="0.3"/>
    <row r="22142" x14ac:dyDescent="0.3"/>
    <row r="22143" x14ac:dyDescent="0.3"/>
    <row r="22144" x14ac:dyDescent="0.3"/>
    <row r="22145" x14ac:dyDescent="0.3"/>
    <row r="22146" x14ac:dyDescent="0.3"/>
    <row r="22147" x14ac:dyDescent="0.3"/>
    <row r="22148" x14ac:dyDescent="0.3"/>
    <row r="22149" x14ac:dyDescent="0.3"/>
    <row r="22150" x14ac:dyDescent="0.3"/>
    <row r="22151" x14ac:dyDescent="0.3"/>
    <row r="22152" x14ac:dyDescent="0.3"/>
    <row r="22153" x14ac:dyDescent="0.3"/>
    <row r="22154" x14ac:dyDescent="0.3"/>
    <row r="22155" x14ac:dyDescent="0.3"/>
    <row r="22156" x14ac:dyDescent="0.3"/>
    <row r="22157" x14ac:dyDescent="0.3"/>
    <row r="22158" x14ac:dyDescent="0.3"/>
    <row r="22159" x14ac:dyDescent="0.3"/>
    <row r="22160" x14ac:dyDescent="0.3"/>
    <row r="22161" x14ac:dyDescent="0.3"/>
    <row r="22162" x14ac:dyDescent="0.3"/>
    <row r="22163" x14ac:dyDescent="0.3"/>
    <row r="22164" x14ac:dyDescent="0.3"/>
    <row r="22165" x14ac:dyDescent="0.3"/>
    <row r="22166" x14ac:dyDescent="0.3"/>
    <row r="22167" x14ac:dyDescent="0.3"/>
    <row r="22168" x14ac:dyDescent="0.3"/>
    <row r="22169" x14ac:dyDescent="0.3"/>
    <row r="22170" x14ac:dyDescent="0.3"/>
    <row r="22171" x14ac:dyDescent="0.3"/>
    <row r="22172" x14ac:dyDescent="0.3"/>
    <row r="22173" x14ac:dyDescent="0.3"/>
    <row r="22174" x14ac:dyDescent="0.3"/>
    <row r="22175" x14ac:dyDescent="0.3"/>
    <row r="22176" x14ac:dyDescent="0.3"/>
    <row r="22177" x14ac:dyDescent="0.3"/>
    <row r="22178" x14ac:dyDescent="0.3"/>
    <row r="22179" x14ac:dyDescent="0.3"/>
    <row r="22180" x14ac:dyDescent="0.3"/>
    <row r="22181" x14ac:dyDescent="0.3"/>
    <row r="22182" x14ac:dyDescent="0.3"/>
    <row r="22183" x14ac:dyDescent="0.3"/>
    <row r="22184" x14ac:dyDescent="0.3"/>
    <row r="22185" x14ac:dyDescent="0.3"/>
    <row r="22186" x14ac:dyDescent="0.3"/>
    <row r="22187" x14ac:dyDescent="0.3"/>
    <row r="22188" x14ac:dyDescent="0.3"/>
    <row r="22189" x14ac:dyDescent="0.3"/>
    <row r="22190" x14ac:dyDescent="0.3"/>
    <row r="22191" x14ac:dyDescent="0.3"/>
    <row r="22192" x14ac:dyDescent="0.3"/>
    <row r="22193" x14ac:dyDescent="0.3"/>
    <row r="22194" x14ac:dyDescent="0.3"/>
    <row r="22195" x14ac:dyDescent="0.3"/>
    <row r="22196" x14ac:dyDescent="0.3"/>
    <row r="22197" x14ac:dyDescent="0.3"/>
    <row r="22198" x14ac:dyDescent="0.3"/>
    <row r="22199" x14ac:dyDescent="0.3"/>
    <row r="22200" x14ac:dyDescent="0.3"/>
    <row r="22201" x14ac:dyDescent="0.3"/>
    <row r="22202" x14ac:dyDescent="0.3"/>
    <row r="22203" x14ac:dyDescent="0.3"/>
    <row r="22204" x14ac:dyDescent="0.3"/>
    <row r="22205" x14ac:dyDescent="0.3"/>
    <row r="22206" x14ac:dyDescent="0.3"/>
    <row r="22207" x14ac:dyDescent="0.3"/>
    <row r="22208" x14ac:dyDescent="0.3"/>
    <row r="22209" x14ac:dyDescent="0.3"/>
    <row r="22210" x14ac:dyDescent="0.3"/>
    <row r="22211" x14ac:dyDescent="0.3"/>
    <row r="22212" x14ac:dyDescent="0.3"/>
    <row r="22213" x14ac:dyDescent="0.3"/>
    <row r="22214" x14ac:dyDescent="0.3"/>
    <row r="22215" x14ac:dyDescent="0.3"/>
    <row r="22216" x14ac:dyDescent="0.3"/>
    <row r="22217" x14ac:dyDescent="0.3"/>
    <row r="22218" x14ac:dyDescent="0.3"/>
    <row r="22219" x14ac:dyDescent="0.3"/>
    <row r="22220" x14ac:dyDescent="0.3"/>
    <row r="22221" x14ac:dyDescent="0.3"/>
    <row r="22222" x14ac:dyDescent="0.3"/>
    <row r="22223" x14ac:dyDescent="0.3"/>
    <row r="22224" x14ac:dyDescent="0.3"/>
    <row r="22225" x14ac:dyDescent="0.3"/>
    <row r="22226" x14ac:dyDescent="0.3"/>
    <row r="22227" x14ac:dyDescent="0.3"/>
    <row r="22228" x14ac:dyDescent="0.3"/>
    <row r="22229" x14ac:dyDescent="0.3"/>
    <row r="22230" x14ac:dyDescent="0.3"/>
    <row r="22231" x14ac:dyDescent="0.3"/>
    <row r="22232" x14ac:dyDescent="0.3"/>
    <row r="22233" x14ac:dyDescent="0.3"/>
    <row r="22234" x14ac:dyDescent="0.3"/>
    <row r="22235" x14ac:dyDescent="0.3"/>
    <row r="22236" x14ac:dyDescent="0.3"/>
    <row r="22237" x14ac:dyDescent="0.3"/>
    <row r="22238" x14ac:dyDescent="0.3"/>
    <row r="22239" x14ac:dyDescent="0.3"/>
    <row r="22240" x14ac:dyDescent="0.3"/>
    <row r="22241" x14ac:dyDescent="0.3"/>
    <row r="22242" x14ac:dyDescent="0.3"/>
    <row r="22243" x14ac:dyDescent="0.3"/>
    <row r="22244" x14ac:dyDescent="0.3"/>
    <row r="22245" x14ac:dyDescent="0.3"/>
    <row r="22246" x14ac:dyDescent="0.3"/>
    <row r="22247" x14ac:dyDescent="0.3"/>
    <row r="22248" x14ac:dyDescent="0.3"/>
    <row r="22249" x14ac:dyDescent="0.3"/>
    <row r="22250" x14ac:dyDescent="0.3"/>
    <row r="22251" x14ac:dyDescent="0.3"/>
    <row r="22252" x14ac:dyDescent="0.3"/>
    <row r="22253" x14ac:dyDescent="0.3"/>
    <row r="22254" x14ac:dyDescent="0.3"/>
    <row r="22255" x14ac:dyDescent="0.3"/>
    <row r="22256" x14ac:dyDescent="0.3"/>
    <row r="22257" x14ac:dyDescent="0.3"/>
    <row r="22258" x14ac:dyDescent="0.3"/>
    <row r="22259" x14ac:dyDescent="0.3"/>
    <row r="22260" x14ac:dyDescent="0.3"/>
    <row r="22261" x14ac:dyDescent="0.3"/>
    <row r="22262" x14ac:dyDescent="0.3"/>
    <row r="22263" x14ac:dyDescent="0.3"/>
    <row r="22264" x14ac:dyDescent="0.3"/>
    <row r="22265" x14ac:dyDescent="0.3"/>
    <row r="22266" x14ac:dyDescent="0.3"/>
    <row r="22267" x14ac:dyDescent="0.3"/>
    <row r="22268" x14ac:dyDescent="0.3"/>
    <row r="22269" x14ac:dyDescent="0.3"/>
    <row r="22270" x14ac:dyDescent="0.3"/>
    <row r="22271" x14ac:dyDescent="0.3"/>
    <row r="22272" x14ac:dyDescent="0.3"/>
    <row r="22273" x14ac:dyDescent="0.3"/>
    <row r="22274" x14ac:dyDescent="0.3"/>
    <row r="22275" x14ac:dyDescent="0.3"/>
    <row r="22276" x14ac:dyDescent="0.3"/>
    <row r="22277" x14ac:dyDescent="0.3"/>
    <row r="22278" x14ac:dyDescent="0.3"/>
    <row r="22279" x14ac:dyDescent="0.3"/>
    <row r="22280" x14ac:dyDescent="0.3"/>
    <row r="22281" x14ac:dyDescent="0.3"/>
    <row r="22282" x14ac:dyDescent="0.3"/>
    <row r="22283" x14ac:dyDescent="0.3"/>
    <row r="22284" x14ac:dyDescent="0.3"/>
    <row r="22285" x14ac:dyDescent="0.3"/>
    <row r="22286" x14ac:dyDescent="0.3"/>
    <row r="22287" x14ac:dyDescent="0.3"/>
    <row r="22288" x14ac:dyDescent="0.3"/>
    <row r="22289" x14ac:dyDescent="0.3"/>
    <row r="22290" x14ac:dyDescent="0.3"/>
    <row r="22291" x14ac:dyDescent="0.3"/>
    <row r="22292" x14ac:dyDescent="0.3"/>
    <row r="22293" x14ac:dyDescent="0.3"/>
    <row r="22294" x14ac:dyDescent="0.3"/>
    <row r="22295" x14ac:dyDescent="0.3"/>
    <row r="22296" x14ac:dyDescent="0.3"/>
    <row r="22297" x14ac:dyDescent="0.3"/>
    <row r="22298" x14ac:dyDescent="0.3"/>
    <row r="22299" x14ac:dyDescent="0.3"/>
    <row r="22300" x14ac:dyDescent="0.3"/>
    <row r="22301" x14ac:dyDescent="0.3"/>
    <row r="22302" x14ac:dyDescent="0.3"/>
    <row r="22303" x14ac:dyDescent="0.3"/>
    <row r="22304" x14ac:dyDescent="0.3"/>
    <row r="22305" x14ac:dyDescent="0.3"/>
    <row r="22306" x14ac:dyDescent="0.3"/>
    <row r="22307" x14ac:dyDescent="0.3"/>
    <row r="22308" x14ac:dyDescent="0.3"/>
    <row r="22309" x14ac:dyDescent="0.3"/>
    <row r="22310" x14ac:dyDescent="0.3"/>
    <row r="22311" x14ac:dyDescent="0.3"/>
    <row r="22312" x14ac:dyDescent="0.3"/>
    <row r="22313" x14ac:dyDescent="0.3"/>
    <row r="22314" x14ac:dyDescent="0.3"/>
    <row r="22315" x14ac:dyDescent="0.3"/>
    <row r="22316" x14ac:dyDescent="0.3"/>
    <row r="22317" x14ac:dyDescent="0.3"/>
    <row r="22318" x14ac:dyDescent="0.3"/>
    <row r="22319" x14ac:dyDescent="0.3"/>
    <row r="22320" x14ac:dyDescent="0.3"/>
    <row r="22321" x14ac:dyDescent="0.3"/>
    <row r="22322" x14ac:dyDescent="0.3"/>
    <row r="22323" x14ac:dyDescent="0.3"/>
    <row r="22324" x14ac:dyDescent="0.3"/>
    <row r="22325" x14ac:dyDescent="0.3"/>
    <row r="22326" x14ac:dyDescent="0.3"/>
    <row r="22327" x14ac:dyDescent="0.3"/>
    <row r="22328" x14ac:dyDescent="0.3"/>
    <row r="22329" x14ac:dyDescent="0.3"/>
    <row r="22330" x14ac:dyDescent="0.3"/>
    <row r="22331" x14ac:dyDescent="0.3"/>
    <row r="22332" x14ac:dyDescent="0.3"/>
    <row r="22333" x14ac:dyDescent="0.3"/>
    <row r="22334" x14ac:dyDescent="0.3"/>
    <row r="22335" x14ac:dyDescent="0.3"/>
    <row r="22336" x14ac:dyDescent="0.3"/>
    <row r="22337" x14ac:dyDescent="0.3"/>
    <row r="22338" x14ac:dyDescent="0.3"/>
    <row r="22339" x14ac:dyDescent="0.3"/>
    <row r="22340" x14ac:dyDescent="0.3"/>
    <row r="22341" x14ac:dyDescent="0.3"/>
    <row r="22342" x14ac:dyDescent="0.3"/>
    <row r="22343" x14ac:dyDescent="0.3"/>
    <row r="22344" x14ac:dyDescent="0.3"/>
    <row r="22345" x14ac:dyDescent="0.3"/>
    <row r="22346" x14ac:dyDescent="0.3"/>
    <row r="22347" x14ac:dyDescent="0.3"/>
    <row r="22348" x14ac:dyDescent="0.3"/>
    <row r="22349" x14ac:dyDescent="0.3"/>
    <row r="22350" x14ac:dyDescent="0.3"/>
    <row r="22351" x14ac:dyDescent="0.3"/>
    <row r="22352" x14ac:dyDescent="0.3"/>
    <row r="22353" x14ac:dyDescent="0.3"/>
    <row r="22354" x14ac:dyDescent="0.3"/>
    <row r="22355" x14ac:dyDescent="0.3"/>
    <row r="22356" x14ac:dyDescent="0.3"/>
    <row r="22357" x14ac:dyDescent="0.3"/>
    <row r="22358" x14ac:dyDescent="0.3"/>
    <row r="22359" x14ac:dyDescent="0.3"/>
    <row r="22360" x14ac:dyDescent="0.3"/>
    <row r="22361" x14ac:dyDescent="0.3"/>
    <row r="22362" x14ac:dyDescent="0.3"/>
    <row r="22363" x14ac:dyDescent="0.3"/>
    <row r="22364" x14ac:dyDescent="0.3"/>
    <row r="22365" x14ac:dyDescent="0.3"/>
    <row r="22366" x14ac:dyDescent="0.3"/>
    <row r="22367" x14ac:dyDescent="0.3"/>
    <row r="22368" x14ac:dyDescent="0.3"/>
    <row r="22369" x14ac:dyDescent="0.3"/>
    <row r="22370" x14ac:dyDescent="0.3"/>
    <row r="22371" x14ac:dyDescent="0.3"/>
    <row r="22372" x14ac:dyDescent="0.3"/>
    <row r="22373" x14ac:dyDescent="0.3"/>
    <row r="22374" x14ac:dyDescent="0.3"/>
    <row r="22375" x14ac:dyDescent="0.3"/>
    <row r="22376" x14ac:dyDescent="0.3"/>
    <row r="22377" x14ac:dyDescent="0.3"/>
    <row r="22378" x14ac:dyDescent="0.3"/>
    <row r="22379" x14ac:dyDescent="0.3"/>
    <row r="22380" x14ac:dyDescent="0.3"/>
    <row r="22381" x14ac:dyDescent="0.3"/>
    <row r="22382" x14ac:dyDescent="0.3"/>
    <row r="22383" x14ac:dyDescent="0.3"/>
    <row r="22384" x14ac:dyDescent="0.3"/>
    <row r="22385" x14ac:dyDescent="0.3"/>
    <row r="22386" x14ac:dyDescent="0.3"/>
    <row r="22387" x14ac:dyDescent="0.3"/>
    <row r="22388" x14ac:dyDescent="0.3"/>
    <row r="22389" x14ac:dyDescent="0.3"/>
    <row r="22390" x14ac:dyDescent="0.3"/>
    <row r="22391" x14ac:dyDescent="0.3"/>
    <row r="22392" x14ac:dyDescent="0.3"/>
    <row r="22393" x14ac:dyDescent="0.3"/>
    <row r="22394" x14ac:dyDescent="0.3"/>
    <row r="22395" x14ac:dyDescent="0.3"/>
    <row r="22396" x14ac:dyDescent="0.3"/>
    <row r="22397" x14ac:dyDescent="0.3"/>
    <row r="22398" x14ac:dyDescent="0.3"/>
    <row r="22399" x14ac:dyDescent="0.3"/>
    <row r="22400" x14ac:dyDescent="0.3"/>
    <row r="22401" x14ac:dyDescent="0.3"/>
    <row r="22402" x14ac:dyDescent="0.3"/>
    <row r="22403" x14ac:dyDescent="0.3"/>
    <row r="22404" x14ac:dyDescent="0.3"/>
    <row r="22405" x14ac:dyDescent="0.3"/>
    <row r="22406" x14ac:dyDescent="0.3"/>
    <row r="22407" x14ac:dyDescent="0.3"/>
    <row r="22408" x14ac:dyDescent="0.3"/>
    <row r="22409" x14ac:dyDescent="0.3"/>
    <row r="22410" x14ac:dyDescent="0.3"/>
    <row r="22411" x14ac:dyDescent="0.3"/>
    <row r="22412" x14ac:dyDescent="0.3"/>
    <row r="22413" x14ac:dyDescent="0.3"/>
    <row r="22414" x14ac:dyDescent="0.3"/>
    <row r="22415" x14ac:dyDescent="0.3"/>
    <row r="22416" x14ac:dyDescent="0.3"/>
    <row r="22417" x14ac:dyDescent="0.3"/>
    <row r="22418" x14ac:dyDescent="0.3"/>
    <row r="22419" x14ac:dyDescent="0.3"/>
    <row r="22420" x14ac:dyDescent="0.3"/>
    <row r="22421" x14ac:dyDescent="0.3"/>
    <row r="22422" x14ac:dyDescent="0.3"/>
    <row r="22423" x14ac:dyDescent="0.3"/>
    <row r="22424" x14ac:dyDescent="0.3"/>
    <row r="22425" x14ac:dyDescent="0.3"/>
    <row r="22426" x14ac:dyDescent="0.3"/>
    <row r="22427" x14ac:dyDescent="0.3"/>
    <row r="22428" x14ac:dyDescent="0.3"/>
    <row r="22429" x14ac:dyDescent="0.3"/>
    <row r="22430" x14ac:dyDescent="0.3"/>
    <row r="22431" x14ac:dyDescent="0.3"/>
    <row r="22432" x14ac:dyDescent="0.3"/>
    <row r="22433" x14ac:dyDescent="0.3"/>
    <row r="22434" x14ac:dyDescent="0.3"/>
    <row r="22435" x14ac:dyDescent="0.3"/>
    <row r="22436" x14ac:dyDescent="0.3"/>
    <row r="22437" x14ac:dyDescent="0.3"/>
    <row r="22438" x14ac:dyDescent="0.3"/>
    <row r="22439" x14ac:dyDescent="0.3"/>
    <row r="22440" x14ac:dyDescent="0.3"/>
    <row r="22441" x14ac:dyDescent="0.3"/>
    <row r="22442" x14ac:dyDescent="0.3"/>
    <row r="22443" x14ac:dyDescent="0.3"/>
    <row r="22444" x14ac:dyDescent="0.3"/>
    <row r="22445" x14ac:dyDescent="0.3"/>
    <row r="22446" x14ac:dyDescent="0.3"/>
    <row r="22447" x14ac:dyDescent="0.3"/>
    <row r="22448" x14ac:dyDescent="0.3"/>
    <row r="22449" x14ac:dyDescent="0.3"/>
    <row r="22450" x14ac:dyDescent="0.3"/>
    <row r="22451" x14ac:dyDescent="0.3"/>
    <row r="22452" x14ac:dyDescent="0.3"/>
    <row r="22453" x14ac:dyDescent="0.3"/>
    <row r="22454" x14ac:dyDescent="0.3"/>
    <row r="22455" x14ac:dyDescent="0.3"/>
    <row r="22456" x14ac:dyDescent="0.3"/>
    <row r="22457" x14ac:dyDescent="0.3"/>
    <row r="22458" x14ac:dyDescent="0.3"/>
    <row r="22459" x14ac:dyDescent="0.3"/>
    <row r="22460" x14ac:dyDescent="0.3"/>
    <row r="22461" x14ac:dyDescent="0.3"/>
    <row r="22462" x14ac:dyDescent="0.3"/>
    <row r="22463" x14ac:dyDescent="0.3"/>
    <row r="22464" x14ac:dyDescent="0.3"/>
    <row r="22465" x14ac:dyDescent="0.3"/>
    <row r="22466" x14ac:dyDescent="0.3"/>
    <row r="22467" x14ac:dyDescent="0.3"/>
    <row r="22468" x14ac:dyDescent="0.3"/>
    <row r="22469" x14ac:dyDescent="0.3"/>
    <row r="22470" x14ac:dyDescent="0.3"/>
    <row r="22471" x14ac:dyDescent="0.3"/>
    <row r="22472" x14ac:dyDescent="0.3"/>
    <row r="22473" x14ac:dyDescent="0.3"/>
    <row r="22474" x14ac:dyDescent="0.3"/>
    <row r="22475" x14ac:dyDescent="0.3"/>
    <row r="22476" x14ac:dyDescent="0.3"/>
    <row r="22477" x14ac:dyDescent="0.3"/>
    <row r="22478" x14ac:dyDescent="0.3"/>
    <row r="22479" x14ac:dyDescent="0.3"/>
    <row r="22480" x14ac:dyDescent="0.3"/>
    <row r="22481" x14ac:dyDescent="0.3"/>
    <row r="22482" x14ac:dyDescent="0.3"/>
    <row r="22483" x14ac:dyDescent="0.3"/>
    <row r="22484" x14ac:dyDescent="0.3"/>
    <row r="22485" x14ac:dyDescent="0.3"/>
    <row r="22486" x14ac:dyDescent="0.3"/>
    <row r="22487" x14ac:dyDescent="0.3"/>
    <row r="22488" x14ac:dyDescent="0.3"/>
    <row r="22489" x14ac:dyDescent="0.3"/>
    <row r="22490" x14ac:dyDescent="0.3"/>
    <row r="22491" x14ac:dyDescent="0.3"/>
    <row r="22492" x14ac:dyDescent="0.3"/>
    <row r="22493" x14ac:dyDescent="0.3"/>
    <row r="22494" x14ac:dyDescent="0.3"/>
    <row r="22495" x14ac:dyDescent="0.3"/>
    <row r="22496" x14ac:dyDescent="0.3"/>
    <row r="22497" x14ac:dyDescent="0.3"/>
    <row r="22498" x14ac:dyDescent="0.3"/>
    <row r="22499" x14ac:dyDescent="0.3"/>
    <row r="22500" x14ac:dyDescent="0.3"/>
    <row r="22501" x14ac:dyDescent="0.3"/>
    <row r="22502" x14ac:dyDescent="0.3"/>
    <row r="22503" x14ac:dyDescent="0.3"/>
    <row r="22504" x14ac:dyDescent="0.3"/>
    <row r="22505" x14ac:dyDescent="0.3"/>
    <row r="22506" x14ac:dyDescent="0.3"/>
    <row r="22507" x14ac:dyDescent="0.3"/>
    <row r="22508" x14ac:dyDescent="0.3"/>
    <row r="22509" x14ac:dyDescent="0.3"/>
    <row r="22510" x14ac:dyDescent="0.3"/>
    <row r="22511" x14ac:dyDescent="0.3"/>
    <row r="22512" x14ac:dyDescent="0.3"/>
    <row r="22513" x14ac:dyDescent="0.3"/>
    <row r="22514" x14ac:dyDescent="0.3"/>
    <row r="22515" x14ac:dyDescent="0.3"/>
    <row r="22516" x14ac:dyDescent="0.3"/>
    <row r="22517" x14ac:dyDescent="0.3"/>
    <row r="22518" x14ac:dyDescent="0.3"/>
    <row r="22519" x14ac:dyDescent="0.3"/>
    <row r="22520" x14ac:dyDescent="0.3"/>
    <row r="22521" x14ac:dyDescent="0.3"/>
    <row r="22522" x14ac:dyDescent="0.3"/>
    <row r="22523" x14ac:dyDescent="0.3"/>
    <row r="22524" x14ac:dyDescent="0.3"/>
    <row r="22525" x14ac:dyDescent="0.3"/>
    <row r="22526" x14ac:dyDescent="0.3"/>
    <row r="22527" x14ac:dyDescent="0.3"/>
    <row r="22528" x14ac:dyDescent="0.3"/>
    <row r="22529" x14ac:dyDescent="0.3"/>
    <row r="22530" x14ac:dyDescent="0.3"/>
    <row r="22531" x14ac:dyDescent="0.3"/>
    <row r="22532" x14ac:dyDescent="0.3"/>
    <row r="22533" x14ac:dyDescent="0.3"/>
    <row r="22534" x14ac:dyDescent="0.3"/>
    <row r="22535" x14ac:dyDescent="0.3"/>
    <row r="22536" x14ac:dyDescent="0.3"/>
    <row r="22537" x14ac:dyDescent="0.3"/>
    <row r="22538" x14ac:dyDescent="0.3"/>
    <row r="22539" x14ac:dyDescent="0.3"/>
    <row r="22540" x14ac:dyDescent="0.3"/>
    <row r="22541" x14ac:dyDescent="0.3"/>
    <row r="22542" x14ac:dyDescent="0.3"/>
    <row r="22543" x14ac:dyDescent="0.3"/>
    <row r="22544" x14ac:dyDescent="0.3"/>
    <row r="22545" x14ac:dyDescent="0.3"/>
    <row r="22546" x14ac:dyDescent="0.3"/>
    <row r="22547" x14ac:dyDescent="0.3"/>
    <row r="22548" x14ac:dyDescent="0.3"/>
    <row r="22549" x14ac:dyDescent="0.3"/>
    <row r="22550" x14ac:dyDescent="0.3"/>
    <row r="22551" x14ac:dyDescent="0.3"/>
    <row r="22552" x14ac:dyDescent="0.3"/>
    <row r="22553" x14ac:dyDescent="0.3"/>
    <row r="22554" x14ac:dyDescent="0.3"/>
    <row r="22555" x14ac:dyDescent="0.3"/>
    <row r="22556" x14ac:dyDescent="0.3"/>
    <row r="22557" x14ac:dyDescent="0.3"/>
    <row r="22558" x14ac:dyDescent="0.3"/>
    <row r="22559" x14ac:dyDescent="0.3"/>
    <row r="22560" x14ac:dyDescent="0.3"/>
    <row r="22561" x14ac:dyDescent="0.3"/>
    <row r="22562" x14ac:dyDescent="0.3"/>
    <row r="22563" x14ac:dyDescent="0.3"/>
    <row r="22564" x14ac:dyDescent="0.3"/>
    <row r="22565" x14ac:dyDescent="0.3"/>
    <row r="22566" x14ac:dyDescent="0.3"/>
    <row r="22567" x14ac:dyDescent="0.3"/>
    <row r="22568" x14ac:dyDescent="0.3"/>
    <row r="22569" x14ac:dyDescent="0.3"/>
    <row r="22570" x14ac:dyDescent="0.3"/>
    <row r="22571" x14ac:dyDescent="0.3"/>
    <row r="22572" x14ac:dyDescent="0.3"/>
    <row r="22573" x14ac:dyDescent="0.3"/>
    <row r="22574" x14ac:dyDescent="0.3"/>
    <row r="22575" x14ac:dyDescent="0.3"/>
    <row r="22576" x14ac:dyDescent="0.3"/>
    <row r="22577" x14ac:dyDescent="0.3"/>
    <row r="22578" x14ac:dyDescent="0.3"/>
    <row r="22579" x14ac:dyDescent="0.3"/>
    <row r="22580" x14ac:dyDescent="0.3"/>
    <row r="22581" x14ac:dyDescent="0.3"/>
    <row r="22582" x14ac:dyDescent="0.3"/>
    <row r="22583" x14ac:dyDescent="0.3"/>
    <row r="22584" x14ac:dyDescent="0.3"/>
    <row r="22585" x14ac:dyDescent="0.3"/>
    <row r="22586" x14ac:dyDescent="0.3"/>
    <row r="22587" x14ac:dyDescent="0.3"/>
    <row r="22588" x14ac:dyDescent="0.3"/>
    <row r="22589" x14ac:dyDescent="0.3"/>
    <row r="22590" x14ac:dyDescent="0.3"/>
    <row r="22591" x14ac:dyDescent="0.3"/>
    <row r="22592" x14ac:dyDescent="0.3"/>
    <row r="22593" x14ac:dyDescent="0.3"/>
    <row r="22594" x14ac:dyDescent="0.3"/>
    <row r="22595" x14ac:dyDescent="0.3"/>
    <row r="22596" x14ac:dyDescent="0.3"/>
    <row r="22597" x14ac:dyDescent="0.3"/>
    <row r="22598" x14ac:dyDescent="0.3"/>
    <row r="22599" x14ac:dyDescent="0.3"/>
    <row r="22600" x14ac:dyDescent="0.3"/>
    <row r="22601" x14ac:dyDescent="0.3"/>
    <row r="22602" x14ac:dyDescent="0.3"/>
    <row r="22603" x14ac:dyDescent="0.3"/>
    <row r="22604" x14ac:dyDescent="0.3"/>
    <row r="22605" x14ac:dyDescent="0.3"/>
    <row r="22606" x14ac:dyDescent="0.3"/>
    <row r="22607" x14ac:dyDescent="0.3"/>
    <row r="22608" x14ac:dyDescent="0.3"/>
    <row r="22609" x14ac:dyDescent="0.3"/>
    <row r="22610" x14ac:dyDescent="0.3"/>
    <row r="22611" x14ac:dyDescent="0.3"/>
    <row r="22612" x14ac:dyDescent="0.3"/>
    <row r="22613" x14ac:dyDescent="0.3"/>
    <row r="22614" x14ac:dyDescent="0.3"/>
    <row r="22615" x14ac:dyDescent="0.3"/>
    <row r="22616" x14ac:dyDescent="0.3"/>
    <row r="22617" x14ac:dyDescent="0.3"/>
    <row r="22618" x14ac:dyDescent="0.3"/>
    <row r="22619" x14ac:dyDescent="0.3"/>
    <row r="22620" x14ac:dyDescent="0.3"/>
    <row r="22621" x14ac:dyDescent="0.3"/>
    <row r="22622" x14ac:dyDescent="0.3"/>
    <row r="22623" x14ac:dyDescent="0.3"/>
    <row r="22624" x14ac:dyDescent="0.3"/>
    <row r="22625" x14ac:dyDescent="0.3"/>
    <row r="22626" x14ac:dyDescent="0.3"/>
    <row r="22627" x14ac:dyDescent="0.3"/>
    <row r="22628" x14ac:dyDescent="0.3"/>
    <row r="22629" x14ac:dyDescent="0.3"/>
    <row r="22630" x14ac:dyDescent="0.3"/>
    <row r="22631" x14ac:dyDescent="0.3"/>
    <row r="22632" x14ac:dyDescent="0.3"/>
    <row r="22633" x14ac:dyDescent="0.3"/>
    <row r="22634" x14ac:dyDescent="0.3"/>
    <row r="22635" x14ac:dyDescent="0.3"/>
    <row r="22636" x14ac:dyDescent="0.3"/>
    <row r="22637" x14ac:dyDescent="0.3"/>
    <row r="22638" x14ac:dyDescent="0.3"/>
    <row r="22639" x14ac:dyDescent="0.3"/>
    <row r="22640" x14ac:dyDescent="0.3"/>
    <row r="22641" x14ac:dyDescent="0.3"/>
    <row r="22642" x14ac:dyDescent="0.3"/>
    <row r="22643" x14ac:dyDescent="0.3"/>
    <row r="22644" x14ac:dyDescent="0.3"/>
    <row r="22645" x14ac:dyDescent="0.3"/>
    <row r="22646" x14ac:dyDescent="0.3"/>
    <row r="22647" x14ac:dyDescent="0.3"/>
    <row r="22648" x14ac:dyDescent="0.3"/>
    <row r="22649" x14ac:dyDescent="0.3"/>
    <row r="22650" x14ac:dyDescent="0.3"/>
    <row r="22651" x14ac:dyDescent="0.3"/>
    <row r="22652" x14ac:dyDescent="0.3"/>
    <row r="22653" x14ac:dyDescent="0.3"/>
    <row r="22654" x14ac:dyDescent="0.3"/>
    <row r="22655" x14ac:dyDescent="0.3"/>
    <row r="22656" x14ac:dyDescent="0.3"/>
    <row r="22657" x14ac:dyDescent="0.3"/>
    <row r="22658" x14ac:dyDescent="0.3"/>
    <row r="22659" x14ac:dyDescent="0.3"/>
    <row r="22660" x14ac:dyDescent="0.3"/>
    <row r="22661" x14ac:dyDescent="0.3"/>
    <row r="22662" x14ac:dyDescent="0.3"/>
    <row r="22663" x14ac:dyDescent="0.3"/>
    <row r="22664" x14ac:dyDescent="0.3"/>
    <row r="22665" x14ac:dyDescent="0.3"/>
    <row r="22666" x14ac:dyDescent="0.3"/>
    <row r="22667" x14ac:dyDescent="0.3"/>
    <row r="22668" x14ac:dyDescent="0.3"/>
    <row r="22669" x14ac:dyDescent="0.3"/>
    <row r="22670" x14ac:dyDescent="0.3"/>
    <row r="22671" x14ac:dyDescent="0.3"/>
    <row r="22672" x14ac:dyDescent="0.3"/>
    <row r="22673" x14ac:dyDescent="0.3"/>
    <row r="22674" x14ac:dyDescent="0.3"/>
    <row r="22675" x14ac:dyDescent="0.3"/>
    <row r="22676" x14ac:dyDescent="0.3"/>
    <row r="22677" x14ac:dyDescent="0.3"/>
    <row r="22678" x14ac:dyDescent="0.3"/>
    <row r="22679" x14ac:dyDescent="0.3"/>
    <row r="22680" x14ac:dyDescent="0.3"/>
    <row r="22681" x14ac:dyDescent="0.3"/>
    <row r="22682" x14ac:dyDescent="0.3"/>
    <row r="22683" x14ac:dyDescent="0.3"/>
    <row r="22684" x14ac:dyDescent="0.3"/>
    <row r="22685" x14ac:dyDescent="0.3"/>
    <row r="22686" x14ac:dyDescent="0.3"/>
    <row r="22687" x14ac:dyDescent="0.3"/>
    <row r="22688" x14ac:dyDescent="0.3"/>
    <row r="22689" x14ac:dyDescent="0.3"/>
    <row r="22690" x14ac:dyDescent="0.3"/>
    <row r="22691" x14ac:dyDescent="0.3"/>
    <row r="22692" x14ac:dyDescent="0.3"/>
    <row r="22693" x14ac:dyDescent="0.3"/>
    <row r="22694" x14ac:dyDescent="0.3"/>
    <row r="22695" x14ac:dyDescent="0.3"/>
    <row r="22696" x14ac:dyDescent="0.3"/>
    <row r="22697" x14ac:dyDescent="0.3"/>
    <row r="22698" x14ac:dyDescent="0.3"/>
    <row r="22699" x14ac:dyDescent="0.3"/>
    <row r="22700" x14ac:dyDescent="0.3"/>
    <row r="22701" x14ac:dyDescent="0.3"/>
    <row r="22702" x14ac:dyDescent="0.3"/>
    <row r="22703" x14ac:dyDescent="0.3"/>
    <row r="22704" x14ac:dyDescent="0.3"/>
    <row r="22705" x14ac:dyDescent="0.3"/>
    <row r="22706" x14ac:dyDescent="0.3"/>
    <row r="22707" x14ac:dyDescent="0.3"/>
    <row r="22708" x14ac:dyDescent="0.3"/>
    <row r="22709" x14ac:dyDescent="0.3"/>
    <row r="22710" x14ac:dyDescent="0.3"/>
    <row r="22711" x14ac:dyDescent="0.3"/>
    <row r="22712" x14ac:dyDescent="0.3"/>
    <row r="22713" x14ac:dyDescent="0.3"/>
    <row r="22714" x14ac:dyDescent="0.3"/>
    <row r="22715" x14ac:dyDescent="0.3"/>
    <row r="22716" x14ac:dyDescent="0.3"/>
    <row r="22717" x14ac:dyDescent="0.3"/>
    <row r="22718" x14ac:dyDescent="0.3"/>
    <row r="22719" x14ac:dyDescent="0.3"/>
    <row r="22720" x14ac:dyDescent="0.3"/>
    <row r="22721" x14ac:dyDescent="0.3"/>
    <row r="22722" x14ac:dyDescent="0.3"/>
    <row r="22723" x14ac:dyDescent="0.3"/>
    <row r="22724" x14ac:dyDescent="0.3"/>
    <row r="22725" x14ac:dyDescent="0.3"/>
    <row r="22726" x14ac:dyDescent="0.3"/>
    <row r="22727" x14ac:dyDescent="0.3"/>
    <row r="22728" x14ac:dyDescent="0.3"/>
    <row r="22729" x14ac:dyDescent="0.3"/>
    <row r="22730" x14ac:dyDescent="0.3"/>
    <row r="22731" x14ac:dyDescent="0.3"/>
    <row r="22732" x14ac:dyDescent="0.3"/>
    <row r="22733" x14ac:dyDescent="0.3"/>
    <row r="22734" x14ac:dyDescent="0.3"/>
    <row r="22735" x14ac:dyDescent="0.3"/>
    <row r="22736" x14ac:dyDescent="0.3"/>
    <row r="22737" x14ac:dyDescent="0.3"/>
    <row r="22738" x14ac:dyDescent="0.3"/>
    <row r="22739" x14ac:dyDescent="0.3"/>
    <row r="22740" x14ac:dyDescent="0.3"/>
    <row r="22741" x14ac:dyDescent="0.3"/>
    <row r="22742" x14ac:dyDescent="0.3"/>
    <row r="22743" x14ac:dyDescent="0.3"/>
    <row r="22744" x14ac:dyDescent="0.3"/>
    <row r="22745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22745"/>
  <sheetViews>
    <sheetView showGridLines="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3"/>
  <cols>
    <col min="1" max="2" width="3.6640625" style="2" customWidth="1"/>
    <col min="3" max="3" width="16" style="2" customWidth="1"/>
    <col min="4" max="4" width="10.5546875" style="2" customWidth="1"/>
    <col min="5" max="5" width="10.33203125" style="2" customWidth="1"/>
    <col min="6" max="6" width="14.77734375" style="2" customWidth="1"/>
    <col min="7" max="8" width="3.6640625" style="2" customWidth="1"/>
    <col min="9" max="22" width="0" style="2" hidden="1"/>
    <col min="23" max="16384" width="8.77734375" style="2" hidden="1"/>
  </cols>
  <sheetData>
    <row r="1" spans="1:8" ht="14.4" x14ac:dyDescent="0.3">
      <c r="A1" s="3"/>
      <c r="B1" s="3"/>
      <c r="C1" s="3"/>
      <c r="D1" s="3"/>
      <c r="E1" s="3"/>
      <c r="F1" s="3"/>
      <c r="G1" s="3"/>
      <c r="H1" s="3"/>
    </row>
    <row r="2" spans="1:8" ht="14.4" x14ac:dyDescent="0.3">
      <c r="A2" s="3"/>
      <c r="B2" s="3"/>
      <c r="C2" s="3"/>
      <c r="D2" s="3"/>
      <c r="E2" s="3"/>
      <c r="F2" s="3"/>
      <c r="G2" s="3"/>
      <c r="H2" s="3"/>
    </row>
    <row r="3" spans="1:8" ht="14.4" x14ac:dyDescent="0.3">
      <c r="A3" s="3"/>
      <c r="B3" s="3"/>
      <c r="C3" s="3"/>
      <c r="D3" s="3"/>
      <c r="E3" s="3"/>
      <c r="F3" s="3"/>
      <c r="G3" s="3"/>
      <c r="H3" s="3"/>
    </row>
    <row r="4" spans="1:8" ht="15" thickBot="1" x14ac:dyDescent="0.35">
      <c r="A4" s="4"/>
      <c r="B4" s="5"/>
      <c r="C4" s="5"/>
      <c r="D4" s="5"/>
      <c r="E4" s="5"/>
      <c r="F4" s="5"/>
      <c r="G4" s="5"/>
      <c r="H4" s="3"/>
    </row>
    <row r="5" spans="1:8" s="9" customFormat="1" ht="15" thickTop="1" x14ac:dyDescent="0.3">
      <c r="A5" s="6"/>
      <c r="B5" s="8"/>
      <c r="C5" s="8"/>
      <c r="D5" s="8"/>
      <c r="E5" s="8"/>
      <c r="F5" s="8"/>
      <c r="G5" s="8"/>
    </row>
    <row r="6" spans="1:8" ht="14.4" x14ac:dyDescent="0.3">
      <c r="C6" s="10" t="s">
        <v>764</v>
      </c>
      <c r="D6" s="10" t="s">
        <v>29</v>
      </c>
      <c r="E6" s="10" t="s">
        <v>765</v>
      </c>
      <c r="F6" s="10" t="s">
        <v>766</v>
      </c>
    </row>
    <row r="7" spans="1:8" ht="14.4" customHeight="1" x14ac:dyDescent="0.3"/>
    <row r="8" spans="1:8" ht="14.4" customHeight="1" x14ac:dyDescent="0.3"/>
    <row r="9" spans="1:8" ht="14.4" customHeight="1" x14ac:dyDescent="0.3"/>
    <row r="10" spans="1:8" ht="14.4" customHeight="1" x14ac:dyDescent="0.3"/>
    <row r="11" spans="1:8" ht="14.4" customHeight="1" x14ac:dyDescent="0.3"/>
    <row r="12" spans="1:8" ht="14.4" customHeight="1" x14ac:dyDescent="0.3"/>
    <row r="13" spans="1:8" ht="14.4" customHeight="1" x14ac:dyDescent="0.3"/>
    <row r="14" spans="1:8" ht="14.4" customHeight="1" x14ac:dyDescent="0.3"/>
    <row r="15" spans="1:8" ht="14.4" customHeight="1" x14ac:dyDescent="0.3"/>
    <row r="16" spans="1:8" ht="14.4" customHeight="1" x14ac:dyDescent="0.3"/>
    <row r="17" ht="14.4" customHeight="1" x14ac:dyDescent="0.3"/>
    <row r="18" ht="14.4" customHeight="1" x14ac:dyDescent="0.3"/>
    <row r="19" ht="14.4" customHeight="1" x14ac:dyDescent="0.3"/>
    <row r="20" ht="14.4" customHeight="1" x14ac:dyDescent="0.3"/>
    <row r="21" ht="14.4" customHeight="1" x14ac:dyDescent="0.3"/>
    <row r="22" ht="14.4" customHeight="1" x14ac:dyDescent="0.3"/>
    <row r="23" ht="14.4" customHeight="1" x14ac:dyDescent="0.3"/>
    <row r="24" ht="14.4" customHeight="1" x14ac:dyDescent="0.3"/>
    <row r="25" ht="14.4" customHeight="1" x14ac:dyDescent="0.3"/>
    <row r="26" ht="14.4" customHeight="1" x14ac:dyDescent="0.3"/>
    <row r="27" ht="14.4" customHeight="1" x14ac:dyDescent="0.3"/>
    <row r="28" ht="14.4" customHeight="1" x14ac:dyDescent="0.3"/>
    <row r="29" ht="14.4" customHeight="1" x14ac:dyDescent="0.3"/>
    <row r="30" ht="14.4" customHeight="1" x14ac:dyDescent="0.3"/>
    <row r="31" ht="14.4" customHeight="1" x14ac:dyDescent="0.3"/>
    <row r="32" ht="14.4" customHeight="1" x14ac:dyDescent="0.3"/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  <row r="39" ht="14.4" customHeight="1" x14ac:dyDescent="0.3"/>
    <row r="40" ht="14.4" customHeight="1" x14ac:dyDescent="0.3"/>
    <row r="41" ht="14.4" customHeight="1" x14ac:dyDescent="0.3"/>
    <row r="42" ht="14.4" customHeight="1" x14ac:dyDescent="0.3"/>
    <row r="43" ht="14.4" customHeight="1" x14ac:dyDescent="0.3"/>
    <row r="44" ht="14.4" customHeight="1" x14ac:dyDescent="0.3"/>
    <row r="45" ht="14.4" customHeight="1" x14ac:dyDescent="0.3"/>
    <row r="46" ht="14.4" customHeight="1" x14ac:dyDescent="0.3"/>
    <row r="47" ht="14.4" customHeight="1" x14ac:dyDescent="0.3"/>
    <row r="48" ht="14.4" customHeight="1" x14ac:dyDescent="0.3"/>
    <row r="49" ht="14.4" customHeight="1" x14ac:dyDescent="0.3"/>
    <row r="50" ht="14.4" customHeight="1" x14ac:dyDescent="0.3"/>
    <row r="51" ht="14.4" customHeight="1" x14ac:dyDescent="0.3"/>
    <row r="52" ht="14.4" customHeight="1" x14ac:dyDescent="0.3"/>
    <row r="53" ht="14.4" customHeight="1" x14ac:dyDescent="0.3"/>
    <row r="54" ht="14.4" customHeight="1" x14ac:dyDescent="0.3"/>
    <row r="55" ht="14.4" customHeight="1" x14ac:dyDescent="0.3"/>
    <row r="56" ht="14.4" customHeight="1" x14ac:dyDescent="0.3"/>
    <row r="57" ht="14.4" customHeight="1" x14ac:dyDescent="0.3"/>
    <row r="58" ht="14.4" customHeight="1" x14ac:dyDescent="0.3"/>
    <row r="59" ht="14.4" customHeight="1" x14ac:dyDescent="0.3"/>
    <row r="60" ht="14.4" customHeight="1" x14ac:dyDescent="0.3"/>
    <row r="61" ht="14.4" customHeight="1" x14ac:dyDescent="0.3"/>
    <row r="62" ht="14.4" customHeight="1" x14ac:dyDescent="0.3"/>
    <row r="63" ht="14.4" customHeight="1" x14ac:dyDescent="0.3"/>
    <row r="64" ht="14.4" customHeight="1" x14ac:dyDescent="0.3"/>
    <row r="65" ht="14.4" customHeight="1" x14ac:dyDescent="0.3"/>
    <row r="66" ht="14.4" customHeight="1" x14ac:dyDescent="0.3"/>
    <row r="67" ht="14.4" customHeight="1" x14ac:dyDescent="0.3"/>
    <row r="68" ht="14.4" customHeight="1" x14ac:dyDescent="0.3"/>
    <row r="69" ht="14.4" customHeight="1" x14ac:dyDescent="0.3"/>
    <row r="70" ht="14.4" customHeight="1" x14ac:dyDescent="0.3"/>
    <row r="71" ht="14.4" customHeight="1" x14ac:dyDescent="0.3"/>
    <row r="72" ht="14.4" customHeight="1" x14ac:dyDescent="0.3"/>
    <row r="73" ht="14.4" customHeight="1" x14ac:dyDescent="0.3"/>
    <row r="74" ht="14.4" customHeight="1" x14ac:dyDescent="0.3"/>
    <row r="75" ht="14.4" customHeight="1" x14ac:dyDescent="0.3"/>
    <row r="76" ht="14.4" customHeight="1" x14ac:dyDescent="0.3"/>
    <row r="77" ht="14.4" customHeight="1" x14ac:dyDescent="0.3"/>
    <row r="78" ht="14.4" customHeight="1" x14ac:dyDescent="0.3"/>
    <row r="79" ht="14.4" customHeight="1" x14ac:dyDescent="0.3"/>
    <row r="80" ht="14.4" customHeight="1" x14ac:dyDescent="0.3"/>
    <row r="81" ht="14.4" customHeight="1" x14ac:dyDescent="0.3"/>
    <row r="82" ht="14.4" customHeight="1" x14ac:dyDescent="0.3"/>
    <row r="83" ht="14.4" customHeight="1" x14ac:dyDescent="0.3"/>
    <row r="84" ht="14.4" customHeight="1" x14ac:dyDescent="0.3"/>
    <row r="85" ht="14.4" customHeight="1" x14ac:dyDescent="0.3"/>
    <row r="86" ht="14.4" customHeight="1" x14ac:dyDescent="0.3"/>
    <row r="87" ht="14.4" customHeight="1" x14ac:dyDescent="0.3"/>
    <row r="88" ht="14.4" customHeight="1" x14ac:dyDescent="0.3"/>
    <row r="89" ht="14.4" customHeight="1" x14ac:dyDescent="0.3"/>
    <row r="90" ht="14.4" customHeight="1" x14ac:dyDescent="0.3"/>
    <row r="91" ht="14.4" customHeight="1" x14ac:dyDescent="0.3"/>
    <row r="92" ht="14.4" customHeight="1" x14ac:dyDescent="0.3"/>
    <row r="93" ht="14.4" customHeight="1" x14ac:dyDescent="0.3"/>
    <row r="94" ht="14.4" customHeight="1" x14ac:dyDescent="0.3"/>
    <row r="95" ht="14.4" customHeight="1" x14ac:dyDescent="0.3"/>
    <row r="96" ht="14.4" customHeight="1" x14ac:dyDescent="0.3"/>
    <row r="97" ht="14.4" customHeight="1" x14ac:dyDescent="0.3"/>
    <row r="98" ht="14.4" customHeight="1" x14ac:dyDescent="0.3"/>
    <row r="99" ht="14.4" customHeight="1" x14ac:dyDescent="0.3"/>
    <row r="100" ht="14.4" customHeight="1" x14ac:dyDescent="0.3"/>
    <row r="101" ht="14.4" customHeight="1" x14ac:dyDescent="0.3"/>
    <row r="102" ht="14.4" customHeight="1" x14ac:dyDescent="0.3"/>
    <row r="103" ht="14.4" customHeight="1" x14ac:dyDescent="0.3"/>
    <row r="104" ht="14.4" customHeight="1" x14ac:dyDescent="0.3"/>
    <row r="105" ht="14.4" customHeight="1" x14ac:dyDescent="0.3"/>
    <row r="106" ht="14.4" customHeight="1" x14ac:dyDescent="0.3"/>
    <row r="107" ht="14.4" customHeight="1" x14ac:dyDescent="0.3"/>
    <row r="108" ht="14.4" customHeight="1" x14ac:dyDescent="0.3"/>
    <row r="109" ht="14.4" customHeight="1" x14ac:dyDescent="0.3"/>
    <row r="110" ht="14.4" customHeight="1" x14ac:dyDescent="0.3"/>
    <row r="111" ht="14.4" customHeight="1" x14ac:dyDescent="0.3"/>
    <row r="112" ht="14.4" customHeight="1" x14ac:dyDescent="0.3"/>
    <row r="113" ht="14.4" customHeight="1" x14ac:dyDescent="0.3"/>
    <row r="114" ht="14.4" customHeight="1" x14ac:dyDescent="0.3"/>
    <row r="115" ht="14.4" customHeight="1" x14ac:dyDescent="0.3"/>
    <row r="116" ht="14.4" customHeight="1" x14ac:dyDescent="0.3"/>
    <row r="117" ht="14.4" customHeight="1" x14ac:dyDescent="0.3"/>
    <row r="118" ht="14.4" customHeight="1" x14ac:dyDescent="0.3"/>
    <row r="119" ht="14.4" customHeight="1" x14ac:dyDescent="0.3"/>
    <row r="120" ht="14.4" customHeight="1" x14ac:dyDescent="0.3"/>
    <row r="121" ht="14.4" customHeight="1" x14ac:dyDescent="0.3"/>
    <row r="122" ht="14.4" customHeight="1" x14ac:dyDescent="0.3"/>
    <row r="123" ht="14.4" customHeight="1" x14ac:dyDescent="0.3"/>
    <row r="124" ht="14.4" customHeight="1" x14ac:dyDescent="0.3"/>
    <row r="125" ht="14.4" customHeight="1" x14ac:dyDescent="0.3"/>
    <row r="126" ht="14.4" customHeight="1" x14ac:dyDescent="0.3"/>
    <row r="127" ht="14.4" customHeight="1" x14ac:dyDescent="0.3"/>
    <row r="128" ht="14.4" customHeight="1" x14ac:dyDescent="0.3"/>
    <row r="129" ht="14.4" customHeight="1" x14ac:dyDescent="0.3"/>
    <row r="130" ht="14.4" customHeight="1" x14ac:dyDescent="0.3"/>
    <row r="131" ht="14.4" customHeight="1" x14ac:dyDescent="0.3"/>
    <row r="132" ht="14.4" customHeight="1" x14ac:dyDescent="0.3"/>
    <row r="133" ht="14.4" customHeight="1" x14ac:dyDescent="0.3"/>
    <row r="134" ht="14.4" customHeight="1" x14ac:dyDescent="0.3"/>
    <row r="135" ht="14.4" customHeight="1" x14ac:dyDescent="0.3"/>
    <row r="136" ht="14.4" customHeight="1" x14ac:dyDescent="0.3"/>
    <row r="137" ht="14.4" customHeight="1" x14ac:dyDescent="0.3"/>
    <row r="138" ht="14.4" customHeight="1" x14ac:dyDescent="0.3"/>
    <row r="139" ht="14.4" customHeight="1" x14ac:dyDescent="0.3"/>
    <row r="140" ht="14.4" customHeight="1" x14ac:dyDescent="0.3"/>
    <row r="141" ht="14.4" customHeight="1" x14ac:dyDescent="0.3"/>
    <row r="142" ht="14.4" customHeight="1" x14ac:dyDescent="0.3"/>
    <row r="143" ht="14.4" customHeight="1" x14ac:dyDescent="0.3"/>
    <row r="144" ht="14.4" customHeight="1" x14ac:dyDescent="0.3"/>
    <row r="145" ht="14.4" customHeight="1" x14ac:dyDescent="0.3"/>
    <row r="146" ht="14.4" customHeight="1" x14ac:dyDescent="0.3"/>
    <row r="147" ht="14.4" customHeight="1" x14ac:dyDescent="0.3"/>
    <row r="148" ht="14.4" customHeight="1" x14ac:dyDescent="0.3"/>
    <row r="149" ht="14.4" customHeight="1" x14ac:dyDescent="0.3"/>
    <row r="150" ht="14.4" customHeight="1" x14ac:dyDescent="0.3"/>
    <row r="151" ht="14.4" customHeight="1" x14ac:dyDescent="0.3"/>
    <row r="152" ht="14.4" customHeight="1" x14ac:dyDescent="0.3"/>
    <row r="153" ht="14.4" customHeight="1" x14ac:dyDescent="0.3"/>
    <row r="154" ht="14.4" customHeight="1" x14ac:dyDescent="0.3"/>
    <row r="155" ht="14.4" customHeight="1" x14ac:dyDescent="0.3"/>
    <row r="156" ht="14.4" customHeight="1" x14ac:dyDescent="0.3"/>
    <row r="157" ht="14.4" customHeight="1" x14ac:dyDescent="0.3"/>
    <row r="158" ht="14.4" customHeight="1" x14ac:dyDescent="0.3"/>
    <row r="159" ht="14.4" customHeight="1" x14ac:dyDescent="0.3"/>
    <row r="160" ht="14.4" customHeight="1" x14ac:dyDescent="0.3"/>
    <row r="161" ht="14.4" customHeight="1" x14ac:dyDescent="0.3"/>
    <row r="162" ht="14.4" customHeight="1" x14ac:dyDescent="0.3"/>
    <row r="163" ht="14.4" customHeight="1" x14ac:dyDescent="0.3"/>
    <row r="164" ht="14.4" customHeight="1" x14ac:dyDescent="0.3"/>
    <row r="165" ht="14.4" customHeight="1" x14ac:dyDescent="0.3"/>
    <row r="166" ht="14.4" customHeight="1" x14ac:dyDescent="0.3"/>
    <row r="167" ht="14.4" customHeight="1" x14ac:dyDescent="0.3"/>
    <row r="168" ht="14.4" customHeight="1" x14ac:dyDescent="0.3"/>
    <row r="169" ht="14.4" customHeight="1" x14ac:dyDescent="0.3"/>
    <row r="170" ht="14.4" customHeight="1" x14ac:dyDescent="0.3"/>
    <row r="171" ht="14.4" customHeight="1" x14ac:dyDescent="0.3"/>
    <row r="172" ht="14.4" customHeight="1" x14ac:dyDescent="0.3"/>
    <row r="173" ht="14.4" customHeight="1" x14ac:dyDescent="0.3"/>
    <row r="174" ht="14.4" customHeight="1" x14ac:dyDescent="0.3"/>
    <row r="175" ht="14.4" customHeight="1" x14ac:dyDescent="0.3"/>
    <row r="176" ht="14.4" customHeight="1" x14ac:dyDescent="0.3"/>
    <row r="177" ht="14.4" customHeight="1" x14ac:dyDescent="0.3"/>
    <row r="178" ht="14.4" customHeight="1" x14ac:dyDescent="0.3"/>
    <row r="179" ht="14.4" customHeight="1" x14ac:dyDescent="0.3"/>
    <row r="180" ht="14.4" customHeight="1" x14ac:dyDescent="0.3"/>
    <row r="181" ht="14.4" customHeight="1" x14ac:dyDescent="0.3"/>
    <row r="182" ht="14.4" customHeight="1" x14ac:dyDescent="0.3"/>
    <row r="183" ht="14.4" customHeight="1" x14ac:dyDescent="0.3"/>
    <row r="184" ht="14.4" customHeight="1" x14ac:dyDescent="0.3"/>
    <row r="185" ht="14.4" customHeight="1" x14ac:dyDescent="0.3"/>
    <row r="186" ht="14.4" customHeight="1" x14ac:dyDescent="0.3"/>
    <row r="187" ht="14.4" customHeight="1" x14ac:dyDescent="0.3"/>
    <row r="188" ht="14.4" customHeight="1" x14ac:dyDescent="0.3"/>
    <row r="189" ht="14.4" customHeight="1" x14ac:dyDescent="0.3"/>
    <row r="190" ht="14.4" customHeight="1" x14ac:dyDescent="0.3"/>
    <row r="191" ht="14.4" customHeight="1" x14ac:dyDescent="0.3"/>
    <row r="192" ht="14.4" customHeight="1" x14ac:dyDescent="0.3"/>
    <row r="193" ht="14.4" customHeight="1" x14ac:dyDescent="0.3"/>
    <row r="194" ht="14.4" customHeight="1" x14ac:dyDescent="0.3"/>
    <row r="195" ht="14.4" customHeight="1" x14ac:dyDescent="0.3"/>
    <row r="196" ht="14.4" customHeight="1" x14ac:dyDescent="0.3"/>
    <row r="197" ht="14.4" customHeight="1" x14ac:dyDescent="0.3"/>
    <row r="198" ht="14.4" customHeight="1" x14ac:dyDescent="0.3"/>
    <row r="199" ht="14.4" customHeight="1" x14ac:dyDescent="0.3"/>
    <row r="200" ht="14.4" customHeight="1" x14ac:dyDescent="0.3"/>
    <row r="201" ht="14.4" customHeight="1" x14ac:dyDescent="0.3"/>
    <row r="202" ht="14.4" customHeight="1" x14ac:dyDescent="0.3"/>
    <row r="203" ht="14.4" customHeight="1" x14ac:dyDescent="0.3"/>
    <row r="204" ht="14.4" customHeight="1" x14ac:dyDescent="0.3"/>
    <row r="205" ht="14.4" customHeight="1" x14ac:dyDescent="0.3"/>
    <row r="206" ht="14.4" customHeight="1" x14ac:dyDescent="0.3"/>
    <row r="207" ht="14.4" customHeight="1" x14ac:dyDescent="0.3"/>
    <row r="208" ht="14.4" customHeight="1" x14ac:dyDescent="0.3"/>
    <row r="209" ht="14.4" customHeight="1" x14ac:dyDescent="0.3"/>
    <row r="210" ht="14.4" customHeight="1" x14ac:dyDescent="0.3"/>
    <row r="211" ht="14.4" customHeight="1" x14ac:dyDescent="0.3"/>
    <row r="212" ht="14.4" customHeight="1" x14ac:dyDescent="0.3"/>
    <row r="213" ht="14.4" customHeight="1" x14ac:dyDescent="0.3"/>
    <row r="214" ht="14.4" customHeight="1" x14ac:dyDescent="0.3"/>
    <row r="215" ht="14.4" customHeight="1" x14ac:dyDescent="0.3"/>
    <row r="216" ht="14.4" customHeight="1" x14ac:dyDescent="0.3"/>
    <row r="217" ht="14.4" customHeight="1" x14ac:dyDescent="0.3"/>
    <row r="218" ht="14.4" customHeight="1" x14ac:dyDescent="0.3"/>
    <row r="219" ht="14.4" customHeight="1" x14ac:dyDescent="0.3"/>
    <row r="220" ht="14.4" customHeight="1" x14ac:dyDescent="0.3"/>
    <row r="221" ht="14.4" customHeight="1" x14ac:dyDescent="0.3"/>
    <row r="222" ht="14.4" customHeight="1" x14ac:dyDescent="0.3"/>
    <row r="223" ht="14.4" customHeight="1" x14ac:dyDescent="0.3"/>
    <row r="224" ht="14.4" customHeight="1" x14ac:dyDescent="0.3"/>
    <row r="225" ht="14.4" customHeight="1" x14ac:dyDescent="0.3"/>
    <row r="226" ht="14.4" customHeight="1" x14ac:dyDescent="0.3"/>
    <row r="227" ht="14.4" customHeight="1" x14ac:dyDescent="0.3"/>
    <row r="228" ht="14.4" customHeight="1" x14ac:dyDescent="0.3"/>
    <row r="229" ht="14.4" customHeight="1" x14ac:dyDescent="0.3"/>
    <row r="230" ht="14.4" customHeight="1" x14ac:dyDescent="0.3"/>
    <row r="231" ht="14.4" customHeight="1" x14ac:dyDescent="0.3"/>
    <row r="232" ht="14.4" customHeight="1" x14ac:dyDescent="0.3"/>
    <row r="233" ht="14.4" customHeight="1" x14ac:dyDescent="0.3"/>
    <row r="234" ht="14.4" customHeight="1" x14ac:dyDescent="0.3"/>
    <row r="235" ht="14.4" customHeight="1" x14ac:dyDescent="0.3"/>
    <row r="236" ht="14.4" customHeight="1" x14ac:dyDescent="0.3"/>
    <row r="237" ht="14.4" customHeight="1" x14ac:dyDescent="0.3"/>
    <row r="238" ht="14.4" customHeight="1" x14ac:dyDescent="0.3"/>
    <row r="239" ht="14.4" customHeight="1" x14ac:dyDescent="0.3"/>
    <row r="240" ht="14.4" customHeight="1" x14ac:dyDescent="0.3"/>
    <row r="241" ht="14.4" customHeight="1" x14ac:dyDescent="0.3"/>
    <row r="242" ht="14.4" customHeight="1" x14ac:dyDescent="0.3"/>
    <row r="243" ht="14.4" customHeight="1" x14ac:dyDescent="0.3"/>
    <row r="244" ht="14.4" customHeight="1" x14ac:dyDescent="0.3"/>
    <row r="245" ht="14.4" customHeight="1" x14ac:dyDescent="0.3"/>
    <row r="246" ht="14.4" customHeight="1" x14ac:dyDescent="0.3"/>
    <row r="247" ht="14.4" customHeight="1" x14ac:dyDescent="0.3"/>
    <row r="248" ht="14.4" customHeight="1" x14ac:dyDescent="0.3"/>
    <row r="249" ht="14.4" customHeight="1" x14ac:dyDescent="0.3"/>
    <row r="250" ht="14.4" customHeight="1" x14ac:dyDescent="0.3"/>
    <row r="251" ht="14.4" customHeight="1" x14ac:dyDescent="0.3"/>
    <row r="252" ht="14.4" customHeight="1" x14ac:dyDescent="0.3"/>
    <row r="253" ht="14.4" customHeight="1" x14ac:dyDescent="0.3"/>
    <row r="254" ht="14.4" customHeight="1" x14ac:dyDescent="0.3"/>
    <row r="255" ht="14.4" customHeight="1" x14ac:dyDescent="0.3"/>
    <row r="256" ht="14.4" customHeight="1" x14ac:dyDescent="0.3"/>
    <row r="257" ht="14.4" customHeight="1" x14ac:dyDescent="0.3"/>
    <row r="258" ht="14.4" customHeight="1" x14ac:dyDescent="0.3"/>
    <row r="259" ht="14.4" customHeight="1" x14ac:dyDescent="0.3"/>
    <row r="260" ht="14.4" customHeight="1" x14ac:dyDescent="0.3"/>
    <row r="261" ht="14.4" customHeight="1" x14ac:dyDescent="0.3"/>
    <row r="262" ht="14.4" customHeight="1" x14ac:dyDescent="0.3"/>
    <row r="263" ht="14.4" customHeight="1" x14ac:dyDescent="0.3"/>
    <row r="264" ht="14.4" customHeight="1" x14ac:dyDescent="0.3"/>
    <row r="265" ht="14.4" customHeight="1" x14ac:dyDescent="0.3"/>
    <row r="266" ht="14.4" customHeight="1" x14ac:dyDescent="0.3"/>
    <row r="267" ht="14.4" customHeight="1" x14ac:dyDescent="0.3"/>
    <row r="268" ht="14.4" customHeight="1" x14ac:dyDescent="0.3"/>
    <row r="269" ht="14.4" customHeight="1" x14ac:dyDescent="0.3"/>
    <row r="270" ht="14.4" customHeight="1" x14ac:dyDescent="0.3"/>
    <row r="271" ht="14.4" customHeight="1" x14ac:dyDescent="0.3"/>
    <row r="272" ht="14.4" customHeight="1" x14ac:dyDescent="0.3"/>
    <row r="273" ht="14.4" customHeight="1" x14ac:dyDescent="0.3"/>
    <row r="274" ht="14.4" customHeight="1" x14ac:dyDescent="0.3"/>
    <row r="275" ht="14.4" customHeight="1" x14ac:dyDescent="0.3"/>
    <row r="276" ht="14.4" customHeight="1" x14ac:dyDescent="0.3"/>
    <row r="277" ht="14.4" customHeight="1" x14ac:dyDescent="0.3"/>
    <row r="278" ht="14.4" customHeight="1" x14ac:dyDescent="0.3"/>
    <row r="279" ht="14.4" customHeight="1" x14ac:dyDescent="0.3"/>
    <row r="280" ht="14.4" customHeight="1" x14ac:dyDescent="0.3"/>
    <row r="281" ht="14.4" customHeight="1" x14ac:dyDescent="0.3"/>
    <row r="282" ht="14.4" customHeight="1" x14ac:dyDescent="0.3"/>
    <row r="283" ht="14.4" customHeight="1" x14ac:dyDescent="0.3"/>
    <row r="284" ht="14.4" customHeight="1" x14ac:dyDescent="0.3"/>
    <row r="285" ht="14.4" customHeight="1" x14ac:dyDescent="0.3"/>
    <row r="286" ht="14.4" customHeight="1" x14ac:dyDescent="0.3"/>
    <row r="287" ht="14.4" customHeight="1" x14ac:dyDescent="0.3"/>
    <row r="288" ht="14.4" customHeight="1" x14ac:dyDescent="0.3"/>
    <row r="289" ht="14.4" customHeight="1" x14ac:dyDescent="0.3"/>
    <row r="290" ht="14.4" customHeight="1" x14ac:dyDescent="0.3"/>
    <row r="291" ht="14.4" customHeight="1" x14ac:dyDescent="0.3"/>
    <row r="292" ht="14.4" customHeight="1" x14ac:dyDescent="0.3"/>
    <row r="293" ht="14.4" customHeight="1" x14ac:dyDescent="0.3"/>
    <row r="294" ht="14.4" customHeight="1" x14ac:dyDescent="0.3"/>
    <row r="295" ht="14.4" customHeight="1" x14ac:dyDescent="0.3"/>
    <row r="296" ht="14.4" customHeight="1" x14ac:dyDescent="0.3"/>
    <row r="297" ht="14.4" customHeight="1" x14ac:dyDescent="0.3"/>
    <row r="298" ht="14.4" customHeight="1" x14ac:dyDescent="0.3"/>
    <row r="299" ht="14.4" customHeight="1" x14ac:dyDescent="0.3"/>
    <row r="300" ht="14.4" customHeight="1" x14ac:dyDescent="0.3"/>
    <row r="301" ht="14.4" customHeight="1" x14ac:dyDescent="0.3"/>
    <row r="302" ht="14.4" customHeight="1" x14ac:dyDescent="0.3"/>
    <row r="303" ht="14.4" customHeight="1" x14ac:dyDescent="0.3"/>
    <row r="304" ht="14.4" customHeight="1" x14ac:dyDescent="0.3"/>
    <row r="305" ht="14.4" customHeight="1" x14ac:dyDescent="0.3"/>
    <row r="306" ht="14.4" customHeight="1" x14ac:dyDescent="0.3"/>
    <row r="307" ht="14.4" customHeight="1" x14ac:dyDescent="0.3"/>
    <row r="308" ht="14.4" customHeight="1" x14ac:dyDescent="0.3"/>
    <row r="309" ht="14.4" customHeight="1" x14ac:dyDescent="0.3"/>
    <row r="310" ht="14.4" customHeight="1" x14ac:dyDescent="0.3"/>
    <row r="311" ht="14.4" customHeight="1" x14ac:dyDescent="0.3"/>
    <row r="312" ht="14.4" customHeight="1" x14ac:dyDescent="0.3"/>
    <row r="313" ht="14.4" customHeight="1" x14ac:dyDescent="0.3"/>
    <row r="314" ht="14.4" customHeight="1" x14ac:dyDescent="0.3"/>
    <row r="315" ht="14.4" customHeight="1" x14ac:dyDescent="0.3"/>
    <row r="316" ht="14.4" customHeight="1" x14ac:dyDescent="0.3"/>
    <row r="317" ht="14.4" customHeight="1" x14ac:dyDescent="0.3"/>
    <row r="318" ht="14.4" customHeight="1" x14ac:dyDescent="0.3"/>
    <row r="319" ht="14.4" customHeight="1" x14ac:dyDescent="0.3"/>
    <row r="320" ht="14.4" customHeight="1" x14ac:dyDescent="0.3"/>
    <row r="321" ht="14.4" customHeight="1" x14ac:dyDescent="0.3"/>
    <row r="322" ht="14.4" customHeight="1" x14ac:dyDescent="0.3"/>
    <row r="323" ht="14.4" customHeight="1" x14ac:dyDescent="0.3"/>
    <row r="324" ht="14.4" customHeight="1" x14ac:dyDescent="0.3"/>
    <row r="325" ht="14.4" customHeight="1" x14ac:dyDescent="0.3"/>
    <row r="326" ht="14.4" customHeight="1" x14ac:dyDescent="0.3"/>
    <row r="327" ht="14.4" customHeight="1" x14ac:dyDescent="0.3"/>
    <row r="328" ht="14.4" customHeight="1" x14ac:dyDescent="0.3"/>
    <row r="329" ht="14.4" customHeight="1" x14ac:dyDescent="0.3"/>
    <row r="330" ht="14.4" customHeight="1" x14ac:dyDescent="0.3"/>
    <row r="331" ht="14.4" customHeight="1" x14ac:dyDescent="0.3"/>
    <row r="332" ht="14.4" customHeight="1" x14ac:dyDescent="0.3"/>
    <row r="333" ht="14.4" customHeight="1" x14ac:dyDescent="0.3"/>
    <row r="334" ht="14.4" customHeight="1" x14ac:dyDescent="0.3"/>
    <row r="335" ht="14.4" customHeight="1" x14ac:dyDescent="0.3"/>
    <row r="336" ht="14.4" customHeight="1" x14ac:dyDescent="0.3"/>
    <row r="337" ht="14.4" customHeight="1" x14ac:dyDescent="0.3"/>
    <row r="338" ht="14.4" customHeight="1" x14ac:dyDescent="0.3"/>
    <row r="339" ht="14.4" customHeight="1" x14ac:dyDescent="0.3"/>
    <row r="340" ht="14.4" customHeight="1" x14ac:dyDescent="0.3"/>
    <row r="341" ht="14.4" customHeight="1" x14ac:dyDescent="0.3"/>
    <row r="342" ht="14.4" customHeight="1" x14ac:dyDescent="0.3"/>
    <row r="343" ht="14.4" customHeight="1" x14ac:dyDescent="0.3"/>
    <row r="344" ht="14.4" customHeight="1" x14ac:dyDescent="0.3"/>
    <row r="345" ht="14.4" customHeight="1" x14ac:dyDescent="0.3"/>
    <row r="346" ht="14.4" customHeight="1" x14ac:dyDescent="0.3"/>
    <row r="347" ht="14.4" customHeight="1" x14ac:dyDescent="0.3"/>
    <row r="348" ht="14.4" customHeight="1" x14ac:dyDescent="0.3"/>
    <row r="349" ht="14.4" customHeight="1" x14ac:dyDescent="0.3"/>
    <row r="350" ht="14.4" customHeight="1" x14ac:dyDescent="0.3"/>
    <row r="351" ht="14.4" customHeight="1" x14ac:dyDescent="0.3"/>
    <row r="352" ht="14.4" customHeight="1" x14ac:dyDescent="0.3"/>
    <row r="353" ht="14.4" customHeight="1" x14ac:dyDescent="0.3"/>
    <row r="354" ht="14.4" customHeight="1" x14ac:dyDescent="0.3"/>
    <row r="355" ht="14.4" customHeight="1" x14ac:dyDescent="0.3"/>
    <row r="356" ht="14.4" customHeight="1" x14ac:dyDescent="0.3"/>
    <row r="357" ht="14.4" customHeight="1" x14ac:dyDescent="0.3"/>
    <row r="358" ht="14.4" customHeight="1" x14ac:dyDescent="0.3"/>
    <row r="359" ht="14.4" customHeight="1" x14ac:dyDescent="0.3"/>
    <row r="360" ht="14.4" customHeight="1" x14ac:dyDescent="0.3"/>
    <row r="361" ht="14.4" customHeight="1" x14ac:dyDescent="0.3"/>
    <row r="362" ht="14.4" customHeight="1" x14ac:dyDescent="0.3"/>
    <row r="363" ht="14.4" customHeight="1" x14ac:dyDescent="0.3"/>
    <row r="364" ht="14.4" customHeight="1" x14ac:dyDescent="0.3"/>
    <row r="365" ht="14.4" customHeight="1" x14ac:dyDescent="0.3"/>
    <row r="366" ht="14.4" customHeight="1" x14ac:dyDescent="0.3"/>
    <row r="367" ht="14.4" customHeight="1" x14ac:dyDescent="0.3"/>
    <row r="368" ht="14.4" customHeight="1" x14ac:dyDescent="0.3"/>
    <row r="369" ht="14.4" customHeight="1" x14ac:dyDescent="0.3"/>
    <row r="370" ht="14.4" customHeight="1" x14ac:dyDescent="0.3"/>
    <row r="371" ht="14.4" customHeight="1" x14ac:dyDescent="0.3"/>
    <row r="372" ht="14.4" customHeight="1" x14ac:dyDescent="0.3"/>
    <row r="373" ht="14.4" customHeight="1" x14ac:dyDescent="0.3"/>
    <row r="374" ht="14.4" customHeight="1" x14ac:dyDescent="0.3"/>
    <row r="375" ht="14.4" customHeight="1" x14ac:dyDescent="0.3"/>
    <row r="376" ht="14.4" customHeight="1" x14ac:dyDescent="0.3"/>
    <row r="377" ht="14.4" customHeight="1" x14ac:dyDescent="0.3"/>
    <row r="378" ht="14.4" customHeight="1" x14ac:dyDescent="0.3"/>
    <row r="379" ht="14.4" customHeight="1" x14ac:dyDescent="0.3"/>
    <row r="380" ht="14.4" customHeight="1" x14ac:dyDescent="0.3"/>
    <row r="381" ht="14.4" customHeight="1" x14ac:dyDescent="0.3"/>
    <row r="382" ht="14.4" customHeight="1" x14ac:dyDescent="0.3"/>
    <row r="383" ht="14.4" customHeight="1" x14ac:dyDescent="0.3"/>
    <row r="384" ht="14.4" customHeight="1" x14ac:dyDescent="0.3"/>
    <row r="385" ht="14.4" customHeight="1" x14ac:dyDescent="0.3"/>
    <row r="386" ht="14.4" customHeight="1" x14ac:dyDescent="0.3"/>
    <row r="387" ht="14.4" customHeight="1" x14ac:dyDescent="0.3"/>
    <row r="388" ht="14.4" customHeight="1" x14ac:dyDescent="0.3"/>
    <row r="389" ht="14.4" customHeight="1" x14ac:dyDescent="0.3"/>
    <row r="390" ht="14.4" customHeight="1" x14ac:dyDescent="0.3"/>
    <row r="391" ht="14.4" customHeight="1" x14ac:dyDescent="0.3"/>
    <row r="392" ht="14.4" customHeight="1" x14ac:dyDescent="0.3"/>
    <row r="393" ht="14.4" customHeight="1" x14ac:dyDescent="0.3"/>
    <row r="394" ht="14.4" customHeight="1" x14ac:dyDescent="0.3"/>
    <row r="395" ht="14.4" customHeight="1" x14ac:dyDescent="0.3"/>
    <row r="396" ht="14.4" customHeight="1" x14ac:dyDescent="0.3"/>
    <row r="397" ht="14.4" customHeight="1" x14ac:dyDescent="0.3"/>
    <row r="398" ht="14.4" customHeight="1" x14ac:dyDescent="0.3"/>
    <row r="399" ht="14.4" customHeight="1" x14ac:dyDescent="0.3"/>
    <row r="400" ht="14.4" customHeight="1" x14ac:dyDescent="0.3"/>
    <row r="401" ht="14.4" customHeight="1" x14ac:dyDescent="0.3"/>
    <row r="402" ht="14.4" customHeight="1" x14ac:dyDescent="0.3"/>
    <row r="403" ht="14.4" customHeight="1" x14ac:dyDescent="0.3"/>
    <row r="404" ht="14.4" customHeight="1" x14ac:dyDescent="0.3"/>
    <row r="405" ht="14.4" customHeight="1" x14ac:dyDescent="0.3"/>
    <row r="406" ht="14.4" customHeight="1" x14ac:dyDescent="0.3"/>
    <row r="407" ht="14.4" customHeight="1" x14ac:dyDescent="0.3"/>
    <row r="408" ht="14.4" customHeight="1" x14ac:dyDescent="0.3"/>
    <row r="409" ht="14.4" customHeight="1" x14ac:dyDescent="0.3"/>
    <row r="410" ht="14.4" customHeight="1" x14ac:dyDescent="0.3"/>
    <row r="411" ht="14.4" customHeight="1" x14ac:dyDescent="0.3"/>
    <row r="412" ht="14.4" customHeight="1" x14ac:dyDescent="0.3"/>
    <row r="413" ht="14.4" customHeight="1" x14ac:dyDescent="0.3"/>
    <row r="414" ht="14.4" customHeight="1" x14ac:dyDescent="0.3"/>
    <row r="415" ht="14.4" customHeight="1" x14ac:dyDescent="0.3"/>
    <row r="416" ht="14.4" customHeight="1" x14ac:dyDescent="0.3"/>
    <row r="417" ht="14.4" customHeight="1" x14ac:dyDescent="0.3"/>
    <row r="418" ht="14.4" customHeight="1" x14ac:dyDescent="0.3"/>
    <row r="419" ht="14.4" customHeight="1" x14ac:dyDescent="0.3"/>
    <row r="420" ht="14.4" customHeight="1" x14ac:dyDescent="0.3"/>
    <row r="421" ht="14.4" customHeight="1" x14ac:dyDescent="0.3"/>
    <row r="422" ht="14.4" customHeight="1" x14ac:dyDescent="0.3"/>
    <row r="423" ht="14.4" customHeight="1" x14ac:dyDescent="0.3"/>
    <row r="424" ht="14.4" customHeight="1" x14ac:dyDescent="0.3"/>
    <row r="425" ht="14.4" customHeight="1" x14ac:dyDescent="0.3"/>
    <row r="426" ht="14.4" customHeight="1" x14ac:dyDescent="0.3"/>
    <row r="427" ht="14.4" customHeight="1" x14ac:dyDescent="0.3"/>
    <row r="428" ht="14.4" customHeight="1" x14ac:dyDescent="0.3"/>
    <row r="429" ht="14.4" customHeight="1" x14ac:dyDescent="0.3"/>
    <row r="430" ht="14.4" customHeight="1" x14ac:dyDescent="0.3"/>
    <row r="431" ht="14.4" customHeight="1" x14ac:dyDescent="0.3"/>
    <row r="432" ht="14.4" customHeight="1" x14ac:dyDescent="0.3"/>
    <row r="433" ht="14.4" customHeight="1" x14ac:dyDescent="0.3"/>
    <row r="434" ht="14.4" customHeight="1" x14ac:dyDescent="0.3"/>
    <row r="435" ht="14.4" customHeight="1" x14ac:dyDescent="0.3"/>
    <row r="436" ht="14.4" customHeight="1" x14ac:dyDescent="0.3"/>
    <row r="437" ht="14.4" customHeight="1" x14ac:dyDescent="0.3"/>
    <row r="438" ht="14.4" customHeight="1" x14ac:dyDescent="0.3"/>
    <row r="439" ht="14.4" customHeight="1" x14ac:dyDescent="0.3"/>
    <row r="440" ht="14.4" customHeight="1" x14ac:dyDescent="0.3"/>
    <row r="441" ht="14.4" customHeight="1" x14ac:dyDescent="0.3"/>
    <row r="442" ht="14.4" customHeight="1" x14ac:dyDescent="0.3"/>
    <row r="443" ht="14.4" customHeight="1" x14ac:dyDescent="0.3"/>
    <row r="444" ht="14.4" customHeight="1" x14ac:dyDescent="0.3"/>
    <row r="445" ht="14.4" customHeight="1" x14ac:dyDescent="0.3"/>
    <row r="446" ht="14.4" customHeight="1" x14ac:dyDescent="0.3"/>
    <row r="447" ht="14.4" customHeight="1" x14ac:dyDescent="0.3"/>
    <row r="448" ht="14.4" customHeight="1" x14ac:dyDescent="0.3"/>
    <row r="449" ht="14.4" customHeight="1" x14ac:dyDescent="0.3"/>
    <row r="450" ht="14.4" customHeight="1" x14ac:dyDescent="0.3"/>
    <row r="451" ht="14.4" customHeight="1" x14ac:dyDescent="0.3"/>
    <row r="452" ht="14.4" customHeight="1" x14ac:dyDescent="0.3"/>
    <row r="453" ht="14.4" customHeight="1" x14ac:dyDescent="0.3"/>
    <row r="454" ht="14.4" customHeight="1" x14ac:dyDescent="0.3"/>
    <row r="455" ht="14.4" customHeight="1" x14ac:dyDescent="0.3"/>
    <row r="456" ht="14.4" customHeight="1" x14ac:dyDescent="0.3"/>
    <row r="457" ht="14.4" customHeight="1" x14ac:dyDescent="0.3"/>
    <row r="458" ht="14.4" customHeight="1" x14ac:dyDescent="0.3"/>
    <row r="459" ht="14.4" customHeight="1" x14ac:dyDescent="0.3"/>
    <row r="460" ht="14.4" customHeight="1" x14ac:dyDescent="0.3"/>
    <row r="461" ht="14.4" customHeight="1" x14ac:dyDescent="0.3"/>
    <row r="462" ht="14.4" customHeight="1" x14ac:dyDescent="0.3"/>
    <row r="463" ht="14.4" customHeight="1" x14ac:dyDescent="0.3"/>
    <row r="464" ht="14.4" customHeight="1" x14ac:dyDescent="0.3"/>
    <row r="465" ht="14.4" customHeight="1" x14ac:dyDescent="0.3"/>
    <row r="466" ht="14.4" customHeight="1" x14ac:dyDescent="0.3"/>
    <row r="467" ht="14.4" customHeight="1" x14ac:dyDescent="0.3"/>
    <row r="468" ht="14.4" customHeight="1" x14ac:dyDescent="0.3"/>
    <row r="469" ht="14.4" customHeight="1" x14ac:dyDescent="0.3"/>
    <row r="470" ht="14.4" customHeight="1" x14ac:dyDescent="0.3"/>
    <row r="471" ht="14.4" customHeight="1" x14ac:dyDescent="0.3"/>
    <row r="472" ht="14.4" customHeight="1" x14ac:dyDescent="0.3"/>
    <row r="473" ht="14.4" customHeight="1" x14ac:dyDescent="0.3"/>
    <row r="474" ht="14.4" customHeight="1" x14ac:dyDescent="0.3"/>
    <row r="475" ht="14.4" customHeight="1" x14ac:dyDescent="0.3"/>
    <row r="476" ht="14.4" customHeight="1" x14ac:dyDescent="0.3"/>
    <row r="477" ht="14.4" customHeight="1" x14ac:dyDescent="0.3"/>
    <row r="478" ht="14.4" customHeight="1" x14ac:dyDescent="0.3"/>
    <row r="479" ht="14.4" customHeight="1" x14ac:dyDescent="0.3"/>
    <row r="480" ht="14.4" customHeight="1" x14ac:dyDescent="0.3"/>
    <row r="481" ht="14.4" customHeight="1" x14ac:dyDescent="0.3"/>
    <row r="482" ht="14.4" customHeight="1" x14ac:dyDescent="0.3"/>
    <row r="483" ht="14.4" customHeight="1" x14ac:dyDescent="0.3"/>
    <row r="484" ht="14.4" customHeight="1" x14ac:dyDescent="0.3"/>
    <row r="485" ht="14.4" customHeight="1" x14ac:dyDescent="0.3"/>
    <row r="486" ht="14.4" customHeight="1" x14ac:dyDescent="0.3"/>
    <row r="487" ht="14.4" customHeight="1" x14ac:dyDescent="0.3"/>
    <row r="488" ht="14.4" customHeight="1" x14ac:dyDescent="0.3"/>
    <row r="489" ht="14.4" customHeight="1" x14ac:dyDescent="0.3"/>
    <row r="490" ht="14.4" customHeight="1" x14ac:dyDescent="0.3"/>
    <row r="491" ht="14.4" customHeight="1" x14ac:dyDescent="0.3"/>
    <row r="492" ht="14.4" customHeight="1" x14ac:dyDescent="0.3"/>
    <row r="493" ht="14.4" customHeight="1" x14ac:dyDescent="0.3"/>
    <row r="494" ht="14.4" customHeight="1" x14ac:dyDescent="0.3"/>
    <row r="495" ht="14.4" customHeight="1" x14ac:dyDescent="0.3"/>
    <row r="496" ht="14.4" customHeight="1" x14ac:dyDescent="0.3"/>
    <row r="497" ht="14.4" customHeight="1" x14ac:dyDescent="0.3"/>
    <row r="498" ht="14.4" customHeight="1" x14ac:dyDescent="0.3"/>
    <row r="499" ht="14.4" customHeight="1" x14ac:dyDescent="0.3"/>
    <row r="500" ht="14.4" customHeight="1" x14ac:dyDescent="0.3"/>
    <row r="501" ht="14.4" customHeight="1" x14ac:dyDescent="0.3"/>
    <row r="502" ht="14.4" customHeight="1" x14ac:dyDescent="0.3"/>
    <row r="503" ht="14.4" customHeight="1" x14ac:dyDescent="0.3"/>
    <row r="504" ht="14.4" customHeight="1" x14ac:dyDescent="0.3"/>
    <row r="505" ht="14.4" customHeight="1" x14ac:dyDescent="0.3"/>
    <row r="506" ht="14.4" customHeight="1" x14ac:dyDescent="0.3"/>
    <row r="507" ht="14.4" customHeight="1" x14ac:dyDescent="0.3"/>
    <row r="508" ht="14.4" customHeight="1" x14ac:dyDescent="0.3"/>
    <row r="509" ht="14.4" customHeight="1" x14ac:dyDescent="0.3"/>
    <row r="510" ht="14.4" customHeight="1" x14ac:dyDescent="0.3"/>
    <row r="511" ht="14.4" customHeight="1" x14ac:dyDescent="0.3"/>
    <row r="512" ht="14.4" customHeight="1" x14ac:dyDescent="0.3"/>
    <row r="513" ht="14.4" customHeight="1" x14ac:dyDescent="0.3"/>
    <row r="514" ht="14.4" customHeight="1" x14ac:dyDescent="0.3"/>
    <row r="515" ht="14.4" customHeight="1" x14ac:dyDescent="0.3"/>
    <row r="516" ht="14.4" customHeight="1" x14ac:dyDescent="0.3"/>
    <row r="517" ht="14.4" customHeight="1" x14ac:dyDescent="0.3"/>
    <row r="518" ht="14.4" customHeight="1" x14ac:dyDescent="0.3"/>
    <row r="519" ht="14.4" customHeight="1" x14ac:dyDescent="0.3"/>
    <row r="520" ht="14.4" customHeight="1" x14ac:dyDescent="0.3"/>
    <row r="521" ht="14.4" customHeight="1" x14ac:dyDescent="0.3"/>
    <row r="522" ht="14.4" customHeight="1" x14ac:dyDescent="0.3"/>
    <row r="523" ht="14.4" customHeight="1" x14ac:dyDescent="0.3"/>
    <row r="524" ht="14.4" customHeight="1" x14ac:dyDescent="0.3"/>
    <row r="525" ht="14.4" customHeight="1" x14ac:dyDescent="0.3"/>
    <row r="526" ht="14.4" customHeight="1" x14ac:dyDescent="0.3"/>
    <row r="527" ht="14.4" customHeight="1" x14ac:dyDescent="0.3"/>
    <row r="528" ht="14.4" customHeight="1" x14ac:dyDescent="0.3"/>
    <row r="529" ht="14.4" customHeight="1" x14ac:dyDescent="0.3"/>
    <row r="530" ht="14.4" customHeight="1" x14ac:dyDescent="0.3"/>
    <row r="531" ht="14.4" customHeight="1" x14ac:dyDescent="0.3"/>
    <row r="532" ht="14.4" customHeight="1" x14ac:dyDescent="0.3"/>
    <row r="533" ht="14.4" customHeight="1" x14ac:dyDescent="0.3"/>
    <row r="534" ht="14.4" customHeight="1" x14ac:dyDescent="0.3"/>
    <row r="535" ht="14.4" customHeight="1" x14ac:dyDescent="0.3"/>
    <row r="536" ht="14.4" customHeight="1" x14ac:dyDescent="0.3"/>
    <row r="537" ht="14.4" customHeight="1" x14ac:dyDescent="0.3"/>
    <row r="538" ht="14.4" customHeight="1" x14ac:dyDescent="0.3"/>
    <row r="539" ht="14.4" customHeight="1" x14ac:dyDescent="0.3"/>
    <row r="540" ht="14.4" customHeight="1" x14ac:dyDescent="0.3"/>
    <row r="541" ht="14.4" customHeight="1" x14ac:dyDescent="0.3"/>
    <row r="542" ht="14.4" customHeight="1" x14ac:dyDescent="0.3"/>
    <row r="543" ht="14.4" customHeight="1" x14ac:dyDescent="0.3"/>
    <row r="544" ht="14.4" customHeight="1" x14ac:dyDescent="0.3"/>
    <row r="545" ht="14.4" customHeight="1" x14ac:dyDescent="0.3"/>
    <row r="546" ht="14.4" customHeight="1" x14ac:dyDescent="0.3"/>
    <row r="547" ht="14.4" customHeight="1" x14ac:dyDescent="0.3"/>
    <row r="548" ht="14.4" customHeight="1" x14ac:dyDescent="0.3"/>
    <row r="549" ht="14.4" customHeight="1" x14ac:dyDescent="0.3"/>
    <row r="550" ht="14.4" customHeight="1" x14ac:dyDescent="0.3"/>
    <row r="551" ht="14.4" customHeight="1" x14ac:dyDescent="0.3"/>
    <row r="552" ht="14.4" customHeight="1" x14ac:dyDescent="0.3"/>
    <row r="553" ht="14.4" customHeight="1" x14ac:dyDescent="0.3"/>
    <row r="554" ht="14.4" customHeight="1" x14ac:dyDescent="0.3"/>
    <row r="555" ht="14.4" customHeight="1" x14ac:dyDescent="0.3"/>
    <row r="556" ht="14.4" customHeight="1" x14ac:dyDescent="0.3"/>
    <row r="557" ht="14.4" customHeight="1" x14ac:dyDescent="0.3"/>
    <row r="558" ht="14.4" customHeight="1" x14ac:dyDescent="0.3"/>
    <row r="559" ht="14.4" customHeight="1" x14ac:dyDescent="0.3"/>
    <row r="560" ht="14.4" customHeight="1" x14ac:dyDescent="0.3"/>
    <row r="561" ht="14.4" customHeight="1" x14ac:dyDescent="0.3"/>
    <row r="562" ht="14.4" customHeight="1" x14ac:dyDescent="0.3"/>
    <row r="563" ht="14.4" customHeight="1" x14ac:dyDescent="0.3"/>
    <row r="564" ht="14.4" customHeight="1" x14ac:dyDescent="0.3"/>
    <row r="565" ht="14.4" customHeight="1" x14ac:dyDescent="0.3"/>
    <row r="566" ht="14.4" customHeight="1" x14ac:dyDescent="0.3"/>
    <row r="567" ht="14.4" customHeight="1" x14ac:dyDescent="0.3"/>
    <row r="568" ht="14.4" customHeight="1" x14ac:dyDescent="0.3"/>
    <row r="569" ht="14.4" customHeight="1" x14ac:dyDescent="0.3"/>
    <row r="570" ht="14.4" customHeight="1" x14ac:dyDescent="0.3"/>
    <row r="571" ht="14.4" customHeight="1" x14ac:dyDescent="0.3"/>
    <row r="572" ht="14.4" customHeight="1" x14ac:dyDescent="0.3"/>
    <row r="573" ht="14.4" customHeight="1" x14ac:dyDescent="0.3"/>
    <row r="574" ht="14.4" customHeight="1" x14ac:dyDescent="0.3"/>
    <row r="575" ht="14.4" customHeight="1" x14ac:dyDescent="0.3"/>
    <row r="576" ht="14.4" customHeight="1" x14ac:dyDescent="0.3"/>
    <row r="577" ht="14.4" customHeight="1" x14ac:dyDescent="0.3"/>
    <row r="578" ht="14.4" customHeight="1" x14ac:dyDescent="0.3"/>
    <row r="579" ht="14.4" customHeight="1" x14ac:dyDescent="0.3"/>
    <row r="580" ht="14.4" customHeight="1" x14ac:dyDescent="0.3"/>
    <row r="581" ht="14.4" customHeight="1" x14ac:dyDescent="0.3"/>
    <row r="582" ht="14.4" customHeight="1" x14ac:dyDescent="0.3"/>
    <row r="583" ht="14.4" customHeight="1" x14ac:dyDescent="0.3"/>
    <row r="584" ht="14.4" customHeight="1" x14ac:dyDescent="0.3"/>
    <row r="585" ht="14.4" customHeight="1" x14ac:dyDescent="0.3"/>
    <row r="586" ht="14.4" customHeight="1" x14ac:dyDescent="0.3"/>
    <row r="587" ht="14.4" customHeight="1" x14ac:dyDescent="0.3"/>
    <row r="588" ht="14.4" customHeight="1" x14ac:dyDescent="0.3"/>
    <row r="589" ht="14.4" customHeight="1" x14ac:dyDescent="0.3"/>
    <row r="590" ht="14.4" customHeight="1" x14ac:dyDescent="0.3"/>
    <row r="591" ht="14.4" customHeight="1" x14ac:dyDescent="0.3"/>
    <row r="592" ht="14.4" customHeight="1" x14ac:dyDescent="0.3"/>
    <row r="593" ht="14.4" customHeight="1" x14ac:dyDescent="0.3"/>
    <row r="594" ht="14.4" customHeight="1" x14ac:dyDescent="0.3"/>
    <row r="595" ht="14.4" customHeight="1" x14ac:dyDescent="0.3"/>
    <row r="596" ht="14.4" customHeight="1" x14ac:dyDescent="0.3"/>
    <row r="597" ht="14.4" customHeight="1" x14ac:dyDescent="0.3"/>
    <row r="598" ht="14.4" customHeight="1" x14ac:dyDescent="0.3"/>
    <row r="599" ht="14.4" customHeight="1" x14ac:dyDescent="0.3"/>
    <row r="600" ht="14.4" customHeight="1" x14ac:dyDescent="0.3"/>
    <row r="601" ht="14.4" customHeight="1" x14ac:dyDescent="0.3"/>
    <row r="602" ht="14.4" customHeight="1" x14ac:dyDescent="0.3"/>
    <row r="603" ht="14.4" customHeight="1" x14ac:dyDescent="0.3"/>
    <row r="604" ht="14.4" customHeight="1" x14ac:dyDescent="0.3"/>
    <row r="605" ht="14.4" customHeight="1" x14ac:dyDescent="0.3"/>
    <row r="606" ht="14.4" customHeight="1" x14ac:dyDescent="0.3"/>
    <row r="607" ht="14.4" customHeight="1" x14ac:dyDescent="0.3"/>
    <row r="608" ht="14.4" customHeight="1" x14ac:dyDescent="0.3"/>
    <row r="609" ht="14.4" customHeight="1" x14ac:dyDescent="0.3"/>
    <row r="610" ht="14.4" customHeight="1" x14ac:dyDescent="0.3"/>
    <row r="611" ht="14.4" customHeight="1" x14ac:dyDescent="0.3"/>
    <row r="612" ht="14.4" customHeight="1" x14ac:dyDescent="0.3"/>
    <row r="613" ht="14.4" customHeight="1" x14ac:dyDescent="0.3"/>
    <row r="614" ht="14.4" customHeight="1" x14ac:dyDescent="0.3"/>
    <row r="615" ht="14.4" customHeight="1" x14ac:dyDescent="0.3"/>
    <row r="616" ht="14.4" customHeight="1" x14ac:dyDescent="0.3"/>
    <row r="617" ht="14.4" customHeight="1" x14ac:dyDescent="0.3"/>
    <row r="618" ht="14.4" customHeight="1" x14ac:dyDescent="0.3"/>
    <row r="619" ht="14.4" customHeight="1" x14ac:dyDescent="0.3"/>
    <row r="620" ht="14.4" customHeight="1" x14ac:dyDescent="0.3"/>
    <row r="621" ht="14.4" customHeight="1" x14ac:dyDescent="0.3"/>
    <row r="622" ht="14.4" customHeight="1" x14ac:dyDescent="0.3"/>
    <row r="623" ht="14.4" customHeight="1" x14ac:dyDescent="0.3"/>
    <row r="624" ht="14.4" customHeight="1" x14ac:dyDescent="0.3"/>
    <row r="625" ht="14.4" customHeight="1" x14ac:dyDescent="0.3"/>
    <row r="626" ht="14.4" customHeight="1" x14ac:dyDescent="0.3"/>
    <row r="627" ht="14.4" customHeight="1" x14ac:dyDescent="0.3"/>
    <row r="628" ht="14.4" customHeight="1" x14ac:dyDescent="0.3"/>
    <row r="629" ht="14.4" customHeight="1" x14ac:dyDescent="0.3"/>
    <row r="630" ht="14.4" customHeight="1" x14ac:dyDescent="0.3"/>
    <row r="631" ht="14.4" customHeight="1" x14ac:dyDescent="0.3"/>
    <row r="632" ht="14.4" customHeight="1" x14ac:dyDescent="0.3"/>
    <row r="633" ht="14.4" customHeight="1" x14ac:dyDescent="0.3"/>
    <row r="634" ht="14.4" customHeight="1" x14ac:dyDescent="0.3"/>
    <row r="635" ht="14.4" customHeight="1" x14ac:dyDescent="0.3"/>
    <row r="636" ht="14.4" customHeight="1" x14ac:dyDescent="0.3"/>
    <row r="637" ht="14.4" customHeight="1" x14ac:dyDescent="0.3"/>
    <row r="638" ht="14.4" customHeight="1" x14ac:dyDescent="0.3"/>
    <row r="639" ht="14.4" customHeight="1" x14ac:dyDescent="0.3"/>
    <row r="640" ht="14.4" customHeight="1" x14ac:dyDescent="0.3"/>
    <row r="641" ht="14.4" customHeight="1" x14ac:dyDescent="0.3"/>
    <row r="642" ht="14.4" customHeight="1" x14ac:dyDescent="0.3"/>
    <row r="643" ht="14.4" customHeight="1" x14ac:dyDescent="0.3"/>
    <row r="644" ht="14.4" customHeight="1" x14ac:dyDescent="0.3"/>
    <row r="645" ht="14.4" customHeight="1" x14ac:dyDescent="0.3"/>
    <row r="646" ht="14.4" customHeight="1" x14ac:dyDescent="0.3"/>
    <row r="647" ht="14.4" customHeight="1" x14ac:dyDescent="0.3"/>
    <row r="648" ht="14.4" customHeight="1" x14ac:dyDescent="0.3"/>
    <row r="649" ht="14.4" customHeight="1" x14ac:dyDescent="0.3"/>
    <row r="650" ht="14.4" customHeight="1" x14ac:dyDescent="0.3"/>
    <row r="651" ht="14.4" customHeight="1" x14ac:dyDescent="0.3"/>
    <row r="652" ht="14.4" customHeight="1" x14ac:dyDescent="0.3"/>
    <row r="653" ht="14.4" customHeight="1" x14ac:dyDescent="0.3"/>
    <row r="654" ht="14.4" customHeight="1" x14ac:dyDescent="0.3"/>
    <row r="655" ht="14.4" customHeight="1" x14ac:dyDescent="0.3"/>
    <row r="656" ht="14.4" customHeight="1" x14ac:dyDescent="0.3"/>
    <row r="657" ht="14.4" customHeight="1" x14ac:dyDescent="0.3"/>
    <row r="658" ht="14.4" customHeight="1" x14ac:dyDescent="0.3"/>
    <row r="659" ht="14.4" customHeight="1" x14ac:dyDescent="0.3"/>
    <row r="660" ht="14.4" customHeight="1" x14ac:dyDescent="0.3"/>
    <row r="661" ht="14.4" customHeight="1" x14ac:dyDescent="0.3"/>
    <row r="662" ht="14.4" customHeight="1" x14ac:dyDescent="0.3"/>
    <row r="663" ht="14.4" customHeight="1" x14ac:dyDescent="0.3"/>
    <row r="664" ht="14.4" customHeight="1" x14ac:dyDescent="0.3"/>
    <row r="665" ht="14.4" customHeight="1" x14ac:dyDescent="0.3"/>
    <row r="666" ht="14.4" customHeight="1" x14ac:dyDescent="0.3"/>
    <row r="667" ht="14.4" customHeight="1" x14ac:dyDescent="0.3"/>
    <row r="668" ht="14.4" customHeight="1" x14ac:dyDescent="0.3"/>
    <row r="669" ht="14.4" customHeight="1" x14ac:dyDescent="0.3"/>
    <row r="670" ht="14.4" customHeight="1" x14ac:dyDescent="0.3"/>
    <row r="671" ht="14.4" customHeight="1" x14ac:dyDescent="0.3"/>
    <row r="672" ht="14.4" customHeight="1" x14ac:dyDescent="0.3"/>
    <row r="673" ht="14.4" customHeight="1" x14ac:dyDescent="0.3"/>
    <row r="674" ht="14.4" customHeight="1" x14ac:dyDescent="0.3"/>
    <row r="675" ht="14.4" customHeight="1" x14ac:dyDescent="0.3"/>
    <row r="676" ht="14.4" customHeight="1" x14ac:dyDescent="0.3"/>
    <row r="677" ht="14.4" customHeight="1" x14ac:dyDescent="0.3"/>
    <row r="678" ht="14.4" customHeight="1" x14ac:dyDescent="0.3"/>
    <row r="679" ht="14.4" customHeight="1" x14ac:dyDescent="0.3"/>
    <row r="680" ht="14.4" customHeight="1" x14ac:dyDescent="0.3"/>
    <row r="681" ht="14.4" customHeight="1" x14ac:dyDescent="0.3"/>
    <row r="682" ht="14.4" customHeight="1" x14ac:dyDescent="0.3"/>
    <row r="683" ht="14.4" customHeight="1" x14ac:dyDescent="0.3"/>
    <row r="684" ht="14.4" customHeight="1" x14ac:dyDescent="0.3"/>
    <row r="685" ht="14.4" customHeight="1" x14ac:dyDescent="0.3"/>
    <row r="686" ht="14.4" customHeight="1" x14ac:dyDescent="0.3"/>
    <row r="687" ht="14.4" customHeight="1" x14ac:dyDescent="0.3"/>
    <row r="688" ht="14.4" customHeight="1" x14ac:dyDescent="0.3"/>
    <row r="689" ht="14.4" customHeight="1" x14ac:dyDescent="0.3"/>
    <row r="690" ht="14.4" customHeight="1" x14ac:dyDescent="0.3"/>
    <row r="691" ht="14.4" customHeight="1" x14ac:dyDescent="0.3"/>
    <row r="692" ht="14.4" customHeight="1" x14ac:dyDescent="0.3"/>
    <row r="693" ht="14.4" customHeight="1" x14ac:dyDescent="0.3"/>
    <row r="694" ht="14.4" customHeight="1" x14ac:dyDescent="0.3"/>
    <row r="695" ht="14.4" customHeight="1" x14ac:dyDescent="0.3"/>
    <row r="696" ht="14.4" customHeight="1" x14ac:dyDescent="0.3"/>
    <row r="697" ht="14.4" customHeight="1" x14ac:dyDescent="0.3"/>
    <row r="698" ht="14.4" customHeight="1" x14ac:dyDescent="0.3"/>
    <row r="699" ht="14.4" customHeight="1" x14ac:dyDescent="0.3"/>
    <row r="700" ht="14.4" customHeight="1" x14ac:dyDescent="0.3"/>
    <row r="701" ht="14.4" customHeight="1" x14ac:dyDescent="0.3"/>
    <row r="702" ht="14.4" customHeight="1" x14ac:dyDescent="0.3"/>
    <row r="703" ht="14.4" customHeight="1" x14ac:dyDescent="0.3"/>
    <row r="704" ht="14.4" customHeight="1" x14ac:dyDescent="0.3"/>
    <row r="705" ht="14.4" customHeight="1" x14ac:dyDescent="0.3"/>
    <row r="706" ht="14.4" customHeight="1" x14ac:dyDescent="0.3"/>
    <row r="707" ht="14.4" customHeight="1" x14ac:dyDescent="0.3"/>
    <row r="708" ht="14.4" customHeight="1" x14ac:dyDescent="0.3"/>
    <row r="709" ht="14.4" customHeight="1" x14ac:dyDescent="0.3"/>
    <row r="710" ht="14.4" customHeight="1" x14ac:dyDescent="0.3"/>
    <row r="711" ht="14.4" customHeight="1" x14ac:dyDescent="0.3"/>
    <row r="712" ht="14.4" customHeight="1" x14ac:dyDescent="0.3"/>
    <row r="713" ht="14.4" customHeight="1" x14ac:dyDescent="0.3"/>
    <row r="714" ht="14.4" customHeight="1" x14ac:dyDescent="0.3"/>
    <row r="715" ht="14.4" customHeight="1" x14ac:dyDescent="0.3"/>
    <row r="716" ht="14.4" customHeight="1" x14ac:dyDescent="0.3"/>
    <row r="717" ht="14.4" customHeight="1" x14ac:dyDescent="0.3"/>
    <row r="718" ht="14.4" customHeight="1" x14ac:dyDescent="0.3"/>
    <row r="719" ht="14.4" customHeight="1" x14ac:dyDescent="0.3"/>
    <row r="720" ht="14.4" customHeight="1" x14ac:dyDescent="0.3"/>
    <row r="721" ht="14.4" customHeight="1" x14ac:dyDescent="0.3"/>
    <row r="722" ht="14.4" customHeight="1" x14ac:dyDescent="0.3"/>
    <row r="723" ht="14.4" customHeight="1" x14ac:dyDescent="0.3"/>
    <row r="724" ht="14.4" customHeight="1" x14ac:dyDescent="0.3"/>
    <row r="725" ht="14.4" customHeight="1" x14ac:dyDescent="0.3"/>
    <row r="726" ht="14.4" customHeight="1" x14ac:dyDescent="0.3"/>
    <row r="727" ht="14.4" customHeight="1" x14ac:dyDescent="0.3"/>
    <row r="728" ht="14.4" customHeight="1" x14ac:dyDescent="0.3"/>
    <row r="729" ht="14.4" customHeight="1" x14ac:dyDescent="0.3"/>
    <row r="730" ht="14.4" customHeight="1" x14ac:dyDescent="0.3"/>
    <row r="731" ht="14.4" customHeight="1" x14ac:dyDescent="0.3"/>
    <row r="732" ht="14.4" customHeight="1" x14ac:dyDescent="0.3"/>
    <row r="733" ht="14.4" customHeight="1" x14ac:dyDescent="0.3"/>
    <row r="734" ht="14.4" customHeight="1" x14ac:dyDescent="0.3"/>
    <row r="735" ht="14.4" customHeight="1" x14ac:dyDescent="0.3"/>
    <row r="736" ht="14.4" customHeight="1" x14ac:dyDescent="0.3"/>
    <row r="737" ht="14.4" customHeight="1" x14ac:dyDescent="0.3"/>
    <row r="738" ht="14.4" customHeight="1" x14ac:dyDescent="0.3"/>
    <row r="739" ht="14.4" customHeight="1" x14ac:dyDescent="0.3"/>
    <row r="740" ht="14.4" customHeight="1" x14ac:dyDescent="0.3"/>
    <row r="741" ht="14.4" customHeight="1" x14ac:dyDescent="0.3"/>
    <row r="742" ht="14.4" customHeight="1" x14ac:dyDescent="0.3"/>
    <row r="743" ht="14.4" customHeight="1" x14ac:dyDescent="0.3"/>
    <row r="744" ht="14.4" customHeight="1" x14ac:dyDescent="0.3"/>
    <row r="745" ht="14.4" customHeight="1" x14ac:dyDescent="0.3"/>
    <row r="746" ht="14.4" customHeight="1" x14ac:dyDescent="0.3"/>
    <row r="747" ht="14.4" customHeight="1" x14ac:dyDescent="0.3"/>
    <row r="748" ht="14.4" customHeight="1" x14ac:dyDescent="0.3"/>
    <row r="749" ht="14.4" customHeight="1" x14ac:dyDescent="0.3"/>
    <row r="750" ht="14.4" customHeight="1" x14ac:dyDescent="0.3"/>
    <row r="751" ht="14.4" customHeight="1" x14ac:dyDescent="0.3"/>
    <row r="752" ht="14.4" customHeight="1" x14ac:dyDescent="0.3"/>
    <row r="753" ht="14.4" customHeight="1" x14ac:dyDescent="0.3"/>
    <row r="754" ht="14.4" customHeight="1" x14ac:dyDescent="0.3"/>
    <row r="755" ht="14.4" customHeight="1" x14ac:dyDescent="0.3"/>
    <row r="756" ht="14.4" customHeight="1" x14ac:dyDescent="0.3"/>
    <row r="757" ht="14.4" customHeight="1" x14ac:dyDescent="0.3"/>
    <row r="758" ht="14.4" customHeight="1" x14ac:dyDescent="0.3"/>
    <row r="759" ht="14.4" customHeight="1" x14ac:dyDescent="0.3"/>
    <row r="760" ht="14.4" customHeight="1" x14ac:dyDescent="0.3"/>
    <row r="761" ht="14.4" customHeight="1" x14ac:dyDescent="0.3"/>
    <row r="762" ht="14.4" customHeight="1" x14ac:dyDescent="0.3"/>
    <row r="763" ht="14.4" customHeight="1" x14ac:dyDescent="0.3"/>
    <row r="764" ht="14.4" customHeight="1" x14ac:dyDescent="0.3"/>
    <row r="765" ht="14.4" customHeight="1" x14ac:dyDescent="0.3"/>
    <row r="766" ht="14.4" customHeight="1" x14ac:dyDescent="0.3"/>
    <row r="767" ht="14.4" customHeight="1" x14ac:dyDescent="0.3"/>
    <row r="768" ht="14.4" customHeight="1" x14ac:dyDescent="0.3"/>
    <row r="769" ht="14.4" customHeight="1" x14ac:dyDescent="0.3"/>
    <row r="770" ht="14.4" customHeight="1" x14ac:dyDescent="0.3"/>
    <row r="771" ht="14.4" customHeight="1" x14ac:dyDescent="0.3"/>
    <row r="772" ht="14.4" customHeight="1" x14ac:dyDescent="0.3"/>
    <row r="773" ht="14.4" customHeight="1" x14ac:dyDescent="0.3"/>
    <row r="774" ht="14.4" customHeight="1" x14ac:dyDescent="0.3"/>
    <row r="775" ht="14.4" customHeight="1" x14ac:dyDescent="0.3"/>
    <row r="776" ht="14.4" customHeight="1" x14ac:dyDescent="0.3"/>
    <row r="777" ht="14.4" customHeight="1" x14ac:dyDescent="0.3"/>
    <row r="778" ht="14.4" customHeight="1" x14ac:dyDescent="0.3"/>
    <row r="779" ht="14.4" customHeight="1" x14ac:dyDescent="0.3"/>
    <row r="780" ht="14.4" customHeight="1" x14ac:dyDescent="0.3"/>
    <row r="781" ht="14.4" customHeight="1" x14ac:dyDescent="0.3"/>
    <row r="782" ht="14.4" customHeight="1" x14ac:dyDescent="0.3"/>
    <row r="783" ht="14.4" customHeight="1" x14ac:dyDescent="0.3"/>
    <row r="784" ht="14.4" customHeight="1" x14ac:dyDescent="0.3"/>
    <row r="785" ht="14.4" customHeight="1" x14ac:dyDescent="0.3"/>
    <row r="786" ht="14.4" customHeight="1" x14ac:dyDescent="0.3"/>
    <row r="787" ht="14.4" customHeight="1" x14ac:dyDescent="0.3"/>
    <row r="788" ht="14.4" customHeight="1" x14ac:dyDescent="0.3"/>
    <row r="789" ht="14.4" customHeight="1" x14ac:dyDescent="0.3"/>
    <row r="790" ht="14.4" customHeight="1" x14ac:dyDescent="0.3"/>
    <row r="791" ht="14.4" customHeight="1" x14ac:dyDescent="0.3"/>
    <row r="792" ht="14.4" customHeight="1" x14ac:dyDescent="0.3"/>
    <row r="793" ht="14.4" customHeight="1" x14ac:dyDescent="0.3"/>
    <row r="794" ht="14.4" customHeight="1" x14ac:dyDescent="0.3"/>
    <row r="795" ht="14.4" customHeight="1" x14ac:dyDescent="0.3"/>
    <row r="796" ht="14.4" customHeight="1" x14ac:dyDescent="0.3"/>
    <row r="797" ht="14.4" customHeight="1" x14ac:dyDescent="0.3"/>
    <row r="798" ht="14.4" customHeight="1" x14ac:dyDescent="0.3"/>
    <row r="799" ht="14.4" customHeight="1" x14ac:dyDescent="0.3"/>
    <row r="800" ht="14.4" customHeight="1" x14ac:dyDescent="0.3"/>
    <row r="801" ht="14.4" customHeight="1" x14ac:dyDescent="0.3"/>
    <row r="802" ht="14.4" customHeight="1" x14ac:dyDescent="0.3"/>
    <row r="803" ht="14.4" customHeight="1" x14ac:dyDescent="0.3"/>
    <row r="804" ht="14.4" customHeight="1" x14ac:dyDescent="0.3"/>
    <row r="805" ht="14.4" customHeight="1" x14ac:dyDescent="0.3"/>
    <row r="806" ht="14.4" customHeight="1" x14ac:dyDescent="0.3"/>
    <row r="807" ht="14.4" customHeight="1" x14ac:dyDescent="0.3"/>
    <row r="808" ht="14.4" customHeight="1" x14ac:dyDescent="0.3"/>
    <row r="809" ht="14.4" customHeight="1" x14ac:dyDescent="0.3"/>
    <row r="810" ht="14.4" customHeight="1" x14ac:dyDescent="0.3"/>
    <row r="811" ht="14.4" customHeight="1" x14ac:dyDescent="0.3"/>
    <row r="812" ht="14.4" customHeight="1" x14ac:dyDescent="0.3"/>
    <row r="813" ht="14.4" customHeight="1" x14ac:dyDescent="0.3"/>
    <row r="814" ht="14.4" customHeight="1" x14ac:dyDescent="0.3"/>
    <row r="815" ht="14.4" customHeight="1" x14ac:dyDescent="0.3"/>
    <row r="816" ht="14.4" customHeight="1" x14ac:dyDescent="0.3"/>
    <row r="817" ht="14.4" customHeight="1" x14ac:dyDescent="0.3"/>
    <row r="818" ht="14.4" customHeight="1" x14ac:dyDescent="0.3"/>
    <row r="819" ht="14.4" customHeight="1" x14ac:dyDescent="0.3"/>
    <row r="820" ht="14.4" customHeight="1" x14ac:dyDescent="0.3"/>
    <row r="821" ht="14.4" customHeight="1" x14ac:dyDescent="0.3"/>
    <row r="822" ht="14.4" customHeight="1" x14ac:dyDescent="0.3"/>
    <row r="823" ht="14.4" customHeight="1" x14ac:dyDescent="0.3"/>
    <row r="824" ht="14.4" customHeight="1" x14ac:dyDescent="0.3"/>
    <row r="825" ht="14.4" customHeight="1" x14ac:dyDescent="0.3"/>
    <row r="826" ht="14.4" customHeight="1" x14ac:dyDescent="0.3"/>
    <row r="827" ht="14.4" customHeight="1" x14ac:dyDescent="0.3"/>
    <row r="828" ht="14.4" customHeight="1" x14ac:dyDescent="0.3"/>
    <row r="829" ht="14.4" customHeight="1" x14ac:dyDescent="0.3"/>
    <row r="830" ht="14.4" customHeight="1" x14ac:dyDescent="0.3"/>
    <row r="831" ht="14.4" customHeight="1" x14ac:dyDescent="0.3"/>
    <row r="832" ht="14.4" customHeight="1" x14ac:dyDescent="0.3"/>
    <row r="833" ht="14.4" customHeight="1" x14ac:dyDescent="0.3"/>
    <row r="834" ht="14.4" customHeight="1" x14ac:dyDescent="0.3"/>
    <row r="835" ht="14.4" customHeight="1" x14ac:dyDescent="0.3"/>
    <row r="836" ht="14.4" customHeight="1" x14ac:dyDescent="0.3"/>
    <row r="837" ht="14.4" customHeight="1" x14ac:dyDescent="0.3"/>
    <row r="838" ht="14.4" customHeight="1" x14ac:dyDescent="0.3"/>
    <row r="839" ht="14.4" customHeight="1" x14ac:dyDescent="0.3"/>
    <row r="840" ht="14.4" customHeight="1" x14ac:dyDescent="0.3"/>
    <row r="841" ht="14.4" customHeight="1" x14ac:dyDescent="0.3"/>
    <row r="842" ht="14.4" customHeight="1" x14ac:dyDescent="0.3"/>
    <row r="843" ht="14.4" customHeight="1" x14ac:dyDescent="0.3"/>
    <row r="844" ht="14.4" customHeight="1" x14ac:dyDescent="0.3"/>
    <row r="845" ht="14.4" customHeight="1" x14ac:dyDescent="0.3"/>
    <row r="846" ht="14.4" customHeight="1" x14ac:dyDescent="0.3"/>
    <row r="847" ht="14.4" customHeight="1" x14ac:dyDescent="0.3"/>
    <row r="848" ht="14.4" customHeight="1" x14ac:dyDescent="0.3"/>
    <row r="849" ht="14.4" customHeight="1" x14ac:dyDescent="0.3"/>
    <row r="850" ht="14.4" customHeight="1" x14ac:dyDescent="0.3"/>
    <row r="851" ht="14.4" customHeight="1" x14ac:dyDescent="0.3"/>
    <row r="852" ht="14.4" customHeight="1" x14ac:dyDescent="0.3"/>
    <row r="853" ht="14.4" customHeight="1" x14ac:dyDescent="0.3"/>
    <row r="854" ht="14.4" customHeight="1" x14ac:dyDescent="0.3"/>
    <row r="855" ht="14.4" customHeight="1" x14ac:dyDescent="0.3"/>
    <row r="856" ht="14.4" customHeight="1" x14ac:dyDescent="0.3"/>
    <row r="857" ht="14.4" customHeight="1" x14ac:dyDescent="0.3"/>
    <row r="858" ht="14.4" customHeight="1" x14ac:dyDescent="0.3"/>
    <row r="859" ht="14.4" customHeight="1" x14ac:dyDescent="0.3"/>
    <row r="860" ht="14.4" customHeight="1" x14ac:dyDescent="0.3"/>
    <row r="861" ht="14.4" customHeight="1" x14ac:dyDescent="0.3"/>
    <row r="862" ht="14.4" customHeight="1" x14ac:dyDescent="0.3"/>
    <row r="863" ht="14.4" customHeight="1" x14ac:dyDescent="0.3"/>
    <row r="864" ht="14.4" customHeight="1" x14ac:dyDescent="0.3"/>
    <row r="865" ht="14.4" customHeight="1" x14ac:dyDescent="0.3"/>
    <row r="866" ht="14.4" customHeight="1" x14ac:dyDescent="0.3"/>
    <row r="867" ht="14.4" customHeight="1" x14ac:dyDescent="0.3"/>
    <row r="868" ht="14.4" customHeight="1" x14ac:dyDescent="0.3"/>
    <row r="869" ht="14.4" customHeight="1" x14ac:dyDescent="0.3"/>
    <row r="870" ht="14.4" customHeight="1" x14ac:dyDescent="0.3"/>
    <row r="871" ht="14.4" customHeight="1" x14ac:dyDescent="0.3"/>
    <row r="872" ht="14.4" customHeight="1" x14ac:dyDescent="0.3"/>
    <row r="873" ht="14.4" customHeight="1" x14ac:dyDescent="0.3"/>
    <row r="874" ht="14.4" customHeight="1" x14ac:dyDescent="0.3"/>
    <row r="875" ht="14.4" customHeight="1" x14ac:dyDescent="0.3"/>
    <row r="876" ht="14.4" customHeight="1" x14ac:dyDescent="0.3"/>
    <row r="877" ht="14.4" customHeight="1" x14ac:dyDescent="0.3"/>
    <row r="878" ht="14.4" customHeight="1" x14ac:dyDescent="0.3"/>
    <row r="879" ht="14.4" customHeight="1" x14ac:dyDescent="0.3"/>
    <row r="880" ht="14.4" customHeight="1" x14ac:dyDescent="0.3"/>
    <row r="881" ht="14.4" customHeight="1" x14ac:dyDescent="0.3"/>
    <row r="882" ht="14.4" customHeight="1" x14ac:dyDescent="0.3"/>
    <row r="883" ht="14.4" customHeight="1" x14ac:dyDescent="0.3"/>
    <row r="884" ht="14.4" customHeight="1" x14ac:dyDescent="0.3"/>
    <row r="885" ht="14.4" customHeight="1" x14ac:dyDescent="0.3"/>
    <row r="886" ht="14.4" customHeight="1" x14ac:dyDescent="0.3"/>
    <row r="887" ht="14.4" customHeight="1" x14ac:dyDescent="0.3"/>
    <row r="888" ht="14.4" customHeight="1" x14ac:dyDescent="0.3"/>
    <row r="889" ht="14.4" customHeight="1" x14ac:dyDescent="0.3"/>
    <row r="890" ht="14.4" customHeight="1" x14ac:dyDescent="0.3"/>
    <row r="891" ht="14.4" customHeight="1" x14ac:dyDescent="0.3"/>
    <row r="892" ht="14.4" customHeight="1" x14ac:dyDescent="0.3"/>
    <row r="893" ht="14.4" customHeight="1" x14ac:dyDescent="0.3"/>
    <row r="894" ht="14.4" customHeight="1" x14ac:dyDescent="0.3"/>
    <row r="895" ht="14.4" customHeight="1" x14ac:dyDescent="0.3"/>
    <row r="896" ht="14.4" customHeight="1" x14ac:dyDescent="0.3"/>
    <row r="897" ht="14.4" customHeight="1" x14ac:dyDescent="0.3"/>
    <row r="898" ht="14.4" customHeight="1" x14ac:dyDescent="0.3"/>
    <row r="899" ht="14.4" customHeight="1" x14ac:dyDescent="0.3"/>
    <row r="900" ht="14.4" customHeight="1" x14ac:dyDescent="0.3"/>
    <row r="901" ht="14.4" customHeight="1" x14ac:dyDescent="0.3"/>
    <row r="902" ht="14.4" customHeight="1" x14ac:dyDescent="0.3"/>
    <row r="903" ht="14.4" customHeight="1" x14ac:dyDescent="0.3"/>
    <row r="904" ht="14.4" customHeight="1" x14ac:dyDescent="0.3"/>
    <row r="905" ht="14.4" customHeight="1" x14ac:dyDescent="0.3"/>
    <row r="906" ht="14.4" customHeight="1" x14ac:dyDescent="0.3"/>
    <row r="907" ht="14.4" customHeight="1" x14ac:dyDescent="0.3"/>
    <row r="908" ht="14.4" customHeight="1" x14ac:dyDescent="0.3"/>
    <row r="909" ht="14.4" customHeight="1" x14ac:dyDescent="0.3"/>
    <row r="910" ht="14.4" customHeight="1" x14ac:dyDescent="0.3"/>
    <row r="911" ht="14.4" customHeight="1" x14ac:dyDescent="0.3"/>
    <row r="912" ht="14.4" customHeight="1" x14ac:dyDescent="0.3"/>
    <row r="913" ht="14.4" customHeight="1" x14ac:dyDescent="0.3"/>
    <row r="914" ht="14.4" customHeight="1" x14ac:dyDescent="0.3"/>
    <row r="915" ht="14.4" customHeight="1" x14ac:dyDescent="0.3"/>
    <row r="916" ht="14.4" customHeight="1" x14ac:dyDescent="0.3"/>
    <row r="917" ht="14.4" customHeight="1" x14ac:dyDescent="0.3"/>
    <row r="918" ht="14.4" customHeight="1" x14ac:dyDescent="0.3"/>
    <row r="919" ht="14.4" customHeight="1" x14ac:dyDescent="0.3"/>
    <row r="920" ht="14.4" customHeight="1" x14ac:dyDescent="0.3"/>
    <row r="921" ht="14.4" customHeight="1" x14ac:dyDescent="0.3"/>
    <row r="922" ht="14.4" customHeight="1" x14ac:dyDescent="0.3"/>
    <row r="923" ht="14.4" customHeight="1" x14ac:dyDescent="0.3"/>
    <row r="924" ht="14.4" customHeight="1" x14ac:dyDescent="0.3"/>
    <row r="925" ht="14.4" customHeight="1" x14ac:dyDescent="0.3"/>
    <row r="926" ht="14.4" customHeight="1" x14ac:dyDescent="0.3"/>
    <row r="927" ht="14.4" customHeight="1" x14ac:dyDescent="0.3"/>
    <row r="928" ht="14.4" customHeight="1" x14ac:dyDescent="0.3"/>
    <row r="929" ht="14.4" customHeight="1" x14ac:dyDescent="0.3"/>
    <row r="930" ht="14.4" customHeight="1" x14ac:dyDescent="0.3"/>
    <row r="931" ht="14.4" customHeight="1" x14ac:dyDescent="0.3"/>
    <row r="932" ht="14.4" customHeight="1" x14ac:dyDescent="0.3"/>
    <row r="933" ht="14.4" customHeight="1" x14ac:dyDescent="0.3"/>
    <row r="934" ht="14.4" customHeight="1" x14ac:dyDescent="0.3"/>
    <row r="935" ht="14.4" customHeight="1" x14ac:dyDescent="0.3"/>
    <row r="936" ht="14.4" customHeight="1" x14ac:dyDescent="0.3"/>
    <row r="937" ht="14.4" customHeight="1" x14ac:dyDescent="0.3"/>
    <row r="938" ht="14.4" customHeight="1" x14ac:dyDescent="0.3"/>
    <row r="939" ht="14.4" customHeight="1" x14ac:dyDescent="0.3"/>
    <row r="940" ht="14.4" customHeight="1" x14ac:dyDescent="0.3"/>
    <row r="941" ht="14.4" customHeight="1" x14ac:dyDescent="0.3"/>
    <row r="942" ht="14.4" customHeight="1" x14ac:dyDescent="0.3"/>
    <row r="943" ht="14.4" customHeight="1" x14ac:dyDescent="0.3"/>
    <row r="944" ht="14.4" customHeight="1" x14ac:dyDescent="0.3"/>
    <row r="945" ht="14.4" customHeight="1" x14ac:dyDescent="0.3"/>
    <row r="946" ht="14.4" customHeight="1" x14ac:dyDescent="0.3"/>
    <row r="947" ht="14.4" customHeight="1" x14ac:dyDescent="0.3"/>
    <row r="948" ht="14.4" customHeight="1" x14ac:dyDescent="0.3"/>
    <row r="949" ht="14.4" customHeight="1" x14ac:dyDescent="0.3"/>
    <row r="950" ht="14.4" customHeight="1" x14ac:dyDescent="0.3"/>
    <row r="951" ht="14.4" customHeight="1" x14ac:dyDescent="0.3"/>
    <row r="952" ht="14.4" customHeight="1" x14ac:dyDescent="0.3"/>
    <row r="953" ht="14.4" customHeight="1" x14ac:dyDescent="0.3"/>
    <row r="954" ht="14.4" customHeight="1" x14ac:dyDescent="0.3"/>
    <row r="955" ht="14.4" customHeight="1" x14ac:dyDescent="0.3"/>
    <row r="956" ht="14.4" customHeight="1" x14ac:dyDescent="0.3"/>
    <row r="957" ht="14.4" customHeight="1" x14ac:dyDescent="0.3"/>
    <row r="958" ht="14.4" customHeight="1" x14ac:dyDescent="0.3"/>
    <row r="959" ht="14.4" customHeight="1" x14ac:dyDescent="0.3"/>
    <row r="960" ht="14.4" customHeight="1" x14ac:dyDescent="0.3"/>
    <row r="961" ht="14.4" customHeight="1" x14ac:dyDescent="0.3"/>
    <row r="962" ht="14.4" customHeight="1" x14ac:dyDescent="0.3"/>
    <row r="963" ht="14.4" customHeight="1" x14ac:dyDescent="0.3"/>
    <row r="964" ht="14.4" customHeight="1" x14ac:dyDescent="0.3"/>
    <row r="965" ht="14.4" customHeight="1" x14ac:dyDescent="0.3"/>
    <row r="966" ht="14.4" customHeight="1" x14ac:dyDescent="0.3"/>
    <row r="967" ht="14.4" customHeight="1" x14ac:dyDescent="0.3"/>
    <row r="968" ht="14.4" customHeight="1" x14ac:dyDescent="0.3"/>
    <row r="969" ht="14.4" customHeight="1" x14ac:dyDescent="0.3"/>
    <row r="970" ht="14.4" customHeight="1" x14ac:dyDescent="0.3"/>
    <row r="971" ht="14.4" customHeight="1" x14ac:dyDescent="0.3"/>
    <row r="972" ht="14.4" customHeight="1" x14ac:dyDescent="0.3"/>
    <row r="973" ht="14.4" customHeight="1" x14ac:dyDescent="0.3"/>
    <row r="974" ht="14.4" customHeight="1" x14ac:dyDescent="0.3"/>
    <row r="975" ht="14.4" customHeight="1" x14ac:dyDescent="0.3"/>
    <row r="976" ht="14.4" customHeight="1" x14ac:dyDescent="0.3"/>
    <row r="977" ht="14.4" customHeight="1" x14ac:dyDescent="0.3"/>
    <row r="978" ht="14.4" customHeight="1" x14ac:dyDescent="0.3"/>
    <row r="979" ht="14.4" customHeight="1" x14ac:dyDescent="0.3"/>
    <row r="980" ht="14.4" customHeight="1" x14ac:dyDescent="0.3"/>
    <row r="981" ht="14.4" customHeight="1" x14ac:dyDescent="0.3"/>
    <row r="982" ht="14.4" customHeight="1" x14ac:dyDescent="0.3"/>
    <row r="983" ht="14.4" customHeight="1" x14ac:dyDescent="0.3"/>
    <row r="984" ht="14.4" customHeight="1" x14ac:dyDescent="0.3"/>
    <row r="985" ht="14.4" customHeight="1" x14ac:dyDescent="0.3"/>
    <row r="986" ht="14.4" customHeight="1" x14ac:dyDescent="0.3"/>
    <row r="987" ht="14.4" customHeight="1" x14ac:dyDescent="0.3"/>
    <row r="988" ht="14.4" customHeight="1" x14ac:dyDescent="0.3"/>
    <row r="989" ht="14.4" customHeight="1" x14ac:dyDescent="0.3"/>
    <row r="990" ht="14.4" customHeight="1" x14ac:dyDescent="0.3"/>
    <row r="991" ht="14.4" customHeight="1" x14ac:dyDescent="0.3"/>
    <row r="992" ht="14.4" customHeight="1" x14ac:dyDescent="0.3"/>
    <row r="993" ht="14.4" customHeight="1" x14ac:dyDescent="0.3"/>
    <row r="994" ht="14.4" customHeight="1" x14ac:dyDescent="0.3"/>
    <row r="995" ht="14.4" customHeight="1" x14ac:dyDescent="0.3"/>
    <row r="996" ht="14.4" customHeight="1" x14ac:dyDescent="0.3"/>
    <row r="997" ht="14.4" customHeight="1" x14ac:dyDescent="0.3"/>
    <row r="998" ht="14.4" customHeight="1" x14ac:dyDescent="0.3"/>
    <row r="999" ht="14.4" customHeight="1" x14ac:dyDescent="0.3"/>
    <row r="1000" ht="14.4" customHeight="1" x14ac:dyDescent="0.3"/>
    <row r="1001" ht="14.4" customHeight="1" x14ac:dyDescent="0.3"/>
    <row r="1002" ht="14.4" customHeight="1" x14ac:dyDescent="0.3"/>
    <row r="1003" ht="14.4" customHeight="1" x14ac:dyDescent="0.3"/>
    <row r="1004" ht="14.4" customHeight="1" x14ac:dyDescent="0.3"/>
    <row r="1005" ht="14.4" customHeight="1" x14ac:dyDescent="0.3"/>
    <row r="1006" ht="14.4" customHeight="1" x14ac:dyDescent="0.3"/>
    <row r="1007" ht="14.4" customHeight="1" x14ac:dyDescent="0.3"/>
    <row r="1008" ht="14.4" customHeight="1" x14ac:dyDescent="0.3"/>
    <row r="1009" ht="14.4" customHeight="1" x14ac:dyDescent="0.3"/>
    <row r="1010" ht="14.4" customHeight="1" x14ac:dyDescent="0.3"/>
    <row r="1011" ht="14.4" customHeight="1" x14ac:dyDescent="0.3"/>
    <row r="1012" ht="14.4" customHeight="1" x14ac:dyDescent="0.3"/>
    <row r="1013" ht="14.4" customHeight="1" x14ac:dyDescent="0.3"/>
    <row r="1014" ht="14.4" customHeight="1" x14ac:dyDescent="0.3"/>
    <row r="1015" ht="14.4" customHeight="1" x14ac:dyDescent="0.3"/>
    <row r="1016" ht="14.4" customHeight="1" x14ac:dyDescent="0.3"/>
    <row r="1017" ht="14.4" customHeight="1" x14ac:dyDescent="0.3"/>
    <row r="1018" ht="14.4" customHeight="1" x14ac:dyDescent="0.3"/>
    <row r="1019" ht="14.4" customHeight="1" x14ac:dyDescent="0.3"/>
    <row r="1020" ht="14.4" customHeight="1" x14ac:dyDescent="0.3"/>
    <row r="1021" ht="14.4" customHeight="1" x14ac:dyDescent="0.3"/>
    <row r="1022" ht="14.4" customHeight="1" x14ac:dyDescent="0.3"/>
    <row r="1023" ht="14.4" customHeight="1" x14ac:dyDescent="0.3"/>
    <row r="1024" ht="14.4" customHeight="1" x14ac:dyDescent="0.3"/>
    <row r="1025" ht="14.4" customHeight="1" x14ac:dyDescent="0.3"/>
    <row r="1026" ht="14.4" customHeight="1" x14ac:dyDescent="0.3"/>
    <row r="1027" ht="14.4" customHeight="1" x14ac:dyDescent="0.3"/>
    <row r="1028" ht="14.4" customHeight="1" x14ac:dyDescent="0.3"/>
    <row r="1029" ht="14.4" customHeight="1" x14ac:dyDescent="0.3"/>
    <row r="1030" ht="14.4" customHeight="1" x14ac:dyDescent="0.3"/>
    <row r="1031" ht="14.4" customHeight="1" x14ac:dyDescent="0.3"/>
    <row r="1032" ht="14.4" customHeight="1" x14ac:dyDescent="0.3"/>
    <row r="1033" ht="14.4" customHeight="1" x14ac:dyDescent="0.3"/>
    <row r="1034" ht="14.4" customHeight="1" x14ac:dyDescent="0.3"/>
    <row r="1035" ht="14.4" customHeight="1" x14ac:dyDescent="0.3"/>
    <row r="1036" ht="14.4" customHeight="1" x14ac:dyDescent="0.3"/>
    <row r="1037" ht="14.4" customHeight="1" x14ac:dyDescent="0.3"/>
    <row r="1038" ht="14.4" customHeight="1" x14ac:dyDescent="0.3"/>
    <row r="1039" ht="14.4" customHeight="1" x14ac:dyDescent="0.3"/>
    <row r="1040" ht="14.4" customHeight="1" x14ac:dyDescent="0.3"/>
    <row r="1041" ht="14.4" customHeight="1" x14ac:dyDescent="0.3"/>
    <row r="1042" ht="14.4" customHeight="1" x14ac:dyDescent="0.3"/>
    <row r="1043" ht="14.4" customHeight="1" x14ac:dyDescent="0.3"/>
    <row r="1044" ht="14.4" customHeight="1" x14ac:dyDescent="0.3"/>
    <row r="1045" ht="14.4" customHeight="1" x14ac:dyDescent="0.3"/>
    <row r="1046" ht="14.4" customHeight="1" x14ac:dyDescent="0.3"/>
    <row r="1047" ht="14.4" customHeight="1" x14ac:dyDescent="0.3"/>
    <row r="1048" ht="14.4" customHeight="1" x14ac:dyDescent="0.3"/>
    <row r="1049" ht="14.4" customHeight="1" x14ac:dyDescent="0.3"/>
    <row r="1050" ht="14.4" customHeight="1" x14ac:dyDescent="0.3"/>
    <row r="1051" ht="14.4" customHeight="1" x14ac:dyDescent="0.3"/>
    <row r="1052" ht="14.4" customHeight="1" x14ac:dyDescent="0.3"/>
    <row r="1053" ht="14.4" customHeight="1" x14ac:dyDescent="0.3"/>
    <row r="1054" ht="14.4" customHeight="1" x14ac:dyDescent="0.3"/>
    <row r="1055" ht="14.4" customHeight="1" x14ac:dyDescent="0.3"/>
    <row r="1056" ht="14.4" customHeight="1" x14ac:dyDescent="0.3"/>
    <row r="1057" ht="14.4" customHeight="1" x14ac:dyDescent="0.3"/>
    <row r="1058" ht="14.4" customHeight="1" x14ac:dyDescent="0.3"/>
    <row r="1059" ht="14.4" customHeight="1" x14ac:dyDescent="0.3"/>
    <row r="1060" ht="14.4" customHeight="1" x14ac:dyDescent="0.3"/>
    <row r="1061" ht="14.4" customHeight="1" x14ac:dyDescent="0.3"/>
    <row r="1062" ht="14.4" customHeight="1" x14ac:dyDescent="0.3"/>
    <row r="1063" ht="14.4" customHeight="1" x14ac:dyDescent="0.3"/>
    <row r="1064" ht="14.4" customHeight="1" x14ac:dyDescent="0.3"/>
    <row r="1065" ht="14.4" customHeight="1" x14ac:dyDescent="0.3"/>
    <row r="1066" ht="14.4" customHeight="1" x14ac:dyDescent="0.3"/>
    <row r="1067" ht="14.4" customHeight="1" x14ac:dyDescent="0.3"/>
    <row r="1068" ht="14.4" customHeight="1" x14ac:dyDescent="0.3"/>
    <row r="1069" ht="14.4" customHeight="1" x14ac:dyDescent="0.3"/>
    <row r="1070" ht="14.4" customHeight="1" x14ac:dyDescent="0.3"/>
    <row r="1071" ht="14.4" customHeight="1" x14ac:dyDescent="0.3"/>
    <row r="1072" ht="14.4" customHeight="1" x14ac:dyDescent="0.3"/>
    <row r="1073" ht="14.4" customHeight="1" x14ac:dyDescent="0.3"/>
    <row r="1074" ht="14.4" customHeight="1" x14ac:dyDescent="0.3"/>
    <row r="1075" ht="14.4" customHeight="1" x14ac:dyDescent="0.3"/>
    <row r="1076" ht="14.4" customHeight="1" x14ac:dyDescent="0.3"/>
    <row r="1077" ht="14.4" customHeight="1" x14ac:dyDescent="0.3"/>
    <row r="1078" ht="14.4" customHeight="1" x14ac:dyDescent="0.3"/>
    <row r="1079" ht="14.4" customHeight="1" x14ac:dyDescent="0.3"/>
    <row r="1080" ht="14.4" customHeight="1" x14ac:dyDescent="0.3"/>
    <row r="1081" ht="14.4" customHeight="1" x14ac:dyDescent="0.3"/>
    <row r="1082" ht="14.4" customHeight="1" x14ac:dyDescent="0.3"/>
    <row r="1083" ht="14.4" customHeight="1" x14ac:dyDescent="0.3"/>
    <row r="1084" ht="14.4" customHeight="1" x14ac:dyDescent="0.3"/>
    <row r="1085" ht="14.4" customHeight="1" x14ac:dyDescent="0.3"/>
    <row r="1086" ht="14.4" customHeight="1" x14ac:dyDescent="0.3"/>
    <row r="1087" ht="14.4" customHeight="1" x14ac:dyDescent="0.3"/>
    <row r="1088" ht="14.4" customHeight="1" x14ac:dyDescent="0.3"/>
    <row r="1089" ht="14.4" customHeight="1" x14ac:dyDescent="0.3"/>
    <row r="1090" ht="14.4" customHeight="1" x14ac:dyDescent="0.3"/>
    <row r="1091" ht="14.4" customHeight="1" x14ac:dyDescent="0.3"/>
    <row r="1092" ht="14.4" customHeight="1" x14ac:dyDescent="0.3"/>
    <row r="1093" ht="14.4" customHeight="1" x14ac:dyDescent="0.3"/>
    <row r="1094" ht="14.4" customHeight="1" x14ac:dyDescent="0.3"/>
    <row r="1095" ht="14.4" customHeight="1" x14ac:dyDescent="0.3"/>
    <row r="1096" ht="14.4" customHeight="1" x14ac:dyDescent="0.3"/>
    <row r="1097" ht="14.4" customHeight="1" x14ac:dyDescent="0.3"/>
    <row r="1098" ht="14.4" customHeight="1" x14ac:dyDescent="0.3"/>
    <row r="1099" ht="14.4" customHeight="1" x14ac:dyDescent="0.3"/>
    <row r="1100" ht="14.4" customHeight="1" x14ac:dyDescent="0.3"/>
    <row r="1101" ht="14.4" customHeight="1" x14ac:dyDescent="0.3"/>
    <row r="1102" ht="14.4" customHeight="1" x14ac:dyDescent="0.3"/>
    <row r="1103" ht="14.4" customHeight="1" x14ac:dyDescent="0.3"/>
    <row r="1104" ht="14.4" customHeight="1" x14ac:dyDescent="0.3"/>
    <row r="1105" ht="14.4" customHeight="1" x14ac:dyDescent="0.3"/>
    <row r="1106" ht="14.4" customHeight="1" x14ac:dyDescent="0.3"/>
    <row r="1107" ht="14.4" customHeight="1" x14ac:dyDescent="0.3"/>
    <row r="1108" ht="14.4" customHeight="1" x14ac:dyDescent="0.3"/>
    <row r="1109" ht="14.4" customHeight="1" x14ac:dyDescent="0.3"/>
    <row r="1110" ht="14.4" customHeight="1" x14ac:dyDescent="0.3"/>
    <row r="1111" ht="14.4" customHeight="1" x14ac:dyDescent="0.3"/>
    <row r="1112" ht="14.4" customHeight="1" x14ac:dyDescent="0.3"/>
    <row r="1113" ht="14.4" customHeight="1" x14ac:dyDescent="0.3"/>
    <row r="1114" ht="14.4" customHeight="1" x14ac:dyDescent="0.3"/>
    <row r="1115" ht="14.4" customHeight="1" x14ac:dyDescent="0.3"/>
    <row r="1116" ht="14.4" customHeight="1" x14ac:dyDescent="0.3"/>
    <row r="1117" ht="14.4" customHeight="1" x14ac:dyDescent="0.3"/>
    <row r="1118" ht="14.4" customHeight="1" x14ac:dyDescent="0.3"/>
    <row r="1119" ht="14.4" customHeight="1" x14ac:dyDescent="0.3"/>
    <row r="1120" ht="14.4" customHeight="1" x14ac:dyDescent="0.3"/>
    <row r="1121" ht="14.4" customHeight="1" x14ac:dyDescent="0.3"/>
    <row r="1122" ht="14.4" customHeight="1" x14ac:dyDescent="0.3"/>
    <row r="1123" ht="14.4" customHeight="1" x14ac:dyDescent="0.3"/>
    <row r="1124" ht="14.4" customHeight="1" x14ac:dyDescent="0.3"/>
    <row r="1125" ht="14.4" customHeight="1" x14ac:dyDescent="0.3"/>
    <row r="1126" ht="14.4" customHeight="1" x14ac:dyDescent="0.3"/>
    <row r="1127" ht="14.4" customHeight="1" x14ac:dyDescent="0.3"/>
    <row r="1128" ht="14.4" customHeight="1" x14ac:dyDescent="0.3"/>
    <row r="1129" ht="14.4" customHeight="1" x14ac:dyDescent="0.3"/>
    <row r="1130" ht="14.4" customHeight="1" x14ac:dyDescent="0.3"/>
    <row r="1131" ht="14.4" customHeight="1" x14ac:dyDescent="0.3"/>
    <row r="1132" ht="14.4" customHeight="1" x14ac:dyDescent="0.3"/>
    <row r="1133" ht="14.4" customHeight="1" x14ac:dyDescent="0.3"/>
    <row r="1134" ht="14.4" customHeight="1" x14ac:dyDescent="0.3"/>
    <row r="1135" ht="14.4" customHeight="1" x14ac:dyDescent="0.3"/>
    <row r="1136" ht="14.4" customHeight="1" x14ac:dyDescent="0.3"/>
    <row r="1137" ht="14.4" customHeight="1" x14ac:dyDescent="0.3"/>
    <row r="1138" ht="14.4" customHeight="1" x14ac:dyDescent="0.3"/>
    <row r="1139" ht="14.4" customHeight="1" x14ac:dyDescent="0.3"/>
    <row r="1140" ht="14.4" customHeight="1" x14ac:dyDescent="0.3"/>
    <row r="1141" ht="14.4" customHeight="1" x14ac:dyDescent="0.3"/>
    <row r="1142" ht="14.4" customHeight="1" x14ac:dyDescent="0.3"/>
    <row r="1143" ht="14.4" customHeight="1" x14ac:dyDescent="0.3"/>
    <row r="1144" ht="14.4" customHeight="1" x14ac:dyDescent="0.3"/>
    <row r="1145" ht="14.4" customHeight="1" x14ac:dyDescent="0.3"/>
    <row r="1146" ht="14.4" customHeight="1" x14ac:dyDescent="0.3"/>
    <row r="1147" ht="14.4" customHeight="1" x14ac:dyDescent="0.3"/>
    <row r="1148" ht="14.4" customHeight="1" x14ac:dyDescent="0.3"/>
    <row r="1149" ht="14.4" customHeight="1" x14ac:dyDescent="0.3"/>
    <row r="1150" ht="14.4" customHeight="1" x14ac:dyDescent="0.3"/>
    <row r="1151" ht="14.4" customHeight="1" x14ac:dyDescent="0.3"/>
    <row r="1152" ht="14.4" customHeight="1" x14ac:dyDescent="0.3"/>
    <row r="1153" ht="14.4" customHeight="1" x14ac:dyDescent="0.3"/>
    <row r="1154" ht="14.4" customHeight="1" x14ac:dyDescent="0.3"/>
    <row r="1155" ht="14.4" customHeight="1" x14ac:dyDescent="0.3"/>
    <row r="1156" ht="14.4" customHeight="1" x14ac:dyDescent="0.3"/>
    <row r="1157" ht="14.4" customHeight="1" x14ac:dyDescent="0.3"/>
    <row r="1158" ht="14.4" customHeight="1" x14ac:dyDescent="0.3"/>
    <row r="1159" ht="14.4" customHeight="1" x14ac:dyDescent="0.3"/>
    <row r="1160" ht="14.4" customHeight="1" x14ac:dyDescent="0.3"/>
    <row r="1161" ht="14.4" customHeight="1" x14ac:dyDescent="0.3"/>
    <row r="1162" ht="14.4" customHeight="1" x14ac:dyDescent="0.3"/>
    <row r="1163" ht="14.4" customHeight="1" x14ac:dyDescent="0.3"/>
    <row r="1164" ht="14.4" customHeight="1" x14ac:dyDescent="0.3"/>
    <row r="1165" ht="14.4" customHeight="1" x14ac:dyDescent="0.3"/>
    <row r="1166" ht="14.4" customHeight="1" x14ac:dyDescent="0.3"/>
    <row r="1167" ht="14.4" customHeight="1" x14ac:dyDescent="0.3"/>
    <row r="1168" ht="14.4" customHeight="1" x14ac:dyDescent="0.3"/>
    <row r="1169" ht="14.4" customHeight="1" x14ac:dyDescent="0.3"/>
    <row r="1170" ht="14.4" customHeight="1" x14ac:dyDescent="0.3"/>
    <row r="1171" ht="14.4" customHeight="1" x14ac:dyDescent="0.3"/>
    <row r="1172" ht="14.4" customHeight="1" x14ac:dyDescent="0.3"/>
    <row r="1173" ht="14.4" customHeight="1" x14ac:dyDescent="0.3"/>
    <row r="1174" ht="14.4" customHeight="1" x14ac:dyDescent="0.3"/>
    <row r="1175" ht="14.4" customHeight="1" x14ac:dyDescent="0.3"/>
    <row r="1176" ht="14.4" customHeight="1" x14ac:dyDescent="0.3"/>
    <row r="1177" ht="14.4" customHeight="1" x14ac:dyDescent="0.3"/>
    <row r="1178" ht="14.4" customHeight="1" x14ac:dyDescent="0.3"/>
    <row r="1179" ht="14.4" customHeight="1" x14ac:dyDescent="0.3"/>
    <row r="1180" ht="14.4" customHeight="1" x14ac:dyDescent="0.3"/>
    <row r="1181" ht="14.4" customHeight="1" x14ac:dyDescent="0.3"/>
    <row r="1182" ht="14.4" customHeight="1" x14ac:dyDescent="0.3"/>
    <row r="1183" ht="14.4" customHeight="1" x14ac:dyDescent="0.3"/>
    <row r="1184" ht="14.4" customHeight="1" x14ac:dyDescent="0.3"/>
    <row r="1185" ht="14.4" customHeight="1" x14ac:dyDescent="0.3"/>
    <row r="1186" ht="14.4" customHeight="1" x14ac:dyDescent="0.3"/>
    <row r="1187" ht="14.4" customHeight="1" x14ac:dyDescent="0.3"/>
    <row r="1188" ht="14.4" customHeight="1" x14ac:dyDescent="0.3"/>
    <row r="1189" ht="14.4" customHeight="1" x14ac:dyDescent="0.3"/>
    <row r="1190" ht="14.4" customHeight="1" x14ac:dyDescent="0.3"/>
    <row r="1191" ht="14.4" customHeight="1" x14ac:dyDescent="0.3"/>
    <row r="1192" ht="14.4" customHeight="1" x14ac:dyDescent="0.3"/>
    <row r="1193" ht="14.4" customHeight="1" x14ac:dyDescent="0.3"/>
    <row r="1194" ht="14.4" customHeight="1" x14ac:dyDescent="0.3"/>
    <row r="1195" ht="14.4" customHeight="1" x14ac:dyDescent="0.3"/>
    <row r="1196" ht="14.4" customHeight="1" x14ac:dyDescent="0.3"/>
    <row r="1197" ht="14.4" customHeight="1" x14ac:dyDescent="0.3"/>
    <row r="1198" ht="14.4" customHeight="1" x14ac:dyDescent="0.3"/>
    <row r="1199" ht="14.4" customHeight="1" x14ac:dyDescent="0.3"/>
    <row r="1200" ht="14.4" customHeight="1" x14ac:dyDescent="0.3"/>
    <row r="1201" ht="14.4" customHeight="1" x14ac:dyDescent="0.3"/>
    <row r="1202" ht="14.4" customHeight="1" x14ac:dyDescent="0.3"/>
    <row r="1203" ht="14.4" customHeight="1" x14ac:dyDescent="0.3"/>
    <row r="1204" ht="14.4" customHeight="1" x14ac:dyDescent="0.3"/>
    <row r="1205" ht="14.4" customHeight="1" x14ac:dyDescent="0.3"/>
    <row r="1206" ht="14.4" customHeight="1" x14ac:dyDescent="0.3"/>
    <row r="1207" ht="14.4" customHeight="1" x14ac:dyDescent="0.3"/>
    <row r="1208" ht="14.4" customHeight="1" x14ac:dyDescent="0.3"/>
    <row r="1209" ht="14.4" customHeight="1" x14ac:dyDescent="0.3"/>
    <row r="1210" ht="14.4" customHeight="1" x14ac:dyDescent="0.3"/>
    <row r="1211" ht="14.4" customHeight="1" x14ac:dyDescent="0.3"/>
    <row r="1212" ht="14.4" customHeight="1" x14ac:dyDescent="0.3"/>
    <row r="1213" ht="14.4" customHeight="1" x14ac:dyDescent="0.3"/>
    <row r="1214" ht="14.4" customHeight="1" x14ac:dyDescent="0.3"/>
    <row r="1215" ht="14.4" customHeight="1" x14ac:dyDescent="0.3"/>
    <row r="1216" ht="14.4" customHeight="1" x14ac:dyDescent="0.3"/>
    <row r="1217" ht="14.4" customHeight="1" x14ac:dyDescent="0.3"/>
    <row r="1218" ht="14.4" customHeight="1" x14ac:dyDescent="0.3"/>
    <row r="1219" ht="14.4" customHeight="1" x14ac:dyDescent="0.3"/>
    <row r="1220" ht="14.4" customHeight="1" x14ac:dyDescent="0.3"/>
    <row r="1221" ht="14.4" customHeight="1" x14ac:dyDescent="0.3"/>
    <row r="1222" ht="14.4" customHeight="1" x14ac:dyDescent="0.3"/>
    <row r="1223" ht="14.4" customHeight="1" x14ac:dyDescent="0.3"/>
    <row r="1224" ht="14.4" customHeight="1" x14ac:dyDescent="0.3"/>
    <row r="1225" ht="14.4" customHeight="1" x14ac:dyDescent="0.3"/>
    <row r="1226" ht="14.4" customHeight="1" x14ac:dyDescent="0.3"/>
    <row r="1227" ht="14.4" customHeight="1" x14ac:dyDescent="0.3"/>
    <row r="1228" ht="14.4" customHeight="1" x14ac:dyDescent="0.3"/>
    <row r="1229" ht="14.4" customHeight="1" x14ac:dyDescent="0.3"/>
    <row r="1230" ht="14.4" customHeight="1" x14ac:dyDescent="0.3"/>
    <row r="1231" ht="14.4" customHeight="1" x14ac:dyDescent="0.3"/>
    <row r="1232" ht="14.4" customHeight="1" x14ac:dyDescent="0.3"/>
    <row r="1233" ht="14.4" customHeight="1" x14ac:dyDescent="0.3"/>
    <row r="1234" ht="14.4" customHeight="1" x14ac:dyDescent="0.3"/>
    <row r="1235" ht="14.4" customHeight="1" x14ac:dyDescent="0.3"/>
    <row r="1236" ht="14.4" customHeight="1" x14ac:dyDescent="0.3"/>
    <row r="1237" ht="14.4" customHeight="1" x14ac:dyDescent="0.3"/>
    <row r="1238" ht="14.4" customHeight="1" x14ac:dyDescent="0.3"/>
    <row r="1239" ht="14.4" customHeight="1" x14ac:dyDescent="0.3"/>
    <row r="1240" ht="14.4" customHeight="1" x14ac:dyDescent="0.3"/>
    <row r="1241" ht="14.4" customHeight="1" x14ac:dyDescent="0.3"/>
    <row r="1242" ht="14.4" customHeight="1" x14ac:dyDescent="0.3"/>
    <row r="1243" ht="14.4" customHeight="1" x14ac:dyDescent="0.3"/>
    <row r="1244" ht="14.4" customHeight="1" x14ac:dyDescent="0.3"/>
    <row r="1245" ht="14.4" customHeight="1" x14ac:dyDescent="0.3"/>
    <row r="1246" ht="14.4" customHeight="1" x14ac:dyDescent="0.3"/>
    <row r="1247" ht="14.4" customHeight="1" x14ac:dyDescent="0.3"/>
    <row r="1248" ht="14.4" customHeight="1" x14ac:dyDescent="0.3"/>
    <row r="1249" ht="14.4" customHeight="1" x14ac:dyDescent="0.3"/>
    <row r="1250" ht="14.4" customHeight="1" x14ac:dyDescent="0.3"/>
    <row r="1251" ht="14.4" customHeight="1" x14ac:dyDescent="0.3"/>
    <row r="1252" ht="14.4" customHeight="1" x14ac:dyDescent="0.3"/>
    <row r="1253" ht="14.4" customHeight="1" x14ac:dyDescent="0.3"/>
    <row r="1254" ht="14.4" customHeight="1" x14ac:dyDescent="0.3"/>
    <row r="1255" ht="14.4" customHeight="1" x14ac:dyDescent="0.3"/>
    <row r="1256" ht="14.4" customHeight="1" x14ac:dyDescent="0.3"/>
    <row r="1257" ht="14.4" customHeight="1" x14ac:dyDescent="0.3"/>
    <row r="1258" ht="14.4" customHeight="1" x14ac:dyDescent="0.3"/>
    <row r="1259" ht="14.4" customHeight="1" x14ac:dyDescent="0.3"/>
    <row r="1260" ht="14.4" customHeight="1" x14ac:dyDescent="0.3"/>
    <row r="1261" ht="14.4" customHeight="1" x14ac:dyDescent="0.3"/>
    <row r="1262" ht="14.4" customHeight="1" x14ac:dyDescent="0.3"/>
    <row r="1263" ht="14.4" customHeight="1" x14ac:dyDescent="0.3"/>
    <row r="1264" ht="14.4" customHeight="1" x14ac:dyDescent="0.3"/>
    <row r="1265" ht="14.4" customHeight="1" x14ac:dyDescent="0.3"/>
    <row r="1266" ht="14.4" customHeight="1" x14ac:dyDescent="0.3"/>
    <row r="1267" ht="14.4" customHeight="1" x14ac:dyDescent="0.3"/>
    <row r="1268" ht="14.4" customHeight="1" x14ac:dyDescent="0.3"/>
    <row r="1269" ht="14.4" customHeight="1" x14ac:dyDescent="0.3"/>
    <row r="1270" ht="14.4" customHeight="1" x14ac:dyDescent="0.3"/>
    <row r="1271" ht="14.4" customHeight="1" x14ac:dyDescent="0.3"/>
    <row r="1272" ht="14.4" customHeight="1" x14ac:dyDescent="0.3"/>
    <row r="1273" ht="14.4" customHeight="1" x14ac:dyDescent="0.3"/>
    <row r="1274" ht="14.4" customHeight="1" x14ac:dyDescent="0.3"/>
    <row r="1275" ht="14.4" customHeight="1" x14ac:dyDescent="0.3"/>
    <row r="1276" ht="14.4" customHeight="1" x14ac:dyDescent="0.3"/>
    <row r="1277" ht="14.4" customHeight="1" x14ac:dyDescent="0.3"/>
    <row r="1278" ht="14.4" customHeight="1" x14ac:dyDescent="0.3"/>
    <row r="1279" ht="14.4" customHeight="1" x14ac:dyDescent="0.3"/>
    <row r="1280" ht="14.4" customHeight="1" x14ac:dyDescent="0.3"/>
    <row r="1281" ht="14.4" customHeight="1" x14ac:dyDescent="0.3"/>
    <row r="1282" ht="14.4" customHeight="1" x14ac:dyDescent="0.3"/>
    <row r="1283" ht="14.4" customHeight="1" x14ac:dyDescent="0.3"/>
    <row r="1284" ht="14.4" customHeight="1" x14ac:dyDescent="0.3"/>
    <row r="1285" ht="14.4" customHeight="1" x14ac:dyDescent="0.3"/>
    <row r="1286" ht="14.4" customHeight="1" x14ac:dyDescent="0.3"/>
    <row r="1287" ht="14.4" customHeight="1" x14ac:dyDescent="0.3"/>
    <row r="1288" ht="14.4" customHeight="1" x14ac:dyDescent="0.3"/>
    <row r="1289" ht="14.4" customHeight="1" x14ac:dyDescent="0.3"/>
    <row r="1290" ht="14.4" customHeight="1" x14ac:dyDescent="0.3"/>
    <row r="1291" ht="14.4" customHeight="1" x14ac:dyDescent="0.3"/>
    <row r="1292" ht="14.4" customHeight="1" x14ac:dyDescent="0.3"/>
    <row r="1293" ht="14.4" customHeight="1" x14ac:dyDescent="0.3"/>
    <row r="1294" ht="14.4" customHeight="1" x14ac:dyDescent="0.3"/>
    <row r="1295" ht="14.4" customHeight="1" x14ac:dyDescent="0.3"/>
    <row r="1296" ht="14.4" customHeight="1" x14ac:dyDescent="0.3"/>
    <row r="1297" ht="14.4" customHeight="1" x14ac:dyDescent="0.3"/>
    <row r="1298" ht="14.4" customHeight="1" x14ac:dyDescent="0.3"/>
    <row r="1299" ht="14.4" customHeight="1" x14ac:dyDescent="0.3"/>
    <row r="1300" ht="14.4" customHeight="1" x14ac:dyDescent="0.3"/>
    <row r="1301" ht="14.4" customHeight="1" x14ac:dyDescent="0.3"/>
    <row r="1302" ht="14.4" customHeight="1" x14ac:dyDescent="0.3"/>
    <row r="1303" ht="14.4" customHeight="1" x14ac:dyDescent="0.3"/>
    <row r="1304" ht="14.4" customHeight="1" x14ac:dyDescent="0.3"/>
    <row r="1305" ht="14.4" customHeight="1" x14ac:dyDescent="0.3"/>
    <row r="1306" ht="14.4" customHeight="1" x14ac:dyDescent="0.3"/>
    <row r="1307" ht="14.4" customHeight="1" x14ac:dyDescent="0.3"/>
    <row r="1308" ht="14.4" customHeight="1" x14ac:dyDescent="0.3"/>
    <row r="1309" ht="14.4" customHeight="1" x14ac:dyDescent="0.3"/>
    <row r="1310" ht="14.4" customHeight="1" x14ac:dyDescent="0.3"/>
    <row r="1311" ht="14.4" customHeight="1" x14ac:dyDescent="0.3"/>
    <row r="1312" ht="14.4" customHeight="1" x14ac:dyDescent="0.3"/>
    <row r="1313" ht="14.4" customHeight="1" x14ac:dyDescent="0.3"/>
    <row r="1314" ht="14.4" customHeight="1" x14ac:dyDescent="0.3"/>
    <row r="1315" ht="14.4" customHeight="1" x14ac:dyDescent="0.3"/>
    <row r="1316" ht="14.4" customHeight="1" x14ac:dyDescent="0.3"/>
    <row r="1317" ht="14.4" customHeight="1" x14ac:dyDescent="0.3"/>
    <row r="1318" ht="14.4" customHeight="1" x14ac:dyDescent="0.3"/>
    <row r="1319" ht="14.4" customHeight="1" x14ac:dyDescent="0.3"/>
    <row r="1320" ht="14.4" customHeight="1" x14ac:dyDescent="0.3"/>
    <row r="1321" ht="14.4" customHeight="1" x14ac:dyDescent="0.3"/>
    <row r="1322" ht="14.4" customHeight="1" x14ac:dyDescent="0.3"/>
    <row r="1323" ht="14.4" customHeight="1" x14ac:dyDescent="0.3"/>
    <row r="1324" ht="14.4" customHeight="1" x14ac:dyDescent="0.3"/>
    <row r="1325" ht="14.4" customHeight="1" x14ac:dyDescent="0.3"/>
    <row r="1326" ht="14.4" customHeight="1" x14ac:dyDescent="0.3"/>
    <row r="1327" ht="14.4" customHeight="1" x14ac:dyDescent="0.3"/>
    <row r="1328" ht="14.4" customHeight="1" x14ac:dyDescent="0.3"/>
    <row r="1329" ht="14.4" customHeight="1" x14ac:dyDescent="0.3"/>
    <row r="1330" ht="14.4" customHeight="1" x14ac:dyDescent="0.3"/>
    <row r="1331" ht="14.4" customHeight="1" x14ac:dyDescent="0.3"/>
    <row r="1332" ht="14.4" customHeight="1" x14ac:dyDescent="0.3"/>
    <row r="1333" ht="14.4" customHeight="1" x14ac:dyDescent="0.3"/>
    <row r="1334" ht="14.4" customHeight="1" x14ac:dyDescent="0.3"/>
    <row r="1335" ht="14.4" customHeight="1" x14ac:dyDescent="0.3"/>
    <row r="1336" ht="14.4" customHeight="1" x14ac:dyDescent="0.3"/>
    <row r="1337" ht="14.4" customHeight="1" x14ac:dyDescent="0.3"/>
    <row r="1338" ht="14.4" customHeight="1" x14ac:dyDescent="0.3"/>
    <row r="1339" ht="14.4" customHeight="1" x14ac:dyDescent="0.3"/>
    <row r="1340" ht="14.4" customHeight="1" x14ac:dyDescent="0.3"/>
    <row r="1341" ht="14.4" customHeight="1" x14ac:dyDescent="0.3"/>
    <row r="1342" ht="14.4" customHeight="1" x14ac:dyDescent="0.3"/>
    <row r="1343" ht="14.4" customHeight="1" x14ac:dyDescent="0.3"/>
    <row r="1344" ht="14.4" customHeight="1" x14ac:dyDescent="0.3"/>
    <row r="1345" ht="14.4" customHeight="1" x14ac:dyDescent="0.3"/>
    <row r="1346" ht="14.4" customHeight="1" x14ac:dyDescent="0.3"/>
    <row r="1347" ht="14.4" customHeight="1" x14ac:dyDescent="0.3"/>
    <row r="1348" ht="14.4" customHeight="1" x14ac:dyDescent="0.3"/>
    <row r="1349" ht="14.4" customHeight="1" x14ac:dyDescent="0.3"/>
    <row r="1350" ht="14.4" customHeight="1" x14ac:dyDescent="0.3"/>
    <row r="1351" ht="14.4" customHeight="1" x14ac:dyDescent="0.3"/>
    <row r="1352" ht="14.4" customHeight="1" x14ac:dyDescent="0.3"/>
    <row r="1353" ht="14.4" customHeight="1" x14ac:dyDescent="0.3"/>
    <row r="1354" ht="14.4" customHeight="1" x14ac:dyDescent="0.3"/>
    <row r="1355" ht="14.4" customHeight="1" x14ac:dyDescent="0.3"/>
    <row r="1356" ht="14.4" customHeight="1" x14ac:dyDescent="0.3"/>
    <row r="1357" ht="14.4" customHeight="1" x14ac:dyDescent="0.3"/>
    <row r="1358" ht="14.4" customHeight="1" x14ac:dyDescent="0.3"/>
    <row r="1359" ht="14.4" customHeight="1" x14ac:dyDescent="0.3"/>
    <row r="1360" ht="14.4" customHeight="1" x14ac:dyDescent="0.3"/>
    <row r="1361" ht="14.4" customHeight="1" x14ac:dyDescent="0.3"/>
    <row r="1362" ht="14.4" customHeight="1" x14ac:dyDescent="0.3"/>
    <row r="1363" ht="14.4" customHeight="1" x14ac:dyDescent="0.3"/>
    <row r="1364" ht="14.4" customHeight="1" x14ac:dyDescent="0.3"/>
    <row r="1365" ht="14.4" customHeight="1" x14ac:dyDescent="0.3"/>
    <row r="1366" ht="14.4" customHeight="1" x14ac:dyDescent="0.3"/>
    <row r="1367" ht="14.4" customHeight="1" x14ac:dyDescent="0.3"/>
    <row r="1368" ht="14.4" customHeight="1" x14ac:dyDescent="0.3"/>
    <row r="1369" ht="14.4" customHeight="1" x14ac:dyDescent="0.3"/>
    <row r="1370" ht="14.4" customHeight="1" x14ac:dyDescent="0.3"/>
    <row r="1371" ht="14.4" customHeight="1" x14ac:dyDescent="0.3"/>
    <row r="1372" ht="14.4" customHeight="1" x14ac:dyDescent="0.3"/>
    <row r="1373" ht="14.4" customHeight="1" x14ac:dyDescent="0.3"/>
    <row r="1374" ht="14.4" customHeight="1" x14ac:dyDescent="0.3"/>
    <row r="1375" ht="14.4" customHeight="1" x14ac:dyDescent="0.3"/>
    <row r="1376" ht="14.4" customHeight="1" x14ac:dyDescent="0.3"/>
    <row r="1377" ht="14.4" customHeight="1" x14ac:dyDescent="0.3"/>
    <row r="1378" ht="14.4" customHeight="1" x14ac:dyDescent="0.3"/>
    <row r="1379" ht="14.4" customHeight="1" x14ac:dyDescent="0.3"/>
    <row r="1380" ht="14.4" customHeight="1" x14ac:dyDescent="0.3"/>
    <row r="1381" ht="14.4" customHeight="1" x14ac:dyDescent="0.3"/>
    <row r="1382" ht="14.4" customHeight="1" x14ac:dyDescent="0.3"/>
    <row r="1383" ht="14.4" customHeight="1" x14ac:dyDescent="0.3"/>
    <row r="1384" ht="14.4" customHeight="1" x14ac:dyDescent="0.3"/>
    <row r="1385" ht="14.4" customHeight="1" x14ac:dyDescent="0.3"/>
    <row r="1386" ht="14.4" customHeight="1" x14ac:dyDescent="0.3"/>
    <row r="1387" ht="14.4" customHeight="1" x14ac:dyDescent="0.3"/>
    <row r="1388" ht="14.4" customHeight="1" x14ac:dyDescent="0.3"/>
    <row r="1389" ht="14.4" customHeight="1" x14ac:dyDescent="0.3"/>
    <row r="1390" ht="14.4" customHeight="1" x14ac:dyDescent="0.3"/>
    <row r="1391" ht="14.4" customHeight="1" x14ac:dyDescent="0.3"/>
    <row r="1392" ht="14.4" customHeight="1" x14ac:dyDescent="0.3"/>
    <row r="1393" ht="14.4" customHeight="1" x14ac:dyDescent="0.3"/>
    <row r="1394" ht="14.4" customHeight="1" x14ac:dyDescent="0.3"/>
    <row r="1395" ht="14.4" customHeight="1" x14ac:dyDescent="0.3"/>
    <row r="1396" ht="14.4" customHeight="1" x14ac:dyDescent="0.3"/>
    <row r="1397" ht="14.4" customHeight="1" x14ac:dyDescent="0.3"/>
    <row r="1398" ht="14.4" customHeight="1" x14ac:dyDescent="0.3"/>
    <row r="1399" ht="14.4" customHeight="1" x14ac:dyDescent="0.3"/>
    <row r="1400" ht="14.4" customHeight="1" x14ac:dyDescent="0.3"/>
    <row r="1401" ht="14.4" customHeight="1" x14ac:dyDescent="0.3"/>
    <row r="1402" ht="14.4" customHeight="1" x14ac:dyDescent="0.3"/>
    <row r="1403" ht="14.4" customHeight="1" x14ac:dyDescent="0.3"/>
    <row r="1404" ht="14.4" customHeight="1" x14ac:dyDescent="0.3"/>
    <row r="1405" ht="14.4" customHeight="1" x14ac:dyDescent="0.3"/>
    <row r="1406" ht="14.4" customHeight="1" x14ac:dyDescent="0.3"/>
    <row r="1407" ht="14.4" customHeight="1" x14ac:dyDescent="0.3"/>
    <row r="1408" ht="14.4" customHeight="1" x14ac:dyDescent="0.3"/>
    <row r="1409" ht="14.4" customHeight="1" x14ac:dyDescent="0.3"/>
    <row r="1410" ht="14.4" customHeight="1" x14ac:dyDescent="0.3"/>
    <row r="1411" ht="14.4" customHeight="1" x14ac:dyDescent="0.3"/>
    <row r="1412" ht="14.4" customHeight="1" x14ac:dyDescent="0.3"/>
    <row r="1413" ht="14.4" customHeight="1" x14ac:dyDescent="0.3"/>
    <row r="1414" ht="14.4" customHeight="1" x14ac:dyDescent="0.3"/>
    <row r="1415" ht="14.4" customHeight="1" x14ac:dyDescent="0.3"/>
    <row r="1416" ht="14.4" customHeight="1" x14ac:dyDescent="0.3"/>
    <row r="1417" ht="14.4" customHeight="1" x14ac:dyDescent="0.3"/>
    <row r="1418" ht="14.4" customHeight="1" x14ac:dyDescent="0.3"/>
    <row r="1419" ht="14.4" customHeight="1" x14ac:dyDescent="0.3"/>
    <row r="1420" ht="14.4" customHeight="1" x14ac:dyDescent="0.3"/>
    <row r="1421" ht="14.4" customHeight="1" x14ac:dyDescent="0.3"/>
    <row r="1422" ht="14.4" customHeight="1" x14ac:dyDescent="0.3"/>
    <row r="1423" ht="14.4" customHeight="1" x14ac:dyDescent="0.3"/>
    <row r="1424" ht="14.4" customHeight="1" x14ac:dyDescent="0.3"/>
    <row r="1425" ht="14.4" customHeight="1" x14ac:dyDescent="0.3"/>
    <row r="1426" ht="14.4" customHeight="1" x14ac:dyDescent="0.3"/>
    <row r="1427" ht="14.4" customHeight="1" x14ac:dyDescent="0.3"/>
    <row r="1428" ht="14.4" customHeight="1" x14ac:dyDescent="0.3"/>
    <row r="1429" ht="14.4" customHeight="1" x14ac:dyDescent="0.3"/>
    <row r="1430" ht="14.4" customHeight="1" x14ac:dyDescent="0.3"/>
    <row r="1431" ht="14.4" customHeight="1" x14ac:dyDescent="0.3"/>
    <row r="1432" ht="14.4" customHeight="1" x14ac:dyDescent="0.3"/>
    <row r="1433" ht="14.4" customHeight="1" x14ac:dyDescent="0.3"/>
    <row r="1434" ht="14.4" customHeight="1" x14ac:dyDescent="0.3"/>
    <row r="1435" ht="14.4" customHeight="1" x14ac:dyDescent="0.3"/>
    <row r="1436" ht="14.4" customHeight="1" x14ac:dyDescent="0.3"/>
    <row r="1437" ht="14.4" customHeight="1" x14ac:dyDescent="0.3"/>
    <row r="1438" ht="14.4" customHeight="1" x14ac:dyDescent="0.3"/>
    <row r="1439" ht="14.4" customHeight="1" x14ac:dyDescent="0.3"/>
    <row r="1440" ht="14.4" customHeight="1" x14ac:dyDescent="0.3"/>
    <row r="1441" ht="14.4" customHeight="1" x14ac:dyDescent="0.3"/>
    <row r="1442" ht="14.4" customHeight="1" x14ac:dyDescent="0.3"/>
    <row r="1443" ht="14.4" customHeight="1" x14ac:dyDescent="0.3"/>
    <row r="1444" ht="14.4" customHeight="1" x14ac:dyDescent="0.3"/>
    <row r="1445" ht="14.4" customHeight="1" x14ac:dyDescent="0.3"/>
    <row r="1446" ht="14.4" customHeight="1" x14ac:dyDescent="0.3"/>
    <row r="1447" ht="14.4" customHeight="1" x14ac:dyDescent="0.3"/>
    <row r="1448" ht="14.4" customHeight="1" x14ac:dyDescent="0.3"/>
    <row r="1449" ht="14.4" customHeight="1" x14ac:dyDescent="0.3"/>
    <row r="1450" ht="14.4" customHeight="1" x14ac:dyDescent="0.3"/>
    <row r="1451" ht="14.4" customHeight="1" x14ac:dyDescent="0.3"/>
    <row r="1452" ht="14.4" customHeight="1" x14ac:dyDescent="0.3"/>
    <row r="1453" ht="14.4" customHeight="1" x14ac:dyDescent="0.3"/>
    <row r="1454" ht="14.4" customHeight="1" x14ac:dyDescent="0.3"/>
    <row r="1455" ht="14.4" customHeight="1" x14ac:dyDescent="0.3"/>
    <row r="1456" ht="14.4" customHeight="1" x14ac:dyDescent="0.3"/>
    <row r="1457" ht="14.4" customHeight="1" x14ac:dyDescent="0.3"/>
    <row r="1458" ht="14.4" customHeight="1" x14ac:dyDescent="0.3"/>
    <row r="1459" ht="14.4" customHeight="1" x14ac:dyDescent="0.3"/>
    <row r="1460" ht="14.4" customHeight="1" x14ac:dyDescent="0.3"/>
    <row r="1461" ht="14.4" customHeight="1" x14ac:dyDescent="0.3"/>
    <row r="1462" ht="14.4" customHeight="1" x14ac:dyDescent="0.3"/>
    <row r="1463" ht="14.4" customHeight="1" x14ac:dyDescent="0.3"/>
    <row r="1464" ht="14.4" customHeight="1" x14ac:dyDescent="0.3"/>
    <row r="1465" ht="14.4" customHeight="1" x14ac:dyDescent="0.3"/>
    <row r="1466" ht="14.4" customHeight="1" x14ac:dyDescent="0.3"/>
    <row r="1467" ht="14.4" customHeight="1" x14ac:dyDescent="0.3"/>
    <row r="1468" ht="14.4" customHeight="1" x14ac:dyDescent="0.3"/>
    <row r="1469" ht="14.4" customHeight="1" x14ac:dyDescent="0.3"/>
    <row r="1470" ht="14.4" customHeight="1" x14ac:dyDescent="0.3"/>
    <row r="1471" ht="14.4" customHeight="1" x14ac:dyDescent="0.3"/>
    <row r="1472" ht="14.4" customHeight="1" x14ac:dyDescent="0.3"/>
    <row r="1473" ht="14.4" customHeight="1" x14ac:dyDescent="0.3"/>
    <row r="1474" ht="14.4" customHeight="1" x14ac:dyDescent="0.3"/>
    <row r="1475" ht="14.4" customHeight="1" x14ac:dyDescent="0.3"/>
    <row r="1476" ht="14.4" customHeight="1" x14ac:dyDescent="0.3"/>
    <row r="1477" ht="14.4" customHeight="1" x14ac:dyDescent="0.3"/>
    <row r="1478" ht="14.4" customHeight="1" x14ac:dyDescent="0.3"/>
    <row r="1479" ht="14.4" customHeight="1" x14ac:dyDescent="0.3"/>
    <row r="1480" ht="14.4" customHeight="1" x14ac:dyDescent="0.3"/>
    <row r="1481" ht="14.4" customHeight="1" x14ac:dyDescent="0.3"/>
    <row r="1482" ht="14.4" customHeight="1" x14ac:dyDescent="0.3"/>
    <row r="1483" ht="14.4" customHeight="1" x14ac:dyDescent="0.3"/>
    <row r="1484" ht="14.4" customHeight="1" x14ac:dyDescent="0.3"/>
    <row r="1485" ht="14.4" customHeight="1" x14ac:dyDescent="0.3"/>
    <row r="1486" ht="14.4" customHeight="1" x14ac:dyDescent="0.3"/>
    <row r="1487" ht="14.4" customHeight="1" x14ac:dyDescent="0.3"/>
    <row r="1488" ht="14.4" customHeight="1" x14ac:dyDescent="0.3"/>
    <row r="1489" ht="14.4" customHeight="1" x14ac:dyDescent="0.3"/>
    <row r="1490" ht="14.4" customHeight="1" x14ac:dyDescent="0.3"/>
    <row r="1491" ht="14.4" customHeight="1" x14ac:dyDescent="0.3"/>
    <row r="1492" ht="14.4" customHeight="1" x14ac:dyDescent="0.3"/>
    <row r="1493" ht="14.4" customHeight="1" x14ac:dyDescent="0.3"/>
    <row r="1494" ht="14.4" customHeight="1" x14ac:dyDescent="0.3"/>
    <row r="1495" ht="14.4" customHeight="1" x14ac:dyDescent="0.3"/>
    <row r="1496" ht="14.4" customHeight="1" x14ac:dyDescent="0.3"/>
    <row r="1497" ht="14.4" customHeight="1" x14ac:dyDescent="0.3"/>
    <row r="1498" ht="14.4" customHeight="1" x14ac:dyDescent="0.3"/>
    <row r="1499" ht="14.4" customHeight="1" x14ac:dyDescent="0.3"/>
    <row r="1500" ht="14.4" customHeight="1" x14ac:dyDescent="0.3"/>
    <row r="1501" ht="14.4" customHeight="1" x14ac:dyDescent="0.3"/>
    <row r="1502" ht="14.4" customHeight="1" x14ac:dyDescent="0.3"/>
    <row r="1503" ht="14.4" customHeight="1" x14ac:dyDescent="0.3"/>
    <row r="1504" ht="14.4" customHeight="1" x14ac:dyDescent="0.3"/>
    <row r="1505" ht="14.4" customHeight="1" x14ac:dyDescent="0.3"/>
    <row r="1506" ht="14.4" customHeight="1" x14ac:dyDescent="0.3"/>
    <row r="1507" ht="14.4" customHeight="1" x14ac:dyDescent="0.3"/>
    <row r="1508" ht="14.4" customHeight="1" x14ac:dyDescent="0.3"/>
    <row r="1509" ht="14.4" customHeight="1" x14ac:dyDescent="0.3"/>
    <row r="1510" ht="14.4" customHeight="1" x14ac:dyDescent="0.3"/>
    <row r="1511" ht="14.4" customHeight="1" x14ac:dyDescent="0.3"/>
    <row r="1512" ht="14.4" customHeight="1" x14ac:dyDescent="0.3"/>
    <row r="1513" ht="14.4" customHeight="1" x14ac:dyDescent="0.3"/>
    <row r="1514" ht="14.4" customHeight="1" x14ac:dyDescent="0.3"/>
    <row r="1515" ht="14.4" customHeight="1" x14ac:dyDescent="0.3"/>
    <row r="1516" ht="14.4" customHeight="1" x14ac:dyDescent="0.3"/>
    <row r="1517" ht="14.4" customHeight="1" x14ac:dyDescent="0.3"/>
    <row r="1518" ht="14.4" customHeight="1" x14ac:dyDescent="0.3"/>
    <row r="1519" ht="14.4" customHeight="1" x14ac:dyDescent="0.3"/>
    <row r="1520" ht="14.4" customHeight="1" x14ac:dyDescent="0.3"/>
    <row r="1521" ht="14.4" customHeight="1" x14ac:dyDescent="0.3"/>
    <row r="1522" ht="14.4" customHeight="1" x14ac:dyDescent="0.3"/>
    <row r="1523" ht="14.4" customHeight="1" x14ac:dyDescent="0.3"/>
    <row r="1524" ht="14.4" customHeight="1" x14ac:dyDescent="0.3"/>
    <row r="1525" ht="14.4" customHeight="1" x14ac:dyDescent="0.3"/>
    <row r="1526" ht="14.4" customHeight="1" x14ac:dyDescent="0.3"/>
    <row r="1527" ht="14.4" customHeight="1" x14ac:dyDescent="0.3"/>
    <row r="1528" ht="14.4" customHeight="1" x14ac:dyDescent="0.3"/>
    <row r="1529" ht="14.4" customHeight="1" x14ac:dyDescent="0.3"/>
    <row r="1530" ht="14.4" customHeight="1" x14ac:dyDescent="0.3"/>
    <row r="1531" ht="14.4" customHeight="1" x14ac:dyDescent="0.3"/>
    <row r="1532" ht="14.4" customHeight="1" x14ac:dyDescent="0.3"/>
    <row r="1533" ht="14.4" customHeight="1" x14ac:dyDescent="0.3"/>
    <row r="1534" ht="14.4" customHeight="1" x14ac:dyDescent="0.3"/>
    <row r="1535" ht="14.4" customHeight="1" x14ac:dyDescent="0.3"/>
    <row r="1536" ht="14.4" customHeight="1" x14ac:dyDescent="0.3"/>
    <row r="1537" ht="14.4" customHeight="1" x14ac:dyDescent="0.3"/>
    <row r="1538" ht="14.4" customHeight="1" x14ac:dyDescent="0.3"/>
    <row r="1539" ht="14.4" customHeight="1" x14ac:dyDescent="0.3"/>
    <row r="1540" ht="14.4" customHeight="1" x14ac:dyDescent="0.3"/>
    <row r="1541" ht="14.4" customHeight="1" x14ac:dyDescent="0.3"/>
    <row r="1542" ht="14.4" customHeight="1" x14ac:dyDescent="0.3"/>
    <row r="1543" ht="14.4" customHeight="1" x14ac:dyDescent="0.3"/>
    <row r="1544" ht="14.4" customHeight="1" x14ac:dyDescent="0.3"/>
    <row r="1545" ht="14.4" customHeight="1" x14ac:dyDescent="0.3"/>
    <row r="1546" ht="14.4" customHeight="1" x14ac:dyDescent="0.3"/>
    <row r="1547" ht="14.4" customHeight="1" x14ac:dyDescent="0.3"/>
    <row r="1548" ht="14.4" customHeight="1" x14ac:dyDescent="0.3"/>
    <row r="1549" ht="14.4" customHeight="1" x14ac:dyDescent="0.3"/>
    <row r="1550" ht="14.4" customHeight="1" x14ac:dyDescent="0.3"/>
    <row r="1551" ht="14.4" customHeight="1" x14ac:dyDescent="0.3"/>
    <row r="1552" ht="14.4" customHeight="1" x14ac:dyDescent="0.3"/>
    <row r="1553" ht="14.4" customHeight="1" x14ac:dyDescent="0.3"/>
    <row r="1554" ht="14.4" customHeight="1" x14ac:dyDescent="0.3"/>
    <row r="1555" ht="14.4" customHeight="1" x14ac:dyDescent="0.3"/>
    <row r="1556" ht="14.4" customHeight="1" x14ac:dyDescent="0.3"/>
    <row r="1557" ht="14.4" customHeight="1" x14ac:dyDescent="0.3"/>
    <row r="1558" ht="14.4" customHeight="1" x14ac:dyDescent="0.3"/>
    <row r="1559" ht="14.4" customHeight="1" x14ac:dyDescent="0.3"/>
    <row r="1560" ht="14.4" customHeight="1" x14ac:dyDescent="0.3"/>
    <row r="1561" ht="14.4" customHeight="1" x14ac:dyDescent="0.3"/>
    <row r="1562" ht="14.4" customHeight="1" x14ac:dyDescent="0.3"/>
    <row r="1563" ht="14.4" customHeight="1" x14ac:dyDescent="0.3"/>
    <row r="1564" ht="14.4" customHeight="1" x14ac:dyDescent="0.3"/>
    <row r="1565" ht="14.4" customHeight="1" x14ac:dyDescent="0.3"/>
    <row r="1566" ht="14.4" customHeight="1" x14ac:dyDescent="0.3"/>
    <row r="1567" ht="14.4" customHeight="1" x14ac:dyDescent="0.3"/>
    <row r="1568" ht="14.4" customHeight="1" x14ac:dyDescent="0.3"/>
    <row r="1569" ht="14.4" customHeight="1" x14ac:dyDescent="0.3"/>
    <row r="1570" ht="14.4" customHeight="1" x14ac:dyDescent="0.3"/>
    <row r="1571" ht="14.4" customHeight="1" x14ac:dyDescent="0.3"/>
    <row r="1572" ht="14.4" customHeight="1" x14ac:dyDescent="0.3"/>
    <row r="1573" ht="14.4" customHeight="1" x14ac:dyDescent="0.3"/>
    <row r="1574" ht="14.4" customHeight="1" x14ac:dyDescent="0.3"/>
    <row r="1575" ht="14.4" customHeight="1" x14ac:dyDescent="0.3"/>
    <row r="1576" ht="14.4" customHeight="1" x14ac:dyDescent="0.3"/>
    <row r="1577" ht="14.4" customHeight="1" x14ac:dyDescent="0.3"/>
    <row r="1578" ht="14.4" customHeight="1" x14ac:dyDescent="0.3"/>
    <row r="1579" ht="14.4" customHeight="1" x14ac:dyDescent="0.3"/>
    <row r="1580" ht="14.4" customHeight="1" x14ac:dyDescent="0.3"/>
    <row r="1581" ht="14.4" customHeight="1" x14ac:dyDescent="0.3"/>
    <row r="1582" ht="14.4" customHeight="1" x14ac:dyDescent="0.3"/>
    <row r="1583" ht="14.4" customHeight="1" x14ac:dyDescent="0.3"/>
    <row r="1584" ht="14.4" customHeight="1" x14ac:dyDescent="0.3"/>
    <row r="1585" ht="14.4" customHeight="1" x14ac:dyDescent="0.3"/>
    <row r="1586" ht="14.4" customHeight="1" x14ac:dyDescent="0.3"/>
    <row r="1587" ht="14.4" customHeight="1" x14ac:dyDescent="0.3"/>
    <row r="1588" ht="14.4" customHeight="1" x14ac:dyDescent="0.3"/>
    <row r="1589" ht="14.4" customHeight="1" x14ac:dyDescent="0.3"/>
    <row r="1590" ht="14.4" customHeight="1" x14ac:dyDescent="0.3"/>
    <row r="1591" ht="14.4" customHeight="1" x14ac:dyDescent="0.3"/>
    <row r="1592" ht="14.4" customHeight="1" x14ac:dyDescent="0.3"/>
    <row r="1593" ht="14.4" customHeight="1" x14ac:dyDescent="0.3"/>
    <row r="1594" ht="14.4" customHeight="1" x14ac:dyDescent="0.3"/>
    <row r="1595" ht="14.4" customHeight="1" x14ac:dyDescent="0.3"/>
    <row r="1596" ht="14.4" customHeight="1" x14ac:dyDescent="0.3"/>
    <row r="1597" ht="14.4" customHeight="1" x14ac:dyDescent="0.3"/>
    <row r="1598" ht="14.4" customHeight="1" x14ac:dyDescent="0.3"/>
    <row r="1599" ht="14.4" customHeight="1" x14ac:dyDescent="0.3"/>
    <row r="1600" ht="14.4" customHeight="1" x14ac:dyDescent="0.3"/>
    <row r="1601" ht="14.4" customHeight="1" x14ac:dyDescent="0.3"/>
    <row r="1602" ht="14.4" customHeight="1" x14ac:dyDescent="0.3"/>
    <row r="1603" ht="14.4" customHeight="1" x14ac:dyDescent="0.3"/>
    <row r="1604" ht="14.4" customHeight="1" x14ac:dyDescent="0.3"/>
    <row r="1605" ht="14.4" customHeight="1" x14ac:dyDescent="0.3"/>
    <row r="1606" ht="14.4" customHeight="1" x14ac:dyDescent="0.3"/>
    <row r="1607" ht="14.4" customHeight="1" x14ac:dyDescent="0.3"/>
    <row r="1608" ht="14.4" customHeight="1" x14ac:dyDescent="0.3"/>
    <row r="1609" ht="14.4" customHeight="1" x14ac:dyDescent="0.3"/>
    <row r="1610" ht="14.4" customHeight="1" x14ac:dyDescent="0.3"/>
    <row r="1611" ht="14.4" customHeight="1" x14ac:dyDescent="0.3"/>
    <row r="1612" ht="14.4" customHeight="1" x14ac:dyDescent="0.3"/>
    <row r="1613" ht="14.4" customHeight="1" x14ac:dyDescent="0.3"/>
    <row r="1614" ht="14.4" customHeight="1" x14ac:dyDescent="0.3"/>
    <row r="1615" ht="14.4" customHeight="1" x14ac:dyDescent="0.3"/>
    <row r="1616" ht="14.4" customHeight="1" x14ac:dyDescent="0.3"/>
    <row r="1617" ht="14.4" customHeight="1" x14ac:dyDescent="0.3"/>
    <row r="1618" ht="14.4" customHeight="1" x14ac:dyDescent="0.3"/>
    <row r="1619" ht="14.4" customHeight="1" x14ac:dyDescent="0.3"/>
    <row r="1620" ht="14.4" customHeight="1" x14ac:dyDescent="0.3"/>
    <row r="1621" ht="14.4" customHeight="1" x14ac:dyDescent="0.3"/>
    <row r="1622" ht="14.4" customHeight="1" x14ac:dyDescent="0.3"/>
    <row r="1623" ht="14.4" customHeight="1" x14ac:dyDescent="0.3"/>
    <row r="1624" ht="14.4" customHeight="1" x14ac:dyDescent="0.3"/>
    <row r="1625" ht="14.4" customHeight="1" x14ac:dyDescent="0.3"/>
    <row r="1626" ht="14.4" customHeight="1" x14ac:dyDescent="0.3"/>
    <row r="1627" ht="14.4" customHeight="1" x14ac:dyDescent="0.3"/>
    <row r="1628" ht="14.4" customHeight="1" x14ac:dyDescent="0.3"/>
    <row r="1629" ht="14.4" customHeight="1" x14ac:dyDescent="0.3"/>
    <row r="1630" ht="14.4" customHeight="1" x14ac:dyDescent="0.3"/>
    <row r="1631" ht="14.4" customHeight="1" x14ac:dyDescent="0.3"/>
    <row r="1632" ht="14.4" customHeight="1" x14ac:dyDescent="0.3"/>
    <row r="1633" ht="14.4" customHeight="1" x14ac:dyDescent="0.3"/>
    <row r="1634" ht="14.4" customHeight="1" x14ac:dyDescent="0.3"/>
    <row r="1635" ht="14.4" customHeight="1" x14ac:dyDescent="0.3"/>
    <row r="1636" ht="14.4" customHeight="1" x14ac:dyDescent="0.3"/>
    <row r="1637" ht="14.4" customHeight="1" x14ac:dyDescent="0.3"/>
    <row r="1638" ht="14.4" customHeight="1" x14ac:dyDescent="0.3"/>
    <row r="1639" ht="14.4" customHeight="1" x14ac:dyDescent="0.3"/>
    <row r="1640" ht="14.4" customHeight="1" x14ac:dyDescent="0.3"/>
    <row r="1641" ht="14.4" customHeight="1" x14ac:dyDescent="0.3"/>
    <row r="1642" ht="14.4" customHeight="1" x14ac:dyDescent="0.3"/>
    <row r="1643" ht="14.4" customHeight="1" x14ac:dyDescent="0.3"/>
    <row r="1644" ht="14.4" customHeight="1" x14ac:dyDescent="0.3"/>
    <row r="1645" ht="14.4" customHeight="1" x14ac:dyDescent="0.3"/>
    <row r="1646" ht="14.4" customHeight="1" x14ac:dyDescent="0.3"/>
    <row r="1647" ht="14.4" customHeight="1" x14ac:dyDescent="0.3"/>
    <row r="1648" ht="14.4" customHeight="1" x14ac:dyDescent="0.3"/>
    <row r="1649" ht="14.4" customHeight="1" x14ac:dyDescent="0.3"/>
    <row r="1650" ht="14.4" customHeight="1" x14ac:dyDescent="0.3"/>
    <row r="1651" ht="14.4" customHeight="1" x14ac:dyDescent="0.3"/>
    <row r="1652" ht="14.4" customHeight="1" x14ac:dyDescent="0.3"/>
    <row r="1653" ht="14.4" customHeight="1" x14ac:dyDescent="0.3"/>
    <row r="1654" ht="14.4" customHeight="1" x14ac:dyDescent="0.3"/>
    <row r="1655" ht="14.4" customHeight="1" x14ac:dyDescent="0.3"/>
    <row r="1656" ht="14.4" customHeight="1" x14ac:dyDescent="0.3"/>
    <row r="1657" ht="14.4" customHeight="1" x14ac:dyDescent="0.3"/>
    <row r="1658" ht="14.4" customHeight="1" x14ac:dyDescent="0.3"/>
    <row r="1659" ht="14.4" customHeight="1" x14ac:dyDescent="0.3"/>
    <row r="1660" ht="14.4" customHeight="1" x14ac:dyDescent="0.3"/>
    <row r="1661" ht="14.4" customHeight="1" x14ac:dyDescent="0.3"/>
    <row r="1662" ht="14.4" customHeight="1" x14ac:dyDescent="0.3"/>
    <row r="1663" ht="14.4" customHeight="1" x14ac:dyDescent="0.3"/>
    <row r="1664" ht="14.4" customHeight="1" x14ac:dyDescent="0.3"/>
    <row r="1665" ht="14.4" customHeight="1" x14ac:dyDescent="0.3"/>
    <row r="1666" ht="14.4" customHeight="1" x14ac:dyDescent="0.3"/>
    <row r="1667" ht="14.4" customHeight="1" x14ac:dyDescent="0.3"/>
    <row r="1668" ht="14.4" customHeight="1" x14ac:dyDescent="0.3"/>
    <row r="1669" ht="14.4" customHeight="1" x14ac:dyDescent="0.3"/>
    <row r="1670" ht="14.4" customHeight="1" x14ac:dyDescent="0.3"/>
    <row r="1671" ht="14.4" customHeight="1" x14ac:dyDescent="0.3"/>
    <row r="1672" ht="14.4" customHeight="1" x14ac:dyDescent="0.3"/>
    <row r="1673" ht="14.4" customHeight="1" x14ac:dyDescent="0.3"/>
    <row r="1674" ht="14.4" customHeight="1" x14ac:dyDescent="0.3"/>
    <row r="1675" ht="14.4" customHeight="1" x14ac:dyDescent="0.3"/>
    <row r="1676" ht="14.4" customHeight="1" x14ac:dyDescent="0.3"/>
    <row r="1677" ht="14.4" customHeight="1" x14ac:dyDescent="0.3"/>
    <row r="1678" ht="14.4" customHeight="1" x14ac:dyDescent="0.3"/>
    <row r="1679" ht="14.4" customHeight="1" x14ac:dyDescent="0.3"/>
    <row r="1680" ht="14.4" customHeight="1" x14ac:dyDescent="0.3"/>
    <row r="1681" ht="14.4" customHeight="1" x14ac:dyDescent="0.3"/>
    <row r="1682" ht="14.4" customHeight="1" x14ac:dyDescent="0.3"/>
    <row r="1683" ht="14.4" customHeight="1" x14ac:dyDescent="0.3"/>
    <row r="1684" ht="14.4" customHeight="1" x14ac:dyDescent="0.3"/>
    <row r="1685" ht="14.4" customHeight="1" x14ac:dyDescent="0.3"/>
    <row r="1686" ht="14.4" customHeight="1" x14ac:dyDescent="0.3"/>
    <row r="1687" ht="14.4" customHeight="1" x14ac:dyDescent="0.3"/>
    <row r="1688" ht="14.4" customHeight="1" x14ac:dyDescent="0.3"/>
    <row r="1689" ht="14.4" customHeight="1" x14ac:dyDescent="0.3"/>
    <row r="1690" ht="14.4" customHeight="1" x14ac:dyDescent="0.3"/>
    <row r="1691" ht="14.4" customHeight="1" x14ac:dyDescent="0.3"/>
    <row r="1692" ht="14.4" customHeight="1" x14ac:dyDescent="0.3"/>
    <row r="1693" ht="14.4" customHeight="1" x14ac:dyDescent="0.3"/>
    <row r="1694" ht="14.4" customHeight="1" x14ac:dyDescent="0.3"/>
    <row r="1695" ht="14.4" customHeight="1" x14ac:dyDescent="0.3"/>
    <row r="1696" ht="14.4" customHeight="1" x14ac:dyDescent="0.3"/>
    <row r="1697" ht="14.4" customHeight="1" x14ac:dyDescent="0.3"/>
    <row r="1698" ht="14.4" customHeight="1" x14ac:dyDescent="0.3"/>
    <row r="1699" ht="14.4" customHeight="1" x14ac:dyDescent="0.3"/>
    <row r="1700" ht="14.4" customHeight="1" x14ac:dyDescent="0.3"/>
    <row r="1701" ht="14.4" customHeight="1" x14ac:dyDescent="0.3"/>
    <row r="1702" ht="14.4" customHeight="1" x14ac:dyDescent="0.3"/>
    <row r="1703" ht="14.4" customHeight="1" x14ac:dyDescent="0.3"/>
    <row r="1704" ht="14.4" customHeight="1" x14ac:dyDescent="0.3"/>
    <row r="1705" ht="14.4" customHeight="1" x14ac:dyDescent="0.3"/>
    <row r="1706" ht="14.4" customHeight="1" x14ac:dyDescent="0.3"/>
    <row r="1707" ht="14.4" customHeight="1" x14ac:dyDescent="0.3"/>
    <row r="1708" ht="14.4" customHeight="1" x14ac:dyDescent="0.3"/>
    <row r="1709" ht="14.4" customHeight="1" x14ac:dyDescent="0.3"/>
    <row r="1710" ht="14.4" customHeight="1" x14ac:dyDescent="0.3"/>
    <row r="1711" ht="14.4" customHeight="1" x14ac:dyDescent="0.3"/>
    <row r="1712" ht="14.4" customHeight="1" x14ac:dyDescent="0.3"/>
    <row r="1713" ht="14.4" customHeight="1" x14ac:dyDescent="0.3"/>
    <row r="1714" ht="14.4" customHeight="1" x14ac:dyDescent="0.3"/>
    <row r="1715" ht="14.4" customHeight="1" x14ac:dyDescent="0.3"/>
    <row r="1716" ht="14.4" customHeight="1" x14ac:dyDescent="0.3"/>
    <row r="1717" ht="14.4" customHeight="1" x14ac:dyDescent="0.3"/>
    <row r="1718" ht="14.4" customHeight="1" x14ac:dyDescent="0.3"/>
    <row r="1719" ht="14.4" customHeight="1" x14ac:dyDescent="0.3"/>
    <row r="1720" ht="14.4" customHeight="1" x14ac:dyDescent="0.3"/>
    <row r="1721" ht="14.4" customHeight="1" x14ac:dyDescent="0.3"/>
    <row r="1722" ht="14.4" customHeight="1" x14ac:dyDescent="0.3"/>
    <row r="1723" ht="14.4" customHeight="1" x14ac:dyDescent="0.3"/>
    <row r="1724" ht="14.4" customHeight="1" x14ac:dyDescent="0.3"/>
    <row r="1725" ht="14.4" customHeight="1" x14ac:dyDescent="0.3"/>
    <row r="1726" ht="14.4" customHeight="1" x14ac:dyDescent="0.3"/>
    <row r="1727" ht="14.4" customHeight="1" x14ac:dyDescent="0.3"/>
    <row r="1728" ht="14.4" customHeight="1" x14ac:dyDescent="0.3"/>
    <row r="1729" ht="14.4" customHeight="1" x14ac:dyDescent="0.3"/>
    <row r="1730" ht="14.4" customHeight="1" x14ac:dyDescent="0.3"/>
    <row r="1731" ht="14.4" customHeight="1" x14ac:dyDescent="0.3"/>
    <row r="1732" ht="14.4" customHeight="1" x14ac:dyDescent="0.3"/>
    <row r="1733" ht="14.4" customHeight="1" x14ac:dyDescent="0.3"/>
    <row r="1734" ht="14.4" customHeight="1" x14ac:dyDescent="0.3"/>
    <row r="1735" ht="14.4" customHeight="1" x14ac:dyDescent="0.3"/>
    <row r="1736" ht="14.4" customHeight="1" x14ac:dyDescent="0.3"/>
    <row r="1737" ht="14.4" customHeight="1" x14ac:dyDescent="0.3"/>
    <row r="1738" ht="14.4" customHeight="1" x14ac:dyDescent="0.3"/>
    <row r="1739" ht="14.4" customHeight="1" x14ac:dyDescent="0.3"/>
    <row r="1740" ht="14.4" customHeight="1" x14ac:dyDescent="0.3"/>
    <row r="1741" ht="14.4" customHeight="1" x14ac:dyDescent="0.3"/>
    <row r="1742" ht="14.4" customHeight="1" x14ac:dyDescent="0.3"/>
    <row r="1743" ht="14.4" customHeight="1" x14ac:dyDescent="0.3"/>
    <row r="1744" ht="14.4" customHeight="1" x14ac:dyDescent="0.3"/>
    <row r="1745" ht="14.4" customHeight="1" x14ac:dyDescent="0.3"/>
    <row r="1746" ht="14.4" customHeight="1" x14ac:dyDescent="0.3"/>
    <row r="1747" ht="14.4" customHeight="1" x14ac:dyDescent="0.3"/>
    <row r="1748" ht="14.4" customHeight="1" x14ac:dyDescent="0.3"/>
    <row r="1749" ht="14.4" customHeight="1" x14ac:dyDescent="0.3"/>
    <row r="1750" ht="14.4" customHeight="1" x14ac:dyDescent="0.3"/>
    <row r="1751" ht="14.4" customHeight="1" x14ac:dyDescent="0.3"/>
    <row r="1752" ht="14.4" customHeight="1" x14ac:dyDescent="0.3"/>
    <row r="1753" ht="14.4" customHeight="1" x14ac:dyDescent="0.3"/>
    <row r="1754" ht="14.4" customHeight="1" x14ac:dyDescent="0.3"/>
    <row r="1755" ht="14.4" customHeight="1" x14ac:dyDescent="0.3"/>
    <row r="1756" ht="14.4" customHeight="1" x14ac:dyDescent="0.3"/>
    <row r="1757" ht="14.4" customHeight="1" x14ac:dyDescent="0.3"/>
    <row r="1758" ht="14.4" customHeight="1" x14ac:dyDescent="0.3"/>
    <row r="1759" ht="14.4" customHeight="1" x14ac:dyDescent="0.3"/>
    <row r="1760" ht="14.4" customHeight="1" x14ac:dyDescent="0.3"/>
    <row r="1761" ht="14.4" customHeight="1" x14ac:dyDescent="0.3"/>
    <row r="1762" ht="14.4" customHeight="1" x14ac:dyDescent="0.3"/>
    <row r="1763" ht="14.4" customHeight="1" x14ac:dyDescent="0.3"/>
    <row r="1764" ht="14.4" customHeight="1" x14ac:dyDescent="0.3"/>
    <row r="1765" ht="14.4" customHeight="1" x14ac:dyDescent="0.3"/>
    <row r="1766" ht="14.4" customHeight="1" x14ac:dyDescent="0.3"/>
    <row r="1767" ht="14.4" customHeight="1" x14ac:dyDescent="0.3"/>
    <row r="1768" ht="14.4" customHeight="1" x14ac:dyDescent="0.3"/>
    <row r="1769" ht="14.4" customHeight="1" x14ac:dyDescent="0.3"/>
    <row r="1770" ht="14.4" customHeight="1" x14ac:dyDescent="0.3"/>
    <row r="1771" ht="14.4" customHeight="1" x14ac:dyDescent="0.3"/>
    <row r="1772" ht="14.4" customHeight="1" x14ac:dyDescent="0.3"/>
    <row r="1773" ht="14.4" customHeight="1" x14ac:dyDescent="0.3"/>
    <row r="1774" ht="14.4" customHeight="1" x14ac:dyDescent="0.3"/>
    <row r="1775" ht="14.4" customHeight="1" x14ac:dyDescent="0.3"/>
    <row r="1776" ht="14.4" customHeight="1" x14ac:dyDescent="0.3"/>
    <row r="1777" ht="14.4" customHeight="1" x14ac:dyDescent="0.3"/>
    <row r="1778" ht="14.4" customHeight="1" x14ac:dyDescent="0.3"/>
    <row r="1779" ht="14.4" customHeight="1" x14ac:dyDescent="0.3"/>
    <row r="1780" ht="14.4" customHeight="1" x14ac:dyDescent="0.3"/>
    <row r="1781" ht="14.4" customHeight="1" x14ac:dyDescent="0.3"/>
    <row r="1782" ht="14.4" customHeight="1" x14ac:dyDescent="0.3"/>
    <row r="1783" ht="14.4" customHeight="1" x14ac:dyDescent="0.3"/>
    <row r="1784" ht="14.4" customHeight="1" x14ac:dyDescent="0.3"/>
    <row r="1785" ht="14.4" customHeight="1" x14ac:dyDescent="0.3"/>
    <row r="1786" ht="14.4" customHeight="1" x14ac:dyDescent="0.3"/>
    <row r="1787" ht="14.4" customHeight="1" x14ac:dyDescent="0.3"/>
    <row r="1788" ht="14.4" customHeight="1" x14ac:dyDescent="0.3"/>
    <row r="1789" ht="14.4" customHeight="1" x14ac:dyDescent="0.3"/>
    <row r="1790" ht="14.4" customHeight="1" x14ac:dyDescent="0.3"/>
    <row r="1791" ht="14.4" customHeight="1" x14ac:dyDescent="0.3"/>
    <row r="1792" ht="14.4" customHeight="1" x14ac:dyDescent="0.3"/>
    <row r="1793" ht="14.4" customHeight="1" x14ac:dyDescent="0.3"/>
    <row r="1794" ht="14.4" customHeight="1" x14ac:dyDescent="0.3"/>
    <row r="1795" ht="14.4" customHeight="1" x14ac:dyDescent="0.3"/>
    <row r="1796" ht="14.4" customHeight="1" x14ac:dyDescent="0.3"/>
    <row r="1797" ht="14.4" customHeight="1" x14ac:dyDescent="0.3"/>
    <row r="1798" ht="14.4" customHeight="1" x14ac:dyDescent="0.3"/>
    <row r="1799" ht="14.4" customHeight="1" x14ac:dyDescent="0.3"/>
    <row r="1800" ht="14.4" customHeight="1" x14ac:dyDescent="0.3"/>
    <row r="1801" ht="14.4" customHeight="1" x14ac:dyDescent="0.3"/>
    <row r="1802" ht="14.4" customHeight="1" x14ac:dyDescent="0.3"/>
    <row r="1803" ht="14.4" customHeight="1" x14ac:dyDescent="0.3"/>
    <row r="1804" ht="14.4" customHeight="1" x14ac:dyDescent="0.3"/>
    <row r="1805" ht="14.4" customHeight="1" x14ac:dyDescent="0.3"/>
    <row r="1806" ht="14.4" customHeight="1" x14ac:dyDescent="0.3"/>
    <row r="1807" ht="14.4" customHeight="1" x14ac:dyDescent="0.3"/>
    <row r="1808" ht="14.4" customHeight="1" x14ac:dyDescent="0.3"/>
    <row r="1809" ht="14.4" customHeight="1" x14ac:dyDescent="0.3"/>
    <row r="1810" ht="14.4" customHeight="1" x14ac:dyDescent="0.3"/>
    <row r="1811" ht="14.4" customHeight="1" x14ac:dyDescent="0.3"/>
    <row r="1812" ht="14.4" customHeight="1" x14ac:dyDescent="0.3"/>
    <row r="1813" ht="14.4" customHeight="1" x14ac:dyDescent="0.3"/>
    <row r="1814" ht="14.4" customHeight="1" x14ac:dyDescent="0.3"/>
    <row r="1815" ht="14.4" customHeight="1" x14ac:dyDescent="0.3"/>
    <row r="1816" ht="14.4" customHeight="1" x14ac:dyDescent="0.3"/>
    <row r="1817" ht="14.4" customHeight="1" x14ac:dyDescent="0.3"/>
    <row r="1818" ht="14.4" customHeight="1" x14ac:dyDescent="0.3"/>
    <row r="1819" ht="14.4" customHeight="1" x14ac:dyDescent="0.3"/>
    <row r="1820" ht="14.4" customHeight="1" x14ac:dyDescent="0.3"/>
    <row r="1821" ht="14.4" customHeight="1" x14ac:dyDescent="0.3"/>
    <row r="1822" ht="14.4" customHeight="1" x14ac:dyDescent="0.3"/>
    <row r="1823" ht="14.4" customHeight="1" x14ac:dyDescent="0.3"/>
    <row r="1824" ht="14.4" customHeight="1" x14ac:dyDescent="0.3"/>
    <row r="1825" ht="14.4" customHeight="1" x14ac:dyDescent="0.3"/>
    <row r="1826" ht="14.4" customHeight="1" x14ac:dyDescent="0.3"/>
    <row r="1827" ht="14.4" customHeight="1" x14ac:dyDescent="0.3"/>
    <row r="1828" ht="14.4" customHeight="1" x14ac:dyDescent="0.3"/>
    <row r="1829" ht="14.4" customHeight="1" x14ac:dyDescent="0.3"/>
    <row r="1830" ht="14.4" customHeight="1" x14ac:dyDescent="0.3"/>
    <row r="1831" ht="14.4" customHeight="1" x14ac:dyDescent="0.3"/>
    <row r="1832" ht="14.4" customHeight="1" x14ac:dyDescent="0.3"/>
    <row r="1833" ht="14.4" customHeight="1" x14ac:dyDescent="0.3"/>
    <row r="1834" ht="14.4" customHeight="1" x14ac:dyDescent="0.3"/>
    <row r="1835" ht="14.4" customHeight="1" x14ac:dyDescent="0.3"/>
    <row r="1836" ht="14.4" customHeight="1" x14ac:dyDescent="0.3"/>
    <row r="1837" ht="14.4" customHeight="1" x14ac:dyDescent="0.3"/>
    <row r="1838" ht="14.4" customHeight="1" x14ac:dyDescent="0.3"/>
    <row r="1839" ht="14.4" customHeight="1" x14ac:dyDescent="0.3"/>
    <row r="1840" ht="14.4" customHeight="1" x14ac:dyDescent="0.3"/>
    <row r="1841" ht="14.4" customHeight="1" x14ac:dyDescent="0.3"/>
    <row r="1842" ht="14.4" customHeight="1" x14ac:dyDescent="0.3"/>
    <row r="1843" ht="14.4" customHeight="1" x14ac:dyDescent="0.3"/>
    <row r="1844" ht="14.4" customHeight="1" x14ac:dyDescent="0.3"/>
    <row r="1845" ht="14.4" customHeight="1" x14ac:dyDescent="0.3"/>
    <row r="1846" ht="14.4" customHeight="1" x14ac:dyDescent="0.3"/>
    <row r="1847" ht="14.4" customHeight="1" x14ac:dyDescent="0.3"/>
    <row r="1848" ht="14.4" customHeight="1" x14ac:dyDescent="0.3"/>
    <row r="1849" ht="14.4" customHeight="1" x14ac:dyDescent="0.3"/>
    <row r="1850" ht="14.4" customHeight="1" x14ac:dyDescent="0.3"/>
    <row r="1851" ht="14.4" customHeight="1" x14ac:dyDescent="0.3"/>
    <row r="1852" ht="14.4" customHeight="1" x14ac:dyDescent="0.3"/>
    <row r="1853" ht="14.4" customHeight="1" x14ac:dyDescent="0.3"/>
    <row r="1854" ht="14.4" customHeight="1" x14ac:dyDescent="0.3"/>
    <row r="1855" ht="14.4" customHeight="1" x14ac:dyDescent="0.3"/>
    <row r="1856" ht="14.4" customHeight="1" x14ac:dyDescent="0.3"/>
    <row r="1857" ht="14.4" customHeight="1" x14ac:dyDescent="0.3"/>
    <row r="1858" ht="14.4" customHeight="1" x14ac:dyDescent="0.3"/>
    <row r="1859" ht="14.4" customHeight="1" x14ac:dyDescent="0.3"/>
    <row r="1860" ht="14.4" customHeight="1" x14ac:dyDescent="0.3"/>
    <row r="1861" ht="14.4" customHeight="1" x14ac:dyDescent="0.3"/>
    <row r="1862" ht="14.4" customHeight="1" x14ac:dyDescent="0.3"/>
    <row r="1863" ht="14.4" customHeight="1" x14ac:dyDescent="0.3"/>
    <row r="1864" ht="14.4" customHeight="1" x14ac:dyDescent="0.3"/>
    <row r="1865" ht="14.4" customHeight="1" x14ac:dyDescent="0.3"/>
    <row r="1866" ht="14.4" customHeight="1" x14ac:dyDescent="0.3"/>
    <row r="1867" ht="14.4" customHeight="1" x14ac:dyDescent="0.3"/>
    <row r="1868" ht="14.4" customHeight="1" x14ac:dyDescent="0.3"/>
    <row r="1869" ht="14.4" customHeight="1" x14ac:dyDescent="0.3"/>
    <row r="1870" ht="14.4" customHeight="1" x14ac:dyDescent="0.3"/>
    <row r="1871" ht="14.4" customHeight="1" x14ac:dyDescent="0.3"/>
    <row r="1872" ht="14.4" customHeight="1" x14ac:dyDescent="0.3"/>
    <row r="1873" ht="14.4" customHeight="1" x14ac:dyDescent="0.3"/>
    <row r="1874" ht="14.4" customHeight="1" x14ac:dyDescent="0.3"/>
    <row r="1875" ht="14.4" customHeight="1" x14ac:dyDescent="0.3"/>
    <row r="1876" ht="14.4" customHeight="1" x14ac:dyDescent="0.3"/>
    <row r="1877" ht="14.4" customHeight="1" x14ac:dyDescent="0.3"/>
    <row r="1878" ht="14.4" customHeight="1" x14ac:dyDescent="0.3"/>
    <row r="1879" ht="14.4" customHeight="1" x14ac:dyDescent="0.3"/>
    <row r="1880" ht="14.4" customHeight="1" x14ac:dyDescent="0.3"/>
    <row r="1881" ht="14.4" customHeight="1" x14ac:dyDescent="0.3"/>
    <row r="1882" ht="14.4" customHeight="1" x14ac:dyDescent="0.3"/>
    <row r="1883" ht="14.4" customHeight="1" x14ac:dyDescent="0.3"/>
    <row r="1884" ht="14.4" customHeight="1" x14ac:dyDescent="0.3"/>
    <row r="1885" ht="14.4" customHeight="1" x14ac:dyDescent="0.3"/>
    <row r="1886" ht="14.4" customHeight="1" x14ac:dyDescent="0.3"/>
    <row r="1887" ht="14.4" customHeight="1" x14ac:dyDescent="0.3"/>
    <row r="1888" ht="14.4" customHeight="1" x14ac:dyDescent="0.3"/>
    <row r="1889" ht="14.4" customHeight="1" x14ac:dyDescent="0.3"/>
    <row r="1890" ht="14.4" customHeight="1" x14ac:dyDescent="0.3"/>
    <row r="1891" ht="14.4" customHeight="1" x14ac:dyDescent="0.3"/>
    <row r="1892" ht="14.4" customHeight="1" x14ac:dyDescent="0.3"/>
    <row r="1893" ht="14.4" customHeight="1" x14ac:dyDescent="0.3"/>
    <row r="1894" ht="14.4" customHeight="1" x14ac:dyDescent="0.3"/>
    <row r="1895" ht="14.4" customHeight="1" x14ac:dyDescent="0.3"/>
    <row r="1896" ht="14.4" customHeight="1" x14ac:dyDescent="0.3"/>
    <row r="1897" ht="14.4" customHeight="1" x14ac:dyDescent="0.3"/>
    <row r="1898" ht="14.4" customHeight="1" x14ac:dyDescent="0.3"/>
    <row r="1899" ht="14.4" customHeight="1" x14ac:dyDescent="0.3"/>
    <row r="1900" ht="14.4" customHeight="1" x14ac:dyDescent="0.3"/>
    <row r="1901" ht="14.4" customHeight="1" x14ac:dyDescent="0.3"/>
    <row r="1902" ht="14.4" customHeight="1" x14ac:dyDescent="0.3"/>
    <row r="1903" ht="14.4" customHeight="1" x14ac:dyDescent="0.3"/>
    <row r="1904" ht="14.4" customHeight="1" x14ac:dyDescent="0.3"/>
    <row r="1905" ht="14.4" customHeight="1" x14ac:dyDescent="0.3"/>
    <row r="1906" ht="14.4" customHeight="1" x14ac:dyDescent="0.3"/>
    <row r="1907" ht="14.4" customHeight="1" x14ac:dyDescent="0.3"/>
    <row r="1908" ht="14.4" customHeight="1" x14ac:dyDescent="0.3"/>
    <row r="1909" ht="14.4" customHeight="1" x14ac:dyDescent="0.3"/>
    <row r="1910" ht="14.4" customHeight="1" x14ac:dyDescent="0.3"/>
    <row r="1911" ht="14.4" customHeight="1" x14ac:dyDescent="0.3"/>
    <row r="1912" ht="14.4" customHeight="1" x14ac:dyDescent="0.3"/>
    <row r="1913" ht="14.4" customHeight="1" x14ac:dyDescent="0.3"/>
    <row r="1914" ht="14.4" customHeight="1" x14ac:dyDescent="0.3"/>
    <row r="1915" ht="14.4" customHeight="1" x14ac:dyDescent="0.3"/>
    <row r="1916" ht="14.4" customHeight="1" x14ac:dyDescent="0.3"/>
    <row r="1917" ht="14.4" customHeight="1" x14ac:dyDescent="0.3"/>
    <row r="1918" ht="14.4" customHeight="1" x14ac:dyDescent="0.3"/>
    <row r="1919" ht="14.4" customHeight="1" x14ac:dyDescent="0.3"/>
    <row r="1920" ht="14.4" customHeight="1" x14ac:dyDescent="0.3"/>
    <row r="1921" ht="14.4" customHeight="1" x14ac:dyDescent="0.3"/>
    <row r="1922" ht="14.4" customHeight="1" x14ac:dyDescent="0.3"/>
    <row r="1923" ht="14.4" customHeight="1" x14ac:dyDescent="0.3"/>
    <row r="1924" ht="14.4" customHeight="1" x14ac:dyDescent="0.3"/>
    <row r="1925" ht="14.4" customHeight="1" x14ac:dyDescent="0.3"/>
    <row r="1926" ht="14.4" customHeight="1" x14ac:dyDescent="0.3"/>
    <row r="1927" ht="14.4" customHeight="1" x14ac:dyDescent="0.3"/>
    <row r="1928" ht="14.4" customHeight="1" x14ac:dyDescent="0.3"/>
    <row r="1929" ht="14.4" customHeight="1" x14ac:dyDescent="0.3"/>
    <row r="1930" ht="14.4" customHeight="1" x14ac:dyDescent="0.3"/>
    <row r="1931" ht="14.4" customHeight="1" x14ac:dyDescent="0.3"/>
    <row r="1932" ht="14.4" customHeight="1" x14ac:dyDescent="0.3"/>
    <row r="1933" ht="14.4" customHeight="1" x14ac:dyDescent="0.3"/>
    <row r="1934" ht="14.4" customHeight="1" x14ac:dyDescent="0.3"/>
    <row r="1935" ht="14.4" customHeight="1" x14ac:dyDescent="0.3"/>
    <row r="1936" ht="14.4" customHeight="1" x14ac:dyDescent="0.3"/>
    <row r="1937" ht="14.4" customHeight="1" x14ac:dyDescent="0.3"/>
    <row r="1938" ht="14.4" customHeight="1" x14ac:dyDescent="0.3"/>
    <row r="1939" ht="14.4" customHeight="1" x14ac:dyDescent="0.3"/>
    <row r="1940" ht="14.4" customHeight="1" x14ac:dyDescent="0.3"/>
    <row r="1941" ht="14.4" customHeight="1" x14ac:dyDescent="0.3"/>
    <row r="1942" ht="14.4" customHeight="1" x14ac:dyDescent="0.3"/>
    <row r="1943" ht="14.4" customHeight="1" x14ac:dyDescent="0.3"/>
    <row r="1944" ht="14.4" customHeight="1" x14ac:dyDescent="0.3"/>
    <row r="1945" ht="14.4" customHeight="1" x14ac:dyDescent="0.3"/>
    <row r="1946" ht="14.4" customHeight="1" x14ac:dyDescent="0.3"/>
    <row r="1947" ht="14.4" customHeight="1" x14ac:dyDescent="0.3"/>
    <row r="1948" ht="14.4" customHeight="1" x14ac:dyDescent="0.3"/>
    <row r="1949" ht="14.4" customHeight="1" x14ac:dyDescent="0.3"/>
    <row r="1950" ht="14.4" customHeight="1" x14ac:dyDescent="0.3"/>
    <row r="1951" ht="14.4" customHeight="1" x14ac:dyDescent="0.3"/>
    <row r="1952" ht="14.4" customHeight="1" x14ac:dyDescent="0.3"/>
    <row r="1953" ht="14.4" customHeight="1" x14ac:dyDescent="0.3"/>
    <row r="1954" ht="14.4" customHeight="1" x14ac:dyDescent="0.3"/>
    <row r="1955" ht="14.4" customHeight="1" x14ac:dyDescent="0.3"/>
    <row r="1956" ht="14.4" customHeight="1" x14ac:dyDescent="0.3"/>
    <row r="1957" ht="14.4" customHeight="1" x14ac:dyDescent="0.3"/>
    <row r="1958" ht="14.4" customHeight="1" x14ac:dyDescent="0.3"/>
    <row r="1959" ht="14.4" customHeight="1" x14ac:dyDescent="0.3"/>
    <row r="1960" ht="14.4" customHeight="1" x14ac:dyDescent="0.3"/>
    <row r="1961" ht="14.4" customHeight="1" x14ac:dyDescent="0.3"/>
    <row r="1962" ht="14.4" customHeight="1" x14ac:dyDescent="0.3"/>
    <row r="1963" ht="14.4" customHeight="1" x14ac:dyDescent="0.3"/>
    <row r="1964" ht="14.4" customHeight="1" x14ac:dyDescent="0.3"/>
    <row r="1965" ht="14.4" customHeight="1" x14ac:dyDescent="0.3"/>
    <row r="1966" ht="14.4" customHeight="1" x14ac:dyDescent="0.3"/>
    <row r="1967" ht="14.4" customHeight="1" x14ac:dyDescent="0.3"/>
    <row r="1968" ht="14.4" customHeight="1" x14ac:dyDescent="0.3"/>
    <row r="1969" ht="14.4" customHeight="1" x14ac:dyDescent="0.3"/>
    <row r="1970" ht="14.4" customHeight="1" x14ac:dyDescent="0.3"/>
    <row r="1971" ht="14.4" customHeight="1" x14ac:dyDescent="0.3"/>
    <row r="1972" ht="14.4" customHeight="1" x14ac:dyDescent="0.3"/>
    <row r="1973" ht="14.4" customHeight="1" x14ac:dyDescent="0.3"/>
    <row r="1974" ht="14.4" customHeight="1" x14ac:dyDescent="0.3"/>
    <row r="1975" ht="14.4" customHeight="1" x14ac:dyDescent="0.3"/>
    <row r="1976" ht="14.4" customHeight="1" x14ac:dyDescent="0.3"/>
    <row r="1977" ht="14.4" customHeight="1" x14ac:dyDescent="0.3"/>
    <row r="1978" ht="14.4" customHeight="1" x14ac:dyDescent="0.3"/>
    <row r="1979" ht="14.4" customHeight="1" x14ac:dyDescent="0.3"/>
    <row r="1980" ht="14.4" customHeight="1" x14ac:dyDescent="0.3"/>
    <row r="1981" ht="14.4" customHeight="1" x14ac:dyDescent="0.3"/>
    <row r="1982" ht="14.4" customHeight="1" x14ac:dyDescent="0.3"/>
    <row r="1983" ht="14.4" customHeight="1" x14ac:dyDescent="0.3"/>
    <row r="1984" ht="14.4" customHeight="1" x14ac:dyDescent="0.3"/>
    <row r="1985" ht="14.4" customHeight="1" x14ac:dyDescent="0.3"/>
    <row r="1986" ht="14.4" customHeight="1" x14ac:dyDescent="0.3"/>
    <row r="1987" ht="14.4" customHeight="1" x14ac:dyDescent="0.3"/>
    <row r="1988" ht="14.4" customHeight="1" x14ac:dyDescent="0.3"/>
    <row r="1989" ht="14.4" customHeight="1" x14ac:dyDescent="0.3"/>
    <row r="1990" ht="14.4" customHeight="1" x14ac:dyDescent="0.3"/>
    <row r="1991" ht="14.4" customHeight="1" x14ac:dyDescent="0.3"/>
    <row r="1992" ht="14.4" customHeight="1" x14ac:dyDescent="0.3"/>
    <row r="1993" ht="14.4" customHeight="1" x14ac:dyDescent="0.3"/>
    <row r="1994" ht="14.4" customHeight="1" x14ac:dyDescent="0.3"/>
    <row r="1995" ht="14.4" customHeight="1" x14ac:dyDescent="0.3"/>
    <row r="1996" ht="14.4" customHeight="1" x14ac:dyDescent="0.3"/>
    <row r="1997" ht="14.4" customHeight="1" x14ac:dyDescent="0.3"/>
    <row r="1998" ht="14.4" customHeight="1" x14ac:dyDescent="0.3"/>
    <row r="1999" ht="14.4" customHeight="1" x14ac:dyDescent="0.3"/>
    <row r="2000" ht="14.4" customHeight="1" x14ac:dyDescent="0.3"/>
    <row r="2001" ht="14.4" customHeight="1" x14ac:dyDescent="0.3"/>
    <row r="2002" ht="14.4" customHeight="1" x14ac:dyDescent="0.3"/>
    <row r="2003" ht="14.4" customHeight="1" x14ac:dyDescent="0.3"/>
    <row r="2004" ht="14.4" customHeight="1" x14ac:dyDescent="0.3"/>
    <row r="2005" ht="14.4" customHeight="1" x14ac:dyDescent="0.3"/>
    <row r="2006" ht="14.4" customHeight="1" x14ac:dyDescent="0.3"/>
    <row r="2007" ht="14.4" customHeight="1" x14ac:dyDescent="0.3"/>
    <row r="2008" ht="14.4" customHeight="1" x14ac:dyDescent="0.3"/>
    <row r="2009" ht="14.4" customHeight="1" x14ac:dyDescent="0.3"/>
    <row r="2010" ht="14.4" customHeight="1" x14ac:dyDescent="0.3"/>
    <row r="2011" ht="14.4" customHeight="1" x14ac:dyDescent="0.3"/>
    <row r="2012" ht="14.4" customHeight="1" x14ac:dyDescent="0.3"/>
    <row r="2013" ht="14.4" customHeight="1" x14ac:dyDescent="0.3"/>
    <row r="2014" ht="14.4" customHeight="1" x14ac:dyDescent="0.3"/>
    <row r="2015" ht="14.4" customHeight="1" x14ac:dyDescent="0.3"/>
    <row r="2016" ht="14.4" customHeight="1" x14ac:dyDescent="0.3"/>
    <row r="2017" ht="14.4" customHeight="1" x14ac:dyDescent="0.3"/>
    <row r="2018" ht="14.4" customHeight="1" x14ac:dyDescent="0.3"/>
    <row r="2019" ht="14.4" customHeight="1" x14ac:dyDescent="0.3"/>
    <row r="2020" ht="14.4" customHeight="1" x14ac:dyDescent="0.3"/>
    <row r="2021" ht="14.4" customHeight="1" x14ac:dyDescent="0.3"/>
    <row r="2022" ht="14.4" customHeight="1" x14ac:dyDescent="0.3"/>
    <row r="2023" ht="14.4" customHeight="1" x14ac:dyDescent="0.3"/>
    <row r="2024" ht="14.4" customHeight="1" x14ac:dyDescent="0.3"/>
    <row r="2025" ht="14.4" customHeight="1" x14ac:dyDescent="0.3"/>
    <row r="2026" ht="14.4" customHeight="1" x14ac:dyDescent="0.3"/>
    <row r="2027" ht="14.4" customHeight="1" x14ac:dyDescent="0.3"/>
    <row r="2028" ht="14.4" customHeight="1" x14ac:dyDescent="0.3"/>
    <row r="2029" ht="14.4" customHeight="1" x14ac:dyDescent="0.3"/>
    <row r="2030" ht="14.4" customHeight="1" x14ac:dyDescent="0.3"/>
    <row r="2031" ht="14.4" customHeight="1" x14ac:dyDescent="0.3"/>
    <row r="2032" ht="14.4" customHeight="1" x14ac:dyDescent="0.3"/>
    <row r="2033" ht="14.4" customHeight="1" x14ac:dyDescent="0.3"/>
    <row r="2034" ht="14.4" customHeight="1" x14ac:dyDescent="0.3"/>
    <row r="2035" ht="14.4" customHeight="1" x14ac:dyDescent="0.3"/>
    <row r="2036" ht="14.4" customHeight="1" x14ac:dyDescent="0.3"/>
    <row r="2037" ht="14.4" customHeight="1" x14ac:dyDescent="0.3"/>
    <row r="2038" ht="14.4" customHeight="1" x14ac:dyDescent="0.3"/>
    <row r="2039" ht="14.4" customHeight="1" x14ac:dyDescent="0.3"/>
    <row r="2040" ht="14.4" customHeight="1" x14ac:dyDescent="0.3"/>
    <row r="2041" ht="14.4" customHeight="1" x14ac:dyDescent="0.3"/>
    <row r="2042" ht="14.4" customHeight="1" x14ac:dyDescent="0.3"/>
    <row r="2043" ht="14.4" customHeight="1" x14ac:dyDescent="0.3"/>
    <row r="2044" ht="14.4" customHeight="1" x14ac:dyDescent="0.3"/>
    <row r="2045" ht="14.4" customHeight="1" x14ac:dyDescent="0.3"/>
    <row r="2046" ht="14.4" customHeight="1" x14ac:dyDescent="0.3"/>
    <row r="2047" ht="14.4" customHeight="1" x14ac:dyDescent="0.3"/>
    <row r="2048" ht="14.4" customHeight="1" x14ac:dyDescent="0.3"/>
    <row r="2049" ht="14.4" customHeight="1" x14ac:dyDescent="0.3"/>
    <row r="2050" ht="14.4" customHeight="1" x14ac:dyDescent="0.3"/>
    <row r="2051" ht="14.4" customHeight="1" x14ac:dyDescent="0.3"/>
    <row r="2052" ht="14.4" customHeight="1" x14ac:dyDescent="0.3"/>
    <row r="2053" ht="14.4" customHeight="1" x14ac:dyDescent="0.3"/>
    <row r="2054" ht="14.4" customHeight="1" x14ac:dyDescent="0.3"/>
    <row r="2055" ht="14.4" customHeight="1" x14ac:dyDescent="0.3"/>
    <row r="2056" ht="14.4" customHeight="1" x14ac:dyDescent="0.3"/>
    <row r="2057" ht="14.4" customHeight="1" x14ac:dyDescent="0.3"/>
    <row r="2058" ht="14.4" customHeight="1" x14ac:dyDescent="0.3"/>
    <row r="2059" ht="14.4" customHeight="1" x14ac:dyDescent="0.3"/>
    <row r="2060" ht="14.4" customHeight="1" x14ac:dyDescent="0.3"/>
    <row r="2061" ht="14.4" customHeight="1" x14ac:dyDescent="0.3"/>
    <row r="2062" ht="14.4" customHeight="1" x14ac:dyDescent="0.3"/>
    <row r="2063" ht="14.4" customHeight="1" x14ac:dyDescent="0.3"/>
    <row r="2064" ht="14.4" customHeight="1" x14ac:dyDescent="0.3"/>
    <row r="2065" ht="14.4" customHeight="1" x14ac:dyDescent="0.3"/>
    <row r="2066" ht="14.4" customHeight="1" x14ac:dyDescent="0.3"/>
    <row r="2067" ht="14.4" customHeight="1" x14ac:dyDescent="0.3"/>
    <row r="2068" ht="14.4" customHeight="1" x14ac:dyDescent="0.3"/>
    <row r="2069" ht="14.4" customHeight="1" x14ac:dyDescent="0.3"/>
    <row r="2070" ht="14.4" customHeight="1" x14ac:dyDescent="0.3"/>
    <row r="2071" ht="14.4" customHeight="1" x14ac:dyDescent="0.3"/>
    <row r="2072" ht="14.4" customHeight="1" x14ac:dyDescent="0.3"/>
    <row r="2073" ht="14.4" customHeight="1" x14ac:dyDescent="0.3"/>
    <row r="2074" ht="14.4" customHeight="1" x14ac:dyDescent="0.3"/>
    <row r="2075" ht="14.4" customHeight="1" x14ac:dyDescent="0.3"/>
    <row r="2076" ht="14.4" customHeight="1" x14ac:dyDescent="0.3"/>
    <row r="2077" ht="14.4" customHeight="1" x14ac:dyDescent="0.3"/>
    <row r="2078" ht="14.4" customHeight="1" x14ac:dyDescent="0.3"/>
    <row r="2079" ht="14.4" customHeight="1" x14ac:dyDescent="0.3"/>
    <row r="2080" ht="14.4" customHeight="1" x14ac:dyDescent="0.3"/>
    <row r="2081" ht="14.4" customHeight="1" x14ac:dyDescent="0.3"/>
    <row r="2082" ht="14.4" customHeight="1" x14ac:dyDescent="0.3"/>
    <row r="2083" ht="14.4" customHeight="1" x14ac:dyDescent="0.3"/>
    <row r="2084" ht="14.4" customHeight="1" x14ac:dyDescent="0.3"/>
    <row r="2085" ht="14.4" customHeight="1" x14ac:dyDescent="0.3"/>
    <row r="2086" ht="14.4" customHeight="1" x14ac:dyDescent="0.3"/>
    <row r="2087" ht="14.4" customHeight="1" x14ac:dyDescent="0.3"/>
    <row r="2088" ht="14.4" customHeight="1" x14ac:dyDescent="0.3"/>
    <row r="2089" ht="14.4" customHeight="1" x14ac:dyDescent="0.3"/>
    <row r="2090" ht="14.4" customHeight="1" x14ac:dyDescent="0.3"/>
    <row r="2091" ht="14.4" customHeight="1" x14ac:dyDescent="0.3"/>
    <row r="2092" ht="14.4" customHeight="1" x14ac:dyDescent="0.3"/>
    <row r="2093" ht="14.4" customHeight="1" x14ac:dyDescent="0.3"/>
    <row r="2094" ht="14.4" customHeight="1" x14ac:dyDescent="0.3"/>
    <row r="2095" ht="14.4" customHeight="1" x14ac:dyDescent="0.3"/>
    <row r="2096" ht="14.4" customHeight="1" x14ac:dyDescent="0.3"/>
    <row r="2097" ht="14.4" customHeight="1" x14ac:dyDescent="0.3"/>
    <row r="2098" ht="14.4" customHeight="1" x14ac:dyDescent="0.3"/>
    <row r="2099" ht="14.4" customHeight="1" x14ac:dyDescent="0.3"/>
    <row r="2100" ht="14.4" customHeight="1" x14ac:dyDescent="0.3"/>
    <row r="2101" ht="14.4" customHeight="1" x14ac:dyDescent="0.3"/>
    <row r="2102" ht="14.4" customHeight="1" x14ac:dyDescent="0.3"/>
    <row r="2103" ht="14.4" customHeight="1" x14ac:dyDescent="0.3"/>
    <row r="2104" ht="14.4" customHeight="1" x14ac:dyDescent="0.3"/>
    <row r="2105" ht="14.4" customHeight="1" x14ac:dyDescent="0.3"/>
    <row r="2106" ht="14.4" customHeight="1" x14ac:dyDescent="0.3"/>
    <row r="2107" ht="14.4" customHeight="1" x14ac:dyDescent="0.3"/>
    <row r="2108" ht="14.4" customHeight="1" x14ac:dyDescent="0.3"/>
    <row r="2109" ht="14.4" customHeight="1" x14ac:dyDescent="0.3"/>
    <row r="2110" ht="14.4" customHeight="1" x14ac:dyDescent="0.3"/>
    <row r="2111" ht="14.4" customHeight="1" x14ac:dyDescent="0.3"/>
    <row r="2112" ht="14.4" customHeight="1" x14ac:dyDescent="0.3"/>
    <row r="2113" ht="14.4" customHeight="1" x14ac:dyDescent="0.3"/>
    <row r="2114" ht="14.4" customHeight="1" x14ac:dyDescent="0.3"/>
    <row r="2115" ht="14.4" customHeight="1" x14ac:dyDescent="0.3"/>
    <row r="2116" ht="14.4" customHeight="1" x14ac:dyDescent="0.3"/>
    <row r="2117" ht="14.4" customHeight="1" x14ac:dyDescent="0.3"/>
    <row r="2118" ht="14.4" customHeight="1" x14ac:dyDescent="0.3"/>
    <row r="2119" ht="14.4" customHeight="1" x14ac:dyDescent="0.3"/>
    <row r="2120" ht="14.4" customHeight="1" x14ac:dyDescent="0.3"/>
    <row r="2121" ht="14.4" customHeight="1" x14ac:dyDescent="0.3"/>
    <row r="2122" ht="14.4" customHeight="1" x14ac:dyDescent="0.3"/>
    <row r="2123" ht="14.4" customHeight="1" x14ac:dyDescent="0.3"/>
    <row r="2124" ht="14.4" customHeight="1" x14ac:dyDescent="0.3"/>
    <row r="2125" ht="14.4" customHeight="1" x14ac:dyDescent="0.3"/>
    <row r="2126" ht="14.4" customHeight="1" x14ac:dyDescent="0.3"/>
    <row r="2127" ht="14.4" customHeight="1" x14ac:dyDescent="0.3"/>
    <row r="2128" ht="14.4" customHeight="1" x14ac:dyDescent="0.3"/>
    <row r="2129" ht="14.4" customHeight="1" x14ac:dyDescent="0.3"/>
    <row r="2130" ht="14.4" customHeight="1" x14ac:dyDescent="0.3"/>
    <row r="2131" ht="14.4" customHeight="1" x14ac:dyDescent="0.3"/>
    <row r="2132" ht="14.4" customHeight="1" x14ac:dyDescent="0.3"/>
    <row r="2133" ht="14.4" customHeight="1" x14ac:dyDescent="0.3"/>
    <row r="2134" ht="14.4" customHeight="1" x14ac:dyDescent="0.3"/>
    <row r="2135" ht="14.4" customHeight="1" x14ac:dyDescent="0.3"/>
    <row r="2136" ht="14.4" customHeight="1" x14ac:dyDescent="0.3"/>
    <row r="2137" ht="14.4" customHeight="1" x14ac:dyDescent="0.3"/>
    <row r="2138" ht="14.4" customHeight="1" x14ac:dyDescent="0.3"/>
    <row r="2139" ht="14.4" customHeight="1" x14ac:dyDescent="0.3"/>
    <row r="2140" ht="14.4" customHeight="1" x14ac:dyDescent="0.3"/>
    <row r="2141" ht="14.4" customHeight="1" x14ac:dyDescent="0.3"/>
    <row r="2142" ht="14.4" customHeight="1" x14ac:dyDescent="0.3"/>
    <row r="2143" ht="14.4" customHeight="1" x14ac:dyDescent="0.3"/>
    <row r="2144" ht="14.4" customHeight="1" x14ac:dyDescent="0.3"/>
    <row r="2145" ht="14.4" customHeight="1" x14ac:dyDescent="0.3"/>
    <row r="2146" ht="14.4" customHeight="1" x14ac:dyDescent="0.3"/>
    <row r="2147" ht="14.4" customHeight="1" x14ac:dyDescent="0.3"/>
    <row r="2148" ht="14.4" customHeight="1" x14ac:dyDescent="0.3"/>
    <row r="2149" ht="14.4" customHeight="1" x14ac:dyDescent="0.3"/>
    <row r="2150" ht="14.4" customHeight="1" x14ac:dyDescent="0.3"/>
    <row r="2151" ht="14.4" customHeight="1" x14ac:dyDescent="0.3"/>
    <row r="2152" ht="14.4" customHeight="1" x14ac:dyDescent="0.3"/>
    <row r="2153" ht="14.4" customHeight="1" x14ac:dyDescent="0.3"/>
    <row r="2154" ht="14.4" customHeight="1" x14ac:dyDescent="0.3"/>
    <row r="2155" ht="14.4" customHeight="1" x14ac:dyDescent="0.3"/>
    <row r="2156" ht="14.4" customHeight="1" x14ac:dyDescent="0.3"/>
    <row r="2157" ht="14.4" customHeight="1" x14ac:dyDescent="0.3"/>
    <row r="2158" ht="14.4" customHeight="1" x14ac:dyDescent="0.3"/>
    <row r="2159" ht="14.4" customHeight="1" x14ac:dyDescent="0.3"/>
    <row r="2160" ht="14.4" customHeight="1" x14ac:dyDescent="0.3"/>
    <row r="2161" ht="14.4" customHeight="1" x14ac:dyDescent="0.3"/>
    <row r="2162" ht="14.4" customHeight="1" x14ac:dyDescent="0.3"/>
    <row r="2163" ht="14.4" customHeight="1" x14ac:dyDescent="0.3"/>
    <row r="2164" ht="14.4" customHeight="1" x14ac:dyDescent="0.3"/>
    <row r="2165" ht="14.4" customHeight="1" x14ac:dyDescent="0.3"/>
    <row r="2166" ht="14.4" customHeight="1" x14ac:dyDescent="0.3"/>
    <row r="2167" ht="14.4" customHeight="1" x14ac:dyDescent="0.3"/>
    <row r="2168" ht="14.4" customHeight="1" x14ac:dyDescent="0.3"/>
    <row r="2169" ht="14.4" customHeight="1" x14ac:dyDescent="0.3"/>
    <row r="2170" ht="14.4" customHeight="1" x14ac:dyDescent="0.3"/>
    <row r="2171" ht="14.4" customHeight="1" x14ac:dyDescent="0.3"/>
    <row r="2172" ht="14.4" customHeight="1" x14ac:dyDescent="0.3"/>
    <row r="2173" ht="14.4" customHeight="1" x14ac:dyDescent="0.3"/>
    <row r="2174" ht="14.4" customHeight="1" x14ac:dyDescent="0.3"/>
    <row r="2175" ht="14.4" customHeight="1" x14ac:dyDescent="0.3"/>
    <row r="2176" ht="14.4" customHeight="1" x14ac:dyDescent="0.3"/>
    <row r="2177" ht="14.4" customHeight="1" x14ac:dyDescent="0.3"/>
    <row r="2178" ht="14.4" customHeight="1" x14ac:dyDescent="0.3"/>
    <row r="2179" ht="14.4" customHeight="1" x14ac:dyDescent="0.3"/>
    <row r="2180" ht="14.4" customHeight="1" x14ac:dyDescent="0.3"/>
    <row r="2181" ht="14.4" customHeight="1" x14ac:dyDescent="0.3"/>
    <row r="2182" ht="14.4" customHeight="1" x14ac:dyDescent="0.3"/>
    <row r="2183" ht="14.4" customHeight="1" x14ac:dyDescent="0.3"/>
    <row r="2184" ht="14.4" customHeight="1" x14ac:dyDescent="0.3"/>
    <row r="2185" ht="14.4" customHeight="1" x14ac:dyDescent="0.3"/>
    <row r="2186" ht="14.4" customHeight="1" x14ac:dyDescent="0.3"/>
    <row r="2187" ht="14.4" customHeight="1" x14ac:dyDescent="0.3"/>
    <row r="2188" ht="14.4" customHeight="1" x14ac:dyDescent="0.3"/>
    <row r="2189" ht="14.4" customHeight="1" x14ac:dyDescent="0.3"/>
    <row r="2190" ht="14.4" customHeight="1" x14ac:dyDescent="0.3"/>
    <row r="2191" ht="14.4" customHeight="1" x14ac:dyDescent="0.3"/>
    <row r="2192" ht="14.4" customHeight="1" x14ac:dyDescent="0.3"/>
    <row r="2193" ht="14.4" customHeight="1" x14ac:dyDescent="0.3"/>
    <row r="2194" ht="14.4" customHeight="1" x14ac:dyDescent="0.3"/>
    <row r="2195" ht="14.4" customHeight="1" x14ac:dyDescent="0.3"/>
    <row r="2196" ht="14.4" customHeight="1" x14ac:dyDescent="0.3"/>
    <row r="2197" ht="14.4" customHeight="1" x14ac:dyDescent="0.3"/>
    <row r="2198" ht="14.4" customHeight="1" x14ac:dyDescent="0.3"/>
    <row r="2199" ht="14.4" customHeight="1" x14ac:dyDescent="0.3"/>
    <row r="2200" ht="14.4" customHeight="1" x14ac:dyDescent="0.3"/>
    <row r="2201" ht="14.4" customHeight="1" x14ac:dyDescent="0.3"/>
    <row r="2202" ht="14.4" customHeight="1" x14ac:dyDescent="0.3"/>
    <row r="2203" ht="14.4" customHeight="1" x14ac:dyDescent="0.3"/>
    <row r="2204" ht="14.4" customHeight="1" x14ac:dyDescent="0.3"/>
    <row r="2205" ht="14.4" customHeight="1" x14ac:dyDescent="0.3"/>
    <row r="2206" ht="14.4" customHeight="1" x14ac:dyDescent="0.3"/>
    <row r="2207" ht="14.4" customHeight="1" x14ac:dyDescent="0.3"/>
    <row r="2208" ht="14.4" customHeight="1" x14ac:dyDescent="0.3"/>
    <row r="2209" ht="14.4" customHeight="1" x14ac:dyDescent="0.3"/>
    <row r="2210" ht="14.4" customHeight="1" x14ac:dyDescent="0.3"/>
    <row r="2211" ht="14.4" customHeight="1" x14ac:dyDescent="0.3"/>
    <row r="2212" ht="14.4" customHeight="1" x14ac:dyDescent="0.3"/>
    <row r="2213" ht="14.4" customHeight="1" x14ac:dyDescent="0.3"/>
    <row r="2214" ht="14.4" customHeight="1" x14ac:dyDescent="0.3"/>
    <row r="2215" ht="14.4" customHeight="1" x14ac:dyDescent="0.3"/>
    <row r="2216" ht="14.4" customHeight="1" x14ac:dyDescent="0.3"/>
    <row r="2217" ht="14.4" customHeight="1" x14ac:dyDescent="0.3"/>
    <row r="2218" ht="14.4" customHeight="1" x14ac:dyDescent="0.3"/>
    <row r="2219" ht="14.4" customHeight="1" x14ac:dyDescent="0.3"/>
    <row r="2220" ht="14.4" customHeight="1" x14ac:dyDescent="0.3"/>
    <row r="2221" ht="14.4" customHeight="1" x14ac:dyDescent="0.3"/>
    <row r="2222" ht="14.4" customHeight="1" x14ac:dyDescent="0.3"/>
    <row r="2223" ht="14.4" customHeight="1" x14ac:dyDescent="0.3"/>
    <row r="2224" ht="14.4" customHeight="1" x14ac:dyDescent="0.3"/>
    <row r="2225" ht="14.4" customHeight="1" x14ac:dyDescent="0.3"/>
    <row r="2226" ht="14.4" customHeight="1" x14ac:dyDescent="0.3"/>
    <row r="2227" ht="14.4" customHeight="1" x14ac:dyDescent="0.3"/>
    <row r="2228" ht="14.4" customHeight="1" x14ac:dyDescent="0.3"/>
    <row r="2229" ht="14.4" customHeight="1" x14ac:dyDescent="0.3"/>
    <row r="2230" ht="14.4" customHeight="1" x14ac:dyDescent="0.3"/>
    <row r="2231" ht="14.4" customHeight="1" x14ac:dyDescent="0.3"/>
    <row r="2232" ht="14.4" customHeight="1" x14ac:dyDescent="0.3"/>
    <row r="2233" ht="14.4" customHeight="1" x14ac:dyDescent="0.3"/>
    <row r="2234" ht="14.4" customHeight="1" x14ac:dyDescent="0.3"/>
    <row r="2235" ht="14.4" customHeight="1" x14ac:dyDescent="0.3"/>
    <row r="2236" ht="14.4" customHeight="1" x14ac:dyDescent="0.3"/>
    <row r="2237" ht="14.4" customHeight="1" x14ac:dyDescent="0.3"/>
    <row r="2238" ht="14.4" customHeight="1" x14ac:dyDescent="0.3"/>
    <row r="2239" ht="14.4" customHeight="1" x14ac:dyDescent="0.3"/>
    <row r="2240" ht="14.4" customHeight="1" x14ac:dyDescent="0.3"/>
    <row r="2241" ht="14.4" customHeight="1" x14ac:dyDescent="0.3"/>
    <row r="2242" ht="14.4" customHeight="1" x14ac:dyDescent="0.3"/>
    <row r="2243" ht="14.4" customHeight="1" x14ac:dyDescent="0.3"/>
    <row r="2244" ht="14.4" customHeight="1" x14ac:dyDescent="0.3"/>
    <row r="2245" ht="14.4" customHeight="1" x14ac:dyDescent="0.3"/>
    <row r="2246" ht="14.4" customHeight="1" x14ac:dyDescent="0.3"/>
    <row r="2247" ht="14.4" customHeight="1" x14ac:dyDescent="0.3"/>
    <row r="2248" ht="14.4" customHeight="1" x14ac:dyDescent="0.3"/>
    <row r="2249" ht="14.4" customHeight="1" x14ac:dyDescent="0.3"/>
    <row r="2250" ht="14.4" customHeight="1" x14ac:dyDescent="0.3"/>
    <row r="2251" ht="14.4" customHeight="1" x14ac:dyDescent="0.3"/>
    <row r="2252" ht="14.4" customHeight="1" x14ac:dyDescent="0.3"/>
    <row r="2253" ht="14.4" customHeight="1" x14ac:dyDescent="0.3"/>
    <row r="2254" ht="14.4" customHeight="1" x14ac:dyDescent="0.3"/>
    <row r="2255" ht="14.4" customHeight="1" x14ac:dyDescent="0.3"/>
    <row r="2256" ht="14.4" customHeight="1" x14ac:dyDescent="0.3"/>
    <row r="2257" ht="14.4" customHeight="1" x14ac:dyDescent="0.3"/>
    <row r="2258" ht="14.4" customHeight="1" x14ac:dyDescent="0.3"/>
    <row r="2259" ht="14.4" customHeight="1" x14ac:dyDescent="0.3"/>
    <row r="2260" ht="14.4" customHeight="1" x14ac:dyDescent="0.3"/>
    <row r="2261" ht="14.4" customHeight="1" x14ac:dyDescent="0.3"/>
    <row r="2262" ht="14.4" customHeight="1" x14ac:dyDescent="0.3"/>
    <row r="2263" ht="14.4" customHeight="1" x14ac:dyDescent="0.3"/>
    <row r="2264" ht="14.4" customHeight="1" x14ac:dyDescent="0.3"/>
    <row r="2265" ht="14.4" customHeight="1" x14ac:dyDescent="0.3"/>
    <row r="2266" ht="14.4" customHeight="1" x14ac:dyDescent="0.3"/>
    <row r="2267" ht="14.4" customHeight="1" x14ac:dyDescent="0.3"/>
    <row r="2268" ht="14.4" customHeight="1" x14ac:dyDescent="0.3"/>
    <row r="2269" ht="14.4" customHeight="1" x14ac:dyDescent="0.3"/>
    <row r="2270" ht="14.4" customHeight="1" x14ac:dyDescent="0.3"/>
    <row r="2271" ht="14.4" customHeight="1" x14ac:dyDescent="0.3"/>
    <row r="2272" ht="14.4" customHeight="1" x14ac:dyDescent="0.3"/>
    <row r="2273" ht="14.4" customHeight="1" x14ac:dyDescent="0.3"/>
    <row r="2274" ht="14.4" customHeight="1" x14ac:dyDescent="0.3"/>
    <row r="2275" ht="14.4" customHeight="1" x14ac:dyDescent="0.3"/>
    <row r="2276" ht="14.4" customHeight="1" x14ac:dyDescent="0.3"/>
    <row r="2277" ht="14.4" customHeight="1" x14ac:dyDescent="0.3"/>
    <row r="2278" ht="14.4" customHeight="1" x14ac:dyDescent="0.3"/>
    <row r="2279" ht="14.4" customHeight="1" x14ac:dyDescent="0.3"/>
    <row r="2280" ht="14.4" customHeight="1" x14ac:dyDescent="0.3"/>
    <row r="2281" ht="14.4" customHeight="1" x14ac:dyDescent="0.3"/>
    <row r="2282" ht="14.4" customHeight="1" x14ac:dyDescent="0.3"/>
    <row r="2283" ht="14.4" customHeight="1" x14ac:dyDescent="0.3"/>
    <row r="2284" ht="14.4" customHeight="1" x14ac:dyDescent="0.3"/>
    <row r="2285" ht="14.4" customHeight="1" x14ac:dyDescent="0.3"/>
    <row r="2286" ht="14.4" customHeight="1" x14ac:dyDescent="0.3"/>
    <row r="2287" ht="14.4" customHeight="1" x14ac:dyDescent="0.3"/>
    <row r="2288" ht="14.4" customHeight="1" x14ac:dyDescent="0.3"/>
    <row r="2289" ht="14.4" customHeight="1" x14ac:dyDescent="0.3"/>
    <row r="2290" ht="14.4" customHeight="1" x14ac:dyDescent="0.3"/>
    <row r="2291" ht="14.4" customHeight="1" x14ac:dyDescent="0.3"/>
    <row r="2292" ht="14.4" customHeight="1" x14ac:dyDescent="0.3"/>
    <row r="2293" ht="14.4" customHeight="1" x14ac:dyDescent="0.3"/>
    <row r="2294" ht="14.4" customHeight="1" x14ac:dyDescent="0.3"/>
    <row r="2295" ht="14.4" customHeight="1" x14ac:dyDescent="0.3"/>
    <row r="2296" ht="14.4" customHeight="1" x14ac:dyDescent="0.3"/>
    <row r="2297" ht="14.4" customHeight="1" x14ac:dyDescent="0.3"/>
    <row r="2298" ht="14.4" customHeight="1" x14ac:dyDescent="0.3"/>
    <row r="2299" ht="14.4" customHeight="1" x14ac:dyDescent="0.3"/>
    <row r="2300" ht="14.4" customHeight="1" x14ac:dyDescent="0.3"/>
    <row r="2301" ht="14.4" customHeight="1" x14ac:dyDescent="0.3"/>
    <row r="2302" ht="14.4" customHeight="1" x14ac:dyDescent="0.3"/>
    <row r="2303" ht="14.4" customHeight="1" x14ac:dyDescent="0.3"/>
    <row r="2304" ht="14.4" customHeight="1" x14ac:dyDescent="0.3"/>
    <row r="2305" ht="14.4" customHeight="1" x14ac:dyDescent="0.3"/>
    <row r="2306" ht="14.4" customHeight="1" x14ac:dyDescent="0.3"/>
    <row r="2307" ht="14.4" customHeight="1" x14ac:dyDescent="0.3"/>
    <row r="2308" ht="14.4" customHeight="1" x14ac:dyDescent="0.3"/>
    <row r="2309" ht="14.4" customHeight="1" x14ac:dyDescent="0.3"/>
    <row r="2310" ht="14.4" customHeight="1" x14ac:dyDescent="0.3"/>
    <row r="2311" ht="14.4" customHeight="1" x14ac:dyDescent="0.3"/>
    <row r="2312" ht="14.4" customHeight="1" x14ac:dyDescent="0.3"/>
    <row r="2313" ht="14.4" customHeight="1" x14ac:dyDescent="0.3"/>
    <row r="2314" ht="14.4" customHeight="1" x14ac:dyDescent="0.3"/>
    <row r="2315" ht="14.4" customHeight="1" x14ac:dyDescent="0.3"/>
    <row r="2316" ht="14.4" customHeight="1" x14ac:dyDescent="0.3"/>
    <row r="2317" ht="14.4" customHeight="1" x14ac:dyDescent="0.3"/>
    <row r="2318" ht="14.4" customHeight="1" x14ac:dyDescent="0.3"/>
    <row r="2319" ht="14.4" customHeight="1" x14ac:dyDescent="0.3"/>
    <row r="2320" ht="14.4" customHeight="1" x14ac:dyDescent="0.3"/>
    <row r="2321" ht="14.4" customHeight="1" x14ac:dyDescent="0.3"/>
    <row r="2322" ht="14.4" customHeight="1" x14ac:dyDescent="0.3"/>
    <row r="2323" ht="14.4" customHeight="1" x14ac:dyDescent="0.3"/>
    <row r="2324" ht="14.4" customHeight="1" x14ac:dyDescent="0.3"/>
    <row r="2325" ht="14.4" customHeight="1" x14ac:dyDescent="0.3"/>
    <row r="2326" ht="14.4" customHeight="1" x14ac:dyDescent="0.3"/>
    <row r="2327" ht="14.4" customHeight="1" x14ac:dyDescent="0.3"/>
    <row r="2328" ht="14.4" customHeight="1" x14ac:dyDescent="0.3"/>
    <row r="2329" ht="14.4" customHeight="1" x14ac:dyDescent="0.3"/>
    <row r="2330" ht="14.4" customHeight="1" x14ac:dyDescent="0.3"/>
    <row r="2331" ht="14.4" customHeight="1" x14ac:dyDescent="0.3"/>
    <row r="2332" ht="14.4" customHeight="1" x14ac:dyDescent="0.3"/>
    <row r="2333" ht="14.4" customHeight="1" x14ac:dyDescent="0.3"/>
    <row r="2334" ht="14.4" customHeight="1" x14ac:dyDescent="0.3"/>
    <row r="2335" ht="14.4" customHeight="1" x14ac:dyDescent="0.3"/>
    <row r="2336" ht="14.4" customHeight="1" x14ac:dyDescent="0.3"/>
    <row r="2337" ht="14.4" customHeight="1" x14ac:dyDescent="0.3"/>
    <row r="2338" ht="14.4" customHeight="1" x14ac:dyDescent="0.3"/>
    <row r="2339" ht="14.4" customHeight="1" x14ac:dyDescent="0.3"/>
    <row r="2340" ht="14.4" customHeight="1" x14ac:dyDescent="0.3"/>
    <row r="2341" ht="14.4" customHeight="1" x14ac:dyDescent="0.3"/>
    <row r="2342" ht="14.4" customHeight="1" x14ac:dyDescent="0.3"/>
    <row r="2343" ht="14.4" customHeight="1" x14ac:dyDescent="0.3"/>
    <row r="2344" ht="14.4" customHeight="1" x14ac:dyDescent="0.3"/>
    <row r="2345" ht="14.4" customHeight="1" x14ac:dyDescent="0.3"/>
    <row r="2346" ht="14.4" customHeight="1" x14ac:dyDescent="0.3"/>
    <row r="2347" ht="14.4" customHeight="1" x14ac:dyDescent="0.3"/>
    <row r="2348" ht="14.4" customHeight="1" x14ac:dyDescent="0.3"/>
    <row r="2349" ht="14.4" customHeight="1" x14ac:dyDescent="0.3"/>
    <row r="2350" ht="14.4" customHeight="1" x14ac:dyDescent="0.3"/>
    <row r="2351" ht="14.4" customHeight="1" x14ac:dyDescent="0.3"/>
    <row r="2352" ht="14.4" customHeight="1" x14ac:dyDescent="0.3"/>
    <row r="2353" ht="14.4" customHeight="1" x14ac:dyDescent="0.3"/>
    <row r="2354" ht="14.4" customHeight="1" x14ac:dyDescent="0.3"/>
    <row r="2355" ht="14.4" customHeight="1" x14ac:dyDescent="0.3"/>
    <row r="2356" ht="14.4" customHeight="1" x14ac:dyDescent="0.3"/>
    <row r="2357" ht="14.4" customHeight="1" x14ac:dyDescent="0.3"/>
    <row r="2358" ht="14.4" customHeight="1" x14ac:dyDescent="0.3"/>
    <row r="2359" ht="14.4" customHeight="1" x14ac:dyDescent="0.3"/>
    <row r="2360" ht="14.4" customHeight="1" x14ac:dyDescent="0.3"/>
    <row r="2361" ht="14.4" customHeight="1" x14ac:dyDescent="0.3"/>
    <row r="2362" ht="14.4" customHeight="1" x14ac:dyDescent="0.3"/>
    <row r="2363" ht="14.4" customHeight="1" x14ac:dyDescent="0.3"/>
    <row r="2364" ht="14.4" customHeight="1" x14ac:dyDescent="0.3"/>
    <row r="2365" ht="14.4" customHeight="1" x14ac:dyDescent="0.3"/>
    <row r="2366" ht="14.4" customHeight="1" x14ac:dyDescent="0.3"/>
    <row r="2367" ht="14.4" customHeight="1" x14ac:dyDescent="0.3"/>
    <row r="2368" ht="14.4" customHeight="1" x14ac:dyDescent="0.3"/>
    <row r="2369" ht="14.4" customHeight="1" x14ac:dyDescent="0.3"/>
    <row r="2370" ht="14.4" customHeight="1" x14ac:dyDescent="0.3"/>
    <row r="2371" ht="14.4" customHeight="1" x14ac:dyDescent="0.3"/>
    <row r="2372" ht="14.4" customHeight="1" x14ac:dyDescent="0.3"/>
    <row r="2373" ht="14.4" customHeight="1" x14ac:dyDescent="0.3"/>
    <row r="2374" ht="14.4" customHeight="1" x14ac:dyDescent="0.3"/>
    <row r="2375" ht="14.4" customHeight="1" x14ac:dyDescent="0.3"/>
    <row r="2376" ht="14.4" customHeight="1" x14ac:dyDescent="0.3"/>
    <row r="2377" ht="14.4" customHeight="1" x14ac:dyDescent="0.3"/>
    <row r="2378" ht="14.4" customHeight="1" x14ac:dyDescent="0.3"/>
    <row r="2379" ht="14.4" customHeight="1" x14ac:dyDescent="0.3"/>
    <row r="2380" ht="14.4" customHeight="1" x14ac:dyDescent="0.3"/>
    <row r="2381" ht="14.4" customHeight="1" x14ac:dyDescent="0.3"/>
    <row r="2382" ht="14.4" customHeight="1" x14ac:dyDescent="0.3"/>
    <row r="2383" ht="14.4" customHeight="1" x14ac:dyDescent="0.3"/>
    <row r="2384" ht="14.4" customHeight="1" x14ac:dyDescent="0.3"/>
    <row r="2385" ht="14.4" customHeight="1" x14ac:dyDescent="0.3"/>
    <row r="2386" ht="14.4" customHeight="1" x14ac:dyDescent="0.3"/>
    <row r="2387" ht="14.4" customHeight="1" x14ac:dyDescent="0.3"/>
    <row r="2388" ht="14.4" customHeight="1" x14ac:dyDescent="0.3"/>
    <row r="2389" ht="14.4" customHeight="1" x14ac:dyDescent="0.3"/>
    <row r="2390" ht="14.4" customHeight="1" x14ac:dyDescent="0.3"/>
    <row r="2391" ht="14.4" customHeight="1" x14ac:dyDescent="0.3"/>
    <row r="2392" ht="14.4" customHeight="1" x14ac:dyDescent="0.3"/>
    <row r="2393" ht="14.4" customHeight="1" x14ac:dyDescent="0.3"/>
    <row r="2394" ht="14.4" customHeight="1" x14ac:dyDescent="0.3"/>
    <row r="2395" ht="14.4" customHeight="1" x14ac:dyDescent="0.3"/>
    <row r="2396" ht="14.4" customHeight="1" x14ac:dyDescent="0.3"/>
    <row r="2397" ht="14.4" customHeight="1" x14ac:dyDescent="0.3"/>
    <row r="2398" ht="14.4" customHeight="1" x14ac:dyDescent="0.3"/>
    <row r="2399" ht="14.4" customHeight="1" x14ac:dyDescent="0.3"/>
    <row r="2400" ht="14.4" customHeight="1" x14ac:dyDescent="0.3"/>
    <row r="2401" ht="14.4" customHeight="1" x14ac:dyDescent="0.3"/>
    <row r="2402" ht="14.4" customHeight="1" x14ac:dyDescent="0.3"/>
    <row r="2403" ht="14.4" customHeight="1" x14ac:dyDescent="0.3"/>
    <row r="2404" ht="14.4" customHeight="1" x14ac:dyDescent="0.3"/>
    <row r="2405" ht="14.4" customHeight="1" x14ac:dyDescent="0.3"/>
    <row r="2406" ht="14.4" customHeight="1" x14ac:dyDescent="0.3"/>
    <row r="2407" ht="14.4" customHeight="1" x14ac:dyDescent="0.3"/>
    <row r="2408" ht="14.4" customHeight="1" x14ac:dyDescent="0.3"/>
    <row r="2409" ht="14.4" customHeight="1" x14ac:dyDescent="0.3"/>
    <row r="2410" ht="14.4" customHeight="1" x14ac:dyDescent="0.3"/>
    <row r="2411" ht="14.4" customHeight="1" x14ac:dyDescent="0.3"/>
    <row r="2412" ht="14.4" customHeight="1" x14ac:dyDescent="0.3"/>
    <row r="2413" ht="14.4" customHeight="1" x14ac:dyDescent="0.3"/>
    <row r="2414" ht="14.4" customHeight="1" x14ac:dyDescent="0.3"/>
    <row r="2415" ht="14.4" customHeight="1" x14ac:dyDescent="0.3"/>
    <row r="2416" ht="14.4" customHeight="1" x14ac:dyDescent="0.3"/>
    <row r="2417" ht="14.4" customHeight="1" x14ac:dyDescent="0.3"/>
    <row r="2418" ht="14.4" customHeight="1" x14ac:dyDescent="0.3"/>
    <row r="2419" ht="14.4" customHeight="1" x14ac:dyDescent="0.3"/>
    <row r="2420" ht="14.4" customHeight="1" x14ac:dyDescent="0.3"/>
    <row r="2421" ht="14.4" customHeight="1" x14ac:dyDescent="0.3"/>
    <row r="2422" ht="14.4" customHeight="1" x14ac:dyDescent="0.3"/>
    <row r="2423" ht="14.4" customHeight="1" x14ac:dyDescent="0.3"/>
    <row r="2424" ht="14.4" customHeight="1" x14ac:dyDescent="0.3"/>
    <row r="2425" ht="14.4" customHeight="1" x14ac:dyDescent="0.3"/>
    <row r="2426" ht="14.4" customHeight="1" x14ac:dyDescent="0.3"/>
    <row r="2427" ht="14.4" customHeight="1" x14ac:dyDescent="0.3"/>
    <row r="2428" ht="14.4" customHeight="1" x14ac:dyDescent="0.3"/>
    <row r="2429" ht="14.4" customHeight="1" x14ac:dyDescent="0.3"/>
    <row r="2430" ht="14.4" customHeight="1" x14ac:dyDescent="0.3"/>
    <row r="2431" ht="14.4" customHeight="1" x14ac:dyDescent="0.3"/>
    <row r="2432" ht="14.4" customHeight="1" x14ac:dyDescent="0.3"/>
    <row r="2433" ht="14.4" customHeight="1" x14ac:dyDescent="0.3"/>
    <row r="2434" ht="14.4" customHeight="1" x14ac:dyDescent="0.3"/>
    <row r="2435" ht="14.4" customHeight="1" x14ac:dyDescent="0.3"/>
    <row r="2436" ht="14.4" customHeight="1" x14ac:dyDescent="0.3"/>
    <row r="2437" ht="14.4" customHeight="1" x14ac:dyDescent="0.3"/>
    <row r="2438" ht="14.4" customHeight="1" x14ac:dyDescent="0.3"/>
    <row r="2439" ht="14.4" customHeight="1" x14ac:dyDescent="0.3"/>
    <row r="2440" ht="14.4" customHeight="1" x14ac:dyDescent="0.3"/>
    <row r="2441" ht="14.4" customHeight="1" x14ac:dyDescent="0.3"/>
    <row r="2442" ht="14.4" customHeight="1" x14ac:dyDescent="0.3"/>
    <row r="2443" ht="14.4" customHeight="1" x14ac:dyDescent="0.3"/>
    <row r="2444" ht="14.4" customHeight="1" x14ac:dyDescent="0.3"/>
    <row r="2445" ht="14.4" customHeight="1" x14ac:dyDescent="0.3"/>
    <row r="2446" ht="14.4" customHeight="1" x14ac:dyDescent="0.3"/>
    <row r="2447" ht="14.4" customHeight="1" x14ac:dyDescent="0.3"/>
    <row r="2448" ht="14.4" customHeight="1" x14ac:dyDescent="0.3"/>
    <row r="2449" ht="14.4" customHeight="1" x14ac:dyDescent="0.3"/>
    <row r="2450" ht="14.4" customHeight="1" x14ac:dyDescent="0.3"/>
    <row r="2451" ht="14.4" customHeight="1" x14ac:dyDescent="0.3"/>
    <row r="2452" ht="14.4" customHeight="1" x14ac:dyDescent="0.3"/>
    <row r="2453" ht="14.4" customHeight="1" x14ac:dyDescent="0.3"/>
    <row r="2454" ht="14.4" customHeight="1" x14ac:dyDescent="0.3"/>
    <row r="2455" ht="14.4" customHeight="1" x14ac:dyDescent="0.3"/>
    <row r="2456" ht="14.4" customHeight="1" x14ac:dyDescent="0.3"/>
    <row r="2457" ht="14.4" customHeight="1" x14ac:dyDescent="0.3"/>
    <row r="2458" ht="14.4" customHeight="1" x14ac:dyDescent="0.3"/>
    <row r="2459" ht="14.4" customHeight="1" x14ac:dyDescent="0.3"/>
    <row r="2460" ht="14.4" customHeight="1" x14ac:dyDescent="0.3"/>
    <row r="2461" ht="14.4" customHeight="1" x14ac:dyDescent="0.3"/>
    <row r="2462" ht="14.4" customHeight="1" x14ac:dyDescent="0.3"/>
    <row r="2463" ht="14.4" customHeight="1" x14ac:dyDescent="0.3"/>
    <row r="2464" ht="14.4" customHeight="1" x14ac:dyDescent="0.3"/>
    <row r="2465" ht="14.4" customHeight="1" x14ac:dyDescent="0.3"/>
    <row r="2466" ht="14.4" customHeight="1" x14ac:dyDescent="0.3"/>
    <row r="2467" ht="14.4" customHeight="1" x14ac:dyDescent="0.3"/>
    <row r="2468" ht="14.4" customHeight="1" x14ac:dyDescent="0.3"/>
    <row r="2469" ht="14.4" customHeight="1" x14ac:dyDescent="0.3"/>
    <row r="2470" ht="14.4" customHeight="1" x14ac:dyDescent="0.3"/>
    <row r="2471" ht="14.4" customHeight="1" x14ac:dyDescent="0.3"/>
    <row r="2472" ht="14.4" customHeight="1" x14ac:dyDescent="0.3"/>
    <row r="2473" ht="14.4" customHeight="1" x14ac:dyDescent="0.3"/>
    <row r="2474" ht="14.4" customHeight="1" x14ac:dyDescent="0.3"/>
    <row r="2475" ht="14.4" customHeight="1" x14ac:dyDescent="0.3"/>
    <row r="2476" ht="14.4" customHeight="1" x14ac:dyDescent="0.3"/>
    <row r="2477" ht="14.4" customHeight="1" x14ac:dyDescent="0.3"/>
    <row r="2478" ht="14.4" customHeight="1" x14ac:dyDescent="0.3"/>
    <row r="2479" ht="14.4" customHeight="1" x14ac:dyDescent="0.3"/>
    <row r="2480" ht="14.4" customHeight="1" x14ac:dyDescent="0.3"/>
    <row r="2481" ht="14.4" customHeight="1" x14ac:dyDescent="0.3"/>
    <row r="2482" ht="14.4" customHeight="1" x14ac:dyDescent="0.3"/>
    <row r="2483" ht="14.4" customHeight="1" x14ac:dyDescent="0.3"/>
    <row r="2484" ht="14.4" customHeight="1" x14ac:dyDescent="0.3"/>
    <row r="2485" ht="14.4" customHeight="1" x14ac:dyDescent="0.3"/>
    <row r="2486" ht="14.4" customHeight="1" x14ac:dyDescent="0.3"/>
    <row r="2487" ht="14.4" customHeight="1" x14ac:dyDescent="0.3"/>
    <row r="2488" ht="14.4" customHeight="1" x14ac:dyDescent="0.3"/>
    <row r="2489" ht="14.4" customHeight="1" x14ac:dyDescent="0.3"/>
    <row r="2490" ht="14.4" customHeight="1" x14ac:dyDescent="0.3"/>
    <row r="2491" ht="14.4" customHeight="1" x14ac:dyDescent="0.3"/>
    <row r="2492" ht="14.4" customHeight="1" x14ac:dyDescent="0.3"/>
    <row r="2493" ht="14.4" customHeight="1" x14ac:dyDescent="0.3"/>
    <row r="2494" ht="14.4" customHeight="1" x14ac:dyDescent="0.3"/>
    <row r="2495" ht="14.4" customHeight="1" x14ac:dyDescent="0.3"/>
    <row r="2496" ht="14.4" customHeight="1" x14ac:dyDescent="0.3"/>
    <row r="2497" ht="14.4" customHeight="1" x14ac:dyDescent="0.3"/>
    <row r="2498" ht="14.4" customHeight="1" x14ac:dyDescent="0.3"/>
    <row r="2499" ht="14.4" customHeight="1" x14ac:dyDescent="0.3"/>
    <row r="2500" ht="14.4" customHeight="1" x14ac:dyDescent="0.3"/>
    <row r="2501" ht="14.4" customHeight="1" x14ac:dyDescent="0.3"/>
    <row r="2502" ht="14.4" customHeight="1" x14ac:dyDescent="0.3"/>
    <row r="2503" ht="14.4" customHeight="1" x14ac:dyDescent="0.3"/>
    <row r="2504" ht="14.4" customHeight="1" x14ac:dyDescent="0.3"/>
    <row r="2505" ht="14.4" customHeight="1" x14ac:dyDescent="0.3"/>
    <row r="2506" ht="14.4" customHeight="1" x14ac:dyDescent="0.3"/>
    <row r="2507" ht="14.4" customHeight="1" x14ac:dyDescent="0.3"/>
    <row r="2508" ht="14.4" customHeight="1" x14ac:dyDescent="0.3"/>
    <row r="2509" ht="14.4" customHeight="1" x14ac:dyDescent="0.3"/>
    <row r="2510" ht="14.4" customHeight="1" x14ac:dyDescent="0.3"/>
    <row r="2511" ht="14.4" customHeight="1" x14ac:dyDescent="0.3"/>
    <row r="2512" ht="14.4" customHeight="1" x14ac:dyDescent="0.3"/>
    <row r="2513" ht="14.4" customHeight="1" x14ac:dyDescent="0.3"/>
    <row r="2514" ht="14.4" customHeight="1" x14ac:dyDescent="0.3"/>
    <row r="2515" ht="14.4" customHeight="1" x14ac:dyDescent="0.3"/>
    <row r="2516" ht="14.4" customHeight="1" x14ac:dyDescent="0.3"/>
    <row r="2517" ht="14.4" customHeight="1" x14ac:dyDescent="0.3"/>
    <row r="2518" ht="14.4" customHeight="1" x14ac:dyDescent="0.3"/>
    <row r="2519" ht="14.4" customHeight="1" x14ac:dyDescent="0.3"/>
    <row r="2520" ht="14.4" customHeight="1" x14ac:dyDescent="0.3"/>
    <row r="2521" ht="14.4" customHeight="1" x14ac:dyDescent="0.3"/>
    <row r="2522" ht="14.4" customHeight="1" x14ac:dyDescent="0.3"/>
    <row r="2523" ht="14.4" customHeight="1" x14ac:dyDescent="0.3"/>
    <row r="2524" ht="14.4" customHeight="1" x14ac:dyDescent="0.3"/>
    <row r="2525" ht="14.4" customHeight="1" x14ac:dyDescent="0.3"/>
    <row r="2526" ht="14.4" customHeight="1" x14ac:dyDescent="0.3"/>
    <row r="2527" ht="14.4" customHeight="1" x14ac:dyDescent="0.3"/>
    <row r="2528" ht="14.4" customHeight="1" x14ac:dyDescent="0.3"/>
    <row r="2529" ht="14.4" customHeight="1" x14ac:dyDescent="0.3"/>
    <row r="2530" ht="14.4" customHeight="1" x14ac:dyDescent="0.3"/>
    <row r="2531" ht="14.4" customHeight="1" x14ac:dyDescent="0.3"/>
    <row r="2532" ht="14.4" customHeight="1" x14ac:dyDescent="0.3"/>
    <row r="2533" ht="14.4" customHeight="1" x14ac:dyDescent="0.3"/>
    <row r="2534" ht="14.4" customHeight="1" x14ac:dyDescent="0.3"/>
    <row r="2535" ht="14.4" customHeight="1" x14ac:dyDescent="0.3"/>
    <row r="2536" ht="14.4" customHeight="1" x14ac:dyDescent="0.3"/>
    <row r="2537" ht="14.4" customHeight="1" x14ac:dyDescent="0.3"/>
    <row r="2538" ht="14.4" customHeight="1" x14ac:dyDescent="0.3"/>
    <row r="2539" ht="14.4" customHeight="1" x14ac:dyDescent="0.3"/>
    <row r="2540" ht="14.4" customHeight="1" x14ac:dyDescent="0.3"/>
    <row r="2541" ht="14.4" customHeight="1" x14ac:dyDescent="0.3"/>
    <row r="2542" ht="14.4" customHeight="1" x14ac:dyDescent="0.3"/>
    <row r="2543" ht="14.4" customHeight="1" x14ac:dyDescent="0.3"/>
    <row r="2544" ht="14.4" customHeight="1" x14ac:dyDescent="0.3"/>
    <row r="2545" ht="14.4" customHeight="1" x14ac:dyDescent="0.3"/>
    <row r="2546" ht="14.4" customHeight="1" x14ac:dyDescent="0.3"/>
    <row r="2547" ht="14.4" customHeight="1" x14ac:dyDescent="0.3"/>
    <row r="2548" ht="14.4" customHeight="1" x14ac:dyDescent="0.3"/>
    <row r="2549" ht="14.4" customHeight="1" x14ac:dyDescent="0.3"/>
    <row r="2550" ht="14.4" customHeight="1" x14ac:dyDescent="0.3"/>
    <row r="2551" ht="14.4" customHeight="1" x14ac:dyDescent="0.3"/>
    <row r="2552" ht="14.4" customHeight="1" x14ac:dyDescent="0.3"/>
    <row r="2553" ht="14.4" customHeight="1" x14ac:dyDescent="0.3"/>
    <row r="2554" ht="14.4" customHeight="1" x14ac:dyDescent="0.3"/>
    <row r="2555" ht="14.4" customHeight="1" x14ac:dyDescent="0.3"/>
    <row r="2556" ht="14.4" customHeight="1" x14ac:dyDescent="0.3"/>
    <row r="2557" ht="14.4" customHeight="1" x14ac:dyDescent="0.3"/>
    <row r="2558" ht="14.4" customHeight="1" x14ac:dyDescent="0.3"/>
    <row r="2559" ht="14.4" customHeight="1" x14ac:dyDescent="0.3"/>
    <row r="2560" ht="14.4" customHeight="1" x14ac:dyDescent="0.3"/>
    <row r="2561" ht="14.4" customHeight="1" x14ac:dyDescent="0.3"/>
    <row r="2562" ht="14.4" customHeight="1" x14ac:dyDescent="0.3"/>
    <row r="2563" ht="14.4" customHeight="1" x14ac:dyDescent="0.3"/>
    <row r="2564" ht="14.4" customHeight="1" x14ac:dyDescent="0.3"/>
    <row r="2565" ht="14.4" customHeight="1" x14ac:dyDescent="0.3"/>
    <row r="2566" ht="14.4" customHeight="1" x14ac:dyDescent="0.3"/>
    <row r="2567" ht="14.4" customHeight="1" x14ac:dyDescent="0.3"/>
    <row r="2568" ht="14.4" customHeight="1" x14ac:dyDescent="0.3"/>
    <row r="2569" ht="14.4" customHeight="1" x14ac:dyDescent="0.3"/>
    <row r="2570" ht="14.4" customHeight="1" x14ac:dyDescent="0.3"/>
    <row r="2571" ht="14.4" customHeight="1" x14ac:dyDescent="0.3"/>
    <row r="2572" ht="14.4" customHeight="1" x14ac:dyDescent="0.3"/>
    <row r="2573" ht="14.4" customHeight="1" x14ac:dyDescent="0.3"/>
    <row r="2574" ht="14.4" customHeight="1" x14ac:dyDescent="0.3"/>
    <row r="2575" ht="14.4" customHeight="1" x14ac:dyDescent="0.3"/>
    <row r="2576" ht="14.4" customHeight="1" x14ac:dyDescent="0.3"/>
    <row r="2577" ht="14.4" customHeight="1" x14ac:dyDescent="0.3"/>
    <row r="2578" ht="14.4" customHeight="1" x14ac:dyDescent="0.3"/>
    <row r="2579" ht="14.4" customHeight="1" x14ac:dyDescent="0.3"/>
    <row r="2580" ht="14.4" customHeight="1" x14ac:dyDescent="0.3"/>
    <row r="2581" ht="14.4" customHeight="1" x14ac:dyDescent="0.3"/>
    <row r="2582" ht="14.4" customHeight="1" x14ac:dyDescent="0.3"/>
    <row r="2583" ht="14.4" customHeight="1" x14ac:dyDescent="0.3"/>
    <row r="2584" ht="14.4" customHeight="1" x14ac:dyDescent="0.3"/>
    <row r="2585" ht="14.4" customHeight="1" x14ac:dyDescent="0.3"/>
    <row r="2586" ht="14.4" customHeight="1" x14ac:dyDescent="0.3"/>
    <row r="2587" ht="14.4" customHeight="1" x14ac:dyDescent="0.3"/>
    <row r="2588" ht="14.4" customHeight="1" x14ac:dyDescent="0.3"/>
    <row r="2589" ht="14.4" customHeight="1" x14ac:dyDescent="0.3"/>
    <row r="2590" ht="14.4" customHeight="1" x14ac:dyDescent="0.3"/>
    <row r="2591" ht="14.4" customHeight="1" x14ac:dyDescent="0.3"/>
    <row r="2592" ht="14.4" customHeight="1" x14ac:dyDescent="0.3"/>
    <row r="2593" ht="14.4" customHeight="1" x14ac:dyDescent="0.3"/>
    <row r="2594" ht="14.4" customHeight="1" x14ac:dyDescent="0.3"/>
    <row r="2595" ht="14.4" customHeight="1" x14ac:dyDescent="0.3"/>
    <row r="2596" ht="14.4" customHeight="1" x14ac:dyDescent="0.3"/>
    <row r="2597" ht="14.4" customHeight="1" x14ac:dyDescent="0.3"/>
    <row r="2598" ht="14.4" customHeight="1" x14ac:dyDescent="0.3"/>
    <row r="2599" ht="14.4" customHeight="1" x14ac:dyDescent="0.3"/>
    <row r="2600" ht="14.4" customHeight="1" x14ac:dyDescent="0.3"/>
    <row r="2601" ht="14.4" customHeight="1" x14ac:dyDescent="0.3"/>
    <row r="2602" ht="14.4" customHeight="1" x14ac:dyDescent="0.3"/>
    <row r="2603" ht="14.4" customHeight="1" x14ac:dyDescent="0.3"/>
    <row r="2604" ht="14.4" customHeight="1" x14ac:dyDescent="0.3"/>
    <row r="2605" ht="14.4" customHeight="1" x14ac:dyDescent="0.3"/>
    <row r="2606" ht="14.4" customHeight="1" x14ac:dyDescent="0.3"/>
    <row r="2607" ht="14.4" customHeight="1" x14ac:dyDescent="0.3"/>
    <row r="2608" ht="14.4" customHeight="1" x14ac:dyDescent="0.3"/>
    <row r="2609" ht="14.4" customHeight="1" x14ac:dyDescent="0.3"/>
    <row r="2610" ht="14.4" customHeight="1" x14ac:dyDescent="0.3"/>
    <row r="2611" ht="14.4" customHeight="1" x14ac:dyDescent="0.3"/>
    <row r="2612" ht="14.4" customHeight="1" x14ac:dyDescent="0.3"/>
    <row r="2613" ht="14.4" customHeight="1" x14ac:dyDescent="0.3"/>
    <row r="2614" ht="14.4" customHeight="1" x14ac:dyDescent="0.3"/>
    <row r="2615" ht="14.4" customHeight="1" x14ac:dyDescent="0.3"/>
    <row r="2616" ht="14.4" customHeight="1" x14ac:dyDescent="0.3"/>
    <row r="2617" ht="14.4" customHeight="1" x14ac:dyDescent="0.3"/>
    <row r="2618" ht="14.4" customHeight="1" x14ac:dyDescent="0.3"/>
    <row r="2619" ht="14.4" customHeight="1" x14ac:dyDescent="0.3"/>
    <row r="2620" ht="14.4" customHeight="1" x14ac:dyDescent="0.3"/>
    <row r="2621" ht="14.4" customHeight="1" x14ac:dyDescent="0.3"/>
    <row r="2622" ht="14.4" customHeight="1" x14ac:dyDescent="0.3"/>
    <row r="2623" ht="14.4" customHeight="1" x14ac:dyDescent="0.3"/>
    <row r="2624" ht="14.4" customHeight="1" x14ac:dyDescent="0.3"/>
    <row r="2625" ht="14.4" customHeight="1" x14ac:dyDescent="0.3"/>
    <row r="2626" ht="14.4" customHeight="1" x14ac:dyDescent="0.3"/>
    <row r="2627" ht="14.4" customHeight="1" x14ac:dyDescent="0.3"/>
    <row r="2628" ht="14.4" customHeight="1" x14ac:dyDescent="0.3"/>
    <row r="2629" ht="14.4" customHeight="1" x14ac:dyDescent="0.3"/>
    <row r="2630" ht="14.4" customHeight="1" x14ac:dyDescent="0.3"/>
    <row r="2631" ht="14.4" customHeight="1" x14ac:dyDescent="0.3"/>
    <row r="2632" ht="14.4" customHeight="1" x14ac:dyDescent="0.3"/>
    <row r="2633" ht="14.4" customHeight="1" x14ac:dyDescent="0.3"/>
    <row r="2634" ht="14.4" customHeight="1" x14ac:dyDescent="0.3"/>
    <row r="2635" ht="14.4" customHeight="1" x14ac:dyDescent="0.3"/>
    <row r="2636" ht="14.4" customHeight="1" x14ac:dyDescent="0.3"/>
    <row r="2637" ht="14.4" customHeight="1" x14ac:dyDescent="0.3"/>
    <row r="2638" ht="14.4" customHeight="1" x14ac:dyDescent="0.3"/>
    <row r="2639" ht="14.4" customHeight="1" x14ac:dyDescent="0.3"/>
    <row r="2640" ht="14.4" customHeight="1" x14ac:dyDescent="0.3"/>
    <row r="2641" ht="14.4" customHeight="1" x14ac:dyDescent="0.3"/>
    <row r="2642" ht="14.4" customHeight="1" x14ac:dyDescent="0.3"/>
    <row r="2643" ht="14.4" customHeight="1" x14ac:dyDescent="0.3"/>
    <row r="2644" ht="14.4" customHeight="1" x14ac:dyDescent="0.3"/>
    <row r="2645" ht="14.4" customHeight="1" x14ac:dyDescent="0.3"/>
    <row r="2646" ht="14.4" customHeight="1" x14ac:dyDescent="0.3"/>
    <row r="2647" ht="14.4" customHeight="1" x14ac:dyDescent="0.3"/>
    <row r="2648" ht="14.4" customHeight="1" x14ac:dyDescent="0.3"/>
    <row r="2649" ht="14.4" customHeight="1" x14ac:dyDescent="0.3"/>
    <row r="2650" ht="14.4" customHeight="1" x14ac:dyDescent="0.3"/>
    <row r="2651" ht="14.4" customHeight="1" x14ac:dyDescent="0.3"/>
    <row r="2652" ht="14.4" customHeight="1" x14ac:dyDescent="0.3"/>
    <row r="2653" ht="14.4" customHeight="1" x14ac:dyDescent="0.3"/>
    <row r="2654" ht="14.4" customHeight="1" x14ac:dyDescent="0.3"/>
    <row r="2655" ht="14.4" customHeight="1" x14ac:dyDescent="0.3"/>
    <row r="2656" ht="14.4" customHeight="1" x14ac:dyDescent="0.3"/>
    <row r="2657" ht="14.4" customHeight="1" x14ac:dyDescent="0.3"/>
    <row r="2658" ht="14.4" customHeight="1" x14ac:dyDescent="0.3"/>
    <row r="2659" ht="14.4" customHeight="1" x14ac:dyDescent="0.3"/>
    <row r="2660" ht="14.4" customHeight="1" x14ac:dyDescent="0.3"/>
    <row r="2661" ht="14.4" customHeight="1" x14ac:dyDescent="0.3"/>
    <row r="2662" ht="14.4" customHeight="1" x14ac:dyDescent="0.3"/>
    <row r="2663" ht="14.4" customHeight="1" x14ac:dyDescent="0.3"/>
    <row r="2664" ht="14.4" customHeight="1" x14ac:dyDescent="0.3"/>
    <row r="2665" ht="14.4" customHeight="1" x14ac:dyDescent="0.3"/>
    <row r="2666" ht="14.4" customHeight="1" x14ac:dyDescent="0.3"/>
    <row r="2667" ht="14.4" customHeight="1" x14ac:dyDescent="0.3"/>
    <row r="2668" ht="14.4" customHeight="1" x14ac:dyDescent="0.3"/>
    <row r="2669" ht="14.4" customHeight="1" x14ac:dyDescent="0.3"/>
    <row r="2670" ht="14.4" customHeight="1" x14ac:dyDescent="0.3"/>
    <row r="2671" ht="14.4" customHeight="1" x14ac:dyDescent="0.3"/>
    <row r="2672" ht="14.4" customHeight="1" x14ac:dyDescent="0.3"/>
    <row r="2673" ht="14.4" customHeight="1" x14ac:dyDescent="0.3"/>
    <row r="2674" ht="14.4" customHeight="1" x14ac:dyDescent="0.3"/>
    <row r="2675" ht="14.4" customHeight="1" x14ac:dyDescent="0.3"/>
    <row r="2676" ht="14.4" customHeight="1" x14ac:dyDescent="0.3"/>
    <row r="2677" ht="14.4" customHeight="1" x14ac:dyDescent="0.3"/>
    <row r="2678" ht="14.4" customHeight="1" x14ac:dyDescent="0.3"/>
    <row r="2679" ht="14.4" customHeight="1" x14ac:dyDescent="0.3"/>
    <row r="2680" ht="14.4" customHeight="1" x14ac:dyDescent="0.3"/>
    <row r="2681" ht="14.4" customHeight="1" x14ac:dyDescent="0.3"/>
    <row r="2682" ht="14.4" customHeight="1" x14ac:dyDescent="0.3"/>
    <row r="2683" ht="14.4" customHeight="1" x14ac:dyDescent="0.3"/>
    <row r="2684" ht="14.4" customHeight="1" x14ac:dyDescent="0.3"/>
    <row r="2685" ht="14.4" customHeight="1" x14ac:dyDescent="0.3"/>
    <row r="2686" ht="14.4" customHeight="1" x14ac:dyDescent="0.3"/>
    <row r="2687" ht="14.4" customHeight="1" x14ac:dyDescent="0.3"/>
    <row r="2688" ht="14.4" customHeight="1" x14ac:dyDescent="0.3"/>
    <row r="2689" ht="14.4" customHeight="1" x14ac:dyDescent="0.3"/>
    <row r="2690" ht="14.4" customHeight="1" x14ac:dyDescent="0.3"/>
    <row r="2691" ht="14.4" customHeight="1" x14ac:dyDescent="0.3"/>
    <row r="2692" ht="14.4" customHeight="1" x14ac:dyDescent="0.3"/>
    <row r="2693" ht="14.4" customHeight="1" x14ac:dyDescent="0.3"/>
    <row r="2694" ht="14.4" customHeight="1" x14ac:dyDescent="0.3"/>
    <row r="2695" ht="14.4" customHeight="1" x14ac:dyDescent="0.3"/>
    <row r="2696" ht="14.4" customHeight="1" x14ac:dyDescent="0.3"/>
    <row r="2697" ht="14.4" customHeight="1" x14ac:dyDescent="0.3"/>
    <row r="2698" ht="14.4" customHeight="1" x14ac:dyDescent="0.3"/>
    <row r="2699" ht="14.4" customHeight="1" x14ac:dyDescent="0.3"/>
    <row r="2700" ht="14.4" customHeight="1" x14ac:dyDescent="0.3"/>
    <row r="2701" ht="14.4" customHeight="1" x14ac:dyDescent="0.3"/>
    <row r="2702" ht="14.4" customHeight="1" x14ac:dyDescent="0.3"/>
    <row r="2703" ht="14.4" customHeight="1" x14ac:dyDescent="0.3"/>
    <row r="2704" ht="14.4" customHeight="1" x14ac:dyDescent="0.3"/>
    <row r="2705" ht="14.4" customHeight="1" x14ac:dyDescent="0.3"/>
    <row r="2706" ht="14.4" customHeight="1" x14ac:dyDescent="0.3"/>
    <row r="2707" ht="14.4" customHeight="1" x14ac:dyDescent="0.3"/>
    <row r="2708" ht="14.4" customHeight="1" x14ac:dyDescent="0.3"/>
    <row r="2709" ht="14.4" customHeight="1" x14ac:dyDescent="0.3"/>
    <row r="2710" ht="14.4" customHeight="1" x14ac:dyDescent="0.3"/>
    <row r="2711" ht="14.4" customHeight="1" x14ac:dyDescent="0.3"/>
    <row r="2712" ht="14.4" customHeight="1" x14ac:dyDescent="0.3"/>
    <row r="2713" ht="14.4" customHeight="1" x14ac:dyDescent="0.3"/>
    <row r="2714" ht="14.4" customHeight="1" x14ac:dyDescent="0.3"/>
    <row r="2715" ht="14.4" customHeight="1" x14ac:dyDescent="0.3"/>
    <row r="2716" ht="14.4" customHeight="1" x14ac:dyDescent="0.3"/>
    <row r="2717" ht="14.4" customHeight="1" x14ac:dyDescent="0.3"/>
    <row r="2718" ht="14.4" customHeight="1" x14ac:dyDescent="0.3"/>
    <row r="2719" ht="14.4" customHeight="1" x14ac:dyDescent="0.3"/>
    <row r="2720" ht="14.4" customHeight="1" x14ac:dyDescent="0.3"/>
    <row r="2721" ht="14.4" customHeight="1" x14ac:dyDescent="0.3"/>
    <row r="2722" ht="14.4" customHeight="1" x14ac:dyDescent="0.3"/>
    <row r="2723" ht="14.4" customHeight="1" x14ac:dyDescent="0.3"/>
    <row r="2724" ht="14.4" customHeight="1" x14ac:dyDescent="0.3"/>
    <row r="2725" ht="14.4" customHeight="1" x14ac:dyDescent="0.3"/>
    <row r="2726" ht="14.4" customHeight="1" x14ac:dyDescent="0.3"/>
    <row r="2727" ht="14.4" customHeight="1" x14ac:dyDescent="0.3"/>
    <row r="2728" ht="14.4" customHeight="1" x14ac:dyDescent="0.3"/>
    <row r="2729" ht="14.4" customHeight="1" x14ac:dyDescent="0.3"/>
    <row r="2730" ht="14.4" customHeight="1" x14ac:dyDescent="0.3"/>
    <row r="2731" ht="14.4" customHeight="1" x14ac:dyDescent="0.3"/>
    <row r="2732" ht="14.4" customHeight="1" x14ac:dyDescent="0.3"/>
    <row r="2733" ht="14.4" customHeight="1" x14ac:dyDescent="0.3"/>
    <row r="2734" ht="14.4" customHeight="1" x14ac:dyDescent="0.3"/>
    <row r="2735" ht="14.4" customHeight="1" x14ac:dyDescent="0.3"/>
    <row r="2736" ht="14.4" customHeight="1" x14ac:dyDescent="0.3"/>
    <row r="2737" ht="14.4" customHeight="1" x14ac:dyDescent="0.3"/>
    <row r="2738" ht="14.4" customHeight="1" x14ac:dyDescent="0.3"/>
    <row r="2739" ht="14.4" customHeight="1" x14ac:dyDescent="0.3"/>
    <row r="2740" ht="14.4" customHeight="1" x14ac:dyDescent="0.3"/>
    <row r="2741" ht="14.4" customHeight="1" x14ac:dyDescent="0.3"/>
    <row r="2742" ht="14.4" customHeight="1" x14ac:dyDescent="0.3"/>
    <row r="2743" ht="14.4" customHeight="1" x14ac:dyDescent="0.3"/>
    <row r="2744" ht="14.4" customHeight="1" x14ac:dyDescent="0.3"/>
    <row r="2745" ht="14.4" customHeight="1" x14ac:dyDescent="0.3"/>
    <row r="2746" ht="14.4" customHeight="1" x14ac:dyDescent="0.3"/>
    <row r="2747" ht="14.4" customHeight="1" x14ac:dyDescent="0.3"/>
    <row r="2748" ht="14.4" customHeight="1" x14ac:dyDescent="0.3"/>
    <row r="2749" ht="14.4" customHeight="1" x14ac:dyDescent="0.3"/>
    <row r="2750" ht="14.4" customHeight="1" x14ac:dyDescent="0.3"/>
    <row r="2751" ht="14.4" customHeight="1" x14ac:dyDescent="0.3"/>
    <row r="2752" ht="14.4" customHeight="1" x14ac:dyDescent="0.3"/>
    <row r="2753" ht="14.4" customHeight="1" x14ac:dyDescent="0.3"/>
    <row r="2754" ht="14.4" customHeight="1" x14ac:dyDescent="0.3"/>
    <row r="2755" ht="14.4" customHeight="1" x14ac:dyDescent="0.3"/>
    <row r="2756" ht="14.4" customHeight="1" x14ac:dyDescent="0.3"/>
    <row r="2757" ht="14.4" customHeight="1" x14ac:dyDescent="0.3"/>
    <row r="2758" ht="14.4" customHeight="1" x14ac:dyDescent="0.3"/>
    <row r="2759" ht="14.4" customHeight="1" x14ac:dyDescent="0.3"/>
    <row r="2760" ht="14.4" customHeight="1" x14ac:dyDescent="0.3"/>
    <row r="2761" ht="14.4" customHeight="1" x14ac:dyDescent="0.3"/>
    <row r="2762" ht="14.4" customHeight="1" x14ac:dyDescent="0.3"/>
    <row r="2763" ht="14.4" customHeight="1" x14ac:dyDescent="0.3"/>
    <row r="2764" ht="14.4" customHeight="1" x14ac:dyDescent="0.3"/>
    <row r="2765" ht="14.4" customHeight="1" x14ac:dyDescent="0.3"/>
    <row r="2766" ht="14.4" customHeight="1" x14ac:dyDescent="0.3"/>
    <row r="2767" ht="14.4" customHeight="1" x14ac:dyDescent="0.3"/>
    <row r="2768" ht="14.4" customHeight="1" x14ac:dyDescent="0.3"/>
    <row r="2769" ht="14.4" customHeight="1" x14ac:dyDescent="0.3"/>
    <row r="2770" ht="14.4" customHeight="1" x14ac:dyDescent="0.3"/>
    <row r="2771" ht="14.4" customHeight="1" x14ac:dyDescent="0.3"/>
    <row r="2772" ht="14.4" customHeight="1" x14ac:dyDescent="0.3"/>
    <row r="2773" ht="14.4" customHeight="1" x14ac:dyDescent="0.3"/>
    <row r="2774" ht="14.4" customHeight="1" x14ac:dyDescent="0.3"/>
    <row r="2775" ht="14.4" customHeight="1" x14ac:dyDescent="0.3"/>
    <row r="2776" ht="14.4" customHeight="1" x14ac:dyDescent="0.3"/>
    <row r="2777" ht="14.4" customHeight="1" x14ac:dyDescent="0.3"/>
    <row r="2778" ht="14.4" customHeight="1" x14ac:dyDescent="0.3"/>
    <row r="2779" ht="14.4" customHeight="1" x14ac:dyDescent="0.3"/>
    <row r="2780" ht="14.4" customHeight="1" x14ac:dyDescent="0.3"/>
    <row r="2781" ht="14.4" customHeight="1" x14ac:dyDescent="0.3"/>
    <row r="2782" ht="14.4" customHeight="1" x14ac:dyDescent="0.3"/>
    <row r="2783" ht="14.4" customHeight="1" x14ac:dyDescent="0.3"/>
    <row r="2784" ht="14.4" customHeight="1" x14ac:dyDescent="0.3"/>
    <row r="2785" ht="14.4" customHeight="1" x14ac:dyDescent="0.3"/>
    <row r="2786" ht="14.4" customHeight="1" x14ac:dyDescent="0.3"/>
    <row r="2787" ht="14.4" customHeight="1" x14ac:dyDescent="0.3"/>
    <row r="2788" ht="14.4" customHeight="1" x14ac:dyDescent="0.3"/>
    <row r="2789" ht="14.4" customHeight="1" x14ac:dyDescent="0.3"/>
    <row r="2790" ht="14.4" customHeight="1" x14ac:dyDescent="0.3"/>
    <row r="2791" ht="14.4" customHeight="1" x14ac:dyDescent="0.3"/>
    <row r="2792" ht="14.4" customHeight="1" x14ac:dyDescent="0.3"/>
    <row r="2793" ht="14.4" customHeight="1" x14ac:dyDescent="0.3"/>
    <row r="2794" ht="14.4" customHeight="1" x14ac:dyDescent="0.3"/>
    <row r="2795" ht="14.4" customHeight="1" x14ac:dyDescent="0.3"/>
    <row r="2796" ht="14.4" customHeight="1" x14ac:dyDescent="0.3"/>
    <row r="2797" ht="14.4" customHeight="1" x14ac:dyDescent="0.3"/>
    <row r="2798" ht="14.4" customHeight="1" x14ac:dyDescent="0.3"/>
    <row r="2799" ht="14.4" customHeight="1" x14ac:dyDescent="0.3"/>
    <row r="2800" ht="14.4" customHeight="1" x14ac:dyDescent="0.3"/>
    <row r="2801" ht="14.4" customHeight="1" x14ac:dyDescent="0.3"/>
    <row r="2802" ht="14.4" customHeight="1" x14ac:dyDescent="0.3"/>
    <row r="2803" ht="14.4" customHeight="1" x14ac:dyDescent="0.3"/>
    <row r="2804" ht="14.4" customHeight="1" x14ac:dyDescent="0.3"/>
    <row r="2805" ht="14.4" customHeight="1" x14ac:dyDescent="0.3"/>
    <row r="2806" ht="14.4" customHeight="1" x14ac:dyDescent="0.3"/>
    <row r="2807" ht="14.4" customHeight="1" x14ac:dyDescent="0.3"/>
    <row r="2808" ht="14.4" customHeight="1" x14ac:dyDescent="0.3"/>
    <row r="2809" ht="14.4" customHeight="1" x14ac:dyDescent="0.3"/>
    <row r="2810" ht="14.4" customHeight="1" x14ac:dyDescent="0.3"/>
    <row r="2811" ht="14.4" customHeight="1" x14ac:dyDescent="0.3"/>
    <row r="2812" ht="14.4" customHeight="1" x14ac:dyDescent="0.3"/>
    <row r="2813" ht="14.4" customHeight="1" x14ac:dyDescent="0.3"/>
    <row r="2814" ht="14.4" customHeight="1" x14ac:dyDescent="0.3"/>
    <row r="2815" ht="14.4" customHeight="1" x14ac:dyDescent="0.3"/>
    <row r="2816" ht="14.4" customHeight="1" x14ac:dyDescent="0.3"/>
    <row r="2817" ht="14.4" customHeight="1" x14ac:dyDescent="0.3"/>
    <row r="2818" ht="14.4" customHeight="1" x14ac:dyDescent="0.3"/>
    <row r="2819" ht="14.4" customHeight="1" x14ac:dyDescent="0.3"/>
    <row r="2820" ht="14.4" customHeight="1" x14ac:dyDescent="0.3"/>
    <row r="2821" ht="14.4" customHeight="1" x14ac:dyDescent="0.3"/>
    <row r="2822" ht="14.4" customHeight="1" x14ac:dyDescent="0.3"/>
    <row r="2823" ht="14.4" customHeight="1" x14ac:dyDescent="0.3"/>
    <row r="2824" ht="14.4" customHeight="1" x14ac:dyDescent="0.3"/>
    <row r="2825" ht="14.4" customHeight="1" x14ac:dyDescent="0.3"/>
    <row r="2826" ht="14.4" customHeight="1" x14ac:dyDescent="0.3"/>
    <row r="2827" ht="14.4" customHeight="1" x14ac:dyDescent="0.3"/>
    <row r="2828" ht="14.4" customHeight="1" x14ac:dyDescent="0.3"/>
    <row r="2829" ht="14.4" customHeight="1" x14ac:dyDescent="0.3"/>
    <row r="2830" ht="14.4" customHeight="1" x14ac:dyDescent="0.3"/>
    <row r="2831" ht="14.4" customHeight="1" x14ac:dyDescent="0.3"/>
    <row r="2832" ht="14.4" customHeight="1" x14ac:dyDescent="0.3"/>
    <row r="2833" ht="14.4" customHeight="1" x14ac:dyDescent="0.3"/>
    <row r="2834" ht="14.4" customHeight="1" x14ac:dyDescent="0.3"/>
    <row r="2835" ht="14.4" customHeight="1" x14ac:dyDescent="0.3"/>
    <row r="2836" ht="14.4" customHeight="1" x14ac:dyDescent="0.3"/>
    <row r="2837" ht="14.4" customHeight="1" x14ac:dyDescent="0.3"/>
    <row r="2838" ht="14.4" customHeight="1" x14ac:dyDescent="0.3"/>
    <row r="2839" ht="14.4" customHeight="1" x14ac:dyDescent="0.3"/>
    <row r="2840" ht="14.4" customHeight="1" x14ac:dyDescent="0.3"/>
    <row r="2841" ht="14.4" customHeight="1" x14ac:dyDescent="0.3"/>
    <row r="2842" ht="14.4" customHeight="1" x14ac:dyDescent="0.3"/>
    <row r="2843" ht="14.4" customHeight="1" x14ac:dyDescent="0.3"/>
    <row r="2844" ht="14.4" customHeight="1" x14ac:dyDescent="0.3"/>
    <row r="2845" ht="14.4" customHeight="1" x14ac:dyDescent="0.3"/>
    <row r="2846" ht="14.4" customHeight="1" x14ac:dyDescent="0.3"/>
    <row r="2847" ht="14.4" customHeight="1" x14ac:dyDescent="0.3"/>
    <row r="2848" ht="14.4" customHeight="1" x14ac:dyDescent="0.3"/>
    <row r="2849" ht="14.4" customHeight="1" x14ac:dyDescent="0.3"/>
    <row r="2850" ht="14.4" customHeight="1" x14ac:dyDescent="0.3"/>
    <row r="2851" ht="14.4" customHeight="1" x14ac:dyDescent="0.3"/>
    <row r="2852" ht="14.4" customHeight="1" x14ac:dyDescent="0.3"/>
    <row r="2853" ht="14.4" customHeight="1" x14ac:dyDescent="0.3"/>
    <row r="2854" ht="14.4" customHeight="1" x14ac:dyDescent="0.3"/>
    <row r="2855" ht="14.4" customHeight="1" x14ac:dyDescent="0.3"/>
    <row r="2856" ht="14.4" customHeight="1" x14ac:dyDescent="0.3"/>
    <row r="2857" ht="14.4" customHeight="1" x14ac:dyDescent="0.3"/>
    <row r="2858" ht="14.4" customHeight="1" x14ac:dyDescent="0.3"/>
    <row r="2859" ht="14.4" customHeight="1" x14ac:dyDescent="0.3"/>
    <row r="2860" ht="14.4" customHeight="1" x14ac:dyDescent="0.3"/>
    <row r="2861" ht="14.4" customHeight="1" x14ac:dyDescent="0.3"/>
    <row r="2862" ht="14.4" customHeight="1" x14ac:dyDescent="0.3"/>
    <row r="2863" ht="14.4" customHeight="1" x14ac:dyDescent="0.3"/>
    <row r="2864" ht="14.4" customHeight="1" x14ac:dyDescent="0.3"/>
    <row r="2865" ht="14.4" customHeight="1" x14ac:dyDescent="0.3"/>
    <row r="2866" ht="14.4" customHeight="1" x14ac:dyDescent="0.3"/>
    <row r="2867" ht="14.4" customHeight="1" x14ac:dyDescent="0.3"/>
    <row r="2868" ht="14.4" customHeight="1" x14ac:dyDescent="0.3"/>
    <row r="2869" ht="14.4" customHeight="1" x14ac:dyDescent="0.3"/>
    <row r="2870" ht="14.4" customHeight="1" x14ac:dyDescent="0.3"/>
    <row r="2871" ht="14.4" customHeight="1" x14ac:dyDescent="0.3"/>
    <row r="2872" ht="14.4" customHeight="1" x14ac:dyDescent="0.3"/>
    <row r="2873" ht="14.4" customHeight="1" x14ac:dyDescent="0.3"/>
    <row r="2874" ht="14.4" customHeight="1" x14ac:dyDescent="0.3"/>
    <row r="2875" ht="14.4" customHeight="1" x14ac:dyDescent="0.3"/>
    <row r="2876" ht="14.4" customHeight="1" x14ac:dyDescent="0.3"/>
    <row r="2877" ht="14.4" customHeight="1" x14ac:dyDescent="0.3"/>
    <row r="2878" ht="14.4" customHeight="1" x14ac:dyDescent="0.3"/>
    <row r="2879" ht="14.4" customHeight="1" x14ac:dyDescent="0.3"/>
    <row r="2880" ht="14.4" customHeight="1" x14ac:dyDescent="0.3"/>
    <row r="2881" ht="14.4" customHeight="1" x14ac:dyDescent="0.3"/>
    <row r="2882" ht="14.4" customHeight="1" x14ac:dyDescent="0.3"/>
    <row r="2883" ht="14.4" customHeight="1" x14ac:dyDescent="0.3"/>
    <row r="2884" ht="14.4" customHeight="1" x14ac:dyDescent="0.3"/>
    <row r="2885" ht="14.4" customHeight="1" x14ac:dyDescent="0.3"/>
    <row r="2886" ht="14.4" customHeight="1" x14ac:dyDescent="0.3"/>
    <row r="2887" ht="14.4" customHeight="1" x14ac:dyDescent="0.3"/>
    <row r="2888" ht="14.4" customHeight="1" x14ac:dyDescent="0.3"/>
    <row r="2889" ht="14.4" customHeight="1" x14ac:dyDescent="0.3"/>
    <row r="2890" ht="14.4" customHeight="1" x14ac:dyDescent="0.3"/>
    <row r="2891" ht="14.4" customHeight="1" x14ac:dyDescent="0.3"/>
    <row r="2892" ht="14.4" customHeight="1" x14ac:dyDescent="0.3"/>
    <row r="2893" ht="14.4" customHeight="1" x14ac:dyDescent="0.3"/>
    <row r="2894" ht="14.4" customHeight="1" x14ac:dyDescent="0.3"/>
    <row r="2895" ht="14.4" customHeight="1" x14ac:dyDescent="0.3"/>
    <row r="2896" ht="14.4" customHeight="1" x14ac:dyDescent="0.3"/>
    <row r="2897" ht="14.4" customHeight="1" x14ac:dyDescent="0.3"/>
    <row r="2898" ht="14.4" customHeight="1" x14ac:dyDescent="0.3"/>
    <row r="2899" ht="14.4" customHeight="1" x14ac:dyDescent="0.3"/>
    <row r="2900" ht="14.4" customHeight="1" x14ac:dyDescent="0.3"/>
    <row r="2901" ht="14.4" customHeight="1" x14ac:dyDescent="0.3"/>
    <row r="2902" ht="14.4" customHeight="1" x14ac:dyDescent="0.3"/>
    <row r="2903" ht="14.4" customHeight="1" x14ac:dyDescent="0.3"/>
    <row r="2904" ht="14.4" customHeight="1" x14ac:dyDescent="0.3"/>
    <row r="2905" ht="14.4" customHeight="1" x14ac:dyDescent="0.3"/>
    <row r="2906" ht="14.4" customHeight="1" x14ac:dyDescent="0.3"/>
    <row r="2907" ht="14.4" customHeight="1" x14ac:dyDescent="0.3"/>
    <row r="2908" ht="14.4" customHeight="1" x14ac:dyDescent="0.3"/>
    <row r="2909" ht="14.4" customHeight="1" x14ac:dyDescent="0.3"/>
    <row r="2910" ht="14.4" customHeight="1" x14ac:dyDescent="0.3"/>
    <row r="2911" ht="14.4" customHeight="1" x14ac:dyDescent="0.3"/>
    <row r="2912" ht="14.4" customHeight="1" x14ac:dyDescent="0.3"/>
    <row r="2913" ht="14.4" customHeight="1" x14ac:dyDescent="0.3"/>
    <row r="2914" ht="14.4" customHeight="1" x14ac:dyDescent="0.3"/>
    <row r="2915" ht="14.4" customHeight="1" x14ac:dyDescent="0.3"/>
    <row r="2916" ht="14.4" customHeight="1" x14ac:dyDescent="0.3"/>
    <row r="2917" ht="14.4" customHeight="1" x14ac:dyDescent="0.3"/>
    <row r="2918" ht="14.4" customHeight="1" x14ac:dyDescent="0.3"/>
    <row r="2919" ht="14.4" customHeight="1" x14ac:dyDescent="0.3"/>
    <row r="2920" ht="14.4" customHeight="1" x14ac:dyDescent="0.3"/>
    <row r="2921" ht="14.4" customHeight="1" x14ac:dyDescent="0.3"/>
    <row r="2922" ht="14.4" customHeight="1" x14ac:dyDescent="0.3"/>
    <row r="2923" ht="14.4" customHeight="1" x14ac:dyDescent="0.3"/>
    <row r="2924" ht="14.4" customHeight="1" x14ac:dyDescent="0.3"/>
    <row r="2925" ht="14.4" customHeight="1" x14ac:dyDescent="0.3"/>
    <row r="2926" ht="14.4" customHeight="1" x14ac:dyDescent="0.3"/>
    <row r="2927" ht="14.4" customHeight="1" x14ac:dyDescent="0.3"/>
    <row r="2928" ht="14.4" customHeight="1" x14ac:dyDescent="0.3"/>
    <row r="2929" ht="14.4" customHeight="1" x14ac:dyDescent="0.3"/>
    <row r="2930" ht="14.4" customHeight="1" x14ac:dyDescent="0.3"/>
    <row r="2931" ht="14.4" customHeight="1" x14ac:dyDescent="0.3"/>
    <row r="2932" ht="14.4" customHeight="1" x14ac:dyDescent="0.3"/>
    <row r="2933" ht="14.4" customHeight="1" x14ac:dyDescent="0.3"/>
    <row r="2934" ht="14.4" customHeight="1" x14ac:dyDescent="0.3"/>
    <row r="2935" ht="14.4" customHeight="1" x14ac:dyDescent="0.3"/>
    <row r="2936" ht="14.4" customHeight="1" x14ac:dyDescent="0.3"/>
    <row r="2937" ht="14.4" customHeight="1" x14ac:dyDescent="0.3"/>
    <row r="2938" ht="14.4" customHeight="1" x14ac:dyDescent="0.3"/>
    <row r="2939" ht="14.4" customHeight="1" x14ac:dyDescent="0.3"/>
    <row r="2940" ht="14.4" customHeight="1" x14ac:dyDescent="0.3"/>
    <row r="2941" ht="14.4" customHeight="1" x14ac:dyDescent="0.3"/>
    <row r="2942" ht="14.4" customHeight="1" x14ac:dyDescent="0.3"/>
    <row r="2943" ht="14.4" customHeight="1" x14ac:dyDescent="0.3"/>
    <row r="2944" ht="14.4" customHeight="1" x14ac:dyDescent="0.3"/>
    <row r="2945" ht="14.4" customHeight="1" x14ac:dyDescent="0.3"/>
    <row r="2946" ht="14.4" customHeight="1" x14ac:dyDescent="0.3"/>
    <row r="2947" ht="14.4" customHeight="1" x14ac:dyDescent="0.3"/>
    <row r="2948" ht="14.4" customHeight="1" x14ac:dyDescent="0.3"/>
    <row r="2949" ht="14.4" customHeight="1" x14ac:dyDescent="0.3"/>
    <row r="2950" ht="14.4" customHeight="1" x14ac:dyDescent="0.3"/>
    <row r="2951" ht="14.4" customHeight="1" x14ac:dyDescent="0.3"/>
    <row r="2952" ht="14.4" customHeight="1" x14ac:dyDescent="0.3"/>
    <row r="2953" ht="14.4" customHeight="1" x14ac:dyDescent="0.3"/>
    <row r="2954" ht="14.4" customHeight="1" x14ac:dyDescent="0.3"/>
    <row r="2955" ht="14.4" customHeight="1" x14ac:dyDescent="0.3"/>
    <row r="2956" ht="14.4" customHeight="1" x14ac:dyDescent="0.3"/>
    <row r="2957" ht="14.4" customHeight="1" x14ac:dyDescent="0.3"/>
    <row r="2958" ht="14.4" customHeight="1" x14ac:dyDescent="0.3"/>
    <row r="2959" ht="14.4" customHeight="1" x14ac:dyDescent="0.3"/>
    <row r="2960" ht="14.4" customHeight="1" x14ac:dyDescent="0.3"/>
    <row r="2961" ht="14.4" customHeight="1" x14ac:dyDescent="0.3"/>
    <row r="2962" ht="14.4" customHeight="1" x14ac:dyDescent="0.3"/>
    <row r="2963" ht="14.4" customHeight="1" x14ac:dyDescent="0.3"/>
    <row r="2964" ht="14.4" customHeight="1" x14ac:dyDescent="0.3"/>
    <row r="2965" ht="14.4" customHeight="1" x14ac:dyDescent="0.3"/>
    <row r="2966" ht="14.4" customHeight="1" x14ac:dyDescent="0.3"/>
    <row r="2967" ht="14.4" customHeight="1" x14ac:dyDescent="0.3"/>
    <row r="2968" ht="14.4" customHeight="1" x14ac:dyDescent="0.3"/>
    <row r="2969" ht="14.4" customHeight="1" x14ac:dyDescent="0.3"/>
    <row r="2970" ht="14.4" customHeight="1" x14ac:dyDescent="0.3"/>
    <row r="2971" ht="14.4" customHeight="1" x14ac:dyDescent="0.3"/>
    <row r="2972" ht="14.4" customHeight="1" x14ac:dyDescent="0.3"/>
    <row r="2973" ht="14.4" customHeight="1" x14ac:dyDescent="0.3"/>
    <row r="2974" ht="14.4" customHeight="1" x14ac:dyDescent="0.3"/>
    <row r="2975" ht="14.4" customHeight="1" x14ac:dyDescent="0.3"/>
    <row r="2976" ht="14.4" customHeight="1" x14ac:dyDescent="0.3"/>
    <row r="2977" ht="14.4" customHeight="1" x14ac:dyDescent="0.3"/>
    <row r="2978" ht="14.4" customHeight="1" x14ac:dyDescent="0.3"/>
    <row r="2979" ht="14.4" customHeight="1" x14ac:dyDescent="0.3"/>
    <row r="2980" ht="14.4" customHeight="1" x14ac:dyDescent="0.3"/>
    <row r="2981" ht="14.4" customHeight="1" x14ac:dyDescent="0.3"/>
    <row r="2982" ht="14.4" customHeight="1" x14ac:dyDescent="0.3"/>
    <row r="2983" ht="14.4" customHeight="1" x14ac:dyDescent="0.3"/>
    <row r="2984" ht="14.4" customHeight="1" x14ac:dyDescent="0.3"/>
    <row r="2985" ht="14.4" customHeight="1" x14ac:dyDescent="0.3"/>
    <row r="2986" ht="14.4" customHeight="1" x14ac:dyDescent="0.3"/>
    <row r="2987" ht="14.4" customHeight="1" x14ac:dyDescent="0.3"/>
    <row r="2988" ht="14.4" customHeight="1" x14ac:dyDescent="0.3"/>
    <row r="2989" ht="14.4" customHeight="1" x14ac:dyDescent="0.3"/>
    <row r="2990" ht="14.4" customHeight="1" x14ac:dyDescent="0.3"/>
    <row r="2991" ht="14.4" customHeight="1" x14ac:dyDescent="0.3"/>
    <row r="2992" ht="14.4" customHeight="1" x14ac:dyDescent="0.3"/>
    <row r="2993" ht="14.4" customHeight="1" x14ac:dyDescent="0.3"/>
    <row r="2994" ht="14.4" customHeight="1" x14ac:dyDescent="0.3"/>
    <row r="2995" ht="14.4" customHeight="1" x14ac:dyDescent="0.3"/>
    <row r="2996" ht="14.4" customHeight="1" x14ac:dyDescent="0.3"/>
    <row r="2997" ht="14.4" customHeight="1" x14ac:dyDescent="0.3"/>
    <row r="2998" ht="14.4" customHeight="1" x14ac:dyDescent="0.3"/>
    <row r="2999" ht="14.4" customHeight="1" x14ac:dyDescent="0.3"/>
    <row r="3000" ht="14.4" customHeight="1" x14ac:dyDescent="0.3"/>
    <row r="3001" ht="14.4" customHeight="1" x14ac:dyDescent="0.3"/>
    <row r="3002" ht="14.4" customHeight="1" x14ac:dyDescent="0.3"/>
    <row r="3003" ht="14.4" customHeight="1" x14ac:dyDescent="0.3"/>
    <row r="3004" ht="14.4" customHeight="1" x14ac:dyDescent="0.3"/>
    <row r="3005" ht="14.4" customHeight="1" x14ac:dyDescent="0.3"/>
    <row r="3006" ht="14.4" customHeight="1" x14ac:dyDescent="0.3"/>
    <row r="3007" ht="14.4" customHeight="1" x14ac:dyDescent="0.3"/>
    <row r="3008" ht="14.4" customHeight="1" x14ac:dyDescent="0.3"/>
    <row r="3009" ht="14.4" customHeight="1" x14ac:dyDescent="0.3"/>
    <row r="3010" ht="14.4" customHeight="1" x14ac:dyDescent="0.3"/>
    <row r="3011" ht="14.4" customHeight="1" x14ac:dyDescent="0.3"/>
    <row r="3012" ht="14.4" customHeight="1" x14ac:dyDescent="0.3"/>
    <row r="3013" ht="14.4" customHeight="1" x14ac:dyDescent="0.3"/>
    <row r="3014" ht="14.4" customHeight="1" x14ac:dyDescent="0.3"/>
    <row r="3015" ht="14.4" customHeight="1" x14ac:dyDescent="0.3"/>
    <row r="3016" ht="14.4" customHeight="1" x14ac:dyDescent="0.3"/>
    <row r="3017" ht="14.4" customHeight="1" x14ac:dyDescent="0.3"/>
    <row r="3018" ht="14.4" customHeight="1" x14ac:dyDescent="0.3"/>
    <row r="3019" ht="14.4" customHeight="1" x14ac:dyDescent="0.3"/>
    <row r="3020" ht="14.4" customHeight="1" x14ac:dyDescent="0.3"/>
    <row r="3021" ht="14.4" customHeight="1" x14ac:dyDescent="0.3"/>
    <row r="3022" ht="14.4" customHeight="1" x14ac:dyDescent="0.3"/>
    <row r="3023" ht="14.4" customHeight="1" x14ac:dyDescent="0.3"/>
    <row r="3024" ht="14.4" customHeight="1" x14ac:dyDescent="0.3"/>
    <row r="3025" ht="14.4" customHeight="1" x14ac:dyDescent="0.3"/>
    <row r="3026" ht="14.4" customHeight="1" x14ac:dyDescent="0.3"/>
    <row r="3027" ht="14.4" customHeight="1" x14ac:dyDescent="0.3"/>
    <row r="3028" ht="14.4" customHeight="1" x14ac:dyDescent="0.3"/>
    <row r="3029" ht="14.4" customHeight="1" x14ac:dyDescent="0.3"/>
    <row r="3030" ht="14.4" customHeight="1" x14ac:dyDescent="0.3"/>
    <row r="3031" ht="14.4" customHeight="1" x14ac:dyDescent="0.3"/>
    <row r="3032" ht="14.4" customHeight="1" x14ac:dyDescent="0.3"/>
    <row r="3033" ht="14.4" customHeight="1" x14ac:dyDescent="0.3"/>
    <row r="3034" ht="14.4" customHeight="1" x14ac:dyDescent="0.3"/>
    <row r="3035" ht="14.4" customHeight="1" x14ac:dyDescent="0.3"/>
    <row r="3036" ht="14.4" customHeight="1" x14ac:dyDescent="0.3"/>
    <row r="3037" ht="14.4" customHeight="1" x14ac:dyDescent="0.3"/>
    <row r="3038" ht="14.4" customHeight="1" x14ac:dyDescent="0.3"/>
    <row r="3039" ht="14.4" customHeight="1" x14ac:dyDescent="0.3"/>
    <row r="3040" ht="14.4" customHeight="1" x14ac:dyDescent="0.3"/>
    <row r="3041" ht="14.4" customHeight="1" x14ac:dyDescent="0.3"/>
    <row r="3042" ht="14.4" customHeight="1" x14ac:dyDescent="0.3"/>
    <row r="3043" ht="14.4" customHeight="1" x14ac:dyDescent="0.3"/>
    <row r="3044" ht="14.4" customHeight="1" x14ac:dyDescent="0.3"/>
    <row r="3045" ht="14.4" customHeight="1" x14ac:dyDescent="0.3"/>
    <row r="3046" ht="14.4" customHeight="1" x14ac:dyDescent="0.3"/>
    <row r="3047" ht="14.4" customHeight="1" x14ac:dyDescent="0.3"/>
    <row r="3048" ht="14.4" customHeight="1" x14ac:dyDescent="0.3"/>
    <row r="3049" ht="14.4" customHeight="1" x14ac:dyDescent="0.3"/>
    <row r="3050" ht="14.4" customHeight="1" x14ac:dyDescent="0.3"/>
    <row r="3051" ht="14.4" customHeight="1" x14ac:dyDescent="0.3"/>
    <row r="3052" ht="14.4" customHeight="1" x14ac:dyDescent="0.3"/>
    <row r="3053" ht="14.4" customHeight="1" x14ac:dyDescent="0.3"/>
    <row r="3054" ht="14.4" customHeight="1" x14ac:dyDescent="0.3"/>
    <row r="3055" ht="14.4" customHeight="1" x14ac:dyDescent="0.3"/>
    <row r="3056" ht="14.4" customHeight="1" x14ac:dyDescent="0.3"/>
    <row r="3057" ht="14.4" customHeight="1" x14ac:dyDescent="0.3"/>
    <row r="3058" ht="14.4" customHeight="1" x14ac:dyDescent="0.3"/>
    <row r="3059" ht="14.4" customHeight="1" x14ac:dyDescent="0.3"/>
    <row r="3060" ht="14.4" customHeight="1" x14ac:dyDescent="0.3"/>
    <row r="3061" ht="14.4" customHeight="1" x14ac:dyDescent="0.3"/>
    <row r="3062" ht="14.4" customHeight="1" x14ac:dyDescent="0.3"/>
    <row r="3063" ht="14.4" customHeight="1" x14ac:dyDescent="0.3"/>
    <row r="3064" ht="14.4" customHeight="1" x14ac:dyDescent="0.3"/>
    <row r="3065" ht="14.4" customHeight="1" x14ac:dyDescent="0.3"/>
    <row r="3066" ht="14.4" customHeight="1" x14ac:dyDescent="0.3"/>
    <row r="3067" ht="14.4" customHeight="1" x14ac:dyDescent="0.3"/>
    <row r="3068" ht="14.4" customHeight="1" x14ac:dyDescent="0.3"/>
    <row r="3069" ht="14.4" customHeight="1" x14ac:dyDescent="0.3"/>
    <row r="3070" ht="14.4" customHeight="1" x14ac:dyDescent="0.3"/>
    <row r="3071" ht="14.4" customHeight="1" x14ac:dyDescent="0.3"/>
    <row r="3072" ht="14.4" customHeight="1" x14ac:dyDescent="0.3"/>
    <row r="3073" ht="14.4" customHeight="1" x14ac:dyDescent="0.3"/>
    <row r="3074" ht="14.4" customHeight="1" x14ac:dyDescent="0.3"/>
    <row r="3075" ht="14.4" customHeight="1" x14ac:dyDescent="0.3"/>
    <row r="3076" ht="14.4" customHeight="1" x14ac:dyDescent="0.3"/>
    <row r="3077" ht="14.4" customHeight="1" x14ac:dyDescent="0.3"/>
    <row r="3078" ht="14.4" customHeight="1" x14ac:dyDescent="0.3"/>
    <row r="3079" ht="14.4" customHeight="1" x14ac:dyDescent="0.3"/>
    <row r="3080" ht="14.4" customHeight="1" x14ac:dyDescent="0.3"/>
    <row r="3081" ht="14.4" customHeight="1" x14ac:dyDescent="0.3"/>
    <row r="3082" ht="14.4" customHeight="1" x14ac:dyDescent="0.3"/>
    <row r="3083" ht="14.4" customHeight="1" x14ac:dyDescent="0.3"/>
    <row r="3084" ht="14.4" customHeight="1" x14ac:dyDescent="0.3"/>
    <row r="3085" ht="14.4" customHeight="1" x14ac:dyDescent="0.3"/>
    <row r="3086" ht="14.4" customHeight="1" x14ac:dyDescent="0.3"/>
    <row r="3087" ht="14.4" customHeight="1" x14ac:dyDescent="0.3"/>
    <row r="3088" ht="14.4" customHeight="1" x14ac:dyDescent="0.3"/>
    <row r="3089" ht="14.4" customHeight="1" x14ac:dyDescent="0.3"/>
    <row r="3090" ht="14.4" customHeight="1" x14ac:dyDescent="0.3"/>
    <row r="3091" ht="14.4" customHeight="1" x14ac:dyDescent="0.3"/>
    <row r="3092" ht="14.4" customHeight="1" x14ac:dyDescent="0.3"/>
    <row r="3093" ht="14.4" customHeight="1" x14ac:dyDescent="0.3"/>
    <row r="3094" ht="14.4" customHeight="1" x14ac:dyDescent="0.3"/>
    <row r="3095" ht="14.4" customHeight="1" x14ac:dyDescent="0.3"/>
    <row r="3096" ht="14.4" customHeight="1" x14ac:dyDescent="0.3"/>
    <row r="3097" ht="14.4" customHeight="1" x14ac:dyDescent="0.3"/>
    <row r="3098" ht="14.4" customHeight="1" x14ac:dyDescent="0.3"/>
    <row r="3099" ht="14.4" customHeight="1" x14ac:dyDescent="0.3"/>
    <row r="3100" ht="14.4" customHeight="1" x14ac:dyDescent="0.3"/>
    <row r="3101" ht="14.4" customHeight="1" x14ac:dyDescent="0.3"/>
    <row r="3102" ht="14.4" customHeight="1" x14ac:dyDescent="0.3"/>
    <row r="3103" ht="14.4" customHeight="1" x14ac:dyDescent="0.3"/>
    <row r="3104" ht="14.4" customHeight="1" x14ac:dyDescent="0.3"/>
    <row r="3105" ht="14.4" customHeight="1" x14ac:dyDescent="0.3"/>
    <row r="3106" ht="14.4" customHeight="1" x14ac:dyDescent="0.3"/>
    <row r="3107" ht="14.4" customHeight="1" x14ac:dyDescent="0.3"/>
    <row r="3108" ht="14.4" customHeight="1" x14ac:dyDescent="0.3"/>
    <row r="3109" ht="14.4" customHeight="1" x14ac:dyDescent="0.3"/>
    <row r="3110" ht="14.4" customHeight="1" x14ac:dyDescent="0.3"/>
    <row r="3111" ht="14.4" customHeight="1" x14ac:dyDescent="0.3"/>
    <row r="3112" ht="14.4" customHeight="1" x14ac:dyDescent="0.3"/>
    <row r="3113" ht="14.4" customHeight="1" x14ac:dyDescent="0.3"/>
    <row r="3114" ht="14.4" customHeight="1" x14ac:dyDescent="0.3"/>
    <row r="3115" ht="14.4" customHeight="1" x14ac:dyDescent="0.3"/>
    <row r="3116" ht="14.4" customHeight="1" x14ac:dyDescent="0.3"/>
    <row r="3117" ht="14.4" customHeight="1" x14ac:dyDescent="0.3"/>
    <row r="3118" ht="14.4" customHeight="1" x14ac:dyDescent="0.3"/>
    <row r="3119" ht="14.4" customHeight="1" x14ac:dyDescent="0.3"/>
    <row r="3120" ht="14.4" customHeight="1" x14ac:dyDescent="0.3"/>
    <row r="3121" ht="14.4" customHeight="1" x14ac:dyDescent="0.3"/>
    <row r="3122" ht="14.4" customHeight="1" x14ac:dyDescent="0.3"/>
    <row r="3123" ht="14.4" customHeight="1" x14ac:dyDescent="0.3"/>
    <row r="3124" ht="14.4" customHeight="1" x14ac:dyDescent="0.3"/>
    <row r="3125" ht="14.4" customHeight="1" x14ac:dyDescent="0.3"/>
    <row r="3126" ht="14.4" customHeight="1" x14ac:dyDescent="0.3"/>
    <row r="3127" ht="14.4" customHeight="1" x14ac:dyDescent="0.3"/>
    <row r="3128" ht="14.4" customHeight="1" x14ac:dyDescent="0.3"/>
    <row r="3129" ht="14.4" customHeight="1" x14ac:dyDescent="0.3"/>
    <row r="3130" ht="14.4" customHeight="1" x14ac:dyDescent="0.3"/>
    <row r="3131" ht="14.4" customHeight="1" x14ac:dyDescent="0.3"/>
    <row r="3132" ht="14.4" customHeight="1" x14ac:dyDescent="0.3"/>
    <row r="3133" ht="14.4" customHeight="1" x14ac:dyDescent="0.3"/>
    <row r="3134" ht="14.4" customHeight="1" x14ac:dyDescent="0.3"/>
    <row r="3135" ht="14.4" customHeight="1" x14ac:dyDescent="0.3"/>
    <row r="3136" ht="14.4" customHeight="1" x14ac:dyDescent="0.3"/>
    <row r="3137" ht="14.4" customHeight="1" x14ac:dyDescent="0.3"/>
    <row r="3138" ht="14.4" customHeight="1" x14ac:dyDescent="0.3"/>
    <row r="3139" ht="14.4" customHeight="1" x14ac:dyDescent="0.3"/>
    <row r="3140" ht="14.4" customHeight="1" x14ac:dyDescent="0.3"/>
    <row r="3141" ht="14.4" customHeight="1" x14ac:dyDescent="0.3"/>
    <row r="3142" ht="14.4" customHeight="1" x14ac:dyDescent="0.3"/>
    <row r="3143" ht="14.4" customHeight="1" x14ac:dyDescent="0.3"/>
    <row r="3144" ht="14.4" customHeight="1" x14ac:dyDescent="0.3"/>
    <row r="3145" ht="14.4" customHeight="1" x14ac:dyDescent="0.3"/>
    <row r="3146" ht="14.4" customHeight="1" x14ac:dyDescent="0.3"/>
    <row r="3147" ht="14.4" customHeight="1" x14ac:dyDescent="0.3"/>
    <row r="3148" ht="14.4" customHeight="1" x14ac:dyDescent="0.3"/>
    <row r="3149" ht="14.4" customHeight="1" x14ac:dyDescent="0.3"/>
    <row r="3150" ht="14.4" customHeight="1" x14ac:dyDescent="0.3"/>
    <row r="3151" ht="14.4" customHeight="1" x14ac:dyDescent="0.3"/>
    <row r="3152" ht="14.4" customHeight="1" x14ac:dyDescent="0.3"/>
    <row r="3153" ht="14.4" customHeight="1" x14ac:dyDescent="0.3"/>
    <row r="3154" ht="14.4" customHeight="1" x14ac:dyDescent="0.3"/>
    <row r="3155" ht="14.4" customHeight="1" x14ac:dyDescent="0.3"/>
    <row r="3156" ht="14.4" customHeight="1" x14ac:dyDescent="0.3"/>
    <row r="3157" ht="14.4" customHeight="1" x14ac:dyDescent="0.3"/>
    <row r="3158" ht="14.4" customHeight="1" x14ac:dyDescent="0.3"/>
    <row r="3159" ht="14.4" customHeight="1" x14ac:dyDescent="0.3"/>
    <row r="3160" ht="14.4" customHeight="1" x14ac:dyDescent="0.3"/>
    <row r="3161" ht="14.4" customHeight="1" x14ac:dyDescent="0.3"/>
    <row r="3162" ht="14.4" customHeight="1" x14ac:dyDescent="0.3"/>
    <row r="3163" ht="14.4" customHeight="1" x14ac:dyDescent="0.3"/>
    <row r="3164" ht="14.4" customHeight="1" x14ac:dyDescent="0.3"/>
    <row r="3165" ht="14.4" customHeight="1" x14ac:dyDescent="0.3"/>
    <row r="3166" ht="14.4" customHeight="1" x14ac:dyDescent="0.3"/>
    <row r="3167" ht="14.4" customHeight="1" x14ac:dyDescent="0.3"/>
    <row r="3168" ht="14.4" customHeight="1" x14ac:dyDescent="0.3"/>
    <row r="3169" ht="14.4" customHeight="1" x14ac:dyDescent="0.3"/>
    <row r="3170" ht="14.4" customHeight="1" x14ac:dyDescent="0.3"/>
    <row r="3171" ht="14.4" customHeight="1" x14ac:dyDescent="0.3"/>
    <row r="3172" ht="14.4" customHeight="1" x14ac:dyDescent="0.3"/>
    <row r="3173" ht="14.4" customHeight="1" x14ac:dyDescent="0.3"/>
    <row r="3174" ht="14.4" customHeight="1" x14ac:dyDescent="0.3"/>
    <row r="3175" ht="14.4" customHeight="1" x14ac:dyDescent="0.3"/>
    <row r="3176" ht="14.4" customHeight="1" x14ac:dyDescent="0.3"/>
    <row r="3177" ht="14.4" customHeight="1" x14ac:dyDescent="0.3"/>
    <row r="3178" ht="14.4" customHeight="1" x14ac:dyDescent="0.3"/>
    <row r="3179" ht="14.4" customHeight="1" x14ac:dyDescent="0.3"/>
    <row r="3180" ht="14.4" customHeight="1" x14ac:dyDescent="0.3"/>
    <row r="3181" ht="14.4" customHeight="1" x14ac:dyDescent="0.3"/>
    <row r="3182" ht="14.4" customHeight="1" x14ac:dyDescent="0.3"/>
    <row r="3183" ht="14.4" customHeight="1" x14ac:dyDescent="0.3"/>
    <row r="3184" ht="14.4" customHeight="1" x14ac:dyDescent="0.3"/>
    <row r="3185" ht="14.4" customHeight="1" x14ac:dyDescent="0.3"/>
    <row r="3186" ht="14.4" customHeight="1" x14ac:dyDescent="0.3"/>
    <row r="3187" ht="14.4" customHeight="1" x14ac:dyDescent="0.3"/>
    <row r="3188" ht="14.4" customHeight="1" x14ac:dyDescent="0.3"/>
    <row r="3189" ht="14.4" customHeight="1" x14ac:dyDescent="0.3"/>
    <row r="3190" ht="14.4" customHeight="1" x14ac:dyDescent="0.3"/>
    <row r="3191" ht="14.4" customHeight="1" x14ac:dyDescent="0.3"/>
    <row r="3192" ht="14.4" customHeight="1" x14ac:dyDescent="0.3"/>
    <row r="3193" ht="14.4" customHeight="1" x14ac:dyDescent="0.3"/>
    <row r="3194" ht="14.4" customHeight="1" x14ac:dyDescent="0.3"/>
    <row r="3195" ht="14.4" customHeight="1" x14ac:dyDescent="0.3"/>
    <row r="3196" ht="14.4" customHeight="1" x14ac:dyDescent="0.3"/>
    <row r="3197" ht="14.4" customHeight="1" x14ac:dyDescent="0.3"/>
    <row r="3198" ht="14.4" customHeight="1" x14ac:dyDescent="0.3"/>
    <row r="3199" ht="14.4" customHeight="1" x14ac:dyDescent="0.3"/>
    <row r="3200" ht="14.4" customHeight="1" x14ac:dyDescent="0.3"/>
    <row r="3201" ht="14.4" customHeight="1" x14ac:dyDescent="0.3"/>
    <row r="3202" ht="14.4" customHeight="1" x14ac:dyDescent="0.3"/>
    <row r="3203" ht="14.4" customHeight="1" x14ac:dyDescent="0.3"/>
    <row r="3204" ht="14.4" customHeight="1" x14ac:dyDescent="0.3"/>
    <row r="3205" ht="14.4" customHeight="1" x14ac:dyDescent="0.3"/>
    <row r="3206" ht="14.4" customHeight="1" x14ac:dyDescent="0.3"/>
    <row r="3207" ht="14.4" customHeight="1" x14ac:dyDescent="0.3"/>
    <row r="3208" ht="14.4" customHeight="1" x14ac:dyDescent="0.3"/>
    <row r="3209" ht="14.4" customHeight="1" x14ac:dyDescent="0.3"/>
    <row r="3210" ht="14.4" customHeight="1" x14ac:dyDescent="0.3"/>
    <row r="3211" ht="14.4" customHeight="1" x14ac:dyDescent="0.3"/>
    <row r="3212" ht="14.4" customHeight="1" x14ac:dyDescent="0.3"/>
    <row r="3213" ht="14.4" customHeight="1" x14ac:dyDescent="0.3"/>
    <row r="3214" ht="14.4" customHeight="1" x14ac:dyDescent="0.3"/>
    <row r="3215" ht="14.4" customHeight="1" x14ac:dyDescent="0.3"/>
    <row r="3216" ht="14.4" customHeight="1" x14ac:dyDescent="0.3"/>
    <row r="3217" ht="14.4" customHeight="1" x14ac:dyDescent="0.3"/>
    <row r="3218" ht="14.4" customHeight="1" x14ac:dyDescent="0.3"/>
    <row r="3219" ht="14.4" customHeight="1" x14ac:dyDescent="0.3"/>
    <row r="3220" ht="14.4" customHeight="1" x14ac:dyDescent="0.3"/>
    <row r="3221" ht="14.4" customHeight="1" x14ac:dyDescent="0.3"/>
    <row r="3222" ht="14.4" customHeight="1" x14ac:dyDescent="0.3"/>
    <row r="3223" ht="14.4" customHeight="1" x14ac:dyDescent="0.3"/>
    <row r="3224" ht="14.4" customHeight="1" x14ac:dyDescent="0.3"/>
    <row r="3225" ht="14.4" customHeight="1" x14ac:dyDescent="0.3"/>
    <row r="3226" ht="14.4" customHeight="1" x14ac:dyDescent="0.3"/>
    <row r="3227" ht="14.4" customHeight="1" x14ac:dyDescent="0.3"/>
    <row r="3228" ht="14.4" customHeight="1" x14ac:dyDescent="0.3"/>
    <row r="3229" ht="14.4" customHeight="1" x14ac:dyDescent="0.3"/>
    <row r="3230" ht="14.4" customHeight="1" x14ac:dyDescent="0.3"/>
    <row r="3231" ht="14.4" customHeight="1" x14ac:dyDescent="0.3"/>
    <row r="3232" ht="14.4" customHeight="1" x14ac:dyDescent="0.3"/>
    <row r="3233" ht="14.4" customHeight="1" x14ac:dyDescent="0.3"/>
    <row r="3234" ht="14.4" customHeight="1" x14ac:dyDescent="0.3"/>
    <row r="3235" ht="14.4" customHeight="1" x14ac:dyDescent="0.3"/>
    <row r="3236" ht="14.4" customHeight="1" x14ac:dyDescent="0.3"/>
    <row r="3237" ht="14.4" customHeight="1" x14ac:dyDescent="0.3"/>
    <row r="3238" ht="14.4" customHeight="1" x14ac:dyDescent="0.3"/>
    <row r="3239" ht="14.4" customHeight="1" x14ac:dyDescent="0.3"/>
    <row r="3240" ht="14.4" customHeight="1" x14ac:dyDescent="0.3"/>
    <row r="3241" ht="14.4" customHeight="1" x14ac:dyDescent="0.3"/>
    <row r="3242" ht="14.4" customHeight="1" x14ac:dyDescent="0.3"/>
    <row r="3243" ht="14.4" customHeight="1" x14ac:dyDescent="0.3"/>
    <row r="3244" ht="14.4" customHeight="1" x14ac:dyDescent="0.3"/>
    <row r="3245" ht="14.4" customHeight="1" x14ac:dyDescent="0.3"/>
    <row r="3246" ht="14.4" customHeight="1" x14ac:dyDescent="0.3"/>
    <row r="3247" ht="14.4" customHeight="1" x14ac:dyDescent="0.3"/>
    <row r="3248" ht="14.4" customHeight="1" x14ac:dyDescent="0.3"/>
    <row r="3249" ht="14.4" customHeight="1" x14ac:dyDescent="0.3"/>
    <row r="3250" ht="14.4" customHeight="1" x14ac:dyDescent="0.3"/>
    <row r="3251" ht="14.4" customHeight="1" x14ac:dyDescent="0.3"/>
    <row r="3252" ht="14.4" customHeight="1" x14ac:dyDescent="0.3"/>
    <row r="3253" ht="14.4" customHeight="1" x14ac:dyDescent="0.3"/>
    <row r="3254" ht="14.4" customHeight="1" x14ac:dyDescent="0.3"/>
    <row r="3255" ht="14.4" customHeight="1" x14ac:dyDescent="0.3"/>
    <row r="3256" ht="14.4" customHeight="1" x14ac:dyDescent="0.3"/>
    <row r="3257" ht="14.4" customHeight="1" x14ac:dyDescent="0.3"/>
    <row r="3258" ht="14.4" customHeight="1" x14ac:dyDescent="0.3"/>
    <row r="3259" ht="14.4" customHeight="1" x14ac:dyDescent="0.3"/>
    <row r="3260" ht="14.4" customHeight="1" x14ac:dyDescent="0.3"/>
    <row r="3261" ht="14.4" customHeight="1" x14ac:dyDescent="0.3"/>
    <row r="3262" ht="14.4" customHeight="1" x14ac:dyDescent="0.3"/>
    <row r="3263" ht="14.4" customHeight="1" x14ac:dyDescent="0.3"/>
    <row r="3264" ht="14.4" customHeight="1" x14ac:dyDescent="0.3"/>
    <row r="3265" ht="14.4" customHeight="1" x14ac:dyDescent="0.3"/>
    <row r="3266" ht="14.4" customHeight="1" x14ac:dyDescent="0.3"/>
    <row r="3267" ht="14.4" customHeight="1" x14ac:dyDescent="0.3"/>
    <row r="3268" ht="14.4" customHeight="1" x14ac:dyDescent="0.3"/>
    <row r="3269" ht="14.4" customHeight="1" x14ac:dyDescent="0.3"/>
    <row r="3270" ht="14.4" customHeight="1" x14ac:dyDescent="0.3"/>
    <row r="3271" ht="14.4" customHeight="1" x14ac:dyDescent="0.3"/>
    <row r="3272" ht="14.4" customHeight="1" x14ac:dyDescent="0.3"/>
    <row r="3273" ht="14.4" customHeight="1" x14ac:dyDescent="0.3"/>
    <row r="3274" ht="14.4" customHeight="1" x14ac:dyDescent="0.3"/>
    <row r="3275" ht="14.4" customHeight="1" x14ac:dyDescent="0.3"/>
    <row r="3276" ht="14.4" customHeight="1" x14ac:dyDescent="0.3"/>
    <row r="3277" ht="14.4" customHeight="1" x14ac:dyDescent="0.3"/>
    <row r="3278" ht="14.4" customHeight="1" x14ac:dyDescent="0.3"/>
    <row r="3279" ht="14.4" customHeight="1" x14ac:dyDescent="0.3"/>
    <row r="3280" ht="14.4" customHeight="1" x14ac:dyDescent="0.3"/>
    <row r="3281" ht="14.4" customHeight="1" x14ac:dyDescent="0.3"/>
    <row r="3282" ht="14.4" customHeight="1" x14ac:dyDescent="0.3"/>
    <row r="3283" ht="14.4" customHeight="1" x14ac:dyDescent="0.3"/>
    <row r="3284" ht="14.4" customHeight="1" x14ac:dyDescent="0.3"/>
    <row r="3285" ht="14.4" customHeight="1" x14ac:dyDescent="0.3"/>
    <row r="3286" ht="14.4" customHeight="1" x14ac:dyDescent="0.3"/>
    <row r="3287" ht="14.4" customHeight="1" x14ac:dyDescent="0.3"/>
    <row r="3288" ht="14.4" customHeight="1" x14ac:dyDescent="0.3"/>
    <row r="3289" ht="14.4" customHeight="1" x14ac:dyDescent="0.3"/>
    <row r="3290" ht="14.4" customHeight="1" x14ac:dyDescent="0.3"/>
    <row r="3291" ht="14.4" customHeight="1" x14ac:dyDescent="0.3"/>
    <row r="3292" ht="14.4" customHeight="1" x14ac:dyDescent="0.3"/>
    <row r="3293" ht="14.4" customHeight="1" x14ac:dyDescent="0.3"/>
    <row r="3294" ht="14.4" customHeight="1" x14ac:dyDescent="0.3"/>
    <row r="3295" ht="14.4" customHeight="1" x14ac:dyDescent="0.3"/>
    <row r="3296" ht="14.4" customHeight="1" x14ac:dyDescent="0.3"/>
    <row r="3297" ht="14.4" customHeight="1" x14ac:dyDescent="0.3"/>
    <row r="3298" ht="14.4" customHeight="1" x14ac:dyDescent="0.3"/>
    <row r="3299" ht="14.4" customHeight="1" x14ac:dyDescent="0.3"/>
    <row r="3300" ht="14.4" customHeight="1" x14ac:dyDescent="0.3"/>
    <row r="3301" ht="14.4" customHeight="1" x14ac:dyDescent="0.3"/>
    <row r="3302" ht="14.4" customHeight="1" x14ac:dyDescent="0.3"/>
    <row r="3303" ht="14.4" customHeight="1" x14ac:dyDescent="0.3"/>
    <row r="3304" ht="14.4" customHeight="1" x14ac:dyDescent="0.3"/>
    <row r="3305" ht="14.4" customHeight="1" x14ac:dyDescent="0.3"/>
    <row r="3306" ht="14.4" customHeight="1" x14ac:dyDescent="0.3"/>
    <row r="3307" ht="14.4" customHeight="1" x14ac:dyDescent="0.3"/>
    <row r="3308" ht="14.4" customHeight="1" x14ac:dyDescent="0.3"/>
    <row r="3309" ht="14.4" customHeight="1" x14ac:dyDescent="0.3"/>
    <row r="3310" ht="14.4" customHeight="1" x14ac:dyDescent="0.3"/>
    <row r="3311" ht="14.4" customHeight="1" x14ac:dyDescent="0.3"/>
    <row r="3312" ht="14.4" customHeight="1" x14ac:dyDescent="0.3"/>
    <row r="3313" ht="14.4" customHeight="1" x14ac:dyDescent="0.3"/>
    <row r="3314" ht="14.4" customHeight="1" x14ac:dyDescent="0.3"/>
    <row r="3315" ht="14.4" customHeight="1" x14ac:dyDescent="0.3"/>
    <row r="3316" ht="14.4" customHeight="1" x14ac:dyDescent="0.3"/>
    <row r="3317" ht="14.4" customHeight="1" x14ac:dyDescent="0.3"/>
    <row r="3318" ht="14.4" customHeight="1" x14ac:dyDescent="0.3"/>
    <row r="3319" ht="14.4" customHeight="1" x14ac:dyDescent="0.3"/>
    <row r="3320" ht="14.4" customHeight="1" x14ac:dyDescent="0.3"/>
    <row r="3321" ht="14.4" customHeight="1" x14ac:dyDescent="0.3"/>
    <row r="3322" ht="14.4" customHeight="1" x14ac:dyDescent="0.3"/>
    <row r="3323" ht="14.4" customHeight="1" x14ac:dyDescent="0.3"/>
    <row r="3324" ht="14.4" customHeight="1" x14ac:dyDescent="0.3"/>
    <row r="3325" ht="14.4" customHeight="1" x14ac:dyDescent="0.3"/>
    <row r="3326" ht="14.4" customHeight="1" x14ac:dyDescent="0.3"/>
    <row r="3327" ht="14.4" customHeight="1" x14ac:dyDescent="0.3"/>
    <row r="3328" ht="14.4" customHeight="1" x14ac:dyDescent="0.3"/>
    <row r="3329" ht="14.4" customHeight="1" x14ac:dyDescent="0.3"/>
    <row r="3330" ht="14.4" customHeight="1" x14ac:dyDescent="0.3"/>
    <row r="3331" ht="14.4" customHeight="1" x14ac:dyDescent="0.3"/>
    <row r="3332" ht="14.4" customHeight="1" x14ac:dyDescent="0.3"/>
    <row r="3333" ht="14.4" customHeight="1" x14ac:dyDescent="0.3"/>
    <row r="3334" ht="14.4" customHeight="1" x14ac:dyDescent="0.3"/>
    <row r="3335" ht="14.4" customHeight="1" x14ac:dyDescent="0.3"/>
    <row r="3336" ht="14.4" customHeight="1" x14ac:dyDescent="0.3"/>
    <row r="3337" ht="14.4" customHeight="1" x14ac:dyDescent="0.3"/>
    <row r="3338" ht="14.4" customHeight="1" x14ac:dyDescent="0.3"/>
    <row r="3339" ht="14.4" customHeight="1" x14ac:dyDescent="0.3"/>
    <row r="3340" ht="14.4" customHeight="1" x14ac:dyDescent="0.3"/>
    <row r="3341" ht="14.4" customHeight="1" x14ac:dyDescent="0.3"/>
    <row r="3342" ht="14.4" customHeight="1" x14ac:dyDescent="0.3"/>
    <row r="3343" ht="14.4" customHeight="1" x14ac:dyDescent="0.3"/>
    <row r="3344" ht="14.4" customHeight="1" x14ac:dyDescent="0.3"/>
    <row r="3345" ht="14.4" customHeight="1" x14ac:dyDescent="0.3"/>
    <row r="3346" ht="14.4" customHeight="1" x14ac:dyDescent="0.3"/>
    <row r="3347" ht="14.4" customHeight="1" x14ac:dyDescent="0.3"/>
    <row r="3348" ht="14.4" customHeight="1" x14ac:dyDescent="0.3"/>
    <row r="3349" ht="14.4" customHeight="1" x14ac:dyDescent="0.3"/>
    <row r="3350" ht="14.4" customHeight="1" x14ac:dyDescent="0.3"/>
    <row r="3351" ht="14.4" customHeight="1" x14ac:dyDescent="0.3"/>
    <row r="3352" ht="14.4" customHeight="1" x14ac:dyDescent="0.3"/>
    <row r="3353" ht="14.4" customHeight="1" x14ac:dyDescent="0.3"/>
    <row r="3354" ht="14.4" customHeight="1" x14ac:dyDescent="0.3"/>
    <row r="3355" ht="14.4" customHeight="1" x14ac:dyDescent="0.3"/>
    <row r="3356" ht="14.4" customHeight="1" x14ac:dyDescent="0.3"/>
    <row r="3357" ht="14.4" customHeight="1" x14ac:dyDescent="0.3"/>
    <row r="3358" ht="14.4" customHeight="1" x14ac:dyDescent="0.3"/>
    <row r="3359" ht="14.4" customHeight="1" x14ac:dyDescent="0.3"/>
    <row r="3360" ht="14.4" customHeight="1" x14ac:dyDescent="0.3"/>
    <row r="3361" ht="14.4" customHeight="1" x14ac:dyDescent="0.3"/>
    <row r="3362" ht="14.4" customHeight="1" x14ac:dyDescent="0.3"/>
    <row r="3363" ht="14.4" customHeight="1" x14ac:dyDescent="0.3"/>
    <row r="3364" ht="14.4" customHeight="1" x14ac:dyDescent="0.3"/>
    <row r="3365" ht="14.4" customHeight="1" x14ac:dyDescent="0.3"/>
    <row r="3366" ht="14.4" customHeight="1" x14ac:dyDescent="0.3"/>
    <row r="3367" ht="14.4" customHeight="1" x14ac:dyDescent="0.3"/>
    <row r="3368" ht="14.4" customHeight="1" x14ac:dyDescent="0.3"/>
    <row r="3369" ht="14.4" customHeight="1" x14ac:dyDescent="0.3"/>
    <row r="3370" ht="14.4" customHeight="1" x14ac:dyDescent="0.3"/>
    <row r="3371" ht="14.4" customHeight="1" x14ac:dyDescent="0.3"/>
    <row r="3372" ht="14.4" customHeight="1" x14ac:dyDescent="0.3"/>
    <row r="3373" ht="14.4" customHeight="1" x14ac:dyDescent="0.3"/>
    <row r="3374" ht="14.4" customHeight="1" x14ac:dyDescent="0.3"/>
    <row r="3375" ht="14.4" customHeight="1" x14ac:dyDescent="0.3"/>
    <row r="3376" ht="14.4" customHeight="1" x14ac:dyDescent="0.3"/>
    <row r="3377" ht="14.4" customHeight="1" x14ac:dyDescent="0.3"/>
    <row r="3378" ht="14.4" customHeight="1" x14ac:dyDescent="0.3"/>
    <row r="3379" ht="14.4" customHeight="1" x14ac:dyDescent="0.3"/>
    <row r="3380" ht="14.4" customHeight="1" x14ac:dyDescent="0.3"/>
    <row r="3381" ht="14.4" customHeight="1" x14ac:dyDescent="0.3"/>
    <row r="3382" ht="14.4" customHeight="1" x14ac:dyDescent="0.3"/>
    <row r="3383" ht="14.4" customHeight="1" x14ac:dyDescent="0.3"/>
    <row r="3384" ht="14.4" customHeight="1" x14ac:dyDescent="0.3"/>
    <row r="3385" ht="14.4" customHeight="1" x14ac:dyDescent="0.3"/>
    <row r="3386" ht="14.4" customHeight="1" x14ac:dyDescent="0.3"/>
    <row r="3387" ht="14.4" customHeight="1" x14ac:dyDescent="0.3"/>
    <row r="3388" ht="14.4" customHeight="1" x14ac:dyDescent="0.3"/>
    <row r="3389" ht="14.4" customHeight="1" x14ac:dyDescent="0.3"/>
    <row r="3390" ht="14.4" customHeight="1" x14ac:dyDescent="0.3"/>
    <row r="3391" ht="14.4" customHeight="1" x14ac:dyDescent="0.3"/>
    <row r="3392" ht="14.4" customHeight="1" x14ac:dyDescent="0.3"/>
    <row r="3393" ht="14.4" customHeight="1" x14ac:dyDescent="0.3"/>
    <row r="3394" ht="14.4" customHeight="1" x14ac:dyDescent="0.3"/>
    <row r="3395" ht="14.4" customHeight="1" x14ac:dyDescent="0.3"/>
    <row r="3396" ht="14.4" customHeight="1" x14ac:dyDescent="0.3"/>
    <row r="3397" ht="14.4" customHeight="1" x14ac:dyDescent="0.3"/>
    <row r="3398" ht="14.4" customHeight="1" x14ac:dyDescent="0.3"/>
    <row r="3399" ht="14.4" customHeight="1" x14ac:dyDescent="0.3"/>
    <row r="3400" ht="14.4" customHeight="1" x14ac:dyDescent="0.3"/>
    <row r="3401" ht="14.4" customHeight="1" x14ac:dyDescent="0.3"/>
    <row r="3402" ht="14.4" customHeight="1" x14ac:dyDescent="0.3"/>
    <row r="3403" ht="14.4" customHeight="1" x14ac:dyDescent="0.3"/>
    <row r="3404" ht="14.4" customHeight="1" x14ac:dyDescent="0.3"/>
    <row r="3405" ht="14.4" customHeight="1" x14ac:dyDescent="0.3"/>
    <row r="3406" ht="14.4" customHeight="1" x14ac:dyDescent="0.3"/>
    <row r="3407" ht="14.4" customHeight="1" x14ac:dyDescent="0.3"/>
    <row r="3408" ht="14.4" customHeight="1" x14ac:dyDescent="0.3"/>
    <row r="3409" ht="14.4" customHeight="1" x14ac:dyDescent="0.3"/>
    <row r="3410" ht="14.4" customHeight="1" x14ac:dyDescent="0.3"/>
    <row r="3411" ht="14.4" customHeight="1" x14ac:dyDescent="0.3"/>
    <row r="3412" ht="14.4" customHeight="1" x14ac:dyDescent="0.3"/>
    <row r="3413" ht="14.4" customHeight="1" x14ac:dyDescent="0.3"/>
    <row r="3414" ht="14.4" customHeight="1" x14ac:dyDescent="0.3"/>
    <row r="3415" ht="14.4" customHeight="1" x14ac:dyDescent="0.3"/>
    <row r="3416" ht="14.4" customHeight="1" x14ac:dyDescent="0.3"/>
    <row r="3417" ht="14.4" customHeight="1" x14ac:dyDescent="0.3"/>
    <row r="3418" ht="14.4" customHeight="1" x14ac:dyDescent="0.3"/>
    <row r="3419" ht="14.4" customHeight="1" x14ac:dyDescent="0.3"/>
    <row r="3420" ht="14.4" customHeight="1" x14ac:dyDescent="0.3"/>
    <row r="3421" ht="14.4" customHeight="1" x14ac:dyDescent="0.3"/>
    <row r="3422" ht="14.4" customHeight="1" x14ac:dyDescent="0.3"/>
    <row r="3423" ht="14.4" customHeight="1" x14ac:dyDescent="0.3"/>
    <row r="3424" ht="14.4" customHeight="1" x14ac:dyDescent="0.3"/>
    <row r="3425" ht="14.4" customHeight="1" x14ac:dyDescent="0.3"/>
    <row r="3426" ht="14.4" customHeight="1" x14ac:dyDescent="0.3"/>
    <row r="3427" ht="14.4" customHeight="1" x14ac:dyDescent="0.3"/>
    <row r="3428" ht="14.4" customHeight="1" x14ac:dyDescent="0.3"/>
    <row r="3429" ht="14.4" customHeight="1" x14ac:dyDescent="0.3"/>
    <row r="3430" ht="14.4" customHeight="1" x14ac:dyDescent="0.3"/>
    <row r="3431" ht="14.4" customHeight="1" x14ac:dyDescent="0.3"/>
    <row r="3432" ht="14.4" customHeight="1" x14ac:dyDescent="0.3"/>
    <row r="3433" ht="14.4" customHeight="1" x14ac:dyDescent="0.3"/>
    <row r="3434" ht="14.4" customHeight="1" x14ac:dyDescent="0.3"/>
    <row r="3435" ht="14.4" customHeight="1" x14ac:dyDescent="0.3"/>
    <row r="3436" ht="14.4" customHeight="1" x14ac:dyDescent="0.3"/>
    <row r="3437" ht="14.4" customHeight="1" x14ac:dyDescent="0.3"/>
    <row r="3438" ht="14.4" customHeight="1" x14ac:dyDescent="0.3"/>
    <row r="3439" ht="14.4" customHeight="1" x14ac:dyDescent="0.3"/>
    <row r="3440" ht="14.4" customHeight="1" x14ac:dyDescent="0.3"/>
    <row r="3441" ht="14.4" customHeight="1" x14ac:dyDescent="0.3"/>
    <row r="3442" ht="14.4" customHeight="1" x14ac:dyDescent="0.3"/>
    <row r="3443" ht="14.4" customHeight="1" x14ac:dyDescent="0.3"/>
    <row r="3444" ht="14.4" customHeight="1" x14ac:dyDescent="0.3"/>
    <row r="3445" ht="14.4" customHeight="1" x14ac:dyDescent="0.3"/>
    <row r="3446" ht="14.4" customHeight="1" x14ac:dyDescent="0.3"/>
    <row r="3447" ht="14.4" customHeight="1" x14ac:dyDescent="0.3"/>
    <row r="3448" ht="14.4" customHeight="1" x14ac:dyDescent="0.3"/>
    <row r="3449" ht="14.4" customHeight="1" x14ac:dyDescent="0.3"/>
    <row r="3450" ht="14.4" customHeight="1" x14ac:dyDescent="0.3"/>
    <row r="3451" ht="14.4" customHeight="1" x14ac:dyDescent="0.3"/>
    <row r="3452" ht="14.4" customHeight="1" x14ac:dyDescent="0.3"/>
    <row r="3453" ht="14.4" customHeight="1" x14ac:dyDescent="0.3"/>
    <row r="3454" ht="14.4" customHeight="1" x14ac:dyDescent="0.3"/>
    <row r="3455" ht="14.4" customHeight="1" x14ac:dyDescent="0.3"/>
    <row r="3456" ht="14.4" customHeight="1" x14ac:dyDescent="0.3"/>
    <row r="3457" ht="14.4" customHeight="1" x14ac:dyDescent="0.3"/>
    <row r="3458" ht="14.4" customHeight="1" x14ac:dyDescent="0.3"/>
    <row r="3459" ht="14.4" customHeight="1" x14ac:dyDescent="0.3"/>
    <row r="3460" ht="14.4" customHeight="1" x14ac:dyDescent="0.3"/>
    <row r="3461" ht="14.4" customHeight="1" x14ac:dyDescent="0.3"/>
    <row r="3462" ht="14.4" customHeight="1" x14ac:dyDescent="0.3"/>
    <row r="3463" ht="14.4" customHeight="1" x14ac:dyDescent="0.3"/>
    <row r="3464" ht="14.4" customHeight="1" x14ac:dyDescent="0.3"/>
    <row r="3465" ht="14.4" customHeight="1" x14ac:dyDescent="0.3"/>
    <row r="3466" ht="14.4" customHeight="1" x14ac:dyDescent="0.3"/>
    <row r="3467" ht="14.4" customHeight="1" x14ac:dyDescent="0.3"/>
    <row r="3468" ht="14.4" customHeight="1" x14ac:dyDescent="0.3"/>
    <row r="3469" ht="14.4" customHeight="1" x14ac:dyDescent="0.3"/>
    <row r="3470" ht="14.4" customHeight="1" x14ac:dyDescent="0.3"/>
    <row r="3471" ht="14.4" customHeight="1" x14ac:dyDescent="0.3"/>
    <row r="3472" ht="14.4" customHeight="1" x14ac:dyDescent="0.3"/>
    <row r="3473" ht="14.4" customHeight="1" x14ac:dyDescent="0.3"/>
    <row r="3474" ht="14.4" customHeight="1" x14ac:dyDescent="0.3"/>
    <row r="3475" ht="14.4" customHeight="1" x14ac:dyDescent="0.3"/>
    <row r="3476" ht="14.4" customHeight="1" x14ac:dyDescent="0.3"/>
    <row r="3477" ht="14.4" customHeight="1" x14ac:dyDescent="0.3"/>
    <row r="3478" ht="14.4" customHeight="1" x14ac:dyDescent="0.3"/>
    <row r="3479" ht="14.4" customHeight="1" x14ac:dyDescent="0.3"/>
    <row r="3480" ht="14.4" customHeight="1" x14ac:dyDescent="0.3"/>
    <row r="3481" ht="14.4" customHeight="1" x14ac:dyDescent="0.3"/>
    <row r="3482" ht="14.4" customHeight="1" x14ac:dyDescent="0.3"/>
    <row r="3483" ht="14.4" customHeight="1" x14ac:dyDescent="0.3"/>
    <row r="3484" ht="14.4" customHeight="1" x14ac:dyDescent="0.3"/>
    <row r="3485" ht="14.4" customHeight="1" x14ac:dyDescent="0.3"/>
    <row r="3486" ht="14.4" customHeight="1" x14ac:dyDescent="0.3"/>
    <row r="3487" ht="14.4" customHeight="1" x14ac:dyDescent="0.3"/>
    <row r="3488" ht="14.4" customHeight="1" x14ac:dyDescent="0.3"/>
    <row r="3489" ht="14.4" customHeight="1" x14ac:dyDescent="0.3"/>
    <row r="3490" ht="14.4" customHeight="1" x14ac:dyDescent="0.3"/>
    <row r="3491" ht="14.4" customHeight="1" x14ac:dyDescent="0.3"/>
    <row r="3492" ht="14.4" customHeight="1" x14ac:dyDescent="0.3"/>
    <row r="3493" ht="14.4" customHeight="1" x14ac:dyDescent="0.3"/>
    <row r="3494" ht="14.4" customHeight="1" x14ac:dyDescent="0.3"/>
    <row r="3495" ht="14.4" customHeight="1" x14ac:dyDescent="0.3"/>
    <row r="3496" ht="14.4" customHeight="1" x14ac:dyDescent="0.3"/>
    <row r="3497" ht="14.4" customHeight="1" x14ac:dyDescent="0.3"/>
    <row r="3498" ht="14.4" customHeight="1" x14ac:dyDescent="0.3"/>
    <row r="3499" ht="14.4" customHeight="1" x14ac:dyDescent="0.3"/>
    <row r="3500" ht="14.4" customHeight="1" x14ac:dyDescent="0.3"/>
    <row r="3501" ht="14.4" customHeight="1" x14ac:dyDescent="0.3"/>
    <row r="3502" ht="14.4" customHeight="1" x14ac:dyDescent="0.3"/>
    <row r="3503" ht="14.4" customHeight="1" x14ac:dyDescent="0.3"/>
    <row r="3504" ht="14.4" customHeight="1" x14ac:dyDescent="0.3"/>
    <row r="3505" ht="14.4" customHeight="1" x14ac:dyDescent="0.3"/>
    <row r="3506" ht="14.4" customHeight="1" x14ac:dyDescent="0.3"/>
    <row r="3507" ht="14.4" customHeight="1" x14ac:dyDescent="0.3"/>
    <row r="3508" ht="14.4" customHeight="1" x14ac:dyDescent="0.3"/>
    <row r="3509" ht="14.4" customHeight="1" x14ac:dyDescent="0.3"/>
    <row r="3510" ht="14.4" customHeight="1" x14ac:dyDescent="0.3"/>
    <row r="3511" ht="14.4" customHeight="1" x14ac:dyDescent="0.3"/>
    <row r="3512" ht="14.4" customHeight="1" x14ac:dyDescent="0.3"/>
    <row r="3513" ht="14.4" customHeight="1" x14ac:dyDescent="0.3"/>
    <row r="3514" ht="14.4" customHeight="1" x14ac:dyDescent="0.3"/>
    <row r="3515" ht="14.4" customHeight="1" x14ac:dyDescent="0.3"/>
    <row r="3516" ht="14.4" customHeight="1" x14ac:dyDescent="0.3"/>
    <row r="3517" ht="14.4" customHeight="1" x14ac:dyDescent="0.3"/>
    <row r="3518" ht="14.4" customHeight="1" x14ac:dyDescent="0.3"/>
    <row r="3519" ht="14.4" customHeight="1" x14ac:dyDescent="0.3"/>
    <row r="3520" ht="14.4" customHeight="1" x14ac:dyDescent="0.3"/>
    <row r="3521" ht="14.4" customHeight="1" x14ac:dyDescent="0.3"/>
    <row r="3522" ht="14.4" customHeight="1" x14ac:dyDescent="0.3"/>
    <row r="3523" ht="14.4" customHeight="1" x14ac:dyDescent="0.3"/>
    <row r="3524" ht="14.4" customHeight="1" x14ac:dyDescent="0.3"/>
    <row r="3525" ht="14.4" customHeight="1" x14ac:dyDescent="0.3"/>
    <row r="3526" ht="14.4" customHeight="1" x14ac:dyDescent="0.3"/>
    <row r="3527" ht="14.4" customHeight="1" x14ac:dyDescent="0.3"/>
    <row r="3528" ht="14.4" customHeight="1" x14ac:dyDescent="0.3"/>
    <row r="3529" ht="14.4" customHeight="1" x14ac:dyDescent="0.3"/>
    <row r="3530" ht="14.4" customHeight="1" x14ac:dyDescent="0.3"/>
    <row r="3531" ht="14.4" customHeight="1" x14ac:dyDescent="0.3"/>
    <row r="3532" ht="14.4" customHeight="1" x14ac:dyDescent="0.3"/>
    <row r="3533" ht="14.4" customHeight="1" x14ac:dyDescent="0.3"/>
    <row r="3534" ht="14.4" customHeight="1" x14ac:dyDescent="0.3"/>
    <row r="3535" ht="14.4" customHeight="1" x14ac:dyDescent="0.3"/>
    <row r="3536" ht="14.4" customHeight="1" x14ac:dyDescent="0.3"/>
    <row r="3537" ht="14.4" customHeight="1" x14ac:dyDescent="0.3"/>
    <row r="3538" ht="14.4" customHeight="1" x14ac:dyDescent="0.3"/>
    <row r="3539" ht="14.4" customHeight="1" x14ac:dyDescent="0.3"/>
    <row r="3540" ht="14.4" customHeight="1" x14ac:dyDescent="0.3"/>
    <row r="3541" ht="14.4" customHeight="1" x14ac:dyDescent="0.3"/>
    <row r="3542" ht="14.4" customHeight="1" x14ac:dyDescent="0.3"/>
    <row r="3543" ht="14.4" customHeight="1" x14ac:dyDescent="0.3"/>
    <row r="3544" ht="14.4" customHeight="1" x14ac:dyDescent="0.3"/>
    <row r="3545" ht="14.4" customHeight="1" x14ac:dyDescent="0.3"/>
    <row r="3546" ht="14.4" customHeight="1" x14ac:dyDescent="0.3"/>
    <row r="3547" ht="14.4" customHeight="1" x14ac:dyDescent="0.3"/>
    <row r="3548" ht="14.4" customHeight="1" x14ac:dyDescent="0.3"/>
    <row r="3549" ht="14.4" customHeight="1" x14ac:dyDescent="0.3"/>
    <row r="3550" ht="14.4" customHeight="1" x14ac:dyDescent="0.3"/>
    <row r="3551" ht="14.4" customHeight="1" x14ac:dyDescent="0.3"/>
    <row r="3552" ht="14.4" customHeight="1" x14ac:dyDescent="0.3"/>
    <row r="3553" ht="14.4" customHeight="1" x14ac:dyDescent="0.3"/>
    <row r="3554" ht="14.4" customHeight="1" x14ac:dyDescent="0.3"/>
    <row r="3555" ht="14.4" customHeight="1" x14ac:dyDescent="0.3"/>
    <row r="3556" ht="14.4" customHeight="1" x14ac:dyDescent="0.3"/>
    <row r="3557" ht="14.4" customHeight="1" x14ac:dyDescent="0.3"/>
    <row r="3558" ht="14.4" customHeight="1" x14ac:dyDescent="0.3"/>
    <row r="3559" ht="14.4" customHeight="1" x14ac:dyDescent="0.3"/>
    <row r="3560" ht="14.4" customHeight="1" x14ac:dyDescent="0.3"/>
    <row r="3561" ht="14.4" customHeight="1" x14ac:dyDescent="0.3"/>
    <row r="3562" ht="14.4" customHeight="1" x14ac:dyDescent="0.3"/>
    <row r="3563" ht="14.4" customHeight="1" x14ac:dyDescent="0.3"/>
    <row r="3564" ht="14.4" customHeight="1" x14ac:dyDescent="0.3"/>
    <row r="3565" ht="14.4" customHeight="1" x14ac:dyDescent="0.3"/>
    <row r="3566" ht="14.4" customHeight="1" x14ac:dyDescent="0.3"/>
    <row r="3567" ht="14.4" customHeight="1" x14ac:dyDescent="0.3"/>
    <row r="3568" ht="14.4" customHeight="1" x14ac:dyDescent="0.3"/>
    <row r="3569" ht="14.4" customHeight="1" x14ac:dyDescent="0.3"/>
    <row r="3570" ht="14.4" customHeight="1" x14ac:dyDescent="0.3"/>
    <row r="3571" ht="14.4" customHeight="1" x14ac:dyDescent="0.3"/>
    <row r="3572" ht="14.4" customHeight="1" x14ac:dyDescent="0.3"/>
    <row r="3573" ht="14.4" customHeight="1" x14ac:dyDescent="0.3"/>
    <row r="3574" ht="14.4" customHeight="1" x14ac:dyDescent="0.3"/>
    <row r="3575" ht="14.4" customHeight="1" x14ac:dyDescent="0.3"/>
    <row r="3576" ht="14.4" customHeight="1" x14ac:dyDescent="0.3"/>
    <row r="3577" ht="14.4" customHeight="1" x14ac:dyDescent="0.3"/>
    <row r="3578" ht="14.4" customHeight="1" x14ac:dyDescent="0.3"/>
    <row r="3579" ht="14.4" customHeight="1" x14ac:dyDescent="0.3"/>
    <row r="3580" ht="14.4" customHeight="1" x14ac:dyDescent="0.3"/>
    <row r="3581" ht="14.4" customHeight="1" x14ac:dyDescent="0.3"/>
    <row r="3582" ht="14.4" customHeight="1" x14ac:dyDescent="0.3"/>
    <row r="3583" ht="14.4" customHeight="1" x14ac:dyDescent="0.3"/>
    <row r="3584" ht="14.4" customHeight="1" x14ac:dyDescent="0.3"/>
    <row r="3585" ht="14.4" customHeight="1" x14ac:dyDescent="0.3"/>
    <row r="3586" ht="14.4" customHeight="1" x14ac:dyDescent="0.3"/>
    <row r="3587" ht="14.4" customHeight="1" x14ac:dyDescent="0.3"/>
    <row r="3588" ht="14.4" customHeight="1" x14ac:dyDescent="0.3"/>
    <row r="3589" ht="14.4" customHeight="1" x14ac:dyDescent="0.3"/>
    <row r="3590" ht="14.4" customHeight="1" x14ac:dyDescent="0.3"/>
    <row r="3591" ht="14.4" customHeight="1" x14ac:dyDescent="0.3"/>
    <row r="3592" ht="14.4" customHeight="1" x14ac:dyDescent="0.3"/>
    <row r="3593" ht="14.4" customHeight="1" x14ac:dyDescent="0.3"/>
    <row r="3594" ht="14.4" customHeight="1" x14ac:dyDescent="0.3"/>
    <row r="3595" ht="14.4" customHeight="1" x14ac:dyDescent="0.3"/>
    <row r="3596" ht="14.4" customHeight="1" x14ac:dyDescent="0.3"/>
    <row r="3597" ht="14.4" customHeight="1" x14ac:dyDescent="0.3"/>
    <row r="3598" ht="14.4" customHeight="1" x14ac:dyDescent="0.3"/>
    <row r="3599" ht="14.4" customHeight="1" x14ac:dyDescent="0.3"/>
    <row r="3600" ht="14.4" customHeight="1" x14ac:dyDescent="0.3"/>
    <row r="3601" ht="14.4" customHeight="1" x14ac:dyDescent="0.3"/>
    <row r="3602" ht="14.4" customHeight="1" x14ac:dyDescent="0.3"/>
    <row r="3603" ht="14.4" customHeight="1" x14ac:dyDescent="0.3"/>
    <row r="3604" ht="14.4" customHeight="1" x14ac:dyDescent="0.3"/>
    <row r="3605" ht="14.4" customHeight="1" x14ac:dyDescent="0.3"/>
    <row r="3606" ht="14.4" customHeight="1" x14ac:dyDescent="0.3"/>
    <row r="3607" ht="14.4" customHeight="1" x14ac:dyDescent="0.3"/>
    <row r="3608" ht="14.4" customHeight="1" x14ac:dyDescent="0.3"/>
    <row r="3609" ht="14.4" customHeight="1" x14ac:dyDescent="0.3"/>
    <row r="3610" ht="14.4" customHeight="1" x14ac:dyDescent="0.3"/>
    <row r="3611" ht="14.4" customHeight="1" x14ac:dyDescent="0.3"/>
    <row r="3612" ht="14.4" customHeight="1" x14ac:dyDescent="0.3"/>
    <row r="3613" ht="14.4" customHeight="1" x14ac:dyDescent="0.3"/>
    <row r="3614" ht="14.4" customHeight="1" x14ac:dyDescent="0.3"/>
    <row r="3615" ht="14.4" customHeight="1" x14ac:dyDescent="0.3"/>
    <row r="3616" ht="14.4" customHeight="1" x14ac:dyDescent="0.3"/>
    <row r="3617" ht="14.4" customHeight="1" x14ac:dyDescent="0.3"/>
    <row r="3618" ht="14.4" customHeight="1" x14ac:dyDescent="0.3"/>
    <row r="3619" ht="14.4" customHeight="1" x14ac:dyDescent="0.3"/>
    <row r="3620" ht="14.4" customHeight="1" x14ac:dyDescent="0.3"/>
    <row r="3621" ht="14.4" customHeight="1" x14ac:dyDescent="0.3"/>
    <row r="3622" ht="14.4" customHeight="1" x14ac:dyDescent="0.3"/>
    <row r="3623" ht="14.4" customHeight="1" x14ac:dyDescent="0.3"/>
    <row r="3624" ht="14.4" customHeight="1" x14ac:dyDescent="0.3"/>
    <row r="3625" ht="14.4" customHeight="1" x14ac:dyDescent="0.3"/>
    <row r="3626" ht="14.4" customHeight="1" x14ac:dyDescent="0.3"/>
    <row r="3627" ht="14.4" customHeight="1" x14ac:dyDescent="0.3"/>
    <row r="3628" ht="14.4" customHeight="1" x14ac:dyDescent="0.3"/>
    <row r="3629" ht="14.4" customHeight="1" x14ac:dyDescent="0.3"/>
    <row r="3630" ht="14.4" customHeight="1" x14ac:dyDescent="0.3"/>
    <row r="3631" ht="14.4" customHeight="1" x14ac:dyDescent="0.3"/>
    <row r="3632" ht="14.4" customHeight="1" x14ac:dyDescent="0.3"/>
    <row r="3633" ht="14.4" customHeight="1" x14ac:dyDescent="0.3"/>
    <row r="3634" ht="14.4" customHeight="1" x14ac:dyDescent="0.3"/>
    <row r="3635" ht="14.4" customHeight="1" x14ac:dyDescent="0.3"/>
    <row r="3636" ht="14.4" customHeight="1" x14ac:dyDescent="0.3"/>
    <row r="3637" ht="14.4" customHeight="1" x14ac:dyDescent="0.3"/>
    <row r="3638" ht="14.4" customHeight="1" x14ac:dyDescent="0.3"/>
    <row r="3639" ht="14.4" customHeight="1" x14ac:dyDescent="0.3"/>
    <row r="3640" ht="14.4" customHeight="1" x14ac:dyDescent="0.3"/>
    <row r="3641" ht="14.4" customHeight="1" x14ac:dyDescent="0.3"/>
    <row r="3642" ht="14.4" customHeight="1" x14ac:dyDescent="0.3"/>
    <row r="3643" ht="14.4" customHeight="1" x14ac:dyDescent="0.3"/>
    <row r="3644" ht="14.4" customHeight="1" x14ac:dyDescent="0.3"/>
    <row r="3645" ht="14.4" customHeight="1" x14ac:dyDescent="0.3"/>
    <row r="3646" ht="14.4" customHeight="1" x14ac:dyDescent="0.3"/>
    <row r="3647" ht="14.4" customHeight="1" x14ac:dyDescent="0.3"/>
    <row r="3648" ht="14.4" customHeight="1" x14ac:dyDescent="0.3"/>
    <row r="3649" ht="14.4" customHeight="1" x14ac:dyDescent="0.3"/>
    <row r="3650" ht="14.4" customHeight="1" x14ac:dyDescent="0.3"/>
    <row r="3651" ht="14.4" customHeight="1" x14ac:dyDescent="0.3"/>
    <row r="3652" ht="14.4" customHeight="1" x14ac:dyDescent="0.3"/>
    <row r="3653" ht="14.4" customHeight="1" x14ac:dyDescent="0.3"/>
    <row r="3654" ht="14.4" customHeight="1" x14ac:dyDescent="0.3"/>
    <row r="3655" ht="14.4" customHeight="1" x14ac:dyDescent="0.3"/>
    <row r="3656" ht="14.4" customHeight="1" x14ac:dyDescent="0.3"/>
    <row r="3657" ht="14.4" customHeight="1" x14ac:dyDescent="0.3"/>
    <row r="3658" ht="14.4" customHeight="1" x14ac:dyDescent="0.3"/>
    <row r="3659" ht="14.4" customHeight="1" x14ac:dyDescent="0.3"/>
    <row r="3660" ht="14.4" customHeight="1" x14ac:dyDescent="0.3"/>
    <row r="3661" ht="14.4" customHeight="1" x14ac:dyDescent="0.3"/>
    <row r="3662" ht="14.4" customHeight="1" x14ac:dyDescent="0.3"/>
    <row r="3663" ht="14.4" customHeight="1" x14ac:dyDescent="0.3"/>
    <row r="3664" ht="14.4" customHeight="1" x14ac:dyDescent="0.3"/>
    <row r="3665" ht="14.4" customHeight="1" x14ac:dyDescent="0.3"/>
    <row r="3666" ht="14.4" customHeight="1" x14ac:dyDescent="0.3"/>
    <row r="3667" ht="14.4" customHeight="1" x14ac:dyDescent="0.3"/>
    <row r="3668" ht="14.4" customHeight="1" x14ac:dyDescent="0.3"/>
    <row r="3669" ht="14.4" customHeight="1" x14ac:dyDescent="0.3"/>
    <row r="3670" ht="14.4" customHeight="1" x14ac:dyDescent="0.3"/>
    <row r="3671" ht="14.4" customHeight="1" x14ac:dyDescent="0.3"/>
    <row r="3672" ht="14.4" customHeight="1" x14ac:dyDescent="0.3"/>
    <row r="3673" ht="14.4" customHeight="1" x14ac:dyDescent="0.3"/>
    <row r="3674" ht="14.4" customHeight="1" x14ac:dyDescent="0.3"/>
    <row r="3675" ht="14.4" customHeight="1" x14ac:dyDescent="0.3"/>
    <row r="3676" ht="14.4" customHeight="1" x14ac:dyDescent="0.3"/>
    <row r="3677" ht="14.4" customHeight="1" x14ac:dyDescent="0.3"/>
    <row r="3678" ht="14.4" customHeight="1" x14ac:dyDescent="0.3"/>
    <row r="3679" ht="14.4" customHeight="1" x14ac:dyDescent="0.3"/>
    <row r="3680" ht="14.4" customHeight="1" x14ac:dyDescent="0.3"/>
    <row r="3681" ht="14.4" customHeight="1" x14ac:dyDescent="0.3"/>
    <row r="3682" ht="14.4" customHeight="1" x14ac:dyDescent="0.3"/>
    <row r="3683" ht="14.4" customHeight="1" x14ac:dyDescent="0.3"/>
    <row r="3684" ht="14.4" customHeight="1" x14ac:dyDescent="0.3"/>
    <row r="3685" ht="14.4" customHeight="1" x14ac:dyDescent="0.3"/>
    <row r="3686" ht="14.4" customHeight="1" x14ac:dyDescent="0.3"/>
    <row r="3687" ht="14.4" customHeight="1" x14ac:dyDescent="0.3"/>
    <row r="3688" ht="14.4" customHeight="1" x14ac:dyDescent="0.3"/>
    <row r="3689" ht="14.4" customHeight="1" x14ac:dyDescent="0.3"/>
    <row r="3690" ht="14.4" customHeight="1" x14ac:dyDescent="0.3"/>
    <row r="3691" ht="14.4" customHeight="1" x14ac:dyDescent="0.3"/>
    <row r="3692" ht="14.4" customHeight="1" x14ac:dyDescent="0.3"/>
    <row r="3693" ht="14.4" customHeight="1" x14ac:dyDescent="0.3"/>
    <row r="3694" ht="14.4" customHeight="1" x14ac:dyDescent="0.3"/>
    <row r="3695" ht="14.4" customHeight="1" x14ac:dyDescent="0.3"/>
    <row r="3696" ht="14.4" customHeight="1" x14ac:dyDescent="0.3"/>
    <row r="3697" ht="14.4" customHeight="1" x14ac:dyDescent="0.3"/>
    <row r="3698" ht="14.4" customHeight="1" x14ac:dyDescent="0.3"/>
    <row r="3699" ht="14.4" customHeight="1" x14ac:dyDescent="0.3"/>
    <row r="3700" ht="14.4" customHeight="1" x14ac:dyDescent="0.3"/>
    <row r="3701" ht="14.4" customHeight="1" x14ac:dyDescent="0.3"/>
    <row r="3702" ht="14.4" customHeight="1" x14ac:dyDescent="0.3"/>
    <row r="3703" ht="14.4" customHeight="1" x14ac:dyDescent="0.3"/>
    <row r="3704" ht="14.4" customHeight="1" x14ac:dyDescent="0.3"/>
    <row r="3705" ht="14.4" customHeight="1" x14ac:dyDescent="0.3"/>
    <row r="3706" ht="14.4" customHeight="1" x14ac:dyDescent="0.3"/>
    <row r="3707" ht="14.4" customHeight="1" x14ac:dyDescent="0.3"/>
    <row r="3708" ht="14.4" customHeight="1" x14ac:dyDescent="0.3"/>
    <row r="3709" ht="14.4" customHeight="1" x14ac:dyDescent="0.3"/>
    <row r="3710" ht="14.4" customHeight="1" x14ac:dyDescent="0.3"/>
    <row r="3711" ht="14.4" customHeight="1" x14ac:dyDescent="0.3"/>
    <row r="3712" ht="14.4" customHeight="1" x14ac:dyDescent="0.3"/>
    <row r="3713" ht="14.4" customHeight="1" x14ac:dyDescent="0.3"/>
    <row r="3714" ht="14.4" customHeight="1" x14ac:dyDescent="0.3"/>
    <row r="3715" ht="14.4" customHeight="1" x14ac:dyDescent="0.3"/>
    <row r="3716" ht="14.4" customHeight="1" x14ac:dyDescent="0.3"/>
    <row r="3717" ht="14.4" customHeight="1" x14ac:dyDescent="0.3"/>
    <row r="3718" ht="14.4" customHeight="1" x14ac:dyDescent="0.3"/>
    <row r="3719" ht="14.4" customHeight="1" x14ac:dyDescent="0.3"/>
    <row r="3720" ht="14.4" customHeight="1" x14ac:dyDescent="0.3"/>
    <row r="3721" ht="14.4" customHeight="1" x14ac:dyDescent="0.3"/>
    <row r="3722" ht="14.4" customHeight="1" x14ac:dyDescent="0.3"/>
    <row r="3723" ht="14.4" customHeight="1" x14ac:dyDescent="0.3"/>
    <row r="3724" ht="14.4" customHeight="1" x14ac:dyDescent="0.3"/>
    <row r="3725" ht="14.4" customHeight="1" x14ac:dyDescent="0.3"/>
    <row r="3726" ht="14.4" customHeight="1" x14ac:dyDescent="0.3"/>
    <row r="3727" ht="14.4" customHeight="1" x14ac:dyDescent="0.3"/>
    <row r="3728" ht="14.4" customHeight="1" x14ac:dyDescent="0.3"/>
    <row r="3729" ht="14.4" customHeight="1" x14ac:dyDescent="0.3"/>
    <row r="3730" ht="14.4" customHeight="1" x14ac:dyDescent="0.3"/>
    <row r="3731" ht="14.4" customHeight="1" x14ac:dyDescent="0.3"/>
    <row r="3732" ht="14.4" customHeight="1" x14ac:dyDescent="0.3"/>
    <row r="3733" ht="14.4" customHeight="1" x14ac:dyDescent="0.3"/>
    <row r="3734" ht="14.4" customHeight="1" x14ac:dyDescent="0.3"/>
    <row r="3735" ht="14.4" customHeight="1" x14ac:dyDescent="0.3"/>
    <row r="3736" ht="14.4" customHeight="1" x14ac:dyDescent="0.3"/>
    <row r="3737" ht="14.4" customHeight="1" x14ac:dyDescent="0.3"/>
    <row r="3738" ht="14.4" customHeight="1" x14ac:dyDescent="0.3"/>
    <row r="3739" ht="14.4" customHeight="1" x14ac:dyDescent="0.3"/>
    <row r="3740" ht="14.4" customHeight="1" x14ac:dyDescent="0.3"/>
    <row r="3741" ht="14.4" customHeight="1" x14ac:dyDescent="0.3"/>
    <row r="3742" ht="14.4" customHeight="1" x14ac:dyDescent="0.3"/>
    <row r="3743" ht="14.4" customHeight="1" x14ac:dyDescent="0.3"/>
    <row r="3744" ht="14.4" customHeight="1" x14ac:dyDescent="0.3"/>
    <row r="3745" ht="14.4" customHeight="1" x14ac:dyDescent="0.3"/>
    <row r="3746" ht="14.4" customHeight="1" x14ac:dyDescent="0.3"/>
    <row r="3747" ht="14.4" customHeight="1" x14ac:dyDescent="0.3"/>
    <row r="3748" ht="14.4" customHeight="1" x14ac:dyDescent="0.3"/>
    <row r="3749" ht="14.4" customHeight="1" x14ac:dyDescent="0.3"/>
    <row r="3750" ht="14.4" customHeight="1" x14ac:dyDescent="0.3"/>
    <row r="3751" ht="14.4" customHeight="1" x14ac:dyDescent="0.3"/>
    <row r="3752" ht="14.4" customHeight="1" x14ac:dyDescent="0.3"/>
    <row r="3753" ht="14.4" customHeight="1" x14ac:dyDescent="0.3"/>
    <row r="3754" ht="14.4" customHeight="1" x14ac:dyDescent="0.3"/>
    <row r="3755" ht="14.4" customHeight="1" x14ac:dyDescent="0.3"/>
    <row r="3756" ht="14.4" customHeight="1" x14ac:dyDescent="0.3"/>
    <row r="3757" ht="14.4" customHeight="1" x14ac:dyDescent="0.3"/>
    <row r="3758" ht="14.4" customHeight="1" x14ac:dyDescent="0.3"/>
    <row r="3759" ht="14.4" customHeight="1" x14ac:dyDescent="0.3"/>
    <row r="3760" ht="14.4" customHeight="1" x14ac:dyDescent="0.3"/>
    <row r="3761" ht="14.4" customHeight="1" x14ac:dyDescent="0.3"/>
    <row r="3762" ht="14.4" customHeight="1" x14ac:dyDescent="0.3"/>
    <row r="3763" ht="14.4" customHeight="1" x14ac:dyDescent="0.3"/>
    <row r="3764" ht="14.4" customHeight="1" x14ac:dyDescent="0.3"/>
    <row r="3765" ht="14.4" customHeight="1" x14ac:dyDescent="0.3"/>
    <row r="3766" ht="14.4" customHeight="1" x14ac:dyDescent="0.3"/>
    <row r="3767" ht="14.4" customHeight="1" x14ac:dyDescent="0.3"/>
    <row r="3768" ht="14.4" customHeight="1" x14ac:dyDescent="0.3"/>
    <row r="3769" ht="14.4" customHeight="1" x14ac:dyDescent="0.3"/>
    <row r="3770" ht="14.4" customHeight="1" x14ac:dyDescent="0.3"/>
    <row r="3771" ht="14.4" customHeight="1" x14ac:dyDescent="0.3"/>
    <row r="3772" ht="14.4" customHeight="1" x14ac:dyDescent="0.3"/>
    <row r="3773" ht="14.4" customHeight="1" x14ac:dyDescent="0.3"/>
    <row r="3774" ht="14.4" customHeight="1" x14ac:dyDescent="0.3"/>
    <row r="3775" ht="14.4" customHeight="1" x14ac:dyDescent="0.3"/>
    <row r="3776" ht="14.4" customHeight="1" x14ac:dyDescent="0.3"/>
    <row r="3777" ht="14.4" customHeight="1" x14ac:dyDescent="0.3"/>
    <row r="3778" ht="14.4" customHeight="1" x14ac:dyDescent="0.3"/>
    <row r="3779" ht="14.4" customHeight="1" x14ac:dyDescent="0.3"/>
    <row r="3780" ht="14.4" customHeight="1" x14ac:dyDescent="0.3"/>
    <row r="3781" ht="14.4" customHeight="1" x14ac:dyDescent="0.3"/>
    <row r="3782" ht="14.4" customHeight="1" x14ac:dyDescent="0.3"/>
    <row r="3783" ht="14.4" customHeight="1" x14ac:dyDescent="0.3"/>
    <row r="3784" ht="14.4" customHeight="1" x14ac:dyDescent="0.3"/>
    <row r="3785" ht="14.4" customHeight="1" x14ac:dyDescent="0.3"/>
    <row r="3786" ht="14.4" customHeight="1" x14ac:dyDescent="0.3"/>
    <row r="3787" ht="14.4" customHeight="1" x14ac:dyDescent="0.3"/>
    <row r="3788" ht="14.4" customHeight="1" x14ac:dyDescent="0.3"/>
    <row r="3789" ht="14.4" customHeight="1" x14ac:dyDescent="0.3"/>
    <row r="3790" ht="14.4" customHeight="1" x14ac:dyDescent="0.3"/>
    <row r="3791" ht="14.4" customHeight="1" x14ac:dyDescent="0.3"/>
    <row r="3792" ht="14.4" customHeight="1" x14ac:dyDescent="0.3"/>
    <row r="3793" ht="14.4" customHeight="1" x14ac:dyDescent="0.3"/>
    <row r="3794" ht="14.4" customHeight="1" x14ac:dyDescent="0.3"/>
    <row r="3795" ht="14.4" customHeight="1" x14ac:dyDescent="0.3"/>
    <row r="3796" ht="14.4" customHeight="1" x14ac:dyDescent="0.3"/>
    <row r="3797" ht="14.4" customHeight="1" x14ac:dyDescent="0.3"/>
    <row r="3798" ht="14.4" customHeight="1" x14ac:dyDescent="0.3"/>
    <row r="3799" ht="14.4" customHeight="1" x14ac:dyDescent="0.3"/>
    <row r="3800" ht="14.4" customHeight="1" x14ac:dyDescent="0.3"/>
    <row r="3801" ht="14.4" customHeight="1" x14ac:dyDescent="0.3"/>
    <row r="3802" ht="14.4" customHeight="1" x14ac:dyDescent="0.3"/>
    <row r="3803" ht="14.4" customHeight="1" x14ac:dyDescent="0.3"/>
    <row r="3804" ht="14.4" customHeight="1" x14ac:dyDescent="0.3"/>
    <row r="3805" ht="14.4" customHeight="1" x14ac:dyDescent="0.3"/>
    <row r="3806" ht="14.4" customHeight="1" x14ac:dyDescent="0.3"/>
    <row r="3807" ht="14.4" customHeight="1" x14ac:dyDescent="0.3"/>
    <row r="3808" ht="14.4" customHeight="1" x14ac:dyDescent="0.3"/>
    <row r="3809" ht="14.4" customHeight="1" x14ac:dyDescent="0.3"/>
    <row r="3810" ht="14.4" customHeight="1" x14ac:dyDescent="0.3"/>
    <row r="3811" ht="14.4" customHeight="1" x14ac:dyDescent="0.3"/>
    <row r="3812" ht="14.4" customHeight="1" x14ac:dyDescent="0.3"/>
    <row r="3813" ht="14.4" customHeight="1" x14ac:dyDescent="0.3"/>
    <row r="3814" ht="14.4" customHeight="1" x14ac:dyDescent="0.3"/>
    <row r="3815" ht="14.4" customHeight="1" x14ac:dyDescent="0.3"/>
    <row r="3816" ht="14.4" customHeight="1" x14ac:dyDescent="0.3"/>
    <row r="3817" ht="14.4" customHeight="1" x14ac:dyDescent="0.3"/>
    <row r="3818" ht="14.4" customHeight="1" x14ac:dyDescent="0.3"/>
    <row r="3819" ht="14.4" customHeight="1" x14ac:dyDescent="0.3"/>
    <row r="3820" ht="14.4" customHeight="1" x14ac:dyDescent="0.3"/>
    <row r="3821" ht="14.4" customHeight="1" x14ac:dyDescent="0.3"/>
    <row r="3822" ht="14.4" customHeight="1" x14ac:dyDescent="0.3"/>
    <row r="3823" ht="14.4" customHeight="1" x14ac:dyDescent="0.3"/>
    <row r="3824" ht="14.4" customHeight="1" x14ac:dyDescent="0.3"/>
    <row r="3825" ht="14.4" customHeight="1" x14ac:dyDescent="0.3"/>
    <row r="3826" ht="14.4" customHeight="1" x14ac:dyDescent="0.3"/>
    <row r="3827" ht="14.4" customHeight="1" x14ac:dyDescent="0.3"/>
    <row r="3828" ht="14.4" customHeight="1" x14ac:dyDescent="0.3"/>
    <row r="3829" ht="14.4" customHeight="1" x14ac:dyDescent="0.3"/>
    <row r="3830" ht="14.4" customHeight="1" x14ac:dyDescent="0.3"/>
    <row r="3831" ht="14.4" customHeight="1" x14ac:dyDescent="0.3"/>
    <row r="3832" ht="14.4" customHeight="1" x14ac:dyDescent="0.3"/>
    <row r="3833" ht="14.4" customHeight="1" x14ac:dyDescent="0.3"/>
    <row r="3834" ht="14.4" customHeight="1" x14ac:dyDescent="0.3"/>
    <row r="3835" ht="14.4" customHeight="1" x14ac:dyDescent="0.3"/>
    <row r="3836" ht="14.4" customHeight="1" x14ac:dyDescent="0.3"/>
    <row r="3837" ht="14.4" customHeight="1" x14ac:dyDescent="0.3"/>
    <row r="3838" ht="14.4" customHeight="1" x14ac:dyDescent="0.3"/>
    <row r="3839" ht="14.4" customHeight="1" x14ac:dyDescent="0.3"/>
    <row r="3840" ht="14.4" customHeight="1" x14ac:dyDescent="0.3"/>
    <row r="3841" ht="14.4" customHeight="1" x14ac:dyDescent="0.3"/>
    <row r="3842" ht="14.4" customHeight="1" x14ac:dyDescent="0.3"/>
    <row r="3843" ht="14.4" customHeight="1" x14ac:dyDescent="0.3"/>
    <row r="3844" ht="14.4" customHeight="1" x14ac:dyDescent="0.3"/>
    <row r="3845" ht="14.4" customHeight="1" x14ac:dyDescent="0.3"/>
    <row r="3846" ht="14.4" customHeight="1" x14ac:dyDescent="0.3"/>
    <row r="3847" ht="14.4" customHeight="1" x14ac:dyDescent="0.3"/>
    <row r="3848" ht="14.4" customHeight="1" x14ac:dyDescent="0.3"/>
    <row r="3849" ht="14.4" customHeight="1" x14ac:dyDescent="0.3"/>
    <row r="3850" ht="14.4" customHeight="1" x14ac:dyDescent="0.3"/>
    <row r="3851" ht="14.4" customHeight="1" x14ac:dyDescent="0.3"/>
    <row r="3852" ht="14.4" customHeight="1" x14ac:dyDescent="0.3"/>
    <row r="3853" ht="14.4" customHeight="1" x14ac:dyDescent="0.3"/>
    <row r="3854" ht="14.4" customHeight="1" x14ac:dyDescent="0.3"/>
    <row r="3855" ht="14.4" customHeight="1" x14ac:dyDescent="0.3"/>
    <row r="3856" ht="14.4" customHeight="1" x14ac:dyDescent="0.3"/>
    <row r="3857" ht="14.4" customHeight="1" x14ac:dyDescent="0.3"/>
    <row r="3858" ht="14.4" customHeight="1" x14ac:dyDescent="0.3"/>
    <row r="3859" ht="14.4" customHeight="1" x14ac:dyDescent="0.3"/>
    <row r="3860" ht="14.4" customHeight="1" x14ac:dyDescent="0.3"/>
    <row r="3861" ht="14.4" customHeight="1" x14ac:dyDescent="0.3"/>
    <row r="3862" ht="14.4" customHeight="1" x14ac:dyDescent="0.3"/>
    <row r="3863" ht="14.4" customHeight="1" x14ac:dyDescent="0.3"/>
    <row r="3864" ht="14.4" customHeight="1" x14ac:dyDescent="0.3"/>
    <row r="3865" ht="14.4" customHeight="1" x14ac:dyDescent="0.3"/>
    <row r="3866" ht="14.4" customHeight="1" x14ac:dyDescent="0.3"/>
    <row r="3867" ht="14.4" customHeight="1" x14ac:dyDescent="0.3"/>
    <row r="3868" ht="14.4" customHeight="1" x14ac:dyDescent="0.3"/>
    <row r="3869" ht="14.4" customHeight="1" x14ac:dyDescent="0.3"/>
    <row r="3870" ht="14.4" customHeight="1" x14ac:dyDescent="0.3"/>
    <row r="3871" ht="14.4" customHeight="1" x14ac:dyDescent="0.3"/>
    <row r="3872" ht="14.4" customHeight="1" x14ac:dyDescent="0.3"/>
    <row r="3873" ht="14.4" customHeight="1" x14ac:dyDescent="0.3"/>
    <row r="3874" ht="14.4" customHeight="1" x14ac:dyDescent="0.3"/>
    <row r="3875" ht="14.4" customHeight="1" x14ac:dyDescent="0.3"/>
    <row r="3876" ht="14.4" customHeight="1" x14ac:dyDescent="0.3"/>
    <row r="3877" ht="14.4" customHeight="1" x14ac:dyDescent="0.3"/>
    <row r="3878" ht="14.4" customHeight="1" x14ac:dyDescent="0.3"/>
    <row r="3879" ht="14.4" customHeight="1" x14ac:dyDescent="0.3"/>
    <row r="3880" ht="14.4" customHeight="1" x14ac:dyDescent="0.3"/>
    <row r="3881" ht="14.4" customHeight="1" x14ac:dyDescent="0.3"/>
    <row r="3882" ht="14.4" customHeight="1" x14ac:dyDescent="0.3"/>
    <row r="3883" ht="14.4" customHeight="1" x14ac:dyDescent="0.3"/>
    <row r="3884" ht="14.4" customHeight="1" x14ac:dyDescent="0.3"/>
    <row r="3885" ht="14.4" customHeight="1" x14ac:dyDescent="0.3"/>
    <row r="3886" ht="14.4" customHeight="1" x14ac:dyDescent="0.3"/>
    <row r="3887" ht="14.4" customHeight="1" x14ac:dyDescent="0.3"/>
    <row r="3888" ht="14.4" customHeight="1" x14ac:dyDescent="0.3"/>
    <row r="3889" ht="14.4" customHeight="1" x14ac:dyDescent="0.3"/>
    <row r="3890" ht="14.4" customHeight="1" x14ac:dyDescent="0.3"/>
    <row r="3891" ht="14.4" customHeight="1" x14ac:dyDescent="0.3"/>
    <row r="3892" ht="14.4" customHeight="1" x14ac:dyDescent="0.3"/>
    <row r="3893" ht="14.4" customHeight="1" x14ac:dyDescent="0.3"/>
    <row r="3894" ht="14.4" customHeight="1" x14ac:dyDescent="0.3"/>
    <row r="3895" ht="14.4" customHeight="1" x14ac:dyDescent="0.3"/>
    <row r="3896" ht="14.4" customHeight="1" x14ac:dyDescent="0.3"/>
    <row r="3897" ht="14.4" customHeight="1" x14ac:dyDescent="0.3"/>
    <row r="3898" ht="14.4" customHeight="1" x14ac:dyDescent="0.3"/>
    <row r="3899" ht="14.4" customHeight="1" x14ac:dyDescent="0.3"/>
    <row r="3900" ht="14.4" customHeight="1" x14ac:dyDescent="0.3"/>
    <row r="3901" ht="14.4" customHeight="1" x14ac:dyDescent="0.3"/>
    <row r="3902" ht="14.4" customHeight="1" x14ac:dyDescent="0.3"/>
    <row r="3903" ht="14.4" customHeight="1" x14ac:dyDescent="0.3"/>
    <row r="3904" ht="14.4" customHeight="1" x14ac:dyDescent="0.3"/>
    <row r="3905" ht="14.4" customHeight="1" x14ac:dyDescent="0.3"/>
    <row r="3906" ht="14.4" customHeight="1" x14ac:dyDescent="0.3"/>
    <row r="3907" ht="14.4" customHeight="1" x14ac:dyDescent="0.3"/>
    <row r="3908" ht="14.4" customHeight="1" x14ac:dyDescent="0.3"/>
    <row r="3909" ht="14.4" customHeight="1" x14ac:dyDescent="0.3"/>
    <row r="3910" ht="14.4" customHeight="1" x14ac:dyDescent="0.3"/>
    <row r="3911" ht="14.4" customHeight="1" x14ac:dyDescent="0.3"/>
    <row r="3912" ht="14.4" customHeight="1" x14ac:dyDescent="0.3"/>
    <row r="3913" ht="14.4" customHeight="1" x14ac:dyDescent="0.3"/>
    <row r="3914" ht="14.4" customHeight="1" x14ac:dyDescent="0.3"/>
    <row r="3915" ht="14.4" customHeight="1" x14ac:dyDescent="0.3"/>
    <row r="3916" ht="14.4" customHeight="1" x14ac:dyDescent="0.3"/>
    <row r="3917" ht="14.4" customHeight="1" x14ac:dyDescent="0.3"/>
    <row r="3918" ht="14.4" customHeight="1" x14ac:dyDescent="0.3"/>
    <row r="3919" ht="14.4" customHeight="1" x14ac:dyDescent="0.3"/>
    <row r="3920" ht="14.4" customHeight="1" x14ac:dyDescent="0.3"/>
    <row r="3921" ht="14.4" customHeight="1" x14ac:dyDescent="0.3"/>
    <row r="3922" ht="14.4" customHeight="1" x14ac:dyDescent="0.3"/>
    <row r="3923" ht="14.4" customHeight="1" x14ac:dyDescent="0.3"/>
    <row r="3924" ht="14.4" customHeight="1" x14ac:dyDescent="0.3"/>
    <row r="3925" ht="14.4" customHeight="1" x14ac:dyDescent="0.3"/>
    <row r="3926" ht="14.4" customHeight="1" x14ac:dyDescent="0.3"/>
    <row r="3927" ht="14.4" customHeight="1" x14ac:dyDescent="0.3"/>
    <row r="3928" ht="14.4" customHeight="1" x14ac:dyDescent="0.3"/>
    <row r="3929" ht="14.4" customHeight="1" x14ac:dyDescent="0.3"/>
    <row r="3930" ht="14.4" customHeight="1" x14ac:dyDescent="0.3"/>
    <row r="3931" ht="14.4" customHeight="1" x14ac:dyDescent="0.3"/>
    <row r="3932" ht="14.4" customHeight="1" x14ac:dyDescent="0.3"/>
    <row r="3933" ht="14.4" customHeight="1" x14ac:dyDescent="0.3"/>
    <row r="3934" ht="14.4" customHeight="1" x14ac:dyDescent="0.3"/>
    <row r="3935" ht="14.4" customHeight="1" x14ac:dyDescent="0.3"/>
    <row r="3936" ht="14.4" customHeight="1" x14ac:dyDescent="0.3"/>
    <row r="3937" ht="14.4" customHeight="1" x14ac:dyDescent="0.3"/>
    <row r="3938" ht="14.4" customHeight="1" x14ac:dyDescent="0.3"/>
    <row r="3939" ht="14.4" customHeight="1" x14ac:dyDescent="0.3"/>
    <row r="3940" ht="14.4" customHeight="1" x14ac:dyDescent="0.3"/>
    <row r="3941" ht="14.4" customHeight="1" x14ac:dyDescent="0.3"/>
    <row r="3942" ht="14.4" customHeight="1" x14ac:dyDescent="0.3"/>
    <row r="3943" ht="14.4" customHeight="1" x14ac:dyDescent="0.3"/>
    <row r="3944" ht="14.4" customHeight="1" x14ac:dyDescent="0.3"/>
    <row r="3945" ht="14.4" customHeight="1" x14ac:dyDescent="0.3"/>
    <row r="3946" ht="14.4" customHeight="1" x14ac:dyDescent="0.3"/>
    <row r="3947" ht="14.4" customHeight="1" x14ac:dyDescent="0.3"/>
    <row r="3948" ht="14.4" customHeight="1" x14ac:dyDescent="0.3"/>
    <row r="3949" ht="14.4" customHeight="1" x14ac:dyDescent="0.3"/>
    <row r="3950" ht="14.4" customHeight="1" x14ac:dyDescent="0.3"/>
    <row r="3951" ht="14.4" customHeight="1" x14ac:dyDescent="0.3"/>
    <row r="3952" ht="14.4" customHeight="1" x14ac:dyDescent="0.3"/>
    <row r="3953" ht="14.4" customHeight="1" x14ac:dyDescent="0.3"/>
    <row r="3954" ht="14.4" customHeight="1" x14ac:dyDescent="0.3"/>
    <row r="3955" ht="14.4" customHeight="1" x14ac:dyDescent="0.3"/>
    <row r="3956" ht="14.4" customHeight="1" x14ac:dyDescent="0.3"/>
    <row r="3957" ht="14.4" customHeight="1" x14ac:dyDescent="0.3"/>
    <row r="3958" ht="14.4" customHeight="1" x14ac:dyDescent="0.3"/>
    <row r="3959" ht="14.4" customHeight="1" x14ac:dyDescent="0.3"/>
    <row r="3960" ht="14.4" customHeight="1" x14ac:dyDescent="0.3"/>
    <row r="3961" ht="14.4" customHeight="1" x14ac:dyDescent="0.3"/>
    <row r="3962" ht="14.4" customHeight="1" x14ac:dyDescent="0.3"/>
    <row r="3963" ht="14.4" customHeight="1" x14ac:dyDescent="0.3"/>
    <row r="3964" ht="14.4" customHeight="1" x14ac:dyDescent="0.3"/>
    <row r="3965" ht="14.4" customHeight="1" x14ac:dyDescent="0.3"/>
    <row r="3966" ht="14.4" customHeight="1" x14ac:dyDescent="0.3"/>
    <row r="3967" ht="14.4" customHeight="1" x14ac:dyDescent="0.3"/>
    <row r="3968" ht="14.4" customHeight="1" x14ac:dyDescent="0.3"/>
    <row r="3969" ht="14.4" customHeight="1" x14ac:dyDescent="0.3"/>
    <row r="3970" ht="14.4" customHeight="1" x14ac:dyDescent="0.3"/>
    <row r="3971" ht="14.4" customHeight="1" x14ac:dyDescent="0.3"/>
    <row r="3972" ht="14.4" customHeight="1" x14ac:dyDescent="0.3"/>
    <row r="3973" ht="14.4" customHeight="1" x14ac:dyDescent="0.3"/>
    <row r="3974" ht="14.4" customHeight="1" x14ac:dyDescent="0.3"/>
    <row r="3975" ht="14.4" customHeight="1" x14ac:dyDescent="0.3"/>
    <row r="3976" ht="14.4" customHeight="1" x14ac:dyDescent="0.3"/>
    <row r="3977" ht="14.4" customHeight="1" x14ac:dyDescent="0.3"/>
    <row r="3978" ht="14.4" customHeight="1" x14ac:dyDescent="0.3"/>
    <row r="3979" ht="14.4" customHeight="1" x14ac:dyDescent="0.3"/>
    <row r="3980" ht="14.4" customHeight="1" x14ac:dyDescent="0.3"/>
    <row r="3981" ht="14.4" customHeight="1" x14ac:dyDescent="0.3"/>
    <row r="3982" ht="14.4" customHeight="1" x14ac:dyDescent="0.3"/>
    <row r="3983" ht="14.4" customHeight="1" x14ac:dyDescent="0.3"/>
    <row r="3984" ht="14.4" customHeight="1" x14ac:dyDescent="0.3"/>
    <row r="3985" ht="14.4" customHeight="1" x14ac:dyDescent="0.3"/>
    <row r="3986" ht="14.4" customHeight="1" x14ac:dyDescent="0.3"/>
    <row r="3987" ht="14.4" customHeight="1" x14ac:dyDescent="0.3"/>
    <row r="3988" ht="14.4" customHeight="1" x14ac:dyDescent="0.3"/>
    <row r="3989" ht="14.4" customHeight="1" x14ac:dyDescent="0.3"/>
    <row r="3990" ht="14.4" customHeight="1" x14ac:dyDescent="0.3"/>
    <row r="3991" ht="14.4" customHeight="1" x14ac:dyDescent="0.3"/>
    <row r="3992" ht="14.4" customHeight="1" x14ac:dyDescent="0.3"/>
    <row r="3993" ht="14.4" customHeight="1" x14ac:dyDescent="0.3"/>
    <row r="3994" ht="14.4" customHeight="1" x14ac:dyDescent="0.3"/>
    <row r="3995" ht="14.4" customHeight="1" x14ac:dyDescent="0.3"/>
    <row r="3996" ht="14.4" customHeight="1" x14ac:dyDescent="0.3"/>
    <row r="3997" ht="14.4" customHeight="1" x14ac:dyDescent="0.3"/>
    <row r="3998" ht="14.4" customHeight="1" x14ac:dyDescent="0.3"/>
    <row r="3999" ht="14.4" customHeight="1" x14ac:dyDescent="0.3"/>
    <row r="4000" ht="14.4" customHeight="1" x14ac:dyDescent="0.3"/>
    <row r="4001" ht="14.4" customHeight="1" x14ac:dyDescent="0.3"/>
    <row r="4002" ht="14.4" customHeight="1" x14ac:dyDescent="0.3"/>
    <row r="4003" ht="14.4" customHeight="1" x14ac:dyDescent="0.3"/>
    <row r="4004" ht="14.4" customHeight="1" x14ac:dyDescent="0.3"/>
    <row r="4005" ht="14.4" customHeight="1" x14ac:dyDescent="0.3"/>
    <row r="4006" ht="14.4" customHeight="1" x14ac:dyDescent="0.3"/>
    <row r="4007" ht="14.4" customHeight="1" x14ac:dyDescent="0.3"/>
    <row r="4008" ht="14.4" customHeight="1" x14ac:dyDescent="0.3"/>
    <row r="4009" ht="14.4" customHeight="1" x14ac:dyDescent="0.3"/>
    <row r="4010" ht="14.4" customHeight="1" x14ac:dyDescent="0.3"/>
    <row r="4011" ht="14.4" customHeight="1" x14ac:dyDescent="0.3"/>
    <row r="4012" ht="14.4" customHeight="1" x14ac:dyDescent="0.3"/>
    <row r="4013" ht="14.4" customHeight="1" x14ac:dyDescent="0.3"/>
    <row r="4014" ht="14.4" customHeight="1" x14ac:dyDescent="0.3"/>
    <row r="4015" ht="14.4" customHeight="1" x14ac:dyDescent="0.3"/>
    <row r="4016" ht="14.4" customHeight="1" x14ac:dyDescent="0.3"/>
    <row r="4017" ht="14.4" customHeight="1" x14ac:dyDescent="0.3"/>
    <row r="4018" ht="14.4" customHeight="1" x14ac:dyDescent="0.3"/>
    <row r="4019" ht="14.4" customHeight="1" x14ac:dyDescent="0.3"/>
    <row r="4020" ht="14.4" customHeight="1" x14ac:dyDescent="0.3"/>
    <row r="4021" ht="14.4" customHeight="1" x14ac:dyDescent="0.3"/>
    <row r="4022" ht="14.4" customHeight="1" x14ac:dyDescent="0.3"/>
    <row r="4023" ht="14.4" customHeight="1" x14ac:dyDescent="0.3"/>
    <row r="4024" ht="14.4" customHeight="1" x14ac:dyDescent="0.3"/>
    <row r="4025" ht="14.4" customHeight="1" x14ac:dyDescent="0.3"/>
    <row r="4026" ht="14.4" customHeight="1" x14ac:dyDescent="0.3"/>
    <row r="4027" ht="14.4" customHeight="1" x14ac:dyDescent="0.3"/>
    <row r="4028" ht="14.4" customHeight="1" x14ac:dyDescent="0.3"/>
    <row r="4029" ht="14.4" customHeight="1" x14ac:dyDescent="0.3"/>
    <row r="4030" ht="14.4" customHeight="1" x14ac:dyDescent="0.3"/>
    <row r="4031" ht="14.4" customHeight="1" x14ac:dyDescent="0.3"/>
    <row r="4032" ht="14.4" customHeight="1" x14ac:dyDescent="0.3"/>
    <row r="4033" ht="14.4" customHeight="1" x14ac:dyDescent="0.3"/>
    <row r="4034" ht="14.4" customHeight="1" x14ac:dyDescent="0.3"/>
    <row r="4035" ht="14.4" customHeight="1" x14ac:dyDescent="0.3"/>
    <row r="4036" ht="14.4" customHeight="1" x14ac:dyDescent="0.3"/>
    <row r="4037" ht="14.4" customHeight="1" x14ac:dyDescent="0.3"/>
    <row r="4038" ht="14.4" customHeight="1" x14ac:dyDescent="0.3"/>
    <row r="4039" ht="14.4" customHeight="1" x14ac:dyDescent="0.3"/>
    <row r="4040" ht="14.4" customHeight="1" x14ac:dyDescent="0.3"/>
    <row r="4041" ht="14.4" customHeight="1" x14ac:dyDescent="0.3"/>
    <row r="4042" ht="14.4" customHeight="1" x14ac:dyDescent="0.3"/>
    <row r="4043" ht="14.4" customHeight="1" x14ac:dyDescent="0.3"/>
    <row r="4044" ht="14.4" customHeight="1" x14ac:dyDescent="0.3"/>
    <row r="4045" ht="14.4" customHeight="1" x14ac:dyDescent="0.3"/>
    <row r="4046" ht="14.4" customHeight="1" x14ac:dyDescent="0.3"/>
    <row r="4047" ht="14.4" customHeight="1" x14ac:dyDescent="0.3"/>
    <row r="4048" ht="14.4" customHeight="1" x14ac:dyDescent="0.3"/>
    <row r="4049" ht="14.4" customHeight="1" x14ac:dyDescent="0.3"/>
    <row r="4050" ht="14.4" customHeight="1" x14ac:dyDescent="0.3"/>
    <row r="4051" ht="14.4" customHeight="1" x14ac:dyDescent="0.3"/>
    <row r="4052" ht="14.4" customHeight="1" x14ac:dyDescent="0.3"/>
    <row r="4053" ht="14.4" customHeight="1" x14ac:dyDescent="0.3"/>
    <row r="4054" ht="14.4" customHeight="1" x14ac:dyDescent="0.3"/>
    <row r="4055" ht="14.4" customHeight="1" x14ac:dyDescent="0.3"/>
    <row r="4056" ht="14.4" customHeight="1" x14ac:dyDescent="0.3"/>
    <row r="4057" ht="14.4" customHeight="1" x14ac:dyDescent="0.3"/>
    <row r="4058" ht="14.4" customHeight="1" x14ac:dyDescent="0.3"/>
    <row r="4059" ht="14.4" customHeight="1" x14ac:dyDescent="0.3"/>
    <row r="4060" ht="14.4" customHeight="1" x14ac:dyDescent="0.3"/>
    <row r="4061" ht="14.4" customHeight="1" x14ac:dyDescent="0.3"/>
    <row r="4062" ht="14.4" customHeight="1" x14ac:dyDescent="0.3"/>
    <row r="4063" ht="14.4" customHeight="1" x14ac:dyDescent="0.3"/>
    <row r="4064" ht="14.4" customHeight="1" x14ac:dyDescent="0.3"/>
    <row r="4065" ht="14.4" customHeight="1" x14ac:dyDescent="0.3"/>
    <row r="4066" ht="14.4" customHeight="1" x14ac:dyDescent="0.3"/>
    <row r="4067" ht="14.4" customHeight="1" x14ac:dyDescent="0.3"/>
    <row r="4068" ht="14.4" customHeight="1" x14ac:dyDescent="0.3"/>
    <row r="4069" ht="14.4" customHeight="1" x14ac:dyDescent="0.3"/>
    <row r="4070" ht="14.4" customHeight="1" x14ac:dyDescent="0.3"/>
    <row r="4071" ht="14.4" customHeight="1" x14ac:dyDescent="0.3"/>
    <row r="4072" ht="14.4" customHeight="1" x14ac:dyDescent="0.3"/>
    <row r="4073" ht="14.4" customHeight="1" x14ac:dyDescent="0.3"/>
    <row r="4074" ht="14.4" customHeight="1" x14ac:dyDescent="0.3"/>
    <row r="4075" ht="14.4" customHeight="1" x14ac:dyDescent="0.3"/>
    <row r="4076" ht="14.4" customHeight="1" x14ac:dyDescent="0.3"/>
    <row r="4077" ht="14.4" customHeight="1" x14ac:dyDescent="0.3"/>
    <row r="4078" ht="14.4" customHeight="1" x14ac:dyDescent="0.3"/>
    <row r="4079" ht="14.4" customHeight="1" x14ac:dyDescent="0.3"/>
    <row r="4080" ht="14.4" customHeight="1" x14ac:dyDescent="0.3"/>
    <row r="4081" ht="14.4" customHeight="1" x14ac:dyDescent="0.3"/>
    <row r="4082" ht="14.4" customHeight="1" x14ac:dyDescent="0.3"/>
    <row r="4083" ht="14.4" customHeight="1" x14ac:dyDescent="0.3"/>
    <row r="4084" ht="14.4" customHeight="1" x14ac:dyDescent="0.3"/>
    <row r="4085" ht="14.4" customHeight="1" x14ac:dyDescent="0.3"/>
    <row r="4086" ht="14.4" customHeight="1" x14ac:dyDescent="0.3"/>
    <row r="4087" ht="14.4" customHeight="1" x14ac:dyDescent="0.3"/>
    <row r="4088" ht="14.4" customHeight="1" x14ac:dyDescent="0.3"/>
    <row r="4089" ht="14.4" customHeight="1" x14ac:dyDescent="0.3"/>
    <row r="4090" ht="14.4" customHeight="1" x14ac:dyDescent="0.3"/>
    <row r="4091" ht="14.4" customHeight="1" x14ac:dyDescent="0.3"/>
    <row r="4092" ht="14.4" customHeight="1" x14ac:dyDescent="0.3"/>
    <row r="4093" ht="14.4" customHeight="1" x14ac:dyDescent="0.3"/>
    <row r="4094" ht="14.4" customHeight="1" x14ac:dyDescent="0.3"/>
    <row r="4095" ht="14.4" customHeight="1" x14ac:dyDescent="0.3"/>
    <row r="4096" ht="14.4" customHeight="1" x14ac:dyDescent="0.3"/>
    <row r="4097" ht="14.4" customHeight="1" x14ac:dyDescent="0.3"/>
    <row r="4098" ht="14.4" customHeight="1" x14ac:dyDescent="0.3"/>
    <row r="4099" ht="14.4" customHeight="1" x14ac:dyDescent="0.3"/>
    <row r="4100" ht="14.4" customHeight="1" x14ac:dyDescent="0.3"/>
    <row r="4101" ht="14.4" customHeight="1" x14ac:dyDescent="0.3"/>
    <row r="4102" ht="14.4" customHeight="1" x14ac:dyDescent="0.3"/>
    <row r="4103" ht="14.4" customHeight="1" x14ac:dyDescent="0.3"/>
    <row r="4104" ht="14.4" customHeight="1" x14ac:dyDescent="0.3"/>
    <row r="4105" ht="14.4" customHeight="1" x14ac:dyDescent="0.3"/>
    <row r="4106" ht="14.4" customHeight="1" x14ac:dyDescent="0.3"/>
    <row r="4107" ht="14.4" customHeight="1" x14ac:dyDescent="0.3"/>
    <row r="4108" ht="14.4" customHeight="1" x14ac:dyDescent="0.3"/>
    <row r="4109" ht="14.4" customHeight="1" x14ac:dyDescent="0.3"/>
    <row r="4110" ht="14.4" customHeight="1" x14ac:dyDescent="0.3"/>
    <row r="4111" ht="14.4" customHeight="1" x14ac:dyDescent="0.3"/>
    <row r="4112" ht="14.4" customHeight="1" x14ac:dyDescent="0.3"/>
    <row r="4113" ht="14.4" customHeight="1" x14ac:dyDescent="0.3"/>
    <row r="4114" ht="14.4" customHeight="1" x14ac:dyDescent="0.3"/>
    <row r="4115" ht="14.4" customHeight="1" x14ac:dyDescent="0.3"/>
    <row r="4116" ht="14.4" customHeight="1" x14ac:dyDescent="0.3"/>
    <row r="4117" ht="14.4" customHeight="1" x14ac:dyDescent="0.3"/>
    <row r="4118" ht="14.4" customHeight="1" x14ac:dyDescent="0.3"/>
    <row r="4119" ht="14.4" customHeight="1" x14ac:dyDescent="0.3"/>
    <row r="4120" ht="14.4" customHeight="1" x14ac:dyDescent="0.3"/>
    <row r="4121" ht="14.4" customHeight="1" x14ac:dyDescent="0.3"/>
    <row r="4122" ht="14.4" customHeight="1" x14ac:dyDescent="0.3"/>
    <row r="4123" ht="14.4" customHeight="1" x14ac:dyDescent="0.3"/>
    <row r="4124" ht="14.4" customHeight="1" x14ac:dyDescent="0.3"/>
    <row r="4125" ht="14.4" customHeight="1" x14ac:dyDescent="0.3"/>
    <row r="4126" ht="14.4" customHeight="1" x14ac:dyDescent="0.3"/>
    <row r="4127" ht="14.4" customHeight="1" x14ac:dyDescent="0.3"/>
    <row r="4128" ht="14.4" customHeight="1" x14ac:dyDescent="0.3"/>
    <row r="4129" ht="14.4" customHeight="1" x14ac:dyDescent="0.3"/>
    <row r="4130" ht="14.4" customHeight="1" x14ac:dyDescent="0.3"/>
    <row r="4131" ht="14.4" customHeight="1" x14ac:dyDescent="0.3"/>
    <row r="4132" ht="14.4" customHeight="1" x14ac:dyDescent="0.3"/>
    <row r="4133" ht="14.4" customHeight="1" x14ac:dyDescent="0.3"/>
    <row r="4134" ht="14.4" customHeight="1" x14ac:dyDescent="0.3"/>
    <row r="4135" ht="14.4" customHeight="1" x14ac:dyDescent="0.3"/>
    <row r="4136" ht="14.4" customHeight="1" x14ac:dyDescent="0.3"/>
    <row r="4137" ht="14.4" customHeight="1" x14ac:dyDescent="0.3"/>
    <row r="4138" ht="14.4" customHeight="1" x14ac:dyDescent="0.3"/>
    <row r="4139" ht="14.4" customHeight="1" x14ac:dyDescent="0.3"/>
    <row r="4140" ht="14.4" customHeight="1" x14ac:dyDescent="0.3"/>
    <row r="4141" ht="14.4" customHeight="1" x14ac:dyDescent="0.3"/>
    <row r="4142" ht="14.4" customHeight="1" x14ac:dyDescent="0.3"/>
    <row r="4143" ht="14.4" customHeight="1" x14ac:dyDescent="0.3"/>
    <row r="4144" ht="14.4" customHeight="1" x14ac:dyDescent="0.3"/>
    <row r="4145" ht="14.4" customHeight="1" x14ac:dyDescent="0.3"/>
    <row r="4146" ht="14.4" customHeight="1" x14ac:dyDescent="0.3"/>
    <row r="4147" ht="14.4" customHeight="1" x14ac:dyDescent="0.3"/>
    <row r="4148" ht="14.4" customHeight="1" x14ac:dyDescent="0.3"/>
    <row r="4149" ht="14.4" customHeight="1" x14ac:dyDescent="0.3"/>
    <row r="4150" ht="14.4" customHeight="1" x14ac:dyDescent="0.3"/>
    <row r="4151" ht="14.4" customHeight="1" x14ac:dyDescent="0.3"/>
    <row r="4152" ht="14.4" customHeight="1" x14ac:dyDescent="0.3"/>
    <row r="4153" ht="14.4" customHeight="1" x14ac:dyDescent="0.3"/>
    <row r="4154" ht="14.4" customHeight="1" x14ac:dyDescent="0.3"/>
    <row r="4155" ht="14.4" customHeight="1" x14ac:dyDescent="0.3"/>
    <row r="4156" ht="14.4" customHeight="1" x14ac:dyDescent="0.3"/>
    <row r="4157" ht="14.4" customHeight="1" x14ac:dyDescent="0.3"/>
    <row r="4158" ht="14.4" customHeight="1" x14ac:dyDescent="0.3"/>
    <row r="4159" ht="14.4" customHeight="1" x14ac:dyDescent="0.3"/>
    <row r="4160" ht="14.4" customHeight="1" x14ac:dyDescent="0.3"/>
    <row r="4161" ht="14.4" customHeight="1" x14ac:dyDescent="0.3"/>
    <row r="4162" ht="14.4" customHeight="1" x14ac:dyDescent="0.3"/>
    <row r="4163" ht="14.4" customHeight="1" x14ac:dyDescent="0.3"/>
    <row r="4164" ht="14.4" customHeight="1" x14ac:dyDescent="0.3"/>
    <row r="4165" ht="14.4" customHeight="1" x14ac:dyDescent="0.3"/>
    <row r="4166" ht="14.4" customHeight="1" x14ac:dyDescent="0.3"/>
    <row r="4167" ht="14.4" customHeight="1" x14ac:dyDescent="0.3"/>
    <row r="4168" ht="14.4" customHeight="1" x14ac:dyDescent="0.3"/>
    <row r="4169" ht="14.4" customHeight="1" x14ac:dyDescent="0.3"/>
    <row r="4170" ht="14.4" customHeight="1" x14ac:dyDescent="0.3"/>
    <row r="4171" ht="14.4" customHeight="1" x14ac:dyDescent="0.3"/>
    <row r="4172" ht="14.4" customHeight="1" x14ac:dyDescent="0.3"/>
    <row r="4173" ht="14.4" customHeight="1" x14ac:dyDescent="0.3"/>
    <row r="4174" ht="14.4" customHeight="1" x14ac:dyDescent="0.3"/>
    <row r="4175" ht="14.4" customHeight="1" x14ac:dyDescent="0.3"/>
    <row r="4176" ht="14.4" customHeight="1" x14ac:dyDescent="0.3"/>
    <row r="4177" ht="14.4" customHeight="1" x14ac:dyDescent="0.3"/>
    <row r="4178" ht="14.4" customHeight="1" x14ac:dyDescent="0.3"/>
    <row r="4179" ht="14.4" customHeight="1" x14ac:dyDescent="0.3"/>
    <row r="4180" ht="14.4" customHeight="1" x14ac:dyDescent="0.3"/>
    <row r="4181" ht="14.4" customHeight="1" x14ac:dyDescent="0.3"/>
    <row r="4182" ht="14.4" customHeight="1" x14ac:dyDescent="0.3"/>
    <row r="4183" ht="14.4" customHeight="1" x14ac:dyDescent="0.3"/>
    <row r="4184" ht="14.4" customHeight="1" x14ac:dyDescent="0.3"/>
    <row r="4185" ht="14.4" customHeight="1" x14ac:dyDescent="0.3"/>
    <row r="4186" ht="14.4" customHeight="1" x14ac:dyDescent="0.3"/>
    <row r="4187" ht="14.4" customHeight="1" x14ac:dyDescent="0.3"/>
    <row r="4188" ht="14.4" customHeight="1" x14ac:dyDescent="0.3"/>
    <row r="4189" ht="14.4" customHeight="1" x14ac:dyDescent="0.3"/>
    <row r="4190" ht="14.4" customHeight="1" x14ac:dyDescent="0.3"/>
    <row r="4191" ht="14.4" customHeight="1" x14ac:dyDescent="0.3"/>
    <row r="4192" ht="14.4" customHeight="1" x14ac:dyDescent="0.3"/>
    <row r="4193" ht="14.4" customHeight="1" x14ac:dyDescent="0.3"/>
    <row r="4194" ht="14.4" customHeight="1" x14ac:dyDescent="0.3"/>
    <row r="4195" ht="14.4" customHeight="1" x14ac:dyDescent="0.3"/>
    <row r="4196" ht="14.4" customHeight="1" x14ac:dyDescent="0.3"/>
    <row r="4197" ht="14.4" customHeight="1" x14ac:dyDescent="0.3"/>
    <row r="4198" ht="14.4" customHeight="1" x14ac:dyDescent="0.3"/>
    <row r="4199" ht="14.4" customHeight="1" x14ac:dyDescent="0.3"/>
    <row r="4200" ht="14.4" customHeight="1" x14ac:dyDescent="0.3"/>
    <row r="4201" ht="14.4" customHeight="1" x14ac:dyDescent="0.3"/>
    <row r="4202" ht="14.4" customHeight="1" x14ac:dyDescent="0.3"/>
    <row r="4203" ht="14.4" customHeight="1" x14ac:dyDescent="0.3"/>
    <row r="4204" ht="14.4" customHeight="1" x14ac:dyDescent="0.3"/>
    <row r="4205" ht="14.4" customHeight="1" x14ac:dyDescent="0.3"/>
    <row r="4206" ht="14.4" customHeight="1" x14ac:dyDescent="0.3"/>
    <row r="4207" ht="14.4" customHeight="1" x14ac:dyDescent="0.3"/>
    <row r="4208" ht="14.4" customHeight="1" x14ac:dyDescent="0.3"/>
    <row r="4209" ht="14.4" customHeight="1" x14ac:dyDescent="0.3"/>
    <row r="4210" ht="14.4" customHeight="1" x14ac:dyDescent="0.3"/>
    <row r="4211" ht="14.4" customHeight="1" x14ac:dyDescent="0.3"/>
    <row r="4212" ht="14.4" customHeight="1" x14ac:dyDescent="0.3"/>
    <row r="4213" ht="14.4" customHeight="1" x14ac:dyDescent="0.3"/>
    <row r="4214" ht="14.4" customHeight="1" x14ac:dyDescent="0.3"/>
    <row r="4215" ht="14.4" customHeight="1" x14ac:dyDescent="0.3"/>
    <row r="4216" ht="14.4" customHeight="1" x14ac:dyDescent="0.3"/>
    <row r="4217" ht="14.4" customHeight="1" x14ac:dyDescent="0.3"/>
    <row r="4218" ht="14.4" customHeight="1" x14ac:dyDescent="0.3"/>
    <row r="4219" ht="14.4" customHeight="1" x14ac:dyDescent="0.3"/>
    <row r="4220" ht="14.4" customHeight="1" x14ac:dyDescent="0.3"/>
    <row r="4221" ht="14.4" customHeight="1" x14ac:dyDescent="0.3"/>
    <row r="4222" ht="14.4" customHeight="1" x14ac:dyDescent="0.3"/>
    <row r="4223" ht="14.4" customHeight="1" x14ac:dyDescent="0.3"/>
    <row r="4224" ht="14.4" customHeight="1" x14ac:dyDescent="0.3"/>
    <row r="4225" ht="14.4" customHeight="1" x14ac:dyDescent="0.3"/>
    <row r="4226" ht="14.4" customHeight="1" x14ac:dyDescent="0.3"/>
    <row r="4227" ht="14.4" customHeight="1" x14ac:dyDescent="0.3"/>
    <row r="4228" ht="14.4" customHeight="1" x14ac:dyDescent="0.3"/>
    <row r="4229" ht="14.4" customHeight="1" x14ac:dyDescent="0.3"/>
    <row r="4230" ht="14.4" customHeight="1" x14ac:dyDescent="0.3"/>
    <row r="4231" ht="14.4" customHeight="1" x14ac:dyDescent="0.3"/>
    <row r="4232" ht="14.4" customHeight="1" x14ac:dyDescent="0.3"/>
    <row r="4233" ht="14.4" customHeight="1" x14ac:dyDescent="0.3"/>
    <row r="4234" ht="14.4" customHeight="1" x14ac:dyDescent="0.3"/>
    <row r="4235" ht="14.4" customHeight="1" x14ac:dyDescent="0.3"/>
    <row r="4236" ht="14.4" customHeight="1" x14ac:dyDescent="0.3"/>
    <row r="4237" ht="14.4" customHeight="1" x14ac:dyDescent="0.3"/>
    <row r="4238" ht="14.4" customHeight="1" x14ac:dyDescent="0.3"/>
    <row r="4239" ht="14.4" customHeight="1" x14ac:dyDescent="0.3"/>
    <row r="4240" ht="14.4" customHeight="1" x14ac:dyDescent="0.3"/>
    <row r="4241" ht="14.4" customHeight="1" x14ac:dyDescent="0.3"/>
    <row r="4242" ht="14.4" customHeight="1" x14ac:dyDescent="0.3"/>
    <row r="4243" ht="14.4" customHeight="1" x14ac:dyDescent="0.3"/>
    <row r="4244" ht="14.4" customHeight="1" x14ac:dyDescent="0.3"/>
    <row r="4245" ht="14.4" customHeight="1" x14ac:dyDescent="0.3"/>
    <row r="4246" ht="14.4" customHeight="1" x14ac:dyDescent="0.3"/>
    <row r="4247" ht="14.4" customHeight="1" x14ac:dyDescent="0.3"/>
    <row r="4248" ht="14.4" customHeight="1" x14ac:dyDescent="0.3"/>
    <row r="4249" ht="14.4" customHeight="1" x14ac:dyDescent="0.3"/>
    <row r="4250" ht="14.4" customHeight="1" x14ac:dyDescent="0.3"/>
    <row r="4251" ht="14.4" customHeight="1" x14ac:dyDescent="0.3"/>
    <row r="4252" ht="14.4" customHeight="1" x14ac:dyDescent="0.3"/>
    <row r="4253" ht="14.4" customHeight="1" x14ac:dyDescent="0.3"/>
    <row r="4254" ht="14.4" customHeight="1" x14ac:dyDescent="0.3"/>
    <row r="4255" ht="14.4" customHeight="1" x14ac:dyDescent="0.3"/>
    <row r="4256" ht="14.4" customHeight="1" x14ac:dyDescent="0.3"/>
    <row r="4257" ht="14.4" customHeight="1" x14ac:dyDescent="0.3"/>
    <row r="4258" ht="14.4" customHeight="1" x14ac:dyDescent="0.3"/>
    <row r="4259" ht="14.4" customHeight="1" x14ac:dyDescent="0.3"/>
    <row r="4260" ht="14.4" customHeight="1" x14ac:dyDescent="0.3"/>
    <row r="4261" ht="14.4" customHeight="1" x14ac:dyDescent="0.3"/>
    <row r="4262" ht="14.4" customHeight="1" x14ac:dyDescent="0.3"/>
    <row r="4263" ht="14.4" customHeight="1" x14ac:dyDescent="0.3"/>
    <row r="4264" ht="14.4" customHeight="1" x14ac:dyDescent="0.3"/>
    <row r="4265" ht="14.4" customHeight="1" x14ac:dyDescent="0.3"/>
    <row r="4266" ht="14.4" customHeight="1" x14ac:dyDescent="0.3"/>
    <row r="4267" ht="14.4" customHeight="1" x14ac:dyDescent="0.3"/>
    <row r="4268" ht="14.4" customHeight="1" x14ac:dyDescent="0.3"/>
    <row r="4269" ht="14.4" customHeight="1" x14ac:dyDescent="0.3"/>
    <row r="4270" ht="14.4" customHeight="1" x14ac:dyDescent="0.3"/>
    <row r="4271" ht="14.4" customHeight="1" x14ac:dyDescent="0.3"/>
    <row r="4272" ht="14.4" customHeight="1" x14ac:dyDescent="0.3"/>
    <row r="4273" ht="14.4" customHeight="1" x14ac:dyDescent="0.3"/>
    <row r="4274" ht="14.4" customHeight="1" x14ac:dyDescent="0.3"/>
    <row r="4275" ht="14.4" customHeight="1" x14ac:dyDescent="0.3"/>
    <row r="4276" ht="14.4" customHeight="1" x14ac:dyDescent="0.3"/>
    <row r="4277" ht="14.4" customHeight="1" x14ac:dyDescent="0.3"/>
    <row r="4278" ht="14.4" customHeight="1" x14ac:dyDescent="0.3"/>
    <row r="4279" ht="14.4" customHeight="1" x14ac:dyDescent="0.3"/>
    <row r="4280" ht="14.4" customHeight="1" x14ac:dyDescent="0.3"/>
    <row r="4281" ht="14.4" customHeight="1" x14ac:dyDescent="0.3"/>
    <row r="4282" ht="14.4" customHeight="1" x14ac:dyDescent="0.3"/>
    <row r="4283" ht="14.4" customHeight="1" x14ac:dyDescent="0.3"/>
    <row r="4284" ht="14.4" customHeight="1" x14ac:dyDescent="0.3"/>
    <row r="4285" ht="14.4" customHeight="1" x14ac:dyDescent="0.3"/>
    <row r="4286" ht="14.4" customHeight="1" x14ac:dyDescent="0.3"/>
    <row r="4287" ht="14.4" customHeight="1" x14ac:dyDescent="0.3"/>
    <row r="4288" ht="14.4" customHeight="1" x14ac:dyDescent="0.3"/>
    <row r="4289" ht="14.4" customHeight="1" x14ac:dyDescent="0.3"/>
    <row r="4290" ht="14.4" customHeight="1" x14ac:dyDescent="0.3"/>
    <row r="4291" ht="14.4" customHeight="1" x14ac:dyDescent="0.3"/>
    <row r="4292" ht="14.4" customHeight="1" x14ac:dyDescent="0.3"/>
    <row r="4293" ht="14.4" customHeight="1" x14ac:dyDescent="0.3"/>
    <row r="4294" ht="14.4" customHeight="1" x14ac:dyDescent="0.3"/>
    <row r="4295" ht="14.4" customHeight="1" x14ac:dyDescent="0.3"/>
    <row r="4296" ht="14.4" customHeight="1" x14ac:dyDescent="0.3"/>
    <row r="4297" ht="14.4" customHeight="1" x14ac:dyDescent="0.3"/>
    <row r="4298" ht="14.4" customHeight="1" x14ac:dyDescent="0.3"/>
    <row r="4299" ht="14.4" customHeight="1" x14ac:dyDescent="0.3"/>
    <row r="4300" ht="14.4" customHeight="1" x14ac:dyDescent="0.3"/>
    <row r="4301" ht="14.4" customHeight="1" x14ac:dyDescent="0.3"/>
    <row r="4302" ht="14.4" customHeight="1" x14ac:dyDescent="0.3"/>
    <row r="4303" ht="14.4" customHeight="1" x14ac:dyDescent="0.3"/>
    <row r="4304" ht="14.4" customHeight="1" x14ac:dyDescent="0.3"/>
    <row r="4305" ht="14.4" customHeight="1" x14ac:dyDescent="0.3"/>
    <row r="4306" ht="14.4" customHeight="1" x14ac:dyDescent="0.3"/>
    <row r="4307" ht="14.4" customHeight="1" x14ac:dyDescent="0.3"/>
    <row r="4308" ht="14.4" customHeight="1" x14ac:dyDescent="0.3"/>
    <row r="4309" ht="14.4" customHeight="1" x14ac:dyDescent="0.3"/>
    <row r="4310" ht="14.4" customHeight="1" x14ac:dyDescent="0.3"/>
    <row r="4311" ht="14.4" customHeight="1" x14ac:dyDescent="0.3"/>
    <row r="4312" ht="14.4" customHeight="1" x14ac:dyDescent="0.3"/>
    <row r="4313" ht="14.4" customHeight="1" x14ac:dyDescent="0.3"/>
    <row r="4314" ht="14.4" customHeight="1" x14ac:dyDescent="0.3"/>
    <row r="4315" ht="14.4" customHeight="1" x14ac:dyDescent="0.3"/>
    <row r="4316" ht="14.4" customHeight="1" x14ac:dyDescent="0.3"/>
    <row r="4317" ht="14.4" customHeight="1" x14ac:dyDescent="0.3"/>
    <row r="4318" ht="14.4" customHeight="1" x14ac:dyDescent="0.3"/>
    <row r="4319" ht="14.4" customHeight="1" x14ac:dyDescent="0.3"/>
    <row r="4320" ht="14.4" customHeight="1" x14ac:dyDescent="0.3"/>
    <row r="4321" ht="14.4" customHeight="1" x14ac:dyDescent="0.3"/>
    <row r="4322" ht="14.4" customHeight="1" x14ac:dyDescent="0.3"/>
    <row r="4323" ht="14.4" customHeight="1" x14ac:dyDescent="0.3"/>
    <row r="4324" ht="14.4" customHeight="1" x14ac:dyDescent="0.3"/>
    <row r="4325" ht="14.4" customHeight="1" x14ac:dyDescent="0.3"/>
    <row r="4326" ht="14.4" customHeight="1" x14ac:dyDescent="0.3"/>
    <row r="4327" ht="14.4" customHeight="1" x14ac:dyDescent="0.3"/>
    <row r="4328" ht="14.4" customHeight="1" x14ac:dyDescent="0.3"/>
    <row r="4329" ht="14.4" customHeight="1" x14ac:dyDescent="0.3"/>
    <row r="4330" ht="14.4" customHeight="1" x14ac:dyDescent="0.3"/>
    <row r="4331" ht="14.4" customHeight="1" x14ac:dyDescent="0.3"/>
    <row r="4332" ht="14.4" customHeight="1" x14ac:dyDescent="0.3"/>
    <row r="4333" ht="14.4" customHeight="1" x14ac:dyDescent="0.3"/>
    <row r="4334" ht="14.4" customHeight="1" x14ac:dyDescent="0.3"/>
    <row r="4335" ht="14.4" customHeight="1" x14ac:dyDescent="0.3"/>
    <row r="4336" ht="14.4" customHeight="1" x14ac:dyDescent="0.3"/>
    <row r="4337" ht="14.4" customHeight="1" x14ac:dyDescent="0.3"/>
    <row r="4338" ht="14.4" customHeight="1" x14ac:dyDescent="0.3"/>
    <row r="4339" ht="14.4" customHeight="1" x14ac:dyDescent="0.3"/>
    <row r="4340" ht="14.4" customHeight="1" x14ac:dyDescent="0.3"/>
    <row r="4341" ht="14.4" customHeight="1" x14ac:dyDescent="0.3"/>
    <row r="4342" ht="14.4" customHeight="1" x14ac:dyDescent="0.3"/>
    <row r="4343" ht="14.4" customHeight="1" x14ac:dyDescent="0.3"/>
    <row r="4344" ht="14.4" customHeight="1" x14ac:dyDescent="0.3"/>
    <row r="4345" ht="14.4" customHeight="1" x14ac:dyDescent="0.3"/>
    <row r="4346" ht="14.4" customHeight="1" x14ac:dyDescent="0.3"/>
    <row r="4347" ht="14.4" customHeight="1" x14ac:dyDescent="0.3"/>
    <row r="4348" ht="14.4" customHeight="1" x14ac:dyDescent="0.3"/>
    <row r="4349" ht="14.4" customHeight="1" x14ac:dyDescent="0.3"/>
    <row r="4350" ht="14.4" customHeight="1" x14ac:dyDescent="0.3"/>
    <row r="4351" ht="14.4" customHeight="1" x14ac:dyDescent="0.3"/>
    <row r="4352" ht="14.4" customHeight="1" x14ac:dyDescent="0.3"/>
    <row r="4353" ht="14.4" customHeight="1" x14ac:dyDescent="0.3"/>
    <row r="4354" ht="14.4" customHeight="1" x14ac:dyDescent="0.3"/>
    <row r="4355" ht="14.4" customHeight="1" x14ac:dyDescent="0.3"/>
    <row r="4356" ht="14.4" customHeight="1" x14ac:dyDescent="0.3"/>
    <row r="4357" ht="14.4" customHeight="1" x14ac:dyDescent="0.3"/>
    <row r="4358" ht="14.4" customHeight="1" x14ac:dyDescent="0.3"/>
    <row r="4359" ht="14.4" customHeight="1" x14ac:dyDescent="0.3"/>
    <row r="4360" ht="14.4" customHeight="1" x14ac:dyDescent="0.3"/>
    <row r="4361" ht="14.4" customHeight="1" x14ac:dyDescent="0.3"/>
    <row r="4362" ht="14.4" customHeight="1" x14ac:dyDescent="0.3"/>
    <row r="4363" ht="14.4" customHeight="1" x14ac:dyDescent="0.3"/>
    <row r="4364" ht="14.4" customHeight="1" x14ac:dyDescent="0.3"/>
    <row r="4365" ht="14.4" customHeight="1" x14ac:dyDescent="0.3"/>
    <row r="4366" ht="14.4" customHeight="1" x14ac:dyDescent="0.3"/>
    <row r="4367" ht="14.4" customHeight="1" x14ac:dyDescent="0.3"/>
    <row r="4368" ht="14.4" customHeight="1" x14ac:dyDescent="0.3"/>
    <row r="4369" ht="14.4" customHeight="1" x14ac:dyDescent="0.3"/>
    <row r="4370" ht="14.4" customHeight="1" x14ac:dyDescent="0.3"/>
    <row r="4371" ht="14.4" customHeight="1" x14ac:dyDescent="0.3"/>
    <row r="4372" ht="14.4" customHeight="1" x14ac:dyDescent="0.3"/>
    <row r="4373" ht="14.4" customHeight="1" x14ac:dyDescent="0.3"/>
    <row r="4374" ht="14.4" customHeight="1" x14ac:dyDescent="0.3"/>
    <row r="4375" ht="14.4" customHeight="1" x14ac:dyDescent="0.3"/>
    <row r="4376" ht="14.4" customHeight="1" x14ac:dyDescent="0.3"/>
    <row r="4377" ht="14.4" customHeight="1" x14ac:dyDescent="0.3"/>
    <row r="4378" ht="14.4" customHeight="1" x14ac:dyDescent="0.3"/>
    <row r="4379" ht="14.4" customHeight="1" x14ac:dyDescent="0.3"/>
    <row r="4380" ht="14.4" customHeight="1" x14ac:dyDescent="0.3"/>
    <row r="4381" ht="14.4" customHeight="1" x14ac:dyDescent="0.3"/>
    <row r="4382" ht="14.4" customHeight="1" x14ac:dyDescent="0.3"/>
    <row r="4383" ht="14.4" customHeight="1" x14ac:dyDescent="0.3"/>
    <row r="4384" ht="14.4" customHeight="1" x14ac:dyDescent="0.3"/>
    <row r="4385" ht="14.4" customHeight="1" x14ac:dyDescent="0.3"/>
    <row r="4386" ht="14.4" customHeight="1" x14ac:dyDescent="0.3"/>
    <row r="4387" ht="14.4" customHeight="1" x14ac:dyDescent="0.3"/>
    <row r="4388" ht="14.4" customHeight="1" x14ac:dyDescent="0.3"/>
    <row r="4389" ht="14.4" customHeight="1" x14ac:dyDescent="0.3"/>
    <row r="4390" ht="14.4" customHeight="1" x14ac:dyDescent="0.3"/>
    <row r="4391" ht="14.4" customHeight="1" x14ac:dyDescent="0.3"/>
    <row r="4392" ht="14.4" customHeight="1" x14ac:dyDescent="0.3"/>
    <row r="4393" ht="14.4" customHeight="1" x14ac:dyDescent="0.3"/>
    <row r="4394" ht="14.4" customHeight="1" x14ac:dyDescent="0.3"/>
    <row r="4395" ht="14.4" customHeight="1" x14ac:dyDescent="0.3"/>
    <row r="4396" ht="14.4" customHeight="1" x14ac:dyDescent="0.3"/>
    <row r="4397" ht="14.4" customHeight="1" x14ac:dyDescent="0.3"/>
    <row r="4398" ht="14.4" customHeight="1" x14ac:dyDescent="0.3"/>
    <row r="4399" ht="14.4" customHeight="1" x14ac:dyDescent="0.3"/>
    <row r="4400" ht="14.4" customHeight="1" x14ac:dyDescent="0.3"/>
    <row r="4401" ht="14.4" customHeight="1" x14ac:dyDescent="0.3"/>
    <row r="4402" ht="14.4" customHeight="1" x14ac:dyDescent="0.3"/>
    <row r="4403" ht="14.4" customHeight="1" x14ac:dyDescent="0.3"/>
    <row r="4404" ht="14.4" customHeight="1" x14ac:dyDescent="0.3"/>
    <row r="4405" ht="14.4" customHeight="1" x14ac:dyDescent="0.3"/>
    <row r="4406" ht="14.4" customHeight="1" x14ac:dyDescent="0.3"/>
    <row r="4407" ht="14.4" customHeight="1" x14ac:dyDescent="0.3"/>
    <row r="4408" ht="14.4" customHeight="1" x14ac:dyDescent="0.3"/>
    <row r="4409" ht="14.4" customHeight="1" x14ac:dyDescent="0.3"/>
    <row r="4410" ht="14.4" customHeight="1" x14ac:dyDescent="0.3"/>
    <row r="4411" ht="14.4" customHeight="1" x14ac:dyDescent="0.3"/>
    <row r="4412" ht="14.4" customHeight="1" x14ac:dyDescent="0.3"/>
    <row r="4413" ht="14.4" customHeight="1" x14ac:dyDescent="0.3"/>
    <row r="4414" ht="14.4" customHeight="1" x14ac:dyDescent="0.3"/>
    <row r="4415" ht="14.4" customHeight="1" x14ac:dyDescent="0.3"/>
    <row r="4416" ht="14.4" customHeight="1" x14ac:dyDescent="0.3"/>
    <row r="4417" ht="14.4" customHeight="1" x14ac:dyDescent="0.3"/>
    <row r="4418" ht="14.4" customHeight="1" x14ac:dyDescent="0.3"/>
    <row r="4419" ht="14.4" customHeight="1" x14ac:dyDescent="0.3"/>
    <row r="4420" ht="14.4" customHeight="1" x14ac:dyDescent="0.3"/>
    <row r="4421" ht="14.4" customHeight="1" x14ac:dyDescent="0.3"/>
    <row r="4422" ht="14.4" customHeight="1" x14ac:dyDescent="0.3"/>
    <row r="4423" ht="14.4" customHeight="1" x14ac:dyDescent="0.3"/>
    <row r="4424" ht="14.4" customHeight="1" x14ac:dyDescent="0.3"/>
    <row r="4425" ht="14.4" customHeight="1" x14ac:dyDescent="0.3"/>
    <row r="4426" ht="14.4" customHeight="1" x14ac:dyDescent="0.3"/>
    <row r="4427" ht="14.4" customHeight="1" x14ac:dyDescent="0.3"/>
    <row r="4428" ht="14.4" customHeight="1" x14ac:dyDescent="0.3"/>
    <row r="4429" ht="14.4" customHeight="1" x14ac:dyDescent="0.3"/>
    <row r="4430" ht="14.4" customHeight="1" x14ac:dyDescent="0.3"/>
    <row r="4431" ht="14.4" customHeight="1" x14ac:dyDescent="0.3"/>
    <row r="4432" ht="14.4" customHeight="1" x14ac:dyDescent="0.3"/>
    <row r="4433" ht="14.4" customHeight="1" x14ac:dyDescent="0.3"/>
    <row r="4434" ht="14.4" customHeight="1" x14ac:dyDescent="0.3"/>
    <row r="4435" ht="14.4" customHeight="1" x14ac:dyDescent="0.3"/>
    <row r="4436" ht="14.4" customHeight="1" x14ac:dyDescent="0.3"/>
    <row r="4437" ht="14.4" customHeight="1" x14ac:dyDescent="0.3"/>
    <row r="4438" ht="14.4" customHeight="1" x14ac:dyDescent="0.3"/>
    <row r="4439" ht="14.4" customHeight="1" x14ac:dyDescent="0.3"/>
    <row r="4440" ht="14.4" customHeight="1" x14ac:dyDescent="0.3"/>
    <row r="4441" ht="14.4" customHeight="1" x14ac:dyDescent="0.3"/>
    <row r="4442" ht="14.4" customHeight="1" x14ac:dyDescent="0.3"/>
    <row r="4443" ht="14.4" customHeight="1" x14ac:dyDescent="0.3"/>
    <row r="4444" ht="14.4" customHeight="1" x14ac:dyDescent="0.3"/>
    <row r="4445" ht="14.4" customHeight="1" x14ac:dyDescent="0.3"/>
    <row r="4446" ht="14.4" customHeight="1" x14ac:dyDescent="0.3"/>
    <row r="4447" ht="14.4" customHeight="1" x14ac:dyDescent="0.3"/>
    <row r="4448" ht="14.4" customHeight="1" x14ac:dyDescent="0.3"/>
    <row r="4449" ht="14.4" customHeight="1" x14ac:dyDescent="0.3"/>
    <row r="4450" ht="14.4" customHeight="1" x14ac:dyDescent="0.3"/>
    <row r="4451" ht="14.4" customHeight="1" x14ac:dyDescent="0.3"/>
    <row r="4452" ht="14.4" customHeight="1" x14ac:dyDescent="0.3"/>
    <row r="4453" ht="14.4" customHeight="1" x14ac:dyDescent="0.3"/>
    <row r="4454" ht="14.4" customHeight="1" x14ac:dyDescent="0.3"/>
    <row r="4455" ht="14.4" customHeight="1" x14ac:dyDescent="0.3"/>
    <row r="4456" ht="14.4" customHeight="1" x14ac:dyDescent="0.3"/>
    <row r="4457" ht="14.4" customHeight="1" x14ac:dyDescent="0.3"/>
    <row r="4458" ht="14.4" customHeight="1" x14ac:dyDescent="0.3"/>
    <row r="4459" ht="14.4" customHeight="1" x14ac:dyDescent="0.3"/>
    <row r="4460" ht="14.4" customHeight="1" x14ac:dyDescent="0.3"/>
    <row r="4461" ht="14.4" customHeight="1" x14ac:dyDescent="0.3"/>
    <row r="4462" ht="14.4" customHeight="1" x14ac:dyDescent="0.3"/>
    <row r="4463" ht="14.4" customHeight="1" x14ac:dyDescent="0.3"/>
    <row r="4464" ht="14.4" customHeight="1" x14ac:dyDescent="0.3"/>
    <row r="4465" ht="14.4" customHeight="1" x14ac:dyDescent="0.3"/>
    <row r="4466" ht="14.4" customHeight="1" x14ac:dyDescent="0.3"/>
    <row r="4467" ht="14.4" customHeight="1" x14ac:dyDescent="0.3"/>
    <row r="4468" ht="14.4" customHeight="1" x14ac:dyDescent="0.3"/>
    <row r="4469" ht="14.4" customHeight="1" x14ac:dyDescent="0.3"/>
    <row r="4470" ht="14.4" customHeight="1" x14ac:dyDescent="0.3"/>
    <row r="4471" ht="14.4" customHeight="1" x14ac:dyDescent="0.3"/>
    <row r="4472" ht="14.4" customHeight="1" x14ac:dyDescent="0.3"/>
    <row r="4473" ht="14.4" customHeight="1" x14ac:dyDescent="0.3"/>
    <row r="4474" ht="14.4" customHeight="1" x14ac:dyDescent="0.3"/>
    <row r="4475" ht="14.4" customHeight="1" x14ac:dyDescent="0.3"/>
    <row r="4476" ht="14.4" customHeight="1" x14ac:dyDescent="0.3"/>
    <row r="4477" ht="14.4" customHeight="1" x14ac:dyDescent="0.3"/>
    <row r="4478" ht="14.4" customHeight="1" x14ac:dyDescent="0.3"/>
    <row r="4479" ht="14.4" customHeight="1" x14ac:dyDescent="0.3"/>
    <row r="4480" ht="14.4" customHeight="1" x14ac:dyDescent="0.3"/>
    <row r="4481" ht="14.4" customHeight="1" x14ac:dyDescent="0.3"/>
    <row r="4482" ht="14.4" customHeight="1" x14ac:dyDescent="0.3"/>
    <row r="4483" ht="14.4" customHeight="1" x14ac:dyDescent="0.3"/>
    <row r="4484" ht="14.4" customHeight="1" x14ac:dyDescent="0.3"/>
    <row r="4485" ht="14.4" customHeight="1" x14ac:dyDescent="0.3"/>
    <row r="4486" ht="14.4" customHeight="1" x14ac:dyDescent="0.3"/>
    <row r="4487" ht="14.4" customHeight="1" x14ac:dyDescent="0.3"/>
    <row r="4488" ht="14.4" customHeight="1" x14ac:dyDescent="0.3"/>
    <row r="4489" ht="14.4" customHeight="1" x14ac:dyDescent="0.3"/>
    <row r="4490" ht="14.4" customHeight="1" x14ac:dyDescent="0.3"/>
    <row r="4491" ht="14.4" customHeight="1" x14ac:dyDescent="0.3"/>
    <row r="4492" ht="14.4" customHeight="1" x14ac:dyDescent="0.3"/>
    <row r="4493" ht="14.4" customHeight="1" x14ac:dyDescent="0.3"/>
    <row r="4494" ht="14.4" customHeight="1" x14ac:dyDescent="0.3"/>
    <row r="4495" ht="14.4" customHeight="1" x14ac:dyDescent="0.3"/>
    <row r="4496" ht="14.4" customHeight="1" x14ac:dyDescent="0.3"/>
    <row r="4497" ht="14.4" customHeight="1" x14ac:dyDescent="0.3"/>
    <row r="4498" ht="14.4" customHeight="1" x14ac:dyDescent="0.3"/>
    <row r="4499" ht="14.4" customHeight="1" x14ac:dyDescent="0.3"/>
    <row r="4500" ht="14.4" customHeight="1" x14ac:dyDescent="0.3"/>
    <row r="4501" ht="14.4" customHeight="1" x14ac:dyDescent="0.3"/>
    <row r="4502" ht="14.4" customHeight="1" x14ac:dyDescent="0.3"/>
    <row r="4503" ht="14.4" customHeight="1" x14ac:dyDescent="0.3"/>
    <row r="4504" ht="14.4" customHeight="1" x14ac:dyDescent="0.3"/>
    <row r="4505" ht="14.4" customHeight="1" x14ac:dyDescent="0.3"/>
    <row r="4506" ht="14.4" customHeight="1" x14ac:dyDescent="0.3"/>
    <row r="4507" ht="14.4" customHeight="1" x14ac:dyDescent="0.3"/>
    <row r="4508" ht="14.4" customHeight="1" x14ac:dyDescent="0.3"/>
    <row r="4509" ht="14.4" customHeight="1" x14ac:dyDescent="0.3"/>
    <row r="4510" ht="14.4" customHeight="1" x14ac:dyDescent="0.3"/>
    <row r="4511" ht="14.4" customHeight="1" x14ac:dyDescent="0.3"/>
    <row r="4512" ht="14.4" customHeight="1" x14ac:dyDescent="0.3"/>
    <row r="4513" ht="14.4" customHeight="1" x14ac:dyDescent="0.3"/>
    <row r="4514" ht="14.4" customHeight="1" x14ac:dyDescent="0.3"/>
    <row r="4515" ht="14.4" customHeight="1" x14ac:dyDescent="0.3"/>
    <row r="4516" ht="14.4" customHeight="1" x14ac:dyDescent="0.3"/>
    <row r="4517" ht="14.4" customHeight="1" x14ac:dyDescent="0.3"/>
    <row r="4518" ht="14.4" customHeight="1" x14ac:dyDescent="0.3"/>
    <row r="4519" ht="14.4" customHeight="1" x14ac:dyDescent="0.3"/>
    <row r="4520" ht="14.4" customHeight="1" x14ac:dyDescent="0.3"/>
    <row r="4521" ht="14.4" customHeight="1" x14ac:dyDescent="0.3"/>
    <row r="4522" ht="14.4" customHeight="1" x14ac:dyDescent="0.3"/>
    <row r="4523" ht="14.4" customHeight="1" x14ac:dyDescent="0.3"/>
    <row r="4524" ht="14.4" customHeight="1" x14ac:dyDescent="0.3"/>
    <row r="4525" ht="14.4" customHeight="1" x14ac:dyDescent="0.3"/>
    <row r="4526" ht="14.4" customHeight="1" x14ac:dyDescent="0.3"/>
    <row r="4527" ht="14.4" customHeight="1" x14ac:dyDescent="0.3"/>
    <row r="4528" ht="14.4" customHeight="1" x14ac:dyDescent="0.3"/>
    <row r="4529" ht="14.4" customHeight="1" x14ac:dyDescent="0.3"/>
    <row r="4530" ht="14.4" customHeight="1" x14ac:dyDescent="0.3"/>
    <row r="4531" ht="14.4" customHeight="1" x14ac:dyDescent="0.3"/>
    <row r="4532" ht="14.4" customHeight="1" x14ac:dyDescent="0.3"/>
    <row r="4533" ht="14.4" customHeight="1" x14ac:dyDescent="0.3"/>
    <row r="4534" ht="14.4" customHeight="1" x14ac:dyDescent="0.3"/>
    <row r="4535" ht="14.4" customHeight="1" x14ac:dyDescent="0.3"/>
    <row r="4536" ht="14.4" customHeight="1" x14ac:dyDescent="0.3"/>
    <row r="4537" ht="14.4" customHeight="1" x14ac:dyDescent="0.3"/>
    <row r="4538" ht="14.4" customHeight="1" x14ac:dyDescent="0.3"/>
    <row r="4539" ht="14.4" customHeight="1" x14ac:dyDescent="0.3"/>
    <row r="4540" ht="14.4" customHeight="1" x14ac:dyDescent="0.3"/>
    <row r="4541" ht="14.4" customHeight="1" x14ac:dyDescent="0.3"/>
    <row r="4542" ht="14.4" customHeight="1" x14ac:dyDescent="0.3"/>
    <row r="4543" ht="14.4" customHeight="1" x14ac:dyDescent="0.3"/>
    <row r="4544" ht="14.4" customHeight="1" x14ac:dyDescent="0.3"/>
    <row r="4545" ht="14.4" customHeight="1" x14ac:dyDescent="0.3"/>
    <row r="4546" ht="14.4" customHeight="1" x14ac:dyDescent="0.3"/>
    <row r="4547" ht="14.4" customHeight="1" x14ac:dyDescent="0.3"/>
    <row r="4548" ht="14.4" customHeight="1" x14ac:dyDescent="0.3"/>
    <row r="4549" ht="14.4" customHeight="1" x14ac:dyDescent="0.3"/>
    <row r="4550" ht="14.4" customHeight="1" x14ac:dyDescent="0.3"/>
    <row r="4551" ht="14.4" customHeight="1" x14ac:dyDescent="0.3"/>
    <row r="4552" ht="14.4" customHeight="1" x14ac:dyDescent="0.3"/>
    <row r="4553" ht="14.4" customHeight="1" x14ac:dyDescent="0.3"/>
    <row r="4554" ht="14.4" customHeight="1" x14ac:dyDescent="0.3"/>
    <row r="4555" ht="14.4" customHeight="1" x14ac:dyDescent="0.3"/>
    <row r="4556" ht="14.4" customHeight="1" x14ac:dyDescent="0.3"/>
    <row r="4557" ht="14.4" customHeight="1" x14ac:dyDescent="0.3"/>
    <row r="4558" ht="14.4" customHeight="1" x14ac:dyDescent="0.3"/>
    <row r="4559" ht="14.4" customHeight="1" x14ac:dyDescent="0.3"/>
    <row r="4560" ht="14.4" customHeight="1" x14ac:dyDescent="0.3"/>
    <row r="4561" ht="14.4" customHeight="1" x14ac:dyDescent="0.3"/>
    <row r="4562" ht="14.4" customHeight="1" x14ac:dyDescent="0.3"/>
    <row r="4563" ht="14.4" customHeight="1" x14ac:dyDescent="0.3"/>
    <row r="4564" ht="14.4" customHeight="1" x14ac:dyDescent="0.3"/>
    <row r="4565" ht="14.4" customHeight="1" x14ac:dyDescent="0.3"/>
    <row r="4566" ht="14.4" customHeight="1" x14ac:dyDescent="0.3"/>
    <row r="4567" ht="14.4" customHeight="1" x14ac:dyDescent="0.3"/>
    <row r="4568" ht="14.4" customHeight="1" x14ac:dyDescent="0.3"/>
    <row r="4569" ht="14.4" customHeight="1" x14ac:dyDescent="0.3"/>
    <row r="4570" ht="14.4" customHeight="1" x14ac:dyDescent="0.3"/>
    <row r="4571" ht="14.4" customHeight="1" x14ac:dyDescent="0.3"/>
    <row r="4572" ht="14.4" customHeight="1" x14ac:dyDescent="0.3"/>
    <row r="4573" ht="14.4" customHeight="1" x14ac:dyDescent="0.3"/>
    <row r="4574" ht="14.4" customHeight="1" x14ac:dyDescent="0.3"/>
    <row r="4575" ht="14.4" customHeight="1" x14ac:dyDescent="0.3"/>
    <row r="4576" ht="14.4" customHeight="1" x14ac:dyDescent="0.3"/>
    <row r="4577" ht="14.4" customHeight="1" x14ac:dyDescent="0.3"/>
    <row r="4578" ht="14.4" customHeight="1" x14ac:dyDescent="0.3"/>
    <row r="4579" ht="14.4" customHeight="1" x14ac:dyDescent="0.3"/>
    <row r="4580" ht="14.4" customHeight="1" x14ac:dyDescent="0.3"/>
    <row r="4581" ht="14.4" customHeight="1" x14ac:dyDescent="0.3"/>
    <row r="4582" ht="14.4" customHeight="1" x14ac:dyDescent="0.3"/>
    <row r="4583" ht="14.4" customHeight="1" x14ac:dyDescent="0.3"/>
    <row r="4584" ht="14.4" customHeight="1" x14ac:dyDescent="0.3"/>
    <row r="4585" ht="14.4" customHeight="1" x14ac:dyDescent="0.3"/>
    <row r="4586" ht="14.4" customHeight="1" x14ac:dyDescent="0.3"/>
    <row r="4587" ht="14.4" customHeight="1" x14ac:dyDescent="0.3"/>
    <row r="4588" ht="14.4" customHeight="1" x14ac:dyDescent="0.3"/>
    <row r="4589" ht="14.4" customHeight="1" x14ac:dyDescent="0.3"/>
    <row r="4590" ht="14.4" customHeight="1" x14ac:dyDescent="0.3"/>
    <row r="4591" ht="14.4" customHeight="1" x14ac:dyDescent="0.3"/>
    <row r="4592" ht="14.4" customHeight="1" x14ac:dyDescent="0.3"/>
    <row r="4593" ht="14.4" customHeight="1" x14ac:dyDescent="0.3"/>
    <row r="4594" ht="14.4" customHeight="1" x14ac:dyDescent="0.3"/>
    <row r="4595" ht="14.4" customHeight="1" x14ac:dyDescent="0.3"/>
    <row r="4596" ht="14.4" customHeight="1" x14ac:dyDescent="0.3"/>
    <row r="4597" ht="14.4" customHeight="1" x14ac:dyDescent="0.3"/>
    <row r="4598" ht="14.4" customHeight="1" x14ac:dyDescent="0.3"/>
    <row r="4599" ht="14.4" customHeight="1" x14ac:dyDescent="0.3"/>
    <row r="4600" ht="14.4" customHeight="1" x14ac:dyDescent="0.3"/>
    <row r="4601" ht="14.4" customHeight="1" x14ac:dyDescent="0.3"/>
    <row r="4602" ht="14.4" customHeight="1" x14ac:dyDescent="0.3"/>
    <row r="4603" ht="14.4" customHeight="1" x14ac:dyDescent="0.3"/>
    <row r="4604" ht="14.4" customHeight="1" x14ac:dyDescent="0.3"/>
    <row r="4605" ht="14.4" customHeight="1" x14ac:dyDescent="0.3"/>
    <row r="4606" ht="14.4" customHeight="1" x14ac:dyDescent="0.3"/>
    <row r="4607" ht="14.4" customHeight="1" x14ac:dyDescent="0.3"/>
    <row r="4608" ht="14.4" customHeight="1" x14ac:dyDescent="0.3"/>
    <row r="4609" ht="14.4" customHeight="1" x14ac:dyDescent="0.3"/>
    <row r="4610" ht="14.4" customHeight="1" x14ac:dyDescent="0.3"/>
    <row r="4611" ht="14.4" customHeight="1" x14ac:dyDescent="0.3"/>
    <row r="4612" ht="14.4" customHeight="1" x14ac:dyDescent="0.3"/>
    <row r="4613" ht="14.4" customHeight="1" x14ac:dyDescent="0.3"/>
    <row r="4614" ht="14.4" customHeight="1" x14ac:dyDescent="0.3"/>
    <row r="4615" ht="14.4" customHeight="1" x14ac:dyDescent="0.3"/>
    <row r="4616" ht="14.4" customHeight="1" x14ac:dyDescent="0.3"/>
    <row r="4617" ht="14.4" customHeight="1" x14ac:dyDescent="0.3"/>
    <row r="4618" ht="14.4" customHeight="1" x14ac:dyDescent="0.3"/>
    <row r="4619" ht="14.4" customHeight="1" x14ac:dyDescent="0.3"/>
    <row r="4620" ht="14.4" customHeight="1" x14ac:dyDescent="0.3"/>
    <row r="4621" ht="14.4" customHeight="1" x14ac:dyDescent="0.3"/>
    <row r="4622" ht="14.4" customHeight="1" x14ac:dyDescent="0.3"/>
    <row r="4623" ht="14.4" customHeight="1" x14ac:dyDescent="0.3"/>
    <row r="4624" ht="14.4" customHeight="1" x14ac:dyDescent="0.3"/>
    <row r="4625" ht="14.4" customHeight="1" x14ac:dyDescent="0.3"/>
    <row r="4626" ht="14.4" customHeight="1" x14ac:dyDescent="0.3"/>
    <row r="4627" ht="14.4" customHeight="1" x14ac:dyDescent="0.3"/>
    <row r="4628" ht="14.4" customHeight="1" x14ac:dyDescent="0.3"/>
    <row r="4629" ht="14.4" customHeight="1" x14ac:dyDescent="0.3"/>
    <row r="4630" ht="14.4" customHeight="1" x14ac:dyDescent="0.3"/>
    <row r="4631" ht="14.4" customHeight="1" x14ac:dyDescent="0.3"/>
    <row r="4632" ht="14.4" customHeight="1" x14ac:dyDescent="0.3"/>
    <row r="4633" ht="14.4" customHeight="1" x14ac:dyDescent="0.3"/>
    <row r="4634" ht="14.4" customHeight="1" x14ac:dyDescent="0.3"/>
    <row r="4635" ht="14.4" customHeight="1" x14ac:dyDescent="0.3"/>
    <row r="4636" ht="14.4" customHeight="1" x14ac:dyDescent="0.3"/>
    <row r="4637" ht="14.4" customHeight="1" x14ac:dyDescent="0.3"/>
    <row r="4638" ht="14.4" customHeight="1" x14ac:dyDescent="0.3"/>
    <row r="4639" ht="14.4" customHeight="1" x14ac:dyDescent="0.3"/>
    <row r="4640" ht="14.4" customHeight="1" x14ac:dyDescent="0.3"/>
    <row r="4641" ht="14.4" customHeight="1" x14ac:dyDescent="0.3"/>
    <row r="4642" ht="14.4" customHeight="1" x14ac:dyDescent="0.3"/>
    <row r="4643" ht="14.4" customHeight="1" x14ac:dyDescent="0.3"/>
    <row r="4644" ht="14.4" customHeight="1" x14ac:dyDescent="0.3"/>
    <row r="4645" ht="14.4" customHeight="1" x14ac:dyDescent="0.3"/>
    <row r="4646" ht="14.4" customHeight="1" x14ac:dyDescent="0.3"/>
    <row r="4647" ht="14.4" customHeight="1" x14ac:dyDescent="0.3"/>
    <row r="4648" ht="14.4" customHeight="1" x14ac:dyDescent="0.3"/>
    <row r="4649" ht="14.4" customHeight="1" x14ac:dyDescent="0.3"/>
    <row r="4650" ht="14.4" customHeight="1" x14ac:dyDescent="0.3"/>
    <row r="4651" ht="14.4" customHeight="1" x14ac:dyDescent="0.3"/>
    <row r="4652" ht="14.4" customHeight="1" x14ac:dyDescent="0.3"/>
    <row r="4653" ht="14.4" customHeight="1" x14ac:dyDescent="0.3"/>
    <row r="4654" ht="14.4" customHeight="1" x14ac:dyDescent="0.3"/>
    <row r="4655" ht="14.4" customHeight="1" x14ac:dyDescent="0.3"/>
    <row r="4656" ht="14.4" customHeight="1" x14ac:dyDescent="0.3"/>
    <row r="4657" ht="14.4" customHeight="1" x14ac:dyDescent="0.3"/>
    <row r="4658" ht="14.4" customHeight="1" x14ac:dyDescent="0.3"/>
    <row r="4659" ht="14.4" customHeight="1" x14ac:dyDescent="0.3"/>
    <row r="4660" ht="14.4" customHeight="1" x14ac:dyDescent="0.3"/>
    <row r="4661" ht="14.4" customHeight="1" x14ac:dyDescent="0.3"/>
    <row r="4662" ht="14.4" customHeight="1" x14ac:dyDescent="0.3"/>
    <row r="4663" ht="14.4" customHeight="1" x14ac:dyDescent="0.3"/>
    <row r="4664" ht="14.4" customHeight="1" x14ac:dyDescent="0.3"/>
    <row r="4665" ht="14.4" customHeight="1" x14ac:dyDescent="0.3"/>
    <row r="4666" ht="14.4" customHeight="1" x14ac:dyDescent="0.3"/>
    <row r="4667" ht="14.4" customHeight="1" x14ac:dyDescent="0.3"/>
    <row r="4668" ht="14.4" customHeight="1" x14ac:dyDescent="0.3"/>
    <row r="4669" ht="14.4" customHeight="1" x14ac:dyDescent="0.3"/>
    <row r="4670" ht="14.4" customHeight="1" x14ac:dyDescent="0.3"/>
    <row r="4671" ht="14.4" customHeight="1" x14ac:dyDescent="0.3"/>
    <row r="4672" ht="14.4" customHeight="1" x14ac:dyDescent="0.3"/>
    <row r="4673" ht="14.4" customHeight="1" x14ac:dyDescent="0.3"/>
    <row r="4674" ht="14.4" customHeight="1" x14ac:dyDescent="0.3"/>
    <row r="4675" ht="14.4" customHeight="1" x14ac:dyDescent="0.3"/>
    <row r="4676" ht="14.4" customHeight="1" x14ac:dyDescent="0.3"/>
    <row r="4677" ht="14.4" customHeight="1" x14ac:dyDescent="0.3"/>
    <row r="4678" ht="14.4" customHeight="1" x14ac:dyDescent="0.3"/>
    <row r="4679" ht="14.4" customHeight="1" x14ac:dyDescent="0.3"/>
    <row r="4680" ht="14.4" customHeight="1" x14ac:dyDescent="0.3"/>
    <row r="4681" ht="14.4" customHeight="1" x14ac:dyDescent="0.3"/>
    <row r="4682" ht="14.4" customHeight="1" x14ac:dyDescent="0.3"/>
    <row r="4683" ht="14.4" customHeight="1" x14ac:dyDescent="0.3"/>
    <row r="4684" ht="14.4" customHeight="1" x14ac:dyDescent="0.3"/>
    <row r="4685" ht="14.4" customHeight="1" x14ac:dyDescent="0.3"/>
    <row r="4686" ht="14.4" customHeight="1" x14ac:dyDescent="0.3"/>
    <row r="4687" ht="14.4" customHeight="1" x14ac:dyDescent="0.3"/>
    <row r="4688" ht="14.4" customHeight="1" x14ac:dyDescent="0.3"/>
    <row r="4689" ht="14.4" customHeight="1" x14ac:dyDescent="0.3"/>
    <row r="4690" ht="14.4" customHeight="1" x14ac:dyDescent="0.3"/>
    <row r="4691" ht="14.4" customHeight="1" x14ac:dyDescent="0.3"/>
    <row r="4692" ht="14.4" customHeight="1" x14ac:dyDescent="0.3"/>
    <row r="4693" ht="14.4" customHeight="1" x14ac:dyDescent="0.3"/>
    <row r="4694" ht="14.4" customHeight="1" x14ac:dyDescent="0.3"/>
    <row r="4695" ht="14.4" customHeight="1" x14ac:dyDescent="0.3"/>
    <row r="4696" ht="14.4" customHeight="1" x14ac:dyDescent="0.3"/>
    <row r="4697" ht="14.4" customHeight="1" x14ac:dyDescent="0.3"/>
    <row r="4698" ht="14.4" customHeight="1" x14ac:dyDescent="0.3"/>
    <row r="4699" ht="14.4" customHeight="1" x14ac:dyDescent="0.3"/>
    <row r="4700" ht="14.4" customHeight="1" x14ac:dyDescent="0.3"/>
    <row r="4701" ht="14.4" customHeight="1" x14ac:dyDescent="0.3"/>
    <row r="4702" ht="14.4" customHeight="1" x14ac:dyDescent="0.3"/>
    <row r="4703" ht="14.4" customHeight="1" x14ac:dyDescent="0.3"/>
    <row r="4704" ht="14.4" customHeight="1" x14ac:dyDescent="0.3"/>
    <row r="4705" ht="14.4" customHeight="1" x14ac:dyDescent="0.3"/>
    <row r="4706" ht="14.4" customHeight="1" x14ac:dyDescent="0.3"/>
    <row r="4707" ht="14.4" customHeight="1" x14ac:dyDescent="0.3"/>
    <row r="4708" ht="14.4" customHeight="1" x14ac:dyDescent="0.3"/>
    <row r="4709" ht="14.4" customHeight="1" x14ac:dyDescent="0.3"/>
    <row r="4710" ht="14.4" customHeight="1" x14ac:dyDescent="0.3"/>
    <row r="4711" ht="14.4" customHeight="1" x14ac:dyDescent="0.3"/>
    <row r="4712" ht="14.4" customHeight="1" x14ac:dyDescent="0.3"/>
    <row r="4713" ht="14.4" customHeight="1" x14ac:dyDescent="0.3"/>
    <row r="4714" ht="14.4" customHeight="1" x14ac:dyDescent="0.3"/>
    <row r="4715" ht="14.4" customHeight="1" x14ac:dyDescent="0.3"/>
    <row r="4716" ht="14.4" customHeight="1" x14ac:dyDescent="0.3"/>
    <row r="4717" ht="14.4" customHeight="1" x14ac:dyDescent="0.3"/>
    <row r="4718" ht="14.4" customHeight="1" x14ac:dyDescent="0.3"/>
    <row r="4719" ht="14.4" customHeight="1" x14ac:dyDescent="0.3"/>
    <row r="4720" ht="14.4" customHeight="1" x14ac:dyDescent="0.3"/>
    <row r="4721" ht="14.4" customHeight="1" x14ac:dyDescent="0.3"/>
    <row r="4722" ht="14.4" customHeight="1" x14ac:dyDescent="0.3"/>
    <row r="4723" ht="14.4" customHeight="1" x14ac:dyDescent="0.3"/>
    <row r="4724" ht="14.4" customHeight="1" x14ac:dyDescent="0.3"/>
    <row r="4725" ht="14.4" customHeight="1" x14ac:dyDescent="0.3"/>
    <row r="4726" ht="14.4" customHeight="1" x14ac:dyDescent="0.3"/>
    <row r="4727" ht="14.4" customHeight="1" x14ac:dyDescent="0.3"/>
    <row r="4728" ht="14.4" customHeight="1" x14ac:dyDescent="0.3"/>
    <row r="4729" ht="14.4" customHeight="1" x14ac:dyDescent="0.3"/>
    <row r="4730" ht="14.4" customHeight="1" x14ac:dyDescent="0.3"/>
    <row r="4731" ht="14.4" customHeight="1" x14ac:dyDescent="0.3"/>
    <row r="4732" ht="14.4" customHeight="1" x14ac:dyDescent="0.3"/>
    <row r="4733" ht="14.4" customHeight="1" x14ac:dyDescent="0.3"/>
    <row r="4734" ht="14.4" customHeight="1" x14ac:dyDescent="0.3"/>
    <row r="4735" ht="14.4" customHeight="1" x14ac:dyDescent="0.3"/>
    <row r="4736" ht="14.4" customHeight="1" x14ac:dyDescent="0.3"/>
    <row r="4737" ht="14.4" customHeight="1" x14ac:dyDescent="0.3"/>
    <row r="4738" ht="14.4" customHeight="1" x14ac:dyDescent="0.3"/>
    <row r="4739" ht="14.4" customHeight="1" x14ac:dyDescent="0.3"/>
    <row r="4740" ht="14.4" customHeight="1" x14ac:dyDescent="0.3"/>
    <row r="4741" ht="14.4" customHeight="1" x14ac:dyDescent="0.3"/>
    <row r="4742" ht="14.4" customHeight="1" x14ac:dyDescent="0.3"/>
    <row r="4743" ht="14.4" customHeight="1" x14ac:dyDescent="0.3"/>
    <row r="4744" ht="14.4" customHeight="1" x14ac:dyDescent="0.3"/>
    <row r="4745" ht="14.4" customHeight="1" x14ac:dyDescent="0.3"/>
    <row r="4746" ht="14.4" customHeight="1" x14ac:dyDescent="0.3"/>
    <row r="4747" ht="14.4" customHeight="1" x14ac:dyDescent="0.3"/>
    <row r="4748" ht="14.4" customHeight="1" x14ac:dyDescent="0.3"/>
    <row r="4749" ht="14.4" customHeight="1" x14ac:dyDescent="0.3"/>
    <row r="4750" ht="14.4" customHeight="1" x14ac:dyDescent="0.3"/>
    <row r="4751" ht="14.4" customHeight="1" x14ac:dyDescent="0.3"/>
    <row r="4752" ht="14.4" customHeight="1" x14ac:dyDescent="0.3"/>
    <row r="4753" ht="14.4" customHeight="1" x14ac:dyDescent="0.3"/>
    <row r="4754" ht="14.4" customHeight="1" x14ac:dyDescent="0.3"/>
    <row r="4755" ht="14.4" customHeight="1" x14ac:dyDescent="0.3"/>
    <row r="4756" ht="14.4" customHeight="1" x14ac:dyDescent="0.3"/>
    <row r="4757" ht="14.4" customHeight="1" x14ac:dyDescent="0.3"/>
    <row r="4758" ht="14.4" customHeight="1" x14ac:dyDescent="0.3"/>
    <row r="4759" ht="14.4" customHeight="1" x14ac:dyDescent="0.3"/>
    <row r="4760" ht="14.4" customHeight="1" x14ac:dyDescent="0.3"/>
    <row r="4761" ht="14.4" customHeight="1" x14ac:dyDescent="0.3"/>
    <row r="4762" ht="14.4" customHeight="1" x14ac:dyDescent="0.3"/>
    <row r="4763" ht="14.4" customHeight="1" x14ac:dyDescent="0.3"/>
    <row r="4764" ht="14.4" customHeight="1" x14ac:dyDescent="0.3"/>
    <row r="4765" ht="14.4" customHeight="1" x14ac:dyDescent="0.3"/>
    <row r="4766" ht="14.4" customHeight="1" x14ac:dyDescent="0.3"/>
    <row r="4767" ht="14.4" customHeight="1" x14ac:dyDescent="0.3"/>
    <row r="4768" ht="14.4" customHeight="1" x14ac:dyDescent="0.3"/>
    <row r="4769" ht="14.4" customHeight="1" x14ac:dyDescent="0.3"/>
    <row r="4770" ht="14.4" customHeight="1" x14ac:dyDescent="0.3"/>
    <row r="4771" ht="14.4" customHeight="1" x14ac:dyDescent="0.3"/>
    <row r="4772" ht="14.4" customHeight="1" x14ac:dyDescent="0.3"/>
    <row r="4773" ht="14.4" customHeight="1" x14ac:dyDescent="0.3"/>
    <row r="4774" ht="14.4" customHeight="1" x14ac:dyDescent="0.3"/>
    <row r="4775" ht="14.4" customHeight="1" x14ac:dyDescent="0.3"/>
    <row r="4776" ht="14.4" customHeight="1" x14ac:dyDescent="0.3"/>
    <row r="4777" ht="14.4" customHeight="1" x14ac:dyDescent="0.3"/>
    <row r="4778" ht="14.4" customHeight="1" x14ac:dyDescent="0.3"/>
    <row r="4779" ht="14.4" customHeight="1" x14ac:dyDescent="0.3"/>
    <row r="4780" ht="14.4" customHeight="1" x14ac:dyDescent="0.3"/>
    <row r="4781" ht="14.4" customHeight="1" x14ac:dyDescent="0.3"/>
    <row r="4782" ht="14.4" customHeight="1" x14ac:dyDescent="0.3"/>
    <row r="4783" ht="14.4" customHeight="1" x14ac:dyDescent="0.3"/>
    <row r="4784" ht="14.4" customHeight="1" x14ac:dyDescent="0.3"/>
    <row r="4785" ht="14.4" customHeight="1" x14ac:dyDescent="0.3"/>
    <row r="4786" ht="14.4" customHeight="1" x14ac:dyDescent="0.3"/>
    <row r="4787" ht="14.4" customHeight="1" x14ac:dyDescent="0.3"/>
    <row r="4788" ht="14.4" customHeight="1" x14ac:dyDescent="0.3"/>
    <row r="4789" ht="14.4" customHeight="1" x14ac:dyDescent="0.3"/>
    <row r="4790" ht="14.4" customHeight="1" x14ac:dyDescent="0.3"/>
    <row r="4791" ht="14.4" customHeight="1" x14ac:dyDescent="0.3"/>
    <row r="4792" ht="14.4" customHeight="1" x14ac:dyDescent="0.3"/>
    <row r="4793" ht="14.4" customHeight="1" x14ac:dyDescent="0.3"/>
    <row r="4794" ht="14.4" customHeight="1" x14ac:dyDescent="0.3"/>
    <row r="4795" ht="14.4" customHeight="1" x14ac:dyDescent="0.3"/>
    <row r="4796" ht="14.4" customHeight="1" x14ac:dyDescent="0.3"/>
    <row r="4797" ht="14.4" customHeight="1" x14ac:dyDescent="0.3"/>
    <row r="4798" ht="14.4" customHeight="1" x14ac:dyDescent="0.3"/>
    <row r="4799" ht="14.4" customHeight="1" x14ac:dyDescent="0.3"/>
    <row r="4800" ht="14.4" customHeight="1" x14ac:dyDescent="0.3"/>
    <row r="4801" ht="14.4" customHeight="1" x14ac:dyDescent="0.3"/>
    <row r="4802" ht="14.4" customHeight="1" x14ac:dyDescent="0.3"/>
    <row r="4803" ht="14.4" customHeight="1" x14ac:dyDescent="0.3"/>
    <row r="4804" ht="14.4" customHeight="1" x14ac:dyDescent="0.3"/>
    <row r="4805" ht="14.4" customHeight="1" x14ac:dyDescent="0.3"/>
    <row r="4806" ht="14.4" customHeight="1" x14ac:dyDescent="0.3"/>
    <row r="4807" ht="14.4" customHeight="1" x14ac:dyDescent="0.3"/>
    <row r="4808" ht="14.4" customHeight="1" x14ac:dyDescent="0.3"/>
    <row r="4809" ht="14.4" customHeight="1" x14ac:dyDescent="0.3"/>
    <row r="4810" ht="14.4" customHeight="1" x14ac:dyDescent="0.3"/>
    <row r="4811" ht="14.4" customHeight="1" x14ac:dyDescent="0.3"/>
    <row r="4812" ht="14.4" customHeight="1" x14ac:dyDescent="0.3"/>
    <row r="4813" ht="14.4" customHeight="1" x14ac:dyDescent="0.3"/>
    <row r="4814" ht="14.4" customHeight="1" x14ac:dyDescent="0.3"/>
    <row r="4815" ht="14.4" customHeight="1" x14ac:dyDescent="0.3"/>
    <row r="4816" ht="14.4" customHeight="1" x14ac:dyDescent="0.3"/>
    <row r="4817" ht="14.4" customHeight="1" x14ac:dyDescent="0.3"/>
    <row r="4818" ht="14.4" customHeight="1" x14ac:dyDescent="0.3"/>
    <row r="4819" ht="14.4" customHeight="1" x14ac:dyDescent="0.3"/>
    <row r="4820" ht="14.4" customHeight="1" x14ac:dyDescent="0.3"/>
    <row r="4821" ht="14.4" customHeight="1" x14ac:dyDescent="0.3"/>
    <row r="4822" ht="14.4" customHeight="1" x14ac:dyDescent="0.3"/>
    <row r="4823" ht="14.4" customHeight="1" x14ac:dyDescent="0.3"/>
    <row r="4824" ht="14.4" customHeight="1" x14ac:dyDescent="0.3"/>
    <row r="4825" ht="14.4" customHeight="1" x14ac:dyDescent="0.3"/>
    <row r="4826" ht="14.4" customHeight="1" x14ac:dyDescent="0.3"/>
    <row r="4827" ht="14.4" customHeight="1" x14ac:dyDescent="0.3"/>
    <row r="4828" ht="14.4" customHeight="1" x14ac:dyDescent="0.3"/>
    <row r="4829" ht="14.4" customHeight="1" x14ac:dyDescent="0.3"/>
    <row r="4830" ht="14.4" customHeight="1" x14ac:dyDescent="0.3"/>
    <row r="4831" ht="14.4" customHeight="1" x14ac:dyDescent="0.3"/>
    <row r="4832" ht="14.4" customHeight="1" x14ac:dyDescent="0.3"/>
    <row r="4833" ht="14.4" customHeight="1" x14ac:dyDescent="0.3"/>
    <row r="4834" ht="14.4" customHeight="1" x14ac:dyDescent="0.3"/>
    <row r="4835" ht="14.4" customHeight="1" x14ac:dyDescent="0.3"/>
    <row r="4836" ht="14.4" customHeight="1" x14ac:dyDescent="0.3"/>
    <row r="4837" ht="14.4" customHeight="1" x14ac:dyDescent="0.3"/>
    <row r="4838" ht="14.4" customHeight="1" x14ac:dyDescent="0.3"/>
    <row r="4839" ht="14.4" customHeight="1" x14ac:dyDescent="0.3"/>
    <row r="4840" ht="14.4" customHeight="1" x14ac:dyDescent="0.3"/>
    <row r="4841" ht="14.4" customHeight="1" x14ac:dyDescent="0.3"/>
    <row r="4842" ht="14.4" customHeight="1" x14ac:dyDescent="0.3"/>
    <row r="4843" ht="14.4" customHeight="1" x14ac:dyDescent="0.3"/>
    <row r="4844" ht="14.4" customHeight="1" x14ac:dyDescent="0.3"/>
    <row r="4845" ht="14.4" customHeight="1" x14ac:dyDescent="0.3"/>
    <row r="4846" ht="14.4" customHeight="1" x14ac:dyDescent="0.3"/>
    <row r="4847" ht="14.4" customHeight="1" x14ac:dyDescent="0.3"/>
    <row r="4848" ht="14.4" customHeight="1" x14ac:dyDescent="0.3"/>
    <row r="4849" ht="14.4" customHeight="1" x14ac:dyDescent="0.3"/>
    <row r="4850" ht="14.4" customHeight="1" x14ac:dyDescent="0.3"/>
    <row r="4851" ht="14.4" customHeight="1" x14ac:dyDescent="0.3"/>
    <row r="4852" ht="14.4" customHeight="1" x14ac:dyDescent="0.3"/>
    <row r="4853" ht="14.4" customHeight="1" x14ac:dyDescent="0.3"/>
    <row r="4854" ht="14.4" customHeight="1" x14ac:dyDescent="0.3"/>
    <row r="4855" ht="14.4" customHeight="1" x14ac:dyDescent="0.3"/>
    <row r="4856" ht="14.4" customHeight="1" x14ac:dyDescent="0.3"/>
    <row r="4857" ht="14.4" customHeight="1" x14ac:dyDescent="0.3"/>
    <row r="4858" ht="14.4" customHeight="1" x14ac:dyDescent="0.3"/>
    <row r="4859" ht="14.4" customHeight="1" x14ac:dyDescent="0.3"/>
    <row r="4860" ht="14.4" customHeight="1" x14ac:dyDescent="0.3"/>
    <row r="4861" ht="14.4" customHeight="1" x14ac:dyDescent="0.3"/>
    <row r="4862" ht="14.4" customHeight="1" x14ac:dyDescent="0.3"/>
    <row r="4863" ht="14.4" customHeight="1" x14ac:dyDescent="0.3"/>
    <row r="4864" ht="14.4" customHeight="1" x14ac:dyDescent="0.3"/>
    <row r="4865" ht="14.4" customHeight="1" x14ac:dyDescent="0.3"/>
    <row r="4866" ht="14.4" customHeight="1" x14ac:dyDescent="0.3"/>
    <row r="4867" ht="14.4" customHeight="1" x14ac:dyDescent="0.3"/>
    <row r="4868" ht="14.4" customHeight="1" x14ac:dyDescent="0.3"/>
    <row r="4869" ht="14.4" customHeight="1" x14ac:dyDescent="0.3"/>
    <row r="4870" ht="14.4" customHeight="1" x14ac:dyDescent="0.3"/>
    <row r="4871" ht="14.4" customHeight="1" x14ac:dyDescent="0.3"/>
    <row r="4872" ht="14.4" customHeight="1" x14ac:dyDescent="0.3"/>
    <row r="4873" ht="14.4" customHeight="1" x14ac:dyDescent="0.3"/>
    <row r="4874" ht="14.4" customHeight="1" x14ac:dyDescent="0.3"/>
    <row r="4875" ht="14.4" customHeight="1" x14ac:dyDescent="0.3"/>
    <row r="4876" ht="14.4" customHeight="1" x14ac:dyDescent="0.3"/>
    <row r="4877" ht="14.4" customHeight="1" x14ac:dyDescent="0.3"/>
    <row r="4878" ht="14.4" customHeight="1" x14ac:dyDescent="0.3"/>
    <row r="4879" ht="14.4" customHeight="1" x14ac:dyDescent="0.3"/>
    <row r="4880" ht="14.4" customHeight="1" x14ac:dyDescent="0.3"/>
    <row r="4881" ht="14.4" customHeight="1" x14ac:dyDescent="0.3"/>
    <row r="4882" ht="14.4" customHeight="1" x14ac:dyDescent="0.3"/>
    <row r="4883" ht="14.4" customHeight="1" x14ac:dyDescent="0.3"/>
    <row r="4884" ht="14.4" customHeight="1" x14ac:dyDescent="0.3"/>
    <row r="4885" ht="14.4" customHeight="1" x14ac:dyDescent="0.3"/>
    <row r="4886" ht="14.4" customHeight="1" x14ac:dyDescent="0.3"/>
    <row r="4887" ht="14.4" customHeight="1" x14ac:dyDescent="0.3"/>
    <row r="4888" ht="14.4" customHeight="1" x14ac:dyDescent="0.3"/>
    <row r="4889" ht="14.4" customHeight="1" x14ac:dyDescent="0.3"/>
    <row r="4890" ht="14.4" customHeight="1" x14ac:dyDescent="0.3"/>
    <row r="4891" ht="14.4" customHeight="1" x14ac:dyDescent="0.3"/>
    <row r="4892" ht="14.4" customHeight="1" x14ac:dyDescent="0.3"/>
    <row r="4893" ht="14.4" customHeight="1" x14ac:dyDescent="0.3"/>
    <row r="4894" ht="14.4" customHeight="1" x14ac:dyDescent="0.3"/>
    <row r="4895" ht="14.4" customHeight="1" x14ac:dyDescent="0.3"/>
    <row r="4896" ht="14.4" customHeight="1" x14ac:dyDescent="0.3"/>
    <row r="4897" ht="14.4" customHeight="1" x14ac:dyDescent="0.3"/>
    <row r="4898" ht="14.4" customHeight="1" x14ac:dyDescent="0.3"/>
    <row r="4899" ht="14.4" customHeight="1" x14ac:dyDescent="0.3"/>
    <row r="4900" ht="14.4" customHeight="1" x14ac:dyDescent="0.3"/>
    <row r="4901" ht="14.4" customHeight="1" x14ac:dyDescent="0.3"/>
    <row r="4902" ht="14.4" customHeight="1" x14ac:dyDescent="0.3"/>
    <row r="4903" ht="14.4" customHeight="1" x14ac:dyDescent="0.3"/>
    <row r="4904" ht="14.4" customHeight="1" x14ac:dyDescent="0.3"/>
    <row r="4905" ht="14.4" customHeight="1" x14ac:dyDescent="0.3"/>
    <row r="4906" ht="14.4" customHeight="1" x14ac:dyDescent="0.3"/>
    <row r="4907" ht="14.4" customHeight="1" x14ac:dyDescent="0.3"/>
    <row r="4908" ht="14.4" customHeight="1" x14ac:dyDescent="0.3"/>
    <row r="4909" ht="14.4" customHeight="1" x14ac:dyDescent="0.3"/>
    <row r="4910" ht="14.4" customHeight="1" x14ac:dyDescent="0.3"/>
    <row r="4911" ht="14.4" customHeight="1" x14ac:dyDescent="0.3"/>
    <row r="4912" ht="14.4" customHeight="1" x14ac:dyDescent="0.3"/>
    <row r="4913" ht="14.4" customHeight="1" x14ac:dyDescent="0.3"/>
    <row r="4914" ht="14.4" customHeight="1" x14ac:dyDescent="0.3"/>
    <row r="4915" ht="14.4" customHeight="1" x14ac:dyDescent="0.3"/>
    <row r="4916" ht="14.4" customHeight="1" x14ac:dyDescent="0.3"/>
    <row r="4917" ht="14.4" customHeight="1" x14ac:dyDescent="0.3"/>
    <row r="4918" ht="14.4" customHeight="1" x14ac:dyDescent="0.3"/>
    <row r="4919" ht="14.4" customHeight="1" x14ac:dyDescent="0.3"/>
    <row r="4920" ht="14.4" customHeight="1" x14ac:dyDescent="0.3"/>
    <row r="4921" ht="14.4" customHeight="1" x14ac:dyDescent="0.3"/>
    <row r="4922" ht="14.4" customHeight="1" x14ac:dyDescent="0.3"/>
    <row r="4923" ht="14.4" customHeight="1" x14ac:dyDescent="0.3"/>
    <row r="4924" ht="14.4" customHeight="1" x14ac:dyDescent="0.3"/>
    <row r="4925" ht="14.4" customHeight="1" x14ac:dyDescent="0.3"/>
    <row r="4926" ht="14.4" customHeight="1" x14ac:dyDescent="0.3"/>
    <row r="4927" ht="14.4" customHeight="1" x14ac:dyDescent="0.3"/>
    <row r="4928" ht="14.4" customHeight="1" x14ac:dyDescent="0.3"/>
    <row r="4929" ht="14.4" customHeight="1" x14ac:dyDescent="0.3"/>
    <row r="4930" ht="14.4" customHeight="1" x14ac:dyDescent="0.3"/>
    <row r="4931" ht="14.4" customHeight="1" x14ac:dyDescent="0.3"/>
    <row r="4932" ht="14.4" customHeight="1" x14ac:dyDescent="0.3"/>
    <row r="4933" ht="14.4" customHeight="1" x14ac:dyDescent="0.3"/>
    <row r="4934" ht="14.4" customHeight="1" x14ac:dyDescent="0.3"/>
    <row r="4935" ht="14.4" customHeight="1" x14ac:dyDescent="0.3"/>
    <row r="4936" ht="14.4" customHeight="1" x14ac:dyDescent="0.3"/>
    <row r="4937" ht="14.4" customHeight="1" x14ac:dyDescent="0.3"/>
    <row r="4938" ht="14.4" customHeight="1" x14ac:dyDescent="0.3"/>
    <row r="4939" ht="14.4" customHeight="1" x14ac:dyDescent="0.3"/>
    <row r="4940" ht="14.4" customHeight="1" x14ac:dyDescent="0.3"/>
    <row r="4941" ht="14.4" customHeight="1" x14ac:dyDescent="0.3"/>
    <row r="4942" ht="14.4" customHeight="1" x14ac:dyDescent="0.3"/>
    <row r="4943" ht="14.4" customHeight="1" x14ac:dyDescent="0.3"/>
    <row r="4944" ht="14.4" customHeight="1" x14ac:dyDescent="0.3"/>
    <row r="4945" ht="14.4" customHeight="1" x14ac:dyDescent="0.3"/>
    <row r="4946" ht="14.4" customHeight="1" x14ac:dyDescent="0.3"/>
    <row r="4947" ht="14.4" customHeight="1" x14ac:dyDescent="0.3"/>
    <row r="4948" ht="14.4" customHeight="1" x14ac:dyDescent="0.3"/>
    <row r="4949" ht="14.4" customHeight="1" x14ac:dyDescent="0.3"/>
    <row r="4950" ht="14.4" customHeight="1" x14ac:dyDescent="0.3"/>
    <row r="4951" ht="14.4" customHeight="1" x14ac:dyDescent="0.3"/>
    <row r="4952" ht="14.4" customHeight="1" x14ac:dyDescent="0.3"/>
    <row r="4953" ht="14.4" customHeight="1" x14ac:dyDescent="0.3"/>
    <row r="4954" ht="14.4" customHeight="1" x14ac:dyDescent="0.3"/>
    <row r="4955" ht="14.4" customHeight="1" x14ac:dyDescent="0.3"/>
    <row r="4956" ht="14.4" customHeight="1" x14ac:dyDescent="0.3"/>
    <row r="4957" ht="14.4" customHeight="1" x14ac:dyDescent="0.3"/>
    <row r="4958" ht="14.4" customHeight="1" x14ac:dyDescent="0.3"/>
    <row r="4959" ht="14.4" customHeight="1" x14ac:dyDescent="0.3"/>
    <row r="4960" ht="14.4" customHeight="1" x14ac:dyDescent="0.3"/>
    <row r="4961" ht="14.4" customHeight="1" x14ac:dyDescent="0.3"/>
    <row r="4962" ht="14.4" customHeight="1" x14ac:dyDescent="0.3"/>
    <row r="4963" ht="14.4" customHeight="1" x14ac:dyDescent="0.3"/>
    <row r="4964" ht="14.4" customHeight="1" x14ac:dyDescent="0.3"/>
    <row r="4965" ht="14.4" customHeight="1" x14ac:dyDescent="0.3"/>
    <row r="4966" ht="14.4" customHeight="1" x14ac:dyDescent="0.3"/>
    <row r="4967" ht="14.4" customHeight="1" x14ac:dyDescent="0.3"/>
    <row r="4968" ht="14.4" customHeight="1" x14ac:dyDescent="0.3"/>
    <row r="4969" ht="14.4" customHeight="1" x14ac:dyDescent="0.3"/>
    <row r="4970" ht="14.4" customHeight="1" x14ac:dyDescent="0.3"/>
    <row r="4971" ht="14.4" customHeight="1" x14ac:dyDescent="0.3"/>
    <row r="4972" ht="14.4" customHeight="1" x14ac:dyDescent="0.3"/>
    <row r="4973" ht="14.4" customHeight="1" x14ac:dyDescent="0.3"/>
    <row r="4974" ht="14.4" customHeight="1" x14ac:dyDescent="0.3"/>
    <row r="4975" ht="14.4" customHeight="1" x14ac:dyDescent="0.3"/>
    <row r="4976" ht="14.4" customHeight="1" x14ac:dyDescent="0.3"/>
    <row r="4977" ht="14.4" customHeight="1" x14ac:dyDescent="0.3"/>
    <row r="4978" ht="14.4" customHeight="1" x14ac:dyDescent="0.3"/>
    <row r="4979" ht="14.4" customHeight="1" x14ac:dyDescent="0.3"/>
    <row r="4980" ht="14.4" customHeight="1" x14ac:dyDescent="0.3"/>
    <row r="4981" ht="14.4" customHeight="1" x14ac:dyDescent="0.3"/>
    <row r="4982" ht="14.4" customHeight="1" x14ac:dyDescent="0.3"/>
    <row r="4983" ht="14.4" customHeight="1" x14ac:dyDescent="0.3"/>
    <row r="4984" ht="14.4" customHeight="1" x14ac:dyDescent="0.3"/>
    <row r="4985" ht="14.4" customHeight="1" x14ac:dyDescent="0.3"/>
    <row r="4986" ht="14.4" customHeight="1" x14ac:dyDescent="0.3"/>
    <row r="4987" ht="14.4" customHeight="1" x14ac:dyDescent="0.3"/>
    <row r="4988" ht="14.4" customHeight="1" x14ac:dyDescent="0.3"/>
    <row r="4989" ht="14.4" customHeight="1" x14ac:dyDescent="0.3"/>
    <row r="4990" ht="14.4" customHeight="1" x14ac:dyDescent="0.3"/>
    <row r="4991" ht="14.4" customHeight="1" x14ac:dyDescent="0.3"/>
    <row r="4992" ht="14.4" customHeight="1" x14ac:dyDescent="0.3"/>
    <row r="4993" ht="14.4" customHeight="1" x14ac:dyDescent="0.3"/>
    <row r="4994" ht="14.4" customHeight="1" x14ac:dyDescent="0.3"/>
    <row r="4995" ht="14.4" customHeight="1" x14ac:dyDescent="0.3"/>
    <row r="4996" ht="14.4" customHeight="1" x14ac:dyDescent="0.3"/>
    <row r="4997" ht="14.4" customHeight="1" x14ac:dyDescent="0.3"/>
    <row r="4998" ht="14.4" customHeight="1" x14ac:dyDescent="0.3"/>
    <row r="4999" ht="14.4" customHeight="1" x14ac:dyDescent="0.3"/>
    <row r="5000" ht="14.4" customHeight="1" x14ac:dyDescent="0.3"/>
    <row r="5001" ht="14.4" customHeight="1" x14ac:dyDescent="0.3"/>
    <row r="5002" ht="14.4" customHeight="1" x14ac:dyDescent="0.3"/>
    <row r="5003" ht="14.4" customHeight="1" x14ac:dyDescent="0.3"/>
    <row r="5004" ht="14.4" customHeight="1" x14ac:dyDescent="0.3"/>
    <row r="5005" ht="14.4" customHeight="1" x14ac:dyDescent="0.3"/>
    <row r="5006" ht="14.4" customHeight="1" x14ac:dyDescent="0.3"/>
    <row r="5007" ht="14.4" customHeight="1" x14ac:dyDescent="0.3"/>
    <row r="5008" ht="14.4" customHeight="1" x14ac:dyDescent="0.3"/>
    <row r="5009" ht="14.4" customHeight="1" x14ac:dyDescent="0.3"/>
    <row r="5010" ht="14.4" customHeight="1" x14ac:dyDescent="0.3"/>
    <row r="5011" ht="14.4" customHeight="1" x14ac:dyDescent="0.3"/>
    <row r="5012" ht="14.4" customHeight="1" x14ac:dyDescent="0.3"/>
    <row r="5013" ht="14.4" customHeight="1" x14ac:dyDescent="0.3"/>
    <row r="5014" ht="14.4" customHeight="1" x14ac:dyDescent="0.3"/>
    <row r="5015" ht="14.4" customHeight="1" x14ac:dyDescent="0.3"/>
    <row r="5016" ht="14.4" customHeight="1" x14ac:dyDescent="0.3"/>
    <row r="5017" ht="14.4" customHeight="1" x14ac:dyDescent="0.3"/>
    <row r="5018" ht="14.4" customHeight="1" x14ac:dyDescent="0.3"/>
    <row r="5019" ht="14.4" customHeight="1" x14ac:dyDescent="0.3"/>
    <row r="5020" ht="14.4" customHeight="1" x14ac:dyDescent="0.3"/>
    <row r="5021" ht="14.4" customHeight="1" x14ac:dyDescent="0.3"/>
    <row r="5022" ht="14.4" customHeight="1" x14ac:dyDescent="0.3"/>
    <row r="5023" ht="14.4" customHeight="1" x14ac:dyDescent="0.3"/>
    <row r="5024" ht="14.4" customHeight="1" x14ac:dyDescent="0.3"/>
    <row r="5025" ht="14.4" customHeight="1" x14ac:dyDescent="0.3"/>
    <row r="5026" ht="14.4" customHeight="1" x14ac:dyDescent="0.3"/>
    <row r="5027" ht="14.4" customHeight="1" x14ac:dyDescent="0.3"/>
    <row r="5028" ht="14.4" customHeight="1" x14ac:dyDescent="0.3"/>
    <row r="5029" ht="14.4" customHeight="1" x14ac:dyDescent="0.3"/>
    <row r="5030" ht="14.4" customHeight="1" x14ac:dyDescent="0.3"/>
    <row r="5031" ht="14.4" customHeight="1" x14ac:dyDescent="0.3"/>
    <row r="5032" ht="14.4" customHeight="1" x14ac:dyDescent="0.3"/>
    <row r="5033" ht="14.4" customHeight="1" x14ac:dyDescent="0.3"/>
    <row r="5034" ht="14.4" customHeight="1" x14ac:dyDescent="0.3"/>
    <row r="5035" ht="14.4" customHeight="1" x14ac:dyDescent="0.3"/>
    <row r="5036" ht="14.4" customHeight="1" x14ac:dyDescent="0.3"/>
    <row r="5037" ht="14.4" customHeight="1" x14ac:dyDescent="0.3"/>
    <row r="5038" ht="14.4" customHeight="1" x14ac:dyDescent="0.3"/>
    <row r="5039" ht="14.4" customHeight="1" x14ac:dyDescent="0.3"/>
    <row r="5040" ht="14.4" customHeight="1" x14ac:dyDescent="0.3"/>
    <row r="5041" ht="14.4" customHeight="1" x14ac:dyDescent="0.3"/>
    <row r="5042" ht="14.4" customHeight="1" x14ac:dyDescent="0.3"/>
    <row r="5043" ht="14.4" customHeight="1" x14ac:dyDescent="0.3"/>
    <row r="5044" ht="14.4" customHeight="1" x14ac:dyDescent="0.3"/>
    <row r="5045" ht="14.4" customHeight="1" x14ac:dyDescent="0.3"/>
    <row r="5046" ht="14.4" customHeight="1" x14ac:dyDescent="0.3"/>
    <row r="5047" ht="14.4" customHeight="1" x14ac:dyDescent="0.3"/>
    <row r="5048" ht="14.4" customHeight="1" x14ac:dyDescent="0.3"/>
    <row r="5049" ht="14.4" customHeight="1" x14ac:dyDescent="0.3"/>
    <row r="5050" ht="14.4" customHeight="1" x14ac:dyDescent="0.3"/>
    <row r="5051" ht="14.4" customHeight="1" x14ac:dyDescent="0.3"/>
    <row r="5052" ht="14.4" customHeight="1" x14ac:dyDescent="0.3"/>
    <row r="5053" ht="14.4" customHeight="1" x14ac:dyDescent="0.3"/>
    <row r="5054" ht="14.4" customHeight="1" x14ac:dyDescent="0.3"/>
    <row r="5055" ht="14.4" customHeight="1" x14ac:dyDescent="0.3"/>
    <row r="5056" ht="14.4" customHeight="1" x14ac:dyDescent="0.3"/>
    <row r="5057" ht="14.4" customHeight="1" x14ac:dyDescent="0.3"/>
    <row r="5058" ht="14.4" customHeight="1" x14ac:dyDescent="0.3"/>
    <row r="5059" ht="14.4" customHeight="1" x14ac:dyDescent="0.3"/>
    <row r="5060" ht="14.4" customHeight="1" x14ac:dyDescent="0.3"/>
    <row r="5061" ht="14.4" customHeight="1" x14ac:dyDescent="0.3"/>
    <row r="5062" ht="14.4" customHeight="1" x14ac:dyDescent="0.3"/>
    <row r="5063" ht="14.4" customHeight="1" x14ac:dyDescent="0.3"/>
    <row r="5064" ht="14.4" customHeight="1" x14ac:dyDescent="0.3"/>
    <row r="5065" ht="14.4" customHeight="1" x14ac:dyDescent="0.3"/>
    <row r="5066" ht="14.4" customHeight="1" x14ac:dyDescent="0.3"/>
    <row r="5067" ht="14.4" customHeight="1" x14ac:dyDescent="0.3"/>
    <row r="5068" ht="14.4" customHeight="1" x14ac:dyDescent="0.3"/>
    <row r="5069" ht="14.4" customHeight="1" x14ac:dyDescent="0.3"/>
    <row r="5070" ht="14.4" customHeight="1" x14ac:dyDescent="0.3"/>
    <row r="5071" ht="14.4" customHeight="1" x14ac:dyDescent="0.3"/>
    <row r="5072" ht="14.4" customHeight="1" x14ac:dyDescent="0.3"/>
    <row r="5073" ht="14.4" customHeight="1" x14ac:dyDescent="0.3"/>
    <row r="5074" ht="14.4" customHeight="1" x14ac:dyDescent="0.3"/>
    <row r="5075" ht="14.4" customHeight="1" x14ac:dyDescent="0.3"/>
    <row r="5076" ht="14.4" customHeight="1" x14ac:dyDescent="0.3"/>
    <row r="5077" ht="14.4" customHeight="1" x14ac:dyDescent="0.3"/>
    <row r="5078" ht="14.4" customHeight="1" x14ac:dyDescent="0.3"/>
    <row r="5079" ht="14.4" customHeight="1" x14ac:dyDescent="0.3"/>
    <row r="5080" ht="14.4" customHeight="1" x14ac:dyDescent="0.3"/>
    <row r="5081" ht="14.4" customHeight="1" x14ac:dyDescent="0.3"/>
    <row r="5082" ht="14.4" customHeight="1" x14ac:dyDescent="0.3"/>
    <row r="5083" ht="14.4" customHeight="1" x14ac:dyDescent="0.3"/>
    <row r="5084" ht="14.4" customHeight="1" x14ac:dyDescent="0.3"/>
    <row r="5085" ht="14.4" customHeight="1" x14ac:dyDescent="0.3"/>
    <row r="5086" ht="14.4" customHeight="1" x14ac:dyDescent="0.3"/>
    <row r="5087" ht="14.4" customHeight="1" x14ac:dyDescent="0.3"/>
    <row r="5088" ht="14.4" customHeight="1" x14ac:dyDescent="0.3"/>
    <row r="5089" ht="14.4" customHeight="1" x14ac:dyDescent="0.3"/>
    <row r="5090" ht="14.4" customHeight="1" x14ac:dyDescent="0.3"/>
    <row r="5091" ht="14.4" customHeight="1" x14ac:dyDescent="0.3"/>
    <row r="5092" ht="14.4" customHeight="1" x14ac:dyDescent="0.3"/>
    <row r="5093" ht="14.4" customHeight="1" x14ac:dyDescent="0.3"/>
    <row r="5094" ht="14.4" customHeight="1" x14ac:dyDescent="0.3"/>
    <row r="5095" ht="14.4" customHeight="1" x14ac:dyDescent="0.3"/>
    <row r="5096" ht="14.4" customHeight="1" x14ac:dyDescent="0.3"/>
    <row r="5097" ht="14.4" customHeight="1" x14ac:dyDescent="0.3"/>
    <row r="5098" ht="14.4" customHeight="1" x14ac:dyDescent="0.3"/>
    <row r="5099" ht="14.4" customHeight="1" x14ac:dyDescent="0.3"/>
    <row r="5100" ht="14.4" customHeight="1" x14ac:dyDescent="0.3"/>
    <row r="5101" ht="14.4" customHeight="1" x14ac:dyDescent="0.3"/>
    <row r="5102" ht="14.4" customHeight="1" x14ac:dyDescent="0.3"/>
    <row r="5103" ht="14.4" customHeight="1" x14ac:dyDescent="0.3"/>
    <row r="5104" ht="14.4" customHeight="1" x14ac:dyDescent="0.3"/>
    <row r="5105" ht="14.4" customHeight="1" x14ac:dyDescent="0.3"/>
    <row r="5106" ht="14.4" customHeight="1" x14ac:dyDescent="0.3"/>
    <row r="5107" ht="14.4" customHeight="1" x14ac:dyDescent="0.3"/>
    <row r="5108" ht="14.4" customHeight="1" x14ac:dyDescent="0.3"/>
    <row r="5109" ht="14.4" customHeight="1" x14ac:dyDescent="0.3"/>
    <row r="5110" ht="14.4" customHeight="1" x14ac:dyDescent="0.3"/>
    <row r="5111" ht="14.4" customHeight="1" x14ac:dyDescent="0.3"/>
    <row r="5112" ht="14.4" customHeight="1" x14ac:dyDescent="0.3"/>
    <row r="5113" ht="14.4" customHeight="1" x14ac:dyDescent="0.3"/>
    <row r="5114" ht="14.4" customHeight="1" x14ac:dyDescent="0.3"/>
    <row r="5115" ht="14.4" customHeight="1" x14ac:dyDescent="0.3"/>
    <row r="5116" ht="14.4" customHeight="1" x14ac:dyDescent="0.3"/>
    <row r="5117" ht="14.4" customHeight="1" x14ac:dyDescent="0.3"/>
    <row r="5118" ht="14.4" customHeight="1" x14ac:dyDescent="0.3"/>
    <row r="5119" ht="14.4" customHeight="1" x14ac:dyDescent="0.3"/>
    <row r="5120" ht="14.4" customHeight="1" x14ac:dyDescent="0.3"/>
    <row r="5121" ht="14.4" customHeight="1" x14ac:dyDescent="0.3"/>
    <row r="5122" ht="14.4" customHeight="1" x14ac:dyDescent="0.3"/>
    <row r="5123" ht="14.4" customHeight="1" x14ac:dyDescent="0.3"/>
    <row r="5124" ht="14.4" customHeight="1" x14ac:dyDescent="0.3"/>
    <row r="5125" ht="14.4" customHeight="1" x14ac:dyDescent="0.3"/>
    <row r="5126" ht="14.4" customHeight="1" x14ac:dyDescent="0.3"/>
    <row r="5127" ht="14.4" customHeight="1" x14ac:dyDescent="0.3"/>
    <row r="5128" ht="14.4" customHeight="1" x14ac:dyDescent="0.3"/>
    <row r="5129" ht="14.4" customHeight="1" x14ac:dyDescent="0.3"/>
    <row r="5130" ht="14.4" customHeight="1" x14ac:dyDescent="0.3"/>
    <row r="5131" ht="14.4" customHeight="1" x14ac:dyDescent="0.3"/>
    <row r="5132" ht="14.4" customHeight="1" x14ac:dyDescent="0.3"/>
    <row r="5133" ht="14.4" customHeight="1" x14ac:dyDescent="0.3"/>
    <row r="5134" ht="14.4" customHeight="1" x14ac:dyDescent="0.3"/>
    <row r="5135" ht="14.4" customHeight="1" x14ac:dyDescent="0.3"/>
    <row r="5136" ht="14.4" customHeight="1" x14ac:dyDescent="0.3"/>
    <row r="5137" ht="14.4" customHeight="1" x14ac:dyDescent="0.3"/>
    <row r="5138" ht="14.4" customHeight="1" x14ac:dyDescent="0.3"/>
    <row r="5139" ht="14.4" customHeight="1" x14ac:dyDescent="0.3"/>
    <row r="5140" ht="14.4" customHeight="1" x14ac:dyDescent="0.3"/>
    <row r="5141" ht="14.4" customHeight="1" x14ac:dyDescent="0.3"/>
    <row r="5142" ht="14.4" customHeight="1" x14ac:dyDescent="0.3"/>
    <row r="5143" ht="14.4" customHeight="1" x14ac:dyDescent="0.3"/>
    <row r="5144" ht="14.4" customHeight="1" x14ac:dyDescent="0.3"/>
    <row r="5145" ht="14.4" customHeight="1" x14ac:dyDescent="0.3"/>
    <row r="5146" ht="14.4" customHeight="1" x14ac:dyDescent="0.3"/>
    <row r="5147" ht="14.4" customHeight="1" x14ac:dyDescent="0.3"/>
    <row r="5148" ht="14.4" customHeight="1" x14ac:dyDescent="0.3"/>
    <row r="5149" ht="14.4" customHeight="1" x14ac:dyDescent="0.3"/>
    <row r="5150" ht="14.4" customHeight="1" x14ac:dyDescent="0.3"/>
    <row r="5151" ht="14.4" customHeight="1" x14ac:dyDescent="0.3"/>
    <row r="5152" ht="14.4" customHeight="1" x14ac:dyDescent="0.3"/>
    <row r="5153" ht="14.4" customHeight="1" x14ac:dyDescent="0.3"/>
    <row r="5154" ht="14.4" customHeight="1" x14ac:dyDescent="0.3"/>
    <row r="5155" ht="14.4" customHeight="1" x14ac:dyDescent="0.3"/>
    <row r="5156" ht="14.4" customHeight="1" x14ac:dyDescent="0.3"/>
    <row r="5157" ht="14.4" customHeight="1" x14ac:dyDescent="0.3"/>
    <row r="5158" ht="14.4" customHeight="1" x14ac:dyDescent="0.3"/>
    <row r="5159" ht="14.4" customHeight="1" x14ac:dyDescent="0.3"/>
    <row r="5160" ht="14.4" customHeight="1" x14ac:dyDescent="0.3"/>
    <row r="5161" ht="14.4" customHeight="1" x14ac:dyDescent="0.3"/>
    <row r="5162" ht="14.4" customHeight="1" x14ac:dyDescent="0.3"/>
    <row r="5163" ht="14.4" customHeight="1" x14ac:dyDescent="0.3"/>
    <row r="5164" ht="14.4" customHeight="1" x14ac:dyDescent="0.3"/>
    <row r="5165" ht="14.4" customHeight="1" x14ac:dyDescent="0.3"/>
    <row r="5166" ht="14.4" customHeight="1" x14ac:dyDescent="0.3"/>
    <row r="5167" ht="14.4" customHeight="1" x14ac:dyDescent="0.3"/>
    <row r="5168" ht="14.4" customHeight="1" x14ac:dyDescent="0.3"/>
    <row r="5169" ht="14.4" customHeight="1" x14ac:dyDescent="0.3"/>
    <row r="5170" ht="14.4" customHeight="1" x14ac:dyDescent="0.3"/>
    <row r="5171" ht="14.4" customHeight="1" x14ac:dyDescent="0.3"/>
    <row r="5172" ht="14.4" customHeight="1" x14ac:dyDescent="0.3"/>
    <row r="5173" ht="14.4" customHeight="1" x14ac:dyDescent="0.3"/>
    <row r="5174" ht="14.4" customHeight="1" x14ac:dyDescent="0.3"/>
    <row r="5175" ht="14.4" customHeight="1" x14ac:dyDescent="0.3"/>
    <row r="5176" ht="14.4" customHeight="1" x14ac:dyDescent="0.3"/>
    <row r="5177" ht="14.4" customHeight="1" x14ac:dyDescent="0.3"/>
    <row r="5178" ht="14.4" customHeight="1" x14ac:dyDescent="0.3"/>
    <row r="5179" ht="14.4" customHeight="1" x14ac:dyDescent="0.3"/>
    <row r="5180" ht="14.4" customHeight="1" x14ac:dyDescent="0.3"/>
    <row r="5181" ht="14.4" customHeight="1" x14ac:dyDescent="0.3"/>
    <row r="5182" ht="14.4" customHeight="1" x14ac:dyDescent="0.3"/>
    <row r="5183" ht="14.4" customHeight="1" x14ac:dyDescent="0.3"/>
    <row r="5184" ht="14.4" customHeight="1" x14ac:dyDescent="0.3"/>
    <row r="5185" ht="14.4" customHeight="1" x14ac:dyDescent="0.3"/>
    <row r="5186" ht="14.4" customHeight="1" x14ac:dyDescent="0.3"/>
    <row r="5187" ht="14.4" customHeight="1" x14ac:dyDescent="0.3"/>
    <row r="5188" ht="14.4" customHeight="1" x14ac:dyDescent="0.3"/>
    <row r="5189" ht="14.4" customHeight="1" x14ac:dyDescent="0.3"/>
    <row r="5190" ht="14.4" customHeight="1" x14ac:dyDescent="0.3"/>
    <row r="5191" ht="14.4" customHeight="1" x14ac:dyDescent="0.3"/>
    <row r="5192" ht="14.4" customHeight="1" x14ac:dyDescent="0.3"/>
    <row r="5193" ht="14.4" customHeight="1" x14ac:dyDescent="0.3"/>
    <row r="5194" ht="14.4" customHeight="1" x14ac:dyDescent="0.3"/>
    <row r="5195" ht="14.4" customHeight="1" x14ac:dyDescent="0.3"/>
    <row r="5196" ht="14.4" customHeight="1" x14ac:dyDescent="0.3"/>
    <row r="5197" ht="14.4" customHeight="1" x14ac:dyDescent="0.3"/>
    <row r="5198" ht="14.4" customHeight="1" x14ac:dyDescent="0.3"/>
    <row r="5199" ht="14.4" customHeight="1" x14ac:dyDescent="0.3"/>
    <row r="5200" ht="14.4" customHeight="1" x14ac:dyDescent="0.3"/>
    <row r="5201" ht="14.4" customHeight="1" x14ac:dyDescent="0.3"/>
    <row r="5202" ht="14.4" customHeight="1" x14ac:dyDescent="0.3"/>
    <row r="5203" ht="14.4" customHeight="1" x14ac:dyDescent="0.3"/>
    <row r="5204" ht="14.4" customHeight="1" x14ac:dyDescent="0.3"/>
    <row r="5205" ht="14.4" customHeight="1" x14ac:dyDescent="0.3"/>
    <row r="5206" ht="14.4" customHeight="1" x14ac:dyDescent="0.3"/>
    <row r="5207" ht="14.4" customHeight="1" x14ac:dyDescent="0.3"/>
    <row r="5208" ht="14.4" customHeight="1" x14ac:dyDescent="0.3"/>
    <row r="5209" ht="14.4" customHeight="1" x14ac:dyDescent="0.3"/>
    <row r="5210" ht="14.4" customHeight="1" x14ac:dyDescent="0.3"/>
    <row r="5211" ht="14.4" customHeight="1" x14ac:dyDescent="0.3"/>
    <row r="5212" ht="14.4" customHeight="1" x14ac:dyDescent="0.3"/>
    <row r="5213" ht="14.4" customHeight="1" x14ac:dyDescent="0.3"/>
    <row r="5214" ht="14.4" customHeight="1" x14ac:dyDescent="0.3"/>
    <row r="5215" ht="14.4" customHeight="1" x14ac:dyDescent="0.3"/>
    <row r="5216" ht="14.4" customHeight="1" x14ac:dyDescent="0.3"/>
    <row r="5217" ht="14.4" customHeight="1" x14ac:dyDescent="0.3"/>
    <row r="5218" ht="14.4" customHeight="1" x14ac:dyDescent="0.3"/>
    <row r="5219" ht="14.4" customHeight="1" x14ac:dyDescent="0.3"/>
    <row r="5220" ht="14.4" customHeight="1" x14ac:dyDescent="0.3"/>
    <row r="5221" ht="14.4" customHeight="1" x14ac:dyDescent="0.3"/>
    <row r="5222" ht="14.4" customHeight="1" x14ac:dyDescent="0.3"/>
    <row r="5223" ht="14.4" customHeight="1" x14ac:dyDescent="0.3"/>
    <row r="5224" ht="14.4" customHeight="1" x14ac:dyDescent="0.3"/>
    <row r="5225" ht="14.4" customHeight="1" x14ac:dyDescent="0.3"/>
    <row r="5226" ht="14.4" customHeight="1" x14ac:dyDescent="0.3"/>
    <row r="5227" ht="14.4" customHeight="1" x14ac:dyDescent="0.3"/>
    <row r="5228" ht="14.4" customHeight="1" x14ac:dyDescent="0.3"/>
    <row r="5229" ht="14.4" customHeight="1" x14ac:dyDescent="0.3"/>
    <row r="5230" ht="14.4" customHeight="1" x14ac:dyDescent="0.3"/>
    <row r="5231" ht="14.4" customHeight="1" x14ac:dyDescent="0.3"/>
    <row r="5232" ht="14.4" customHeight="1" x14ac:dyDescent="0.3"/>
    <row r="5233" ht="14.4" customHeight="1" x14ac:dyDescent="0.3"/>
    <row r="5234" ht="14.4" customHeight="1" x14ac:dyDescent="0.3"/>
    <row r="5235" ht="14.4" customHeight="1" x14ac:dyDescent="0.3"/>
    <row r="5236" ht="14.4" customHeight="1" x14ac:dyDescent="0.3"/>
    <row r="5237" ht="14.4" customHeight="1" x14ac:dyDescent="0.3"/>
    <row r="5238" ht="14.4" customHeight="1" x14ac:dyDescent="0.3"/>
    <row r="5239" ht="14.4" customHeight="1" x14ac:dyDescent="0.3"/>
    <row r="5240" ht="14.4" customHeight="1" x14ac:dyDescent="0.3"/>
    <row r="5241" ht="14.4" customHeight="1" x14ac:dyDescent="0.3"/>
    <row r="5242" ht="14.4" customHeight="1" x14ac:dyDescent="0.3"/>
    <row r="5243" ht="14.4" customHeight="1" x14ac:dyDescent="0.3"/>
    <row r="5244" ht="14.4" customHeight="1" x14ac:dyDescent="0.3"/>
    <row r="5245" ht="14.4" customHeight="1" x14ac:dyDescent="0.3"/>
    <row r="5246" ht="14.4" customHeight="1" x14ac:dyDescent="0.3"/>
    <row r="5247" ht="14.4" customHeight="1" x14ac:dyDescent="0.3"/>
    <row r="5248" ht="14.4" customHeight="1" x14ac:dyDescent="0.3"/>
    <row r="5249" ht="14.4" customHeight="1" x14ac:dyDescent="0.3"/>
    <row r="5250" ht="14.4" customHeight="1" x14ac:dyDescent="0.3"/>
    <row r="5251" ht="14.4" customHeight="1" x14ac:dyDescent="0.3"/>
    <row r="5252" ht="14.4" customHeight="1" x14ac:dyDescent="0.3"/>
    <row r="5253" ht="14.4" customHeight="1" x14ac:dyDescent="0.3"/>
    <row r="5254" ht="14.4" customHeight="1" x14ac:dyDescent="0.3"/>
    <row r="5255" ht="14.4" customHeight="1" x14ac:dyDescent="0.3"/>
    <row r="5256" ht="14.4" customHeight="1" x14ac:dyDescent="0.3"/>
    <row r="5257" ht="14.4" customHeight="1" x14ac:dyDescent="0.3"/>
    <row r="5258" ht="14.4" customHeight="1" x14ac:dyDescent="0.3"/>
    <row r="5259" ht="14.4" customHeight="1" x14ac:dyDescent="0.3"/>
    <row r="5260" ht="14.4" customHeight="1" x14ac:dyDescent="0.3"/>
    <row r="5261" ht="14.4" customHeight="1" x14ac:dyDescent="0.3"/>
    <row r="5262" ht="14.4" customHeight="1" x14ac:dyDescent="0.3"/>
    <row r="5263" ht="14.4" customHeight="1" x14ac:dyDescent="0.3"/>
    <row r="5264" ht="14.4" customHeight="1" x14ac:dyDescent="0.3"/>
    <row r="5265" ht="14.4" customHeight="1" x14ac:dyDescent="0.3"/>
    <row r="5266" ht="14.4" customHeight="1" x14ac:dyDescent="0.3"/>
    <row r="5267" ht="14.4" customHeight="1" x14ac:dyDescent="0.3"/>
    <row r="5268" ht="14.4" customHeight="1" x14ac:dyDescent="0.3"/>
    <row r="5269" ht="14.4" customHeight="1" x14ac:dyDescent="0.3"/>
    <row r="5270" ht="14.4" customHeight="1" x14ac:dyDescent="0.3"/>
    <row r="5271" ht="14.4" customHeight="1" x14ac:dyDescent="0.3"/>
    <row r="5272" ht="14.4" customHeight="1" x14ac:dyDescent="0.3"/>
    <row r="5273" ht="14.4" customHeight="1" x14ac:dyDescent="0.3"/>
    <row r="5274" ht="14.4" customHeight="1" x14ac:dyDescent="0.3"/>
    <row r="5275" ht="14.4" customHeight="1" x14ac:dyDescent="0.3"/>
    <row r="5276" ht="14.4" customHeight="1" x14ac:dyDescent="0.3"/>
    <row r="5277" ht="14.4" customHeight="1" x14ac:dyDescent="0.3"/>
    <row r="5278" ht="14.4" customHeight="1" x14ac:dyDescent="0.3"/>
    <row r="5279" ht="14.4" customHeight="1" x14ac:dyDescent="0.3"/>
    <row r="5280" ht="14.4" customHeight="1" x14ac:dyDescent="0.3"/>
    <row r="5281" ht="14.4" customHeight="1" x14ac:dyDescent="0.3"/>
    <row r="5282" ht="14.4" customHeight="1" x14ac:dyDescent="0.3"/>
    <row r="5283" ht="14.4" customHeight="1" x14ac:dyDescent="0.3"/>
    <row r="5284" ht="14.4" customHeight="1" x14ac:dyDescent="0.3"/>
    <row r="5285" ht="14.4" customHeight="1" x14ac:dyDescent="0.3"/>
    <row r="5286" ht="14.4" customHeight="1" x14ac:dyDescent="0.3"/>
    <row r="5287" ht="14.4" customHeight="1" x14ac:dyDescent="0.3"/>
    <row r="5288" ht="14.4" customHeight="1" x14ac:dyDescent="0.3"/>
    <row r="5289" ht="14.4" customHeight="1" x14ac:dyDescent="0.3"/>
    <row r="5290" ht="14.4" customHeight="1" x14ac:dyDescent="0.3"/>
    <row r="5291" ht="14.4" customHeight="1" x14ac:dyDescent="0.3"/>
    <row r="5292" ht="14.4" customHeight="1" x14ac:dyDescent="0.3"/>
    <row r="5293" ht="14.4" customHeight="1" x14ac:dyDescent="0.3"/>
    <row r="5294" ht="14.4" customHeight="1" x14ac:dyDescent="0.3"/>
    <row r="5295" ht="14.4" customHeight="1" x14ac:dyDescent="0.3"/>
    <row r="5296" ht="14.4" customHeight="1" x14ac:dyDescent="0.3"/>
    <row r="5297" ht="14.4" customHeight="1" x14ac:dyDescent="0.3"/>
    <row r="5298" ht="14.4" customHeight="1" x14ac:dyDescent="0.3"/>
    <row r="5299" ht="14.4" customHeight="1" x14ac:dyDescent="0.3"/>
    <row r="5300" ht="14.4" customHeight="1" x14ac:dyDescent="0.3"/>
    <row r="5301" ht="14.4" customHeight="1" x14ac:dyDescent="0.3"/>
    <row r="5302" ht="14.4" customHeight="1" x14ac:dyDescent="0.3"/>
    <row r="5303" ht="14.4" customHeight="1" x14ac:dyDescent="0.3"/>
    <row r="5304" ht="14.4" customHeight="1" x14ac:dyDescent="0.3"/>
    <row r="5305" ht="14.4" customHeight="1" x14ac:dyDescent="0.3"/>
    <row r="5306" ht="14.4" customHeight="1" x14ac:dyDescent="0.3"/>
    <row r="5307" ht="14.4" customHeight="1" x14ac:dyDescent="0.3"/>
    <row r="5308" ht="14.4" customHeight="1" x14ac:dyDescent="0.3"/>
    <row r="5309" ht="14.4" customHeight="1" x14ac:dyDescent="0.3"/>
    <row r="5310" ht="14.4" customHeight="1" x14ac:dyDescent="0.3"/>
    <row r="5311" ht="14.4" customHeight="1" x14ac:dyDescent="0.3"/>
    <row r="5312" ht="14.4" customHeight="1" x14ac:dyDescent="0.3"/>
    <row r="5313" ht="14.4" customHeight="1" x14ac:dyDescent="0.3"/>
    <row r="5314" ht="14.4" customHeight="1" x14ac:dyDescent="0.3"/>
    <row r="5315" ht="14.4" customHeight="1" x14ac:dyDescent="0.3"/>
    <row r="5316" ht="14.4" customHeight="1" x14ac:dyDescent="0.3"/>
    <row r="5317" ht="14.4" customHeight="1" x14ac:dyDescent="0.3"/>
    <row r="5318" ht="14.4" customHeight="1" x14ac:dyDescent="0.3"/>
    <row r="5319" ht="14.4" customHeight="1" x14ac:dyDescent="0.3"/>
    <row r="5320" ht="14.4" customHeight="1" x14ac:dyDescent="0.3"/>
    <row r="5321" ht="14.4" customHeight="1" x14ac:dyDescent="0.3"/>
    <row r="5322" ht="14.4" customHeight="1" x14ac:dyDescent="0.3"/>
    <row r="5323" ht="14.4" customHeight="1" x14ac:dyDescent="0.3"/>
    <row r="5324" ht="14.4" customHeight="1" x14ac:dyDescent="0.3"/>
    <row r="5325" ht="14.4" customHeight="1" x14ac:dyDescent="0.3"/>
    <row r="5326" ht="14.4" customHeight="1" x14ac:dyDescent="0.3"/>
    <row r="5327" ht="14.4" customHeight="1" x14ac:dyDescent="0.3"/>
    <row r="5328" ht="14.4" customHeight="1" x14ac:dyDescent="0.3"/>
    <row r="5329" ht="14.4" customHeight="1" x14ac:dyDescent="0.3"/>
    <row r="5330" ht="14.4" customHeight="1" x14ac:dyDescent="0.3"/>
    <row r="5331" ht="14.4" customHeight="1" x14ac:dyDescent="0.3"/>
    <row r="5332" ht="14.4" customHeight="1" x14ac:dyDescent="0.3"/>
    <row r="5333" ht="14.4" customHeight="1" x14ac:dyDescent="0.3"/>
    <row r="5334" ht="14.4" customHeight="1" x14ac:dyDescent="0.3"/>
    <row r="5335" ht="14.4" customHeight="1" x14ac:dyDescent="0.3"/>
    <row r="5336" ht="14.4" customHeight="1" x14ac:dyDescent="0.3"/>
    <row r="5337" ht="14.4" customHeight="1" x14ac:dyDescent="0.3"/>
    <row r="5338" ht="14.4" customHeight="1" x14ac:dyDescent="0.3"/>
    <row r="5339" ht="14.4" customHeight="1" x14ac:dyDescent="0.3"/>
    <row r="5340" ht="14.4" customHeight="1" x14ac:dyDescent="0.3"/>
    <row r="5341" ht="14.4" customHeight="1" x14ac:dyDescent="0.3"/>
    <row r="5342" ht="14.4" customHeight="1" x14ac:dyDescent="0.3"/>
    <row r="5343" ht="14.4" customHeight="1" x14ac:dyDescent="0.3"/>
    <row r="5344" ht="14.4" customHeight="1" x14ac:dyDescent="0.3"/>
    <row r="5345" ht="14.4" customHeight="1" x14ac:dyDescent="0.3"/>
    <row r="5346" ht="14.4" customHeight="1" x14ac:dyDescent="0.3"/>
    <row r="5347" ht="14.4" customHeight="1" x14ac:dyDescent="0.3"/>
    <row r="5348" ht="14.4" customHeight="1" x14ac:dyDescent="0.3"/>
    <row r="5349" ht="14.4" customHeight="1" x14ac:dyDescent="0.3"/>
    <row r="5350" ht="14.4" customHeight="1" x14ac:dyDescent="0.3"/>
    <row r="5351" ht="14.4" customHeight="1" x14ac:dyDescent="0.3"/>
    <row r="5352" ht="14.4" customHeight="1" x14ac:dyDescent="0.3"/>
    <row r="5353" ht="14.4" customHeight="1" x14ac:dyDescent="0.3"/>
    <row r="5354" ht="14.4" customHeight="1" x14ac:dyDescent="0.3"/>
    <row r="5355" ht="14.4" customHeight="1" x14ac:dyDescent="0.3"/>
    <row r="5356" ht="14.4" customHeight="1" x14ac:dyDescent="0.3"/>
    <row r="5357" ht="14.4" customHeight="1" x14ac:dyDescent="0.3"/>
    <row r="5358" ht="14.4" customHeight="1" x14ac:dyDescent="0.3"/>
    <row r="5359" ht="14.4" customHeight="1" x14ac:dyDescent="0.3"/>
    <row r="5360" ht="14.4" customHeight="1" x14ac:dyDescent="0.3"/>
    <row r="5361" ht="14.4" customHeight="1" x14ac:dyDescent="0.3"/>
    <row r="5362" ht="14.4" customHeight="1" x14ac:dyDescent="0.3"/>
    <row r="5363" ht="14.4" customHeight="1" x14ac:dyDescent="0.3"/>
    <row r="5364" ht="14.4" customHeight="1" x14ac:dyDescent="0.3"/>
    <row r="5365" ht="14.4" customHeight="1" x14ac:dyDescent="0.3"/>
    <row r="5366" ht="14.4" customHeight="1" x14ac:dyDescent="0.3"/>
    <row r="5367" ht="14.4" customHeight="1" x14ac:dyDescent="0.3"/>
    <row r="5368" ht="14.4" customHeight="1" x14ac:dyDescent="0.3"/>
    <row r="5369" ht="14.4" customHeight="1" x14ac:dyDescent="0.3"/>
    <row r="5370" ht="14.4" customHeight="1" x14ac:dyDescent="0.3"/>
    <row r="5371" ht="14.4" customHeight="1" x14ac:dyDescent="0.3"/>
    <row r="5372" ht="14.4" customHeight="1" x14ac:dyDescent="0.3"/>
    <row r="5373" ht="14.4" customHeight="1" x14ac:dyDescent="0.3"/>
    <row r="5374" ht="14.4" customHeight="1" x14ac:dyDescent="0.3"/>
    <row r="5375" ht="14.4" customHeight="1" x14ac:dyDescent="0.3"/>
    <row r="5376" ht="14.4" customHeight="1" x14ac:dyDescent="0.3"/>
    <row r="5377" ht="14.4" customHeight="1" x14ac:dyDescent="0.3"/>
    <row r="5378" ht="14.4" customHeight="1" x14ac:dyDescent="0.3"/>
    <row r="5379" ht="14.4" customHeight="1" x14ac:dyDescent="0.3"/>
    <row r="5380" ht="14.4" customHeight="1" x14ac:dyDescent="0.3"/>
    <row r="5381" ht="14.4" customHeight="1" x14ac:dyDescent="0.3"/>
    <row r="5382" ht="14.4" customHeight="1" x14ac:dyDescent="0.3"/>
    <row r="5383" ht="14.4" customHeight="1" x14ac:dyDescent="0.3"/>
    <row r="5384" ht="14.4" customHeight="1" x14ac:dyDescent="0.3"/>
    <row r="5385" ht="14.4" customHeight="1" x14ac:dyDescent="0.3"/>
    <row r="5386" ht="14.4" customHeight="1" x14ac:dyDescent="0.3"/>
    <row r="5387" ht="14.4" customHeight="1" x14ac:dyDescent="0.3"/>
    <row r="5388" ht="14.4" customHeight="1" x14ac:dyDescent="0.3"/>
    <row r="5389" ht="14.4" customHeight="1" x14ac:dyDescent="0.3"/>
    <row r="5390" ht="14.4" customHeight="1" x14ac:dyDescent="0.3"/>
    <row r="5391" ht="14.4" customHeight="1" x14ac:dyDescent="0.3"/>
    <row r="5392" ht="14.4" customHeight="1" x14ac:dyDescent="0.3"/>
    <row r="5393" ht="14.4" customHeight="1" x14ac:dyDescent="0.3"/>
    <row r="5394" ht="14.4" customHeight="1" x14ac:dyDescent="0.3"/>
    <row r="5395" ht="14.4" customHeight="1" x14ac:dyDescent="0.3"/>
    <row r="5396" ht="14.4" customHeight="1" x14ac:dyDescent="0.3"/>
    <row r="5397" ht="14.4" customHeight="1" x14ac:dyDescent="0.3"/>
    <row r="5398" ht="14.4" customHeight="1" x14ac:dyDescent="0.3"/>
    <row r="5399" ht="14.4" customHeight="1" x14ac:dyDescent="0.3"/>
    <row r="5400" ht="14.4" customHeight="1" x14ac:dyDescent="0.3"/>
    <row r="5401" ht="14.4" customHeight="1" x14ac:dyDescent="0.3"/>
    <row r="5402" ht="14.4" customHeight="1" x14ac:dyDescent="0.3"/>
    <row r="5403" ht="14.4" customHeight="1" x14ac:dyDescent="0.3"/>
    <row r="5404" ht="14.4" customHeight="1" x14ac:dyDescent="0.3"/>
    <row r="5405" ht="14.4" customHeight="1" x14ac:dyDescent="0.3"/>
    <row r="5406" ht="14.4" customHeight="1" x14ac:dyDescent="0.3"/>
    <row r="5407" ht="14.4" customHeight="1" x14ac:dyDescent="0.3"/>
    <row r="5408" ht="14.4" customHeight="1" x14ac:dyDescent="0.3"/>
    <row r="5409" ht="14.4" customHeight="1" x14ac:dyDescent="0.3"/>
    <row r="5410" ht="14.4" customHeight="1" x14ac:dyDescent="0.3"/>
    <row r="5411" ht="14.4" customHeight="1" x14ac:dyDescent="0.3"/>
    <row r="5412" ht="14.4" customHeight="1" x14ac:dyDescent="0.3"/>
    <row r="5413" ht="14.4" customHeight="1" x14ac:dyDescent="0.3"/>
    <row r="5414" ht="14.4" customHeight="1" x14ac:dyDescent="0.3"/>
    <row r="5415" ht="14.4" customHeight="1" x14ac:dyDescent="0.3"/>
    <row r="5416" ht="14.4" customHeight="1" x14ac:dyDescent="0.3"/>
    <row r="5417" ht="14.4" customHeight="1" x14ac:dyDescent="0.3"/>
    <row r="5418" ht="14.4" customHeight="1" x14ac:dyDescent="0.3"/>
    <row r="5419" ht="14.4" customHeight="1" x14ac:dyDescent="0.3"/>
    <row r="5420" ht="14.4" customHeight="1" x14ac:dyDescent="0.3"/>
    <row r="5421" ht="14.4" customHeight="1" x14ac:dyDescent="0.3"/>
    <row r="5422" ht="14.4" customHeight="1" x14ac:dyDescent="0.3"/>
    <row r="5423" ht="14.4" customHeight="1" x14ac:dyDescent="0.3"/>
    <row r="5424" ht="14.4" customHeight="1" x14ac:dyDescent="0.3"/>
    <row r="5425" ht="14.4" customHeight="1" x14ac:dyDescent="0.3"/>
    <row r="5426" ht="14.4" customHeight="1" x14ac:dyDescent="0.3"/>
    <row r="5427" ht="14.4" customHeight="1" x14ac:dyDescent="0.3"/>
    <row r="5428" ht="14.4" customHeight="1" x14ac:dyDescent="0.3"/>
    <row r="5429" ht="14.4" customHeight="1" x14ac:dyDescent="0.3"/>
    <row r="5430" ht="14.4" customHeight="1" x14ac:dyDescent="0.3"/>
    <row r="5431" ht="14.4" customHeight="1" x14ac:dyDescent="0.3"/>
    <row r="5432" ht="14.4" customHeight="1" x14ac:dyDescent="0.3"/>
    <row r="5433" ht="14.4" customHeight="1" x14ac:dyDescent="0.3"/>
    <row r="5434" ht="14.4" customHeight="1" x14ac:dyDescent="0.3"/>
    <row r="5435" ht="14.4" customHeight="1" x14ac:dyDescent="0.3"/>
    <row r="5436" ht="14.4" customHeight="1" x14ac:dyDescent="0.3"/>
    <row r="5437" ht="14.4" customHeight="1" x14ac:dyDescent="0.3"/>
    <row r="5438" ht="14.4" customHeight="1" x14ac:dyDescent="0.3"/>
    <row r="5439" ht="14.4" customHeight="1" x14ac:dyDescent="0.3"/>
    <row r="5440" ht="14.4" customHeight="1" x14ac:dyDescent="0.3"/>
    <row r="5441" ht="14.4" customHeight="1" x14ac:dyDescent="0.3"/>
    <row r="5442" ht="14.4" customHeight="1" x14ac:dyDescent="0.3"/>
    <row r="5443" ht="14.4" customHeight="1" x14ac:dyDescent="0.3"/>
    <row r="5444" ht="14.4" customHeight="1" x14ac:dyDescent="0.3"/>
    <row r="5445" ht="14.4" customHeight="1" x14ac:dyDescent="0.3"/>
    <row r="5446" ht="14.4" customHeight="1" x14ac:dyDescent="0.3"/>
    <row r="5447" ht="14.4" customHeight="1" x14ac:dyDescent="0.3"/>
    <row r="5448" ht="14.4" customHeight="1" x14ac:dyDescent="0.3"/>
    <row r="5449" ht="14.4" customHeight="1" x14ac:dyDescent="0.3"/>
    <row r="5450" ht="14.4" customHeight="1" x14ac:dyDescent="0.3"/>
    <row r="5451" ht="14.4" customHeight="1" x14ac:dyDescent="0.3"/>
    <row r="5452" ht="14.4" customHeight="1" x14ac:dyDescent="0.3"/>
    <row r="5453" ht="14.4" customHeight="1" x14ac:dyDescent="0.3"/>
    <row r="5454" ht="14.4" customHeight="1" x14ac:dyDescent="0.3"/>
    <row r="5455" ht="14.4" customHeight="1" x14ac:dyDescent="0.3"/>
    <row r="5456" ht="14.4" customHeight="1" x14ac:dyDescent="0.3"/>
    <row r="5457" ht="14.4" customHeight="1" x14ac:dyDescent="0.3"/>
    <row r="5458" ht="14.4" customHeight="1" x14ac:dyDescent="0.3"/>
    <row r="5459" ht="14.4" customHeight="1" x14ac:dyDescent="0.3"/>
    <row r="5460" ht="14.4" customHeight="1" x14ac:dyDescent="0.3"/>
    <row r="5461" ht="14.4" customHeight="1" x14ac:dyDescent="0.3"/>
    <row r="5462" ht="14.4" customHeight="1" x14ac:dyDescent="0.3"/>
    <row r="5463" ht="14.4" customHeight="1" x14ac:dyDescent="0.3"/>
    <row r="5464" ht="14.4" customHeight="1" x14ac:dyDescent="0.3"/>
    <row r="5465" ht="14.4" customHeight="1" x14ac:dyDescent="0.3"/>
    <row r="5466" ht="14.4" customHeight="1" x14ac:dyDescent="0.3"/>
    <row r="5467" ht="14.4" customHeight="1" x14ac:dyDescent="0.3"/>
    <row r="5468" ht="14.4" customHeight="1" x14ac:dyDescent="0.3"/>
    <row r="5469" ht="14.4" customHeight="1" x14ac:dyDescent="0.3"/>
    <row r="5470" ht="14.4" customHeight="1" x14ac:dyDescent="0.3"/>
    <row r="5471" ht="14.4" customHeight="1" x14ac:dyDescent="0.3"/>
    <row r="5472" ht="14.4" customHeight="1" x14ac:dyDescent="0.3"/>
    <row r="5473" ht="14.4" customHeight="1" x14ac:dyDescent="0.3"/>
    <row r="5474" ht="14.4" customHeight="1" x14ac:dyDescent="0.3"/>
    <row r="5475" ht="14.4" customHeight="1" x14ac:dyDescent="0.3"/>
    <row r="5476" ht="14.4" customHeight="1" x14ac:dyDescent="0.3"/>
    <row r="5477" ht="14.4" customHeight="1" x14ac:dyDescent="0.3"/>
    <row r="5478" ht="14.4" customHeight="1" x14ac:dyDescent="0.3"/>
    <row r="5479" ht="14.4" customHeight="1" x14ac:dyDescent="0.3"/>
    <row r="5480" ht="14.4" customHeight="1" x14ac:dyDescent="0.3"/>
    <row r="5481" ht="14.4" customHeight="1" x14ac:dyDescent="0.3"/>
    <row r="5482" ht="14.4" customHeight="1" x14ac:dyDescent="0.3"/>
    <row r="5483" ht="14.4" customHeight="1" x14ac:dyDescent="0.3"/>
    <row r="5484" ht="14.4" customHeight="1" x14ac:dyDescent="0.3"/>
    <row r="5485" ht="14.4" customHeight="1" x14ac:dyDescent="0.3"/>
    <row r="5486" ht="14.4" customHeight="1" x14ac:dyDescent="0.3"/>
    <row r="5487" ht="14.4" customHeight="1" x14ac:dyDescent="0.3"/>
    <row r="5488" ht="14.4" customHeight="1" x14ac:dyDescent="0.3"/>
    <row r="5489" ht="14.4" customHeight="1" x14ac:dyDescent="0.3"/>
    <row r="5490" ht="14.4" customHeight="1" x14ac:dyDescent="0.3"/>
    <row r="5491" ht="14.4" customHeight="1" x14ac:dyDescent="0.3"/>
    <row r="5492" ht="14.4" customHeight="1" x14ac:dyDescent="0.3"/>
    <row r="5493" ht="14.4" customHeight="1" x14ac:dyDescent="0.3"/>
    <row r="5494" ht="14.4" customHeight="1" x14ac:dyDescent="0.3"/>
    <row r="5495" ht="14.4" customHeight="1" x14ac:dyDescent="0.3"/>
    <row r="5496" ht="14.4" customHeight="1" x14ac:dyDescent="0.3"/>
    <row r="5497" ht="14.4" customHeight="1" x14ac:dyDescent="0.3"/>
    <row r="5498" ht="14.4" customHeight="1" x14ac:dyDescent="0.3"/>
    <row r="5499" ht="14.4" customHeight="1" x14ac:dyDescent="0.3"/>
    <row r="5500" ht="14.4" customHeight="1" x14ac:dyDescent="0.3"/>
    <row r="5501" ht="14.4" customHeight="1" x14ac:dyDescent="0.3"/>
    <row r="5502" ht="14.4" customHeight="1" x14ac:dyDescent="0.3"/>
    <row r="5503" ht="14.4" customHeight="1" x14ac:dyDescent="0.3"/>
    <row r="5504" ht="14.4" customHeight="1" x14ac:dyDescent="0.3"/>
    <row r="5505" ht="14.4" customHeight="1" x14ac:dyDescent="0.3"/>
    <row r="5506" ht="14.4" customHeight="1" x14ac:dyDescent="0.3"/>
    <row r="5507" ht="14.4" customHeight="1" x14ac:dyDescent="0.3"/>
    <row r="5508" ht="14.4" customHeight="1" x14ac:dyDescent="0.3"/>
    <row r="5509" ht="14.4" customHeight="1" x14ac:dyDescent="0.3"/>
    <row r="5510" ht="14.4" customHeight="1" x14ac:dyDescent="0.3"/>
    <row r="5511" ht="14.4" customHeight="1" x14ac:dyDescent="0.3"/>
    <row r="5512" ht="14.4" customHeight="1" x14ac:dyDescent="0.3"/>
    <row r="5513" ht="14.4" customHeight="1" x14ac:dyDescent="0.3"/>
    <row r="5514" ht="14.4" customHeight="1" x14ac:dyDescent="0.3"/>
    <row r="5515" ht="14.4" customHeight="1" x14ac:dyDescent="0.3"/>
    <row r="5516" ht="14.4" customHeight="1" x14ac:dyDescent="0.3"/>
    <row r="5517" ht="14.4" customHeight="1" x14ac:dyDescent="0.3"/>
    <row r="5518" ht="14.4" customHeight="1" x14ac:dyDescent="0.3"/>
    <row r="5519" ht="14.4" customHeight="1" x14ac:dyDescent="0.3"/>
    <row r="5520" ht="14.4" customHeight="1" x14ac:dyDescent="0.3"/>
    <row r="5521" ht="14.4" customHeight="1" x14ac:dyDescent="0.3"/>
    <row r="5522" ht="14.4" customHeight="1" x14ac:dyDescent="0.3"/>
    <row r="5523" ht="14.4" customHeight="1" x14ac:dyDescent="0.3"/>
    <row r="5524" ht="14.4" customHeight="1" x14ac:dyDescent="0.3"/>
    <row r="5525" ht="14.4" customHeight="1" x14ac:dyDescent="0.3"/>
    <row r="5526" ht="14.4" customHeight="1" x14ac:dyDescent="0.3"/>
    <row r="5527" ht="14.4" customHeight="1" x14ac:dyDescent="0.3"/>
    <row r="5528" ht="14.4" customHeight="1" x14ac:dyDescent="0.3"/>
    <row r="5529" ht="14.4" customHeight="1" x14ac:dyDescent="0.3"/>
    <row r="5530" ht="14.4" customHeight="1" x14ac:dyDescent="0.3"/>
    <row r="5531" ht="14.4" customHeight="1" x14ac:dyDescent="0.3"/>
    <row r="5532" ht="14.4" customHeight="1" x14ac:dyDescent="0.3"/>
    <row r="5533" ht="14.4" customHeight="1" x14ac:dyDescent="0.3"/>
    <row r="5534" ht="14.4" customHeight="1" x14ac:dyDescent="0.3"/>
    <row r="5535" ht="14.4" customHeight="1" x14ac:dyDescent="0.3"/>
    <row r="5536" ht="14.4" customHeight="1" x14ac:dyDescent="0.3"/>
    <row r="5537" ht="14.4" customHeight="1" x14ac:dyDescent="0.3"/>
    <row r="5538" ht="14.4" customHeight="1" x14ac:dyDescent="0.3"/>
    <row r="5539" ht="14.4" customHeight="1" x14ac:dyDescent="0.3"/>
    <row r="5540" ht="14.4" customHeight="1" x14ac:dyDescent="0.3"/>
    <row r="5541" ht="14.4" customHeight="1" x14ac:dyDescent="0.3"/>
    <row r="5542" ht="14.4" customHeight="1" x14ac:dyDescent="0.3"/>
    <row r="5543" ht="14.4" customHeight="1" x14ac:dyDescent="0.3"/>
    <row r="5544" ht="14.4" customHeight="1" x14ac:dyDescent="0.3"/>
    <row r="5545" ht="14.4" customHeight="1" x14ac:dyDescent="0.3"/>
    <row r="5546" ht="14.4" customHeight="1" x14ac:dyDescent="0.3"/>
    <row r="5547" ht="14.4" customHeight="1" x14ac:dyDescent="0.3"/>
    <row r="5548" ht="14.4" customHeight="1" x14ac:dyDescent="0.3"/>
    <row r="5549" ht="14.4" customHeight="1" x14ac:dyDescent="0.3"/>
    <row r="5550" ht="14.4" customHeight="1" x14ac:dyDescent="0.3"/>
    <row r="5551" ht="14.4" customHeight="1" x14ac:dyDescent="0.3"/>
    <row r="5552" ht="14.4" customHeight="1" x14ac:dyDescent="0.3"/>
    <row r="5553" ht="14.4" customHeight="1" x14ac:dyDescent="0.3"/>
    <row r="5554" ht="14.4" customHeight="1" x14ac:dyDescent="0.3"/>
    <row r="5555" ht="14.4" customHeight="1" x14ac:dyDescent="0.3"/>
    <row r="5556" ht="14.4" customHeight="1" x14ac:dyDescent="0.3"/>
    <row r="5557" ht="14.4" customHeight="1" x14ac:dyDescent="0.3"/>
    <row r="5558" ht="14.4" customHeight="1" x14ac:dyDescent="0.3"/>
    <row r="5559" ht="14.4" customHeight="1" x14ac:dyDescent="0.3"/>
    <row r="5560" ht="14.4" customHeight="1" x14ac:dyDescent="0.3"/>
    <row r="5561" ht="14.4" customHeight="1" x14ac:dyDescent="0.3"/>
    <row r="5562" ht="14.4" customHeight="1" x14ac:dyDescent="0.3"/>
    <row r="5563" ht="14.4" customHeight="1" x14ac:dyDescent="0.3"/>
    <row r="5564" ht="14.4" customHeight="1" x14ac:dyDescent="0.3"/>
    <row r="5565" ht="14.4" customHeight="1" x14ac:dyDescent="0.3"/>
    <row r="5566" ht="14.4" customHeight="1" x14ac:dyDescent="0.3"/>
    <row r="5567" ht="14.4" customHeight="1" x14ac:dyDescent="0.3"/>
    <row r="5568" ht="14.4" customHeight="1" x14ac:dyDescent="0.3"/>
    <row r="5569" ht="14.4" customHeight="1" x14ac:dyDescent="0.3"/>
    <row r="5570" ht="14.4" customHeight="1" x14ac:dyDescent="0.3"/>
    <row r="5571" ht="14.4" customHeight="1" x14ac:dyDescent="0.3"/>
    <row r="5572" ht="14.4" customHeight="1" x14ac:dyDescent="0.3"/>
    <row r="5573" ht="14.4" customHeight="1" x14ac:dyDescent="0.3"/>
    <row r="5574" ht="14.4" customHeight="1" x14ac:dyDescent="0.3"/>
    <row r="5575" ht="14.4" customHeight="1" x14ac:dyDescent="0.3"/>
    <row r="5576" ht="14.4" customHeight="1" x14ac:dyDescent="0.3"/>
    <row r="5577" ht="14.4" customHeight="1" x14ac:dyDescent="0.3"/>
    <row r="5578" ht="14.4" customHeight="1" x14ac:dyDescent="0.3"/>
    <row r="5579" ht="14.4" customHeight="1" x14ac:dyDescent="0.3"/>
    <row r="5580" ht="14.4" customHeight="1" x14ac:dyDescent="0.3"/>
    <row r="5581" ht="14.4" customHeight="1" x14ac:dyDescent="0.3"/>
    <row r="5582" ht="14.4" customHeight="1" x14ac:dyDescent="0.3"/>
    <row r="5583" ht="14.4" customHeight="1" x14ac:dyDescent="0.3"/>
    <row r="5584" ht="14.4" customHeight="1" x14ac:dyDescent="0.3"/>
    <row r="5585" ht="14.4" customHeight="1" x14ac:dyDescent="0.3"/>
    <row r="5586" ht="14.4" customHeight="1" x14ac:dyDescent="0.3"/>
    <row r="5587" ht="14.4" customHeight="1" x14ac:dyDescent="0.3"/>
    <row r="5588" ht="14.4" customHeight="1" x14ac:dyDescent="0.3"/>
    <row r="5589" ht="14.4" customHeight="1" x14ac:dyDescent="0.3"/>
    <row r="5590" ht="14.4" customHeight="1" x14ac:dyDescent="0.3"/>
    <row r="5591" ht="14.4" customHeight="1" x14ac:dyDescent="0.3"/>
    <row r="5592" ht="14.4" customHeight="1" x14ac:dyDescent="0.3"/>
    <row r="5593" ht="14.4" customHeight="1" x14ac:dyDescent="0.3"/>
    <row r="5594" ht="14.4" customHeight="1" x14ac:dyDescent="0.3"/>
    <row r="5595" ht="14.4" customHeight="1" x14ac:dyDescent="0.3"/>
    <row r="5596" ht="14.4" customHeight="1" x14ac:dyDescent="0.3"/>
    <row r="5597" ht="14.4" customHeight="1" x14ac:dyDescent="0.3"/>
    <row r="5598" ht="14.4" customHeight="1" x14ac:dyDescent="0.3"/>
    <row r="5599" ht="14.4" customHeight="1" x14ac:dyDescent="0.3"/>
    <row r="5600" ht="14.4" customHeight="1" x14ac:dyDescent="0.3"/>
    <row r="5601" ht="14.4" customHeight="1" x14ac:dyDescent="0.3"/>
    <row r="5602" ht="14.4" customHeight="1" x14ac:dyDescent="0.3"/>
    <row r="5603" ht="14.4" customHeight="1" x14ac:dyDescent="0.3"/>
    <row r="5604" ht="14.4" customHeight="1" x14ac:dyDescent="0.3"/>
    <row r="5605" ht="14.4" customHeight="1" x14ac:dyDescent="0.3"/>
    <row r="5606" ht="14.4" customHeight="1" x14ac:dyDescent="0.3"/>
    <row r="5607" ht="14.4" customHeight="1" x14ac:dyDescent="0.3"/>
    <row r="5608" ht="14.4" customHeight="1" x14ac:dyDescent="0.3"/>
    <row r="5609" ht="14.4" customHeight="1" x14ac:dyDescent="0.3"/>
    <row r="5610" ht="14.4" customHeight="1" x14ac:dyDescent="0.3"/>
    <row r="5611" ht="14.4" customHeight="1" x14ac:dyDescent="0.3"/>
    <row r="5612" ht="14.4" customHeight="1" x14ac:dyDescent="0.3"/>
    <row r="5613" ht="14.4" customHeight="1" x14ac:dyDescent="0.3"/>
    <row r="5614" ht="14.4" customHeight="1" x14ac:dyDescent="0.3"/>
    <row r="5615" ht="14.4" customHeight="1" x14ac:dyDescent="0.3"/>
    <row r="5616" ht="14.4" customHeight="1" x14ac:dyDescent="0.3"/>
    <row r="5617" ht="14.4" customHeight="1" x14ac:dyDescent="0.3"/>
    <row r="5618" ht="14.4" customHeight="1" x14ac:dyDescent="0.3"/>
    <row r="5619" ht="14.4" customHeight="1" x14ac:dyDescent="0.3"/>
    <row r="5620" ht="14.4" customHeight="1" x14ac:dyDescent="0.3"/>
    <row r="5621" ht="14.4" customHeight="1" x14ac:dyDescent="0.3"/>
    <row r="5622" ht="14.4" customHeight="1" x14ac:dyDescent="0.3"/>
    <row r="5623" ht="14.4" customHeight="1" x14ac:dyDescent="0.3"/>
    <row r="5624" ht="14.4" customHeight="1" x14ac:dyDescent="0.3"/>
    <row r="5625" ht="14.4" customHeight="1" x14ac:dyDescent="0.3"/>
    <row r="5626" ht="14.4" customHeight="1" x14ac:dyDescent="0.3"/>
    <row r="5627" ht="14.4" customHeight="1" x14ac:dyDescent="0.3"/>
    <row r="5628" ht="14.4" customHeight="1" x14ac:dyDescent="0.3"/>
    <row r="5629" ht="14.4" customHeight="1" x14ac:dyDescent="0.3"/>
    <row r="5630" ht="14.4" customHeight="1" x14ac:dyDescent="0.3"/>
    <row r="5631" ht="14.4" customHeight="1" x14ac:dyDescent="0.3"/>
    <row r="5632" ht="14.4" customHeight="1" x14ac:dyDescent="0.3"/>
    <row r="5633" ht="14.4" customHeight="1" x14ac:dyDescent="0.3"/>
    <row r="5634" ht="14.4" customHeight="1" x14ac:dyDescent="0.3"/>
    <row r="5635" ht="14.4" customHeight="1" x14ac:dyDescent="0.3"/>
    <row r="5636" ht="14.4" customHeight="1" x14ac:dyDescent="0.3"/>
    <row r="5637" ht="14.4" customHeight="1" x14ac:dyDescent="0.3"/>
    <row r="5638" ht="14.4" customHeight="1" x14ac:dyDescent="0.3"/>
    <row r="5639" ht="14.4" customHeight="1" x14ac:dyDescent="0.3"/>
    <row r="5640" ht="14.4" customHeight="1" x14ac:dyDescent="0.3"/>
    <row r="5641" ht="14.4" customHeight="1" x14ac:dyDescent="0.3"/>
    <row r="5642" ht="14.4" customHeight="1" x14ac:dyDescent="0.3"/>
    <row r="5643" ht="14.4" customHeight="1" x14ac:dyDescent="0.3"/>
    <row r="5644" ht="14.4" customHeight="1" x14ac:dyDescent="0.3"/>
    <row r="5645" ht="14.4" customHeight="1" x14ac:dyDescent="0.3"/>
    <row r="5646" ht="14.4" customHeight="1" x14ac:dyDescent="0.3"/>
    <row r="5647" ht="14.4" customHeight="1" x14ac:dyDescent="0.3"/>
    <row r="5648" ht="14.4" customHeight="1" x14ac:dyDescent="0.3"/>
    <row r="5649" ht="14.4" customHeight="1" x14ac:dyDescent="0.3"/>
    <row r="5650" ht="14.4" customHeight="1" x14ac:dyDescent="0.3"/>
    <row r="5651" ht="14.4" customHeight="1" x14ac:dyDescent="0.3"/>
    <row r="5652" ht="14.4" customHeight="1" x14ac:dyDescent="0.3"/>
    <row r="5653" ht="14.4" customHeight="1" x14ac:dyDescent="0.3"/>
    <row r="5654" ht="14.4" customHeight="1" x14ac:dyDescent="0.3"/>
    <row r="5655" ht="14.4" customHeight="1" x14ac:dyDescent="0.3"/>
    <row r="5656" ht="14.4" customHeight="1" x14ac:dyDescent="0.3"/>
    <row r="5657" ht="14.4" customHeight="1" x14ac:dyDescent="0.3"/>
    <row r="5658" ht="14.4" customHeight="1" x14ac:dyDescent="0.3"/>
    <row r="5659" ht="14.4" customHeight="1" x14ac:dyDescent="0.3"/>
    <row r="5660" ht="14.4" customHeight="1" x14ac:dyDescent="0.3"/>
    <row r="5661" ht="14.4" customHeight="1" x14ac:dyDescent="0.3"/>
    <row r="5662" ht="14.4" customHeight="1" x14ac:dyDescent="0.3"/>
    <row r="5663" ht="14.4" customHeight="1" x14ac:dyDescent="0.3"/>
    <row r="5664" ht="14.4" customHeight="1" x14ac:dyDescent="0.3"/>
    <row r="5665" ht="14.4" customHeight="1" x14ac:dyDescent="0.3"/>
    <row r="5666" ht="14.4" customHeight="1" x14ac:dyDescent="0.3"/>
    <row r="5667" ht="14.4" customHeight="1" x14ac:dyDescent="0.3"/>
    <row r="5668" ht="14.4" customHeight="1" x14ac:dyDescent="0.3"/>
    <row r="5669" ht="14.4" customHeight="1" x14ac:dyDescent="0.3"/>
    <row r="5670" ht="14.4" customHeight="1" x14ac:dyDescent="0.3"/>
    <row r="5671" ht="14.4" customHeight="1" x14ac:dyDescent="0.3"/>
    <row r="5672" ht="14.4" customHeight="1" x14ac:dyDescent="0.3"/>
    <row r="5673" ht="14.4" customHeight="1" x14ac:dyDescent="0.3"/>
    <row r="5674" ht="14.4" customHeight="1" x14ac:dyDescent="0.3"/>
    <row r="5675" ht="14.4" customHeight="1" x14ac:dyDescent="0.3"/>
    <row r="5676" ht="14.4" customHeight="1" x14ac:dyDescent="0.3"/>
    <row r="5677" ht="14.4" customHeight="1" x14ac:dyDescent="0.3"/>
    <row r="5678" ht="14.4" customHeight="1" x14ac:dyDescent="0.3"/>
    <row r="5679" ht="14.4" customHeight="1" x14ac:dyDescent="0.3"/>
    <row r="5680" ht="14.4" customHeight="1" x14ac:dyDescent="0.3"/>
    <row r="5681" ht="14.4" customHeight="1" x14ac:dyDescent="0.3"/>
    <row r="5682" ht="14.4" customHeight="1" x14ac:dyDescent="0.3"/>
    <row r="5683" ht="14.4" customHeight="1" x14ac:dyDescent="0.3"/>
    <row r="5684" ht="14.4" customHeight="1" x14ac:dyDescent="0.3"/>
    <row r="5685" ht="14.4" customHeight="1" x14ac:dyDescent="0.3"/>
    <row r="5686" ht="14.4" customHeight="1" x14ac:dyDescent="0.3"/>
    <row r="5687" ht="14.4" customHeight="1" x14ac:dyDescent="0.3"/>
    <row r="5688" ht="14.4" customHeight="1" x14ac:dyDescent="0.3"/>
    <row r="5689" ht="14.4" customHeight="1" x14ac:dyDescent="0.3"/>
    <row r="5690" ht="14.4" customHeight="1" x14ac:dyDescent="0.3"/>
    <row r="5691" ht="14.4" customHeight="1" x14ac:dyDescent="0.3"/>
    <row r="5692" ht="14.4" customHeight="1" x14ac:dyDescent="0.3"/>
    <row r="5693" ht="14.4" customHeight="1" x14ac:dyDescent="0.3"/>
    <row r="5694" ht="14.4" customHeight="1" x14ac:dyDescent="0.3"/>
    <row r="5695" ht="14.4" customHeight="1" x14ac:dyDescent="0.3"/>
    <row r="5696" ht="14.4" customHeight="1" x14ac:dyDescent="0.3"/>
    <row r="5697" ht="14.4" customHeight="1" x14ac:dyDescent="0.3"/>
    <row r="5698" ht="14.4" customHeight="1" x14ac:dyDescent="0.3"/>
    <row r="5699" ht="14.4" customHeight="1" x14ac:dyDescent="0.3"/>
    <row r="5700" ht="14.4" customHeight="1" x14ac:dyDescent="0.3"/>
    <row r="5701" ht="14.4" customHeight="1" x14ac:dyDescent="0.3"/>
    <row r="5702" ht="14.4" customHeight="1" x14ac:dyDescent="0.3"/>
    <row r="5703" ht="14.4" customHeight="1" x14ac:dyDescent="0.3"/>
    <row r="5704" ht="14.4" customHeight="1" x14ac:dyDescent="0.3"/>
    <row r="5705" ht="14.4" customHeight="1" x14ac:dyDescent="0.3"/>
    <row r="5706" ht="14.4" customHeight="1" x14ac:dyDescent="0.3"/>
    <row r="5707" ht="14.4" customHeight="1" x14ac:dyDescent="0.3"/>
    <row r="5708" ht="14.4" customHeight="1" x14ac:dyDescent="0.3"/>
    <row r="5709" ht="14.4" customHeight="1" x14ac:dyDescent="0.3"/>
    <row r="5710" ht="14.4" customHeight="1" x14ac:dyDescent="0.3"/>
    <row r="5711" ht="14.4" customHeight="1" x14ac:dyDescent="0.3"/>
    <row r="5712" ht="14.4" customHeight="1" x14ac:dyDescent="0.3"/>
    <row r="5713" ht="14.4" customHeight="1" x14ac:dyDescent="0.3"/>
    <row r="5714" ht="14.4" customHeight="1" x14ac:dyDescent="0.3"/>
    <row r="5715" ht="14.4" customHeight="1" x14ac:dyDescent="0.3"/>
    <row r="5716" ht="14.4" customHeight="1" x14ac:dyDescent="0.3"/>
    <row r="5717" ht="14.4" customHeight="1" x14ac:dyDescent="0.3"/>
    <row r="5718" ht="14.4" customHeight="1" x14ac:dyDescent="0.3"/>
    <row r="5719" ht="14.4" customHeight="1" x14ac:dyDescent="0.3"/>
    <row r="5720" ht="14.4" customHeight="1" x14ac:dyDescent="0.3"/>
    <row r="5721" ht="14.4" customHeight="1" x14ac:dyDescent="0.3"/>
    <row r="5722" ht="14.4" customHeight="1" x14ac:dyDescent="0.3"/>
    <row r="5723" ht="14.4" customHeight="1" x14ac:dyDescent="0.3"/>
    <row r="5724" ht="14.4" customHeight="1" x14ac:dyDescent="0.3"/>
    <row r="5725" ht="14.4" customHeight="1" x14ac:dyDescent="0.3"/>
    <row r="5726" ht="14.4" customHeight="1" x14ac:dyDescent="0.3"/>
    <row r="5727" ht="14.4" customHeight="1" x14ac:dyDescent="0.3"/>
    <row r="5728" ht="14.4" customHeight="1" x14ac:dyDescent="0.3"/>
    <row r="5729" ht="14.4" customHeight="1" x14ac:dyDescent="0.3"/>
    <row r="5730" ht="14.4" customHeight="1" x14ac:dyDescent="0.3"/>
    <row r="5731" ht="14.4" customHeight="1" x14ac:dyDescent="0.3"/>
    <row r="5732" ht="14.4" customHeight="1" x14ac:dyDescent="0.3"/>
    <row r="5733" ht="14.4" customHeight="1" x14ac:dyDescent="0.3"/>
    <row r="5734" ht="14.4" customHeight="1" x14ac:dyDescent="0.3"/>
    <row r="5735" ht="14.4" customHeight="1" x14ac:dyDescent="0.3"/>
    <row r="5736" ht="14.4" customHeight="1" x14ac:dyDescent="0.3"/>
    <row r="5737" ht="14.4" customHeight="1" x14ac:dyDescent="0.3"/>
    <row r="5738" ht="14.4" customHeight="1" x14ac:dyDescent="0.3"/>
    <row r="5739" ht="14.4" customHeight="1" x14ac:dyDescent="0.3"/>
    <row r="5740" ht="14.4" customHeight="1" x14ac:dyDescent="0.3"/>
    <row r="5741" ht="14.4" customHeight="1" x14ac:dyDescent="0.3"/>
    <row r="5742" ht="14.4" customHeight="1" x14ac:dyDescent="0.3"/>
    <row r="5743" ht="14.4" customHeight="1" x14ac:dyDescent="0.3"/>
    <row r="5744" ht="14.4" customHeight="1" x14ac:dyDescent="0.3"/>
    <row r="5745" ht="14.4" customHeight="1" x14ac:dyDescent="0.3"/>
    <row r="5746" ht="14.4" customHeight="1" x14ac:dyDescent="0.3"/>
    <row r="5747" ht="14.4" customHeight="1" x14ac:dyDescent="0.3"/>
    <row r="5748" ht="14.4" customHeight="1" x14ac:dyDescent="0.3"/>
    <row r="5749" ht="14.4" customHeight="1" x14ac:dyDescent="0.3"/>
    <row r="5750" ht="14.4" customHeight="1" x14ac:dyDescent="0.3"/>
    <row r="5751" ht="14.4" customHeight="1" x14ac:dyDescent="0.3"/>
    <row r="5752" ht="14.4" customHeight="1" x14ac:dyDescent="0.3"/>
    <row r="5753" ht="14.4" customHeight="1" x14ac:dyDescent="0.3"/>
    <row r="5754" ht="14.4" customHeight="1" x14ac:dyDescent="0.3"/>
    <row r="5755" ht="14.4" customHeight="1" x14ac:dyDescent="0.3"/>
    <row r="5756" ht="14.4" customHeight="1" x14ac:dyDescent="0.3"/>
    <row r="5757" ht="14.4" customHeight="1" x14ac:dyDescent="0.3"/>
    <row r="5758" ht="14.4" customHeight="1" x14ac:dyDescent="0.3"/>
    <row r="5759" ht="14.4" customHeight="1" x14ac:dyDescent="0.3"/>
    <row r="5760" ht="14.4" customHeight="1" x14ac:dyDescent="0.3"/>
    <row r="5761" ht="14.4" customHeight="1" x14ac:dyDescent="0.3"/>
    <row r="5762" ht="14.4" customHeight="1" x14ac:dyDescent="0.3"/>
    <row r="5763" ht="14.4" customHeight="1" x14ac:dyDescent="0.3"/>
    <row r="5764" ht="14.4" customHeight="1" x14ac:dyDescent="0.3"/>
    <row r="5765" ht="14.4" customHeight="1" x14ac:dyDescent="0.3"/>
    <row r="5766" ht="14.4" customHeight="1" x14ac:dyDescent="0.3"/>
    <row r="5767" ht="14.4" customHeight="1" x14ac:dyDescent="0.3"/>
    <row r="5768" ht="14.4" customHeight="1" x14ac:dyDescent="0.3"/>
    <row r="5769" ht="14.4" customHeight="1" x14ac:dyDescent="0.3"/>
    <row r="5770" ht="14.4" customHeight="1" x14ac:dyDescent="0.3"/>
    <row r="5771" ht="14.4" customHeight="1" x14ac:dyDescent="0.3"/>
    <row r="5772" ht="14.4" customHeight="1" x14ac:dyDescent="0.3"/>
    <row r="5773" ht="14.4" customHeight="1" x14ac:dyDescent="0.3"/>
    <row r="5774" ht="14.4" customHeight="1" x14ac:dyDescent="0.3"/>
    <row r="5775" ht="14.4" customHeight="1" x14ac:dyDescent="0.3"/>
    <row r="5776" ht="14.4" customHeight="1" x14ac:dyDescent="0.3"/>
    <row r="5777" ht="14.4" customHeight="1" x14ac:dyDescent="0.3"/>
    <row r="5778" ht="14.4" customHeight="1" x14ac:dyDescent="0.3"/>
    <row r="5779" ht="14.4" customHeight="1" x14ac:dyDescent="0.3"/>
    <row r="5780" ht="14.4" customHeight="1" x14ac:dyDescent="0.3"/>
    <row r="5781" ht="14.4" customHeight="1" x14ac:dyDescent="0.3"/>
    <row r="5782" ht="14.4" customHeight="1" x14ac:dyDescent="0.3"/>
    <row r="5783" ht="14.4" customHeight="1" x14ac:dyDescent="0.3"/>
    <row r="5784" ht="14.4" customHeight="1" x14ac:dyDescent="0.3"/>
    <row r="5785" ht="14.4" customHeight="1" x14ac:dyDescent="0.3"/>
    <row r="5786" ht="14.4" customHeight="1" x14ac:dyDescent="0.3"/>
    <row r="5787" ht="14.4" customHeight="1" x14ac:dyDescent="0.3"/>
    <row r="5788" ht="14.4" customHeight="1" x14ac:dyDescent="0.3"/>
    <row r="5789" ht="14.4" customHeight="1" x14ac:dyDescent="0.3"/>
    <row r="5790" ht="14.4" customHeight="1" x14ac:dyDescent="0.3"/>
    <row r="5791" ht="14.4" customHeight="1" x14ac:dyDescent="0.3"/>
    <row r="5792" ht="14.4" customHeight="1" x14ac:dyDescent="0.3"/>
    <row r="5793" ht="14.4" customHeight="1" x14ac:dyDescent="0.3"/>
    <row r="5794" ht="14.4" customHeight="1" x14ac:dyDescent="0.3"/>
    <row r="5795" ht="14.4" customHeight="1" x14ac:dyDescent="0.3"/>
    <row r="5796" ht="14.4" customHeight="1" x14ac:dyDescent="0.3"/>
    <row r="5797" ht="14.4" customHeight="1" x14ac:dyDescent="0.3"/>
    <row r="5798" ht="14.4" customHeight="1" x14ac:dyDescent="0.3"/>
    <row r="5799" ht="14.4" customHeight="1" x14ac:dyDescent="0.3"/>
    <row r="5800" ht="14.4" customHeight="1" x14ac:dyDescent="0.3"/>
    <row r="5801" ht="14.4" customHeight="1" x14ac:dyDescent="0.3"/>
    <row r="5802" ht="14.4" customHeight="1" x14ac:dyDescent="0.3"/>
    <row r="5803" ht="14.4" customHeight="1" x14ac:dyDescent="0.3"/>
    <row r="5804" ht="14.4" customHeight="1" x14ac:dyDescent="0.3"/>
    <row r="5805" ht="14.4" customHeight="1" x14ac:dyDescent="0.3"/>
    <row r="5806" ht="14.4" customHeight="1" x14ac:dyDescent="0.3"/>
    <row r="5807" ht="14.4" customHeight="1" x14ac:dyDescent="0.3"/>
    <row r="5808" ht="14.4" customHeight="1" x14ac:dyDescent="0.3"/>
    <row r="5809" ht="14.4" customHeight="1" x14ac:dyDescent="0.3"/>
    <row r="5810" ht="14.4" customHeight="1" x14ac:dyDescent="0.3"/>
    <row r="5811" ht="14.4" customHeight="1" x14ac:dyDescent="0.3"/>
    <row r="5812" ht="14.4" customHeight="1" x14ac:dyDescent="0.3"/>
    <row r="5813" ht="14.4" customHeight="1" x14ac:dyDescent="0.3"/>
    <row r="5814" ht="14.4" customHeight="1" x14ac:dyDescent="0.3"/>
    <row r="5815" ht="14.4" customHeight="1" x14ac:dyDescent="0.3"/>
    <row r="5816" ht="14.4" customHeight="1" x14ac:dyDescent="0.3"/>
    <row r="5817" ht="14.4" customHeight="1" x14ac:dyDescent="0.3"/>
    <row r="5818" ht="14.4" customHeight="1" x14ac:dyDescent="0.3"/>
    <row r="5819" ht="14.4" customHeight="1" x14ac:dyDescent="0.3"/>
    <row r="5820" ht="14.4" customHeight="1" x14ac:dyDescent="0.3"/>
    <row r="5821" ht="14.4" customHeight="1" x14ac:dyDescent="0.3"/>
    <row r="5822" ht="14.4" customHeight="1" x14ac:dyDescent="0.3"/>
    <row r="5823" ht="14.4" customHeight="1" x14ac:dyDescent="0.3"/>
    <row r="5824" ht="14.4" customHeight="1" x14ac:dyDescent="0.3"/>
    <row r="5825" ht="14.4" customHeight="1" x14ac:dyDescent="0.3"/>
    <row r="5826" ht="14.4" customHeight="1" x14ac:dyDescent="0.3"/>
    <row r="5827" ht="14.4" customHeight="1" x14ac:dyDescent="0.3"/>
    <row r="5828" ht="14.4" customHeight="1" x14ac:dyDescent="0.3"/>
    <row r="5829" ht="14.4" customHeight="1" x14ac:dyDescent="0.3"/>
    <row r="5830" ht="14.4" customHeight="1" x14ac:dyDescent="0.3"/>
    <row r="5831" ht="14.4" customHeight="1" x14ac:dyDescent="0.3"/>
    <row r="5832" ht="14.4" customHeight="1" x14ac:dyDescent="0.3"/>
    <row r="5833" ht="14.4" customHeight="1" x14ac:dyDescent="0.3"/>
    <row r="5834" ht="14.4" customHeight="1" x14ac:dyDescent="0.3"/>
    <row r="5835" ht="14.4" customHeight="1" x14ac:dyDescent="0.3"/>
    <row r="5836" ht="14.4" customHeight="1" x14ac:dyDescent="0.3"/>
    <row r="5837" ht="14.4" customHeight="1" x14ac:dyDescent="0.3"/>
    <row r="5838" ht="14.4" customHeight="1" x14ac:dyDescent="0.3"/>
    <row r="5839" ht="14.4" customHeight="1" x14ac:dyDescent="0.3"/>
    <row r="5840" ht="14.4" customHeight="1" x14ac:dyDescent="0.3"/>
    <row r="5841" ht="14.4" customHeight="1" x14ac:dyDescent="0.3"/>
    <row r="5842" ht="14.4" customHeight="1" x14ac:dyDescent="0.3"/>
    <row r="5843" ht="14.4" customHeight="1" x14ac:dyDescent="0.3"/>
    <row r="5844" ht="14.4" customHeight="1" x14ac:dyDescent="0.3"/>
    <row r="5845" ht="14.4" customHeight="1" x14ac:dyDescent="0.3"/>
    <row r="5846" ht="14.4" customHeight="1" x14ac:dyDescent="0.3"/>
    <row r="5847" ht="14.4" customHeight="1" x14ac:dyDescent="0.3"/>
    <row r="5848" ht="14.4" customHeight="1" x14ac:dyDescent="0.3"/>
    <row r="5849" ht="14.4" customHeight="1" x14ac:dyDescent="0.3"/>
    <row r="5850" ht="14.4" customHeight="1" x14ac:dyDescent="0.3"/>
    <row r="5851" ht="14.4" customHeight="1" x14ac:dyDescent="0.3"/>
    <row r="5852" ht="14.4" customHeight="1" x14ac:dyDescent="0.3"/>
    <row r="5853" ht="14.4" customHeight="1" x14ac:dyDescent="0.3"/>
    <row r="5854" ht="14.4" customHeight="1" x14ac:dyDescent="0.3"/>
    <row r="5855" ht="14.4" customHeight="1" x14ac:dyDescent="0.3"/>
    <row r="5856" ht="14.4" customHeight="1" x14ac:dyDescent="0.3"/>
    <row r="5857" ht="14.4" customHeight="1" x14ac:dyDescent="0.3"/>
    <row r="5858" ht="14.4" customHeight="1" x14ac:dyDescent="0.3"/>
    <row r="5859" ht="14.4" customHeight="1" x14ac:dyDescent="0.3"/>
    <row r="5860" ht="14.4" customHeight="1" x14ac:dyDescent="0.3"/>
    <row r="5861" ht="14.4" customHeight="1" x14ac:dyDescent="0.3"/>
    <row r="5862" ht="14.4" customHeight="1" x14ac:dyDescent="0.3"/>
    <row r="5863" ht="14.4" customHeight="1" x14ac:dyDescent="0.3"/>
    <row r="5864" ht="14.4" customHeight="1" x14ac:dyDescent="0.3"/>
    <row r="5865" ht="14.4" customHeight="1" x14ac:dyDescent="0.3"/>
    <row r="5866" ht="14.4" customHeight="1" x14ac:dyDescent="0.3"/>
    <row r="5867" ht="14.4" customHeight="1" x14ac:dyDescent="0.3"/>
    <row r="5868" ht="14.4" customHeight="1" x14ac:dyDescent="0.3"/>
    <row r="5869" ht="14.4" customHeight="1" x14ac:dyDescent="0.3"/>
    <row r="5870" ht="14.4" customHeight="1" x14ac:dyDescent="0.3"/>
    <row r="5871" ht="14.4" customHeight="1" x14ac:dyDescent="0.3"/>
    <row r="5872" ht="14.4" customHeight="1" x14ac:dyDescent="0.3"/>
    <row r="5873" ht="14.4" customHeight="1" x14ac:dyDescent="0.3"/>
    <row r="5874" ht="14.4" customHeight="1" x14ac:dyDescent="0.3"/>
    <row r="5875" ht="14.4" customHeight="1" x14ac:dyDescent="0.3"/>
    <row r="5876" ht="14.4" customHeight="1" x14ac:dyDescent="0.3"/>
    <row r="5877" ht="14.4" customHeight="1" x14ac:dyDescent="0.3"/>
    <row r="5878" ht="14.4" customHeight="1" x14ac:dyDescent="0.3"/>
    <row r="5879" ht="14.4" customHeight="1" x14ac:dyDescent="0.3"/>
    <row r="5880" ht="14.4" customHeight="1" x14ac:dyDescent="0.3"/>
    <row r="5881" ht="14.4" customHeight="1" x14ac:dyDescent="0.3"/>
    <row r="5882" ht="14.4" customHeight="1" x14ac:dyDescent="0.3"/>
    <row r="5883" ht="14.4" customHeight="1" x14ac:dyDescent="0.3"/>
    <row r="5884" ht="14.4" customHeight="1" x14ac:dyDescent="0.3"/>
    <row r="5885" ht="14.4" customHeight="1" x14ac:dyDescent="0.3"/>
    <row r="5886" ht="14.4" customHeight="1" x14ac:dyDescent="0.3"/>
    <row r="5887" ht="14.4" customHeight="1" x14ac:dyDescent="0.3"/>
    <row r="5888" ht="14.4" customHeight="1" x14ac:dyDescent="0.3"/>
    <row r="5889" ht="14.4" customHeight="1" x14ac:dyDescent="0.3"/>
    <row r="5890" ht="14.4" customHeight="1" x14ac:dyDescent="0.3"/>
    <row r="5891" ht="14.4" customHeight="1" x14ac:dyDescent="0.3"/>
    <row r="5892" ht="14.4" customHeight="1" x14ac:dyDescent="0.3"/>
    <row r="5893" ht="14.4" customHeight="1" x14ac:dyDescent="0.3"/>
    <row r="5894" ht="14.4" customHeight="1" x14ac:dyDescent="0.3"/>
    <row r="5895" ht="14.4" customHeight="1" x14ac:dyDescent="0.3"/>
    <row r="5896" ht="14.4" customHeight="1" x14ac:dyDescent="0.3"/>
    <row r="5897" ht="14.4" customHeight="1" x14ac:dyDescent="0.3"/>
    <row r="5898" ht="14.4" customHeight="1" x14ac:dyDescent="0.3"/>
    <row r="5899" ht="14.4" customHeight="1" x14ac:dyDescent="0.3"/>
    <row r="5900" ht="14.4" customHeight="1" x14ac:dyDescent="0.3"/>
    <row r="5901" ht="14.4" customHeight="1" x14ac:dyDescent="0.3"/>
    <row r="5902" ht="14.4" customHeight="1" x14ac:dyDescent="0.3"/>
    <row r="5903" ht="14.4" customHeight="1" x14ac:dyDescent="0.3"/>
    <row r="5904" ht="14.4" customHeight="1" x14ac:dyDescent="0.3"/>
    <row r="5905" ht="14.4" customHeight="1" x14ac:dyDescent="0.3"/>
    <row r="5906" ht="14.4" customHeight="1" x14ac:dyDescent="0.3"/>
    <row r="5907" ht="14.4" customHeight="1" x14ac:dyDescent="0.3"/>
    <row r="5908" ht="14.4" customHeight="1" x14ac:dyDescent="0.3"/>
    <row r="5909" ht="14.4" customHeight="1" x14ac:dyDescent="0.3"/>
    <row r="5910" ht="14.4" customHeight="1" x14ac:dyDescent="0.3"/>
    <row r="5911" ht="14.4" customHeight="1" x14ac:dyDescent="0.3"/>
    <row r="5912" ht="14.4" customHeight="1" x14ac:dyDescent="0.3"/>
    <row r="5913" ht="14.4" customHeight="1" x14ac:dyDescent="0.3"/>
    <row r="5914" ht="14.4" customHeight="1" x14ac:dyDescent="0.3"/>
    <row r="5915" ht="14.4" customHeight="1" x14ac:dyDescent="0.3"/>
    <row r="5916" ht="14.4" customHeight="1" x14ac:dyDescent="0.3"/>
    <row r="5917" ht="14.4" customHeight="1" x14ac:dyDescent="0.3"/>
    <row r="5918" ht="14.4" customHeight="1" x14ac:dyDescent="0.3"/>
    <row r="5919" ht="14.4" customHeight="1" x14ac:dyDescent="0.3"/>
    <row r="5920" ht="14.4" customHeight="1" x14ac:dyDescent="0.3"/>
    <row r="5921" ht="14.4" customHeight="1" x14ac:dyDescent="0.3"/>
    <row r="5922" ht="14.4" customHeight="1" x14ac:dyDescent="0.3"/>
    <row r="5923" ht="14.4" customHeight="1" x14ac:dyDescent="0.3"/>
    <row r="5924" ht="14.4" customHeight="1" x14ac:dyDescent="0.3"/>
    <row r="5925" ht="14.4" customHeight="1" x14ac:dyDescent="0.3"/>
    <row r="5926" ht="14.4" customHeight="1" x14ac:dyDescent="0.3"/>
    <row r="5927" ht="14.4" customHeight="1" x14ac:dyDescent="0.3"/>
    <row r="5928" ht="14.4" customHeight="1" x14ac:dyDescent="0.3"/>
    <row r="5929" ht="14.4" customHeight="1" x14ac:dyDescent="0.3"/>
    <row r="5930" ht="14.4" customHeight="1" x14ac:dyDescent="0.3"/>
    <row r="5931" ht="14.4" customHeight="1" x14ac:dyDescent="0.3"/>
    <row r="5932" ht="14.4" customHeight="1" x14ac:dyDescent="0.3"/>
    <row r="5933" ht="14.4" customHeight="1" x14ac:dyDescent="0.3"/>
    <row r="5934" ht="14.4" customHeight="1" x14ac:dyDescent="0.3"/>
    <row r="5935" ht="14.4" customHeight="1" x14ac:dyDescent="0.3"/>
    <row r="5936" ht="14.4" customHeight="1" x14ac:dyDescent="0.3"/>
    <row r="5937" ht="14.4" customHeight="1" x14ac:dyDescent="0.3"/>
    <row r="5938" ht="14.4" customHeight="1" x14ac:dyDescent="0.3"/>
    <row r="5939" ht="14.4" customHeight="1" x14ac:dyDescent="0.3"/>
    <row r="5940" ht="14.4" customHeight="1" x14ac:dyDescent="0.3"/>
    <row r="5941" ht="14.4" customHeight="1" x14ac:dyDescent="0.3"/>
    <row r="5942" ht="14.4" customHeight="1" x14ac:dyDescent="0.3"/>
    <row r="5943" ht="14.4" customHeight="1" x14ac:dyDescent="0.3"/>
    <row r="5944" ht="14.4" customHeight="1" x14ac:dyDescent="0.3"/>
    <row r="5945" ht="14.4" customHeight="1" x14ac:dyDescent="0.3"/>
    <row r="5946" ht="14.4" customHeight="1" x14ac:dyDescent="0.3"/>
    <row r="5947" ht="14.4" customHeight="1" x14ac:dyDescent="0.3"/>
    <row r="5948" ht="14.4" customHeight="1" x14ac:dyDescent="0.3"/>
    <row r="5949" ht="14.4" customHeight="1" x14ac:dyDescent="0.3"/>
    <row r="5950" ht="14.4" customHeight="1" x14ac:dyDescent="0.3"/>
    <row r="5951" ht="14.4" customHeight="1" x14ac:dyDescent="0.3"/>
    <row r="5952" ht="14.4" customHeight="1" x14ac:dyDescent="0.3"/>
    <row r="5953" ht="14.4" customHeight="1" x14ac:dyDescent="0.3"/>
    <row r="5954" ht="14.4" customHeight="1" x14ac:dyDescent="0.3"/>
    <row r="5955" ht="14.4" customHeight="1" x14ac:dyDescent="0.3"/>
    <row r="5956" ht="14.4" customHeight="1" x14ac:dyDescent="0.3"/>
    <row r="5957" ht="14.4" customHeight="1" x14ac:dyDescent="0.3"/>
    <row r="5958" ht="14.4" customHeight="1" x14ac:dyDescent="0.3"/>
    <row r="5959" ht="14.4" customHeight="1" x14ac:dyDescent="0.3"/>
    <row r="5960" ht="14.4" customHeight="1" x14ac:dyDescent="0.3"/>
    <row r="5961" ht="14.4" customHeight="1" x14ac:dyDescent="0.3"/>
    <row r="5962" ht="14.4" customHeight="1" x14ac:dyDescent="0.3"/>
    <row r="5963" ht="14.4" customHeight="1" x14ac:dyDescent="0.3"/>
    <row r="5964" ht="14.4" customHeight="1" x14ac:dyDescent="0.3"/>
    <row r="5965" ht="14.4" customHeight="1" x14ac:dyDescent="0.3"/>
    <row r="5966" ht="14.4" customHeight="1" x14ac:dyDescent="0.3"/>
    <row r="5967" ht="14.4" customHeight="1" x14ac:dyDescent="0.3"/>
    <row r="5968" ht="14.4" customHeight="1" x14ac:dyDescent="0.3"/>
    <row r="5969" ht="14.4" customHeight="1" x14ac:dyDescent="0.3"/>
    <row r="5970" ht="14.4" customHeight="1" x14ac:dyDescent="0.3"/>
    <row r="5971" ht="14.4" customHeight="1" x14ac:dyDescent="0.3"/>
    <row r="5972" ht="14.4" customHeight="1" x14ac:dyDescent="0.3"/>
    <row r="5973" ht="14.4" customHeight="1" x14ac:dyDescent="0.3"/>
    <row r="5974" ht="14.4" customHeight="1" x14ac:dyDescent="0.3"/>
    <row r="5975" ht="14.4" customHeight="1" x14ac:dyDescent="0.3"/>
    <row r="5976" ht="14.4" customHeight="1" x14ac:dyDescent="0.3"/>
    <row r="5977" ht="14.4" customHeight="1" x14ac:dyDescent="0.3"/>
    <row r="5978" ht="14.4" customHeight="1" x14ac:dyDescent="0.3"/>
    <row r="5979" ht="14.4" customHeight="1" x14ac:dyDescent="0.3"/>
    <row r="5980" ht="14.4" customHeight="1" x14ac:dyDescent="0.3"/>
    <row r="5981" ht="14.4" customHeight="1" x14ac:dyDescent="0.3"/>
    <row r="5982" ht="14.4" customHeight="1" x14ac:dyDescent="0.3"/>
    <row r="5983" ht="14.4" customHeight="1" x14ac:dyDescent="0.3"/>
    <row r="5984" ht="14.4" customHeight="1" x14ac:dyDescent="0.3"/>
    <row r="5985" ht="14.4" customHeight="1" x14ac:dyDescent="0.3"/>
    <row r="5986" ht="14.4" customHeight="1" x14ac:dyDescent="0.3"/>
    <row r="5987" ht="14.4" customHeight="1" x14ac:dyDescent="0.3"/>
    <row r="5988" ht="14.4" customHeight="1" x14ac:dyDescent="0.3"/>
    <row r="5989" ht="14.4" customHeight="1" x14ac:dyDescent="0.3"/>
    <row r="5990" ht="14.4" customHeight="1" x14ac:dyDescent="0.3"/>
    <row r="5991" ht="14.4" customHeight="1" x14ac:dyDescent="0.3"/>
    <row r="5992" ht="14.4" customHeight="1" x14ac:dyDescent="0.3"/>
    <row r="5993" ht="14.4" customHeight="1" x14ac:dyDescent="0.3"/>
    <row r="5994" ht="14.4" customHeight="1" x14ac:dyDescent="0.3"/>
    <row r="5995" ht="14.4" customHeight="1" x14ac:dyDescent="0.3"/>
    <row r="5996" ht="14.4" customHeight="1" x14ac:dyDescent="0.3"/>
    <row r="5997" ht="14.4" customHeight="1" x14ac:dyDescent="0.3"/>
    <row r="5998" ht="14.4" customHeight="1" x14ac:dyDescent="0.3"/>
    <row r="5999" ht="14.4" customHeight="1" x14ac:dyDescent="0.3"/>
    <row r="6000" ht="14.4" customHeight="1" x14ac:dyDescent="0.3"/>
    <row r="6001" ht="14.4" customHeight="1" x14ac:dyDescent="0.3"/>
    <row r="6002" ht="14.4" customHeight="1" x14ac:dyDescent="0.3"/>
    <row r="6003" ht="14.4" customHeight="1" x14ac:dyDescent="0.3"/>
    <row r="6004" ht="14.4" customHeight="1" x14ac:dyDescent="0.3"/>
    <row r="6005" ht="14.4" customHeight="1" x14ac:dyDescent="0.3"/>
    <row r="6006" ht="14.4" customHeight="1" x14ac:dyDescent="0.3"/>
    <row r="6007" ht="14.4" customHeight="1" x14ac:dyDescent="0.3"/>
    <row r="6008" ht="14.4" customHeight="1" x14ac:dyDescent="0.3"/>
    <row r="6009" ht="14.4" customHeight="1" x14ac:dyDescent="0.3"/>
    <row r="6010" ht="14.4" customHeight="1" x14ac:dyDescent="0.3"/>
    <row r="6011" ht="14.4" customHeight="1" x14ac:dyDescent="0.3"/>
    <row r="6012" ht="14.4" customHeight="1" x14ac:dyDescent="0.3"/>
    <row r="6013" ht="14.4" customHeight="1" x14ac:dyDescent="0.3"/>
    <row r="6014" ht="14.4" customHeight="1" x14ac:dyDescent="0.3"/>
    <row r="6015" ht="14.4" customHeight="1" x14ac:dyDescent="0.3"/>
    <row r="6016" ht="14.4" customHeight="1" x14ac:dyDescent="0.3"/>
    <row r="6017" ht="14.4" customHeight="1" x14ac:dyDescent="0.3"/>
    <row r="6018" ht="14.4" customHeight="1" x14ac:dyDescent="0.3"/>
    <row r="6019" ht="14.4" customHeight="1" x14ac:dyDescent="0.3"/>
    <row r="6020" ht="14.4" customHeight="1" x14ac:dyDescent="0.3"/>
    <row r="6021" ht="14.4" customHeight="1" x14ac:dyDescent="0.3"/>
    <row r="6022" ht="14.4" customHeight="1" x14ac:dyDescent="0.3"/>
    <row r="6023" ht="14.4" customHeight="1" x14ac:dyDescent="0.3"/>
    <row r="6024" ht="14.4" customHeight="1" x14ac:dyDescent="0.3"/>
    <row r="6025" ht="14.4" customHeight="1" x14ac:dyDescent="0.3"/>
    <row r="6026" ht="14.4" customHeight="1" x14ac:dyDescent="0.3"/>
    <row r="6027" ht="14.4" customHeight="1" x14ac:dyDescent="0.3"/>
    <row r="6028" ht="14.4" customHeight="1" x14ac:dyDescent="0.3"/>
    <row r="6029" ht="14.4" customHeight="1" x14ac:dyDescent="0.3"/>
    <row r="6030" ht="14.4" customHeight="1" x14ac:dyDescent="0.3"/>
    <row r="6031" ht="14.4" customHeight="1" x14ac:dyDescent="0.3"/>
    <row r="6032" ht="14.4" customHeight="1" x14ac:dyDescent="0.3"/>
    <row r="6033" ht="14.4" customHeight="1" x14ac:dyDescent="0.3"/>
    <row r="6034" ht="14.4" customHeight="1" x14ac:dyDescent="0.3"/>
    <row r="6035" ht="14.4" customHeight="1" x14ac:dyDescent="0.3"/>
    <row r="6036" ht="14.4" customHeight="1" x14ac:dyDescent="0.3"/>
    <row r="6037" ht="14.4" customHeight="1" x14ac:dyDescent="0.3"/>
    <row r="6038" ht="14.4" customHeight="1" x14ac:dyDescent="0.3"/>
    <row r="6039" ht="14.4" customHeight="1" x14ac:dyDescent="0.3"/>
    <row r="6040" ht="14.4" customHeight="1" x14ac:dyDescent="0.3"/>
    <row r="6041" ht="14.4" customHeight="1" x14ac:dyDescent="0.3"/>
    <row r="6042" ht="14.4" customHeight="1" x14ac:dyDescent="0.3"/>
    <row r="6043" ht="14.4" customHeight="1" x14ac:dyDescent="0.3"/>
    <row r="6044" ht="14.4" customHeight="1" x14ac:dyDescent="0.3"/>
    <row r="6045" ht="14.4" customHeight="1" x14ac:dyDescent="0.3"/>
    <row r="6046" ht="14.4" customHeight="1" x14ac:dyDescent="0.3"/>
    <row r="6047" ht="14.4" customHeight="1" x14ac:dyDescent="0.3"/>
    <row r="6048" ht="14.4" customHeight="1" x14ac:dyDescent="0.3"/>
    <row r="6049" ht="14.4" customHeight="1" x14ac:dyDescent="0.3"/>
    <row r="6050" ht="14.4" customHeight="1" x14ac:dyDescent="0.3"/>
    <row r="6051" ht="14.4" customHeight="1" x14ac:dyDescent="0.3"/>
    <row r="6052" ht="14.4" customHeight="1" x14ac:dyDescent="0.3"/>
    <row r="6053" ht="14.4" customHeight="1" x14ac:dyDescent="0.3"/>
    <row r="6054" ht="14.4" customHeight="1" x14ac:dyDescent="0.3"/>
    <row r="6055" ht="14.4" customHeight="1" x14ac:dyDescent="0.3"/>
    <row r="6056" ht="14.4" customHeight="1" x14ac:dyDescent="0.3"/>
    <row r="6057" ht="14.4" customHeight="1" x14ac:dyDescent="0.3"/>
    <row r="6058" ht="14.4" customHeight="1" x14ac:dyDescent="0.3"/>
    <row r="6059" ht="14.4" customHeight="1" x14ac:dyDescent="0.3"/>
    <row r="6060" ht="14.4" customHeight="1" x14ac:dyDescent="0.3"/>
    <row r="6061" ht="14.4" customHeight="1" x14ac:dyDescent="0.3"/>
    <row r="6062" ht="14.4" customHeight="1" x14ac:dyDescent="0.3"/>
    <row r="6063" ht="14.4" customHeight="1" x14ac:dyDescent="0.3"/>
    <row r="6064" ht="14.4" customHeight="1" x14ac:dyDescent="0.3"/>
    <row r="6065" ht="14.4" customHeight="1" x14ac:dyDescent="0.3"/>
    <row r="6066" ht="14.4" customHeight="1" x14ac:dyDescent="0.3"/>
    <row r="6067" ht="14.4" customHeight="1" x14ac:dyDescent="0.3"/>
    <row r="6068" ht="14.4" customHeight="1" x14ac:dyDescent="0.3"/>
    <row r="6069" ht="14.4" customHeight="1" x14ac:dyDescent="0.3"/>
    <row r="6070" ht="14.4" customHeight="1" x14ac:dyDescent="0.3"/>
    <row r="6071" ht="14.4" customHeight="1" x14ac:dyDescent="0.3"/>
    <row r="6072" ht="14.4" customHeight="1" x14ac:dyDescent="0.3"/>
    <row r="6073" ht="14.4" customHeight="1" x14ac:dyDescent="0.3"/>
    <row r="6074" ht="14.4" customHeight="1" x14ac:dyDescent="0.3"/>
    <row r="6075" ht="14.4" customHeight="1" x14ac:dyDescent="0.3"/>
    <row r="6076" ht="14.4" customHeight="1" x14ac:dyDescent="0.3"/>
    <row r="6077" ht="14.4" customHeight="1" x14ac:dyDescent="0.3"/>
    <row r="6078" ht="14.4" customHeight="1" x14ac:dyDescent="0.3"/>
    <row r="6079" ht="14.4" customHeight="1" x14ac:dyDescent="0.3"/>
    <row r="6080" ht="14.4" customHeight="1" x14ac:dyDescent="0.3"/>
    <row r="6081" ht="14.4" customHeight="1" x14ac:dyDescent="0.3"/>
    <row r="6082" ht="14.4" customHeight="1" x14ac:dyDescent="0.3"/>
    <row r="6083" ht="14.4" customHeight="1" x14ac:dyDescent="0.3"/>
    <row r="6084" ht="14.4" customHeight="1" x14ac:dyDescent="0.3"/>
    <row r="6085" ht="14.4" customHeight="1" x14ac:dyDescent="0.3"/>
    <row r="6086" ht="14.4" customHeight="1" x14ac:dyDescent="0.3"/>
    <row r="6087" ht="14.4" customHeight="1" x14ac:dyDescent="0.3"/>
    <row r="6088" ht="14.4" customHeight="1" x14ac:dyDescent="0.3"/>
    <row r="6089" ht="14.4" customHeight="1" x14ac:dyDescent="0.3"/>
    <row r="6090" ht="14.4" customHeight="1" x14ac:dyDescent="0.3"/>
    <row r="6091" ht="14.4" customHeight="1" x14ac:dyDescent="0.3"/>
    <row r="6092" ht="14.4" customHeight="1" x14ac:dyDescent="0.3"/>
    <row r="6093" ht="14.4" customHeight="1" x14ac:dyDescent="0.3"/>
    <row r="6094" ht="14.4" customHeight="1" x14ac:dyDescent="0.3"/>
    <row r="6095" ht="14.4" customHeight="1" x14ac:dyDescent="0.3"/>
    <row r="6096" ht="14.4" customHeight="1" x14ac:dyDescent="0.3"/>
    <row r="6097" ht="14.4" customHeight="1" x14ac:dyDescent="0.3"/>
    <row r="6098" ht="14.4" customHeight="1" x14ac:dyDescent="0.3"/>
    <row r="6099" ht="14.4" customHeight="1" x14ac:dyDescent="0.3"/>
    <row r="6100" ht="14.4" customHeight="1" x14ac:dyDescent="0.3"/>
    <row r="6101" ht="14.4" customHeight="1" x14ac:dyDescent="0.3"/>
    <row r="6102" ht="14.4" customHeight="1" x14ac:dyDescent="0.3"/>
    <row r="6103" ht="14.4" customHeight="1" x14ac:dyDescent="0.3"/>
    <row r="6104" ht="14.4" customHeight="1" x14ac:dyDescent="0.3"/>
    <row r="6105" ht="14.4" customHeight="1" x14ac:dyDescent="0.3"/>
    <row r="6106" ht="14.4" customHeight="1" x14ac:dyDescent="0.3"/>
    <row r="6107" ht="14.4" customHeight="1" x14ac:dyDescent="0.3"/>
    <row r="6108" ht="14.4" customHeight="1" x14ac:dyDescent="0.3"/>
    <row r="6109" ht="14.4" customHeight="1" x14ac:dyDescent="0.3"/>
    <row r="6110" ht="14.4" customHeight="1" x14ac:dyDescent="0.3"/>
    <row r="6111" ht="14.4" customHeight="1" x14ac:dyDescent="0.3"/>
    <row r="6112" ht="14.4" customHeight="1" x14ac:dyDescent="0.3"/>
    <row r="6113" ht="14.4" customHeight="1" x14ac:dyDescent="0.3"/>
    <row r="6114" ht="14.4" customHeight="1" x14ac:dyDescent="0.3"/>
    <row r="6115" ht="14.4" customHeight="1" x14ac:dyDescent="0.3"/>
    <row r="6116" ht="14.4" customHeight="1" x14ac:dyDescent="0.3"/>
    <row r="6117" ht="14.4" customHeight="1" x14ac:dyDescent="0.3"/>
    <row r="6118" ht="14.4" customHeight="1" x14ac:dyDescent="0.3"/>
    <row r="6119" ht="14.4" customHeight="1" x14ac:dyDescent="0.3"/>
    <row r="6120" ht="14.4" customHeight="1" x14ac:dyDescent="0.3"/>
    <row r="6121" ht="14.4" customHeight="1" x14ac:dyDescent="0.3"/>
    <row r="6122" ht="14.4" customHeight="1" x14ac:dyDescent="0.3"/>
    <row r="6123" ht="14.4" customHeight="1" x14ac:dyDescent="0.3"/>
    <row r="6124" ht="14.4" customHeight="1" x14ac:dyDescent="0.3"/>
    <row r="6125" ht="14.4" customHeight="1" x14ac:dyDescent="0.3"/>
    <row r="6126" ht="14.4" customHeight="1" x14ac:dyDescent="0.3"/>
    <row r="6127" ht="14.4" customHeight="1" x14ac:dyDescent="0.3"/>
    <row r="6128" ht="14.4" customHeight="1" x14ac:dyDescent="0.3"/>
    <row r="6129" ht="14.4" customHeight="1" x14ac:dyDescent="0.3"/>
    <row r="6130" ht="14.4" customHeight="1" x14ac:dyDescent="0.3"/>
    <row r="6131" ht="14.4" customHeight="1" x14ac:dyDescent="0.3"/>
    <row r="6132" ht="14.4" customHeight="1" x14ac:dyDescent="0.3"/>
    <row r="6133" ht="14.4" customHeight="1" x14ac:dyDescent="0.3"/>
    <row r="6134" ht="14.4" customHeight="1" x14ac:dyDescent="0.3"/>
    <row r="6135" ht="14.4" customHeight="1" x14ac:dyDescent="0.3"/>
    <row r="6136" ht="14.4" customHeight="1" x14ac:dyDescent="0.3"/>
    <row r="6137" ht="14.4" customHeight="1" x14ac:dyDescent="0.3"/>
    <row r="6138" ht="14.4" customHeight="1" x14ac:dyDescent="0.3"/>
    <row r="6139" ht="14.4" customHeight="1" x14ac:dyDescent="0.3"/>
    <row r="6140" ht="14.4" customHeight="1" x14ac:dyDescent="0.3"/>
    <row r="6141" ht="14.4" customHeight="1" x14ac:dyDescent="0.3"/>
    <row r="6142" ht="14.4" customHeight="1" x14ac:dyDescent="0.3"/>
    <row r="6143" ht="14.4" customHeight="1" x14ac:dyDescent="0.3"/>
    <row r="6144" ht="14.4" customHeight="1" x14ac:dyDescent="0.3"/>
    <row r="6145" ht="14.4" customHeight="1" x14ac:dyDescent="0.3"/>
    <row r="6146" ht="14.4" customHeight="1" x14ac:dyDescent="0.3"/>
    <row r="6147" ht="14.4" customHeight="1" x14ac:dyDescent="0.3"/>
    <row r="6148" ht="14.4" customHeight="1" x14ac:dyDescent="0.3"/>
    <row r="6149" ht="14.4" customHeight="1" x14ac:dyDescent="0.3"/>
    <row r="6150" ht="14.4" customHeight="1" x14ac:dyDescent="0.3"/>
    <row r="6151" ht="14.4" customHeight="1" x14ac:dyDescent="0.3"/>
    <row r="6152" ht="14.4" customHeight="1" x14ac:dyDescent="0.3"/>
    <row r="6153" ht="14.4" customHeight="1" x14ac:dyDescent="0.3"/>
    <row r="6154" ht="14.4" customHeight="1" x14ac:dyDescent="0.3"/>
    <row r="6155" ht="14.4" customHeight="1" x14ac:dyDescent="0.3"/>
    <row r="6156" ht="14.4" customHeight="1" x14ac:dyDescent="0.3"/>
    <row r="6157" ht="14.4" customHeight="1" x14ac:dyDescent="0.3"/>
    <row r="6158" ht="14.4" customHeight="1" x14ac:dyDescent="0.3"/>
    <row r="6159" ht="14.4" customHeight="1" x14ac:dyDescent="0.3"/>
    <row r="6160" ht="14.4" customHeight="1" x14ac:dyDescent="0.3"/>
    <row r="6161" ht="14.4" customHeight="1" x14ac:dyDescent="0.3"/>
    <row r="6162" ht="14.4" customHeight="1" x14ac:dyDescent="0.3"/>
    <row r="6163" ht="14.4" customHeight="1" x14ac:dyDescent="0.3"/>
    <row r="6164" ht="14.4" customHeight="1" x14ac:dyDescent="0.3"/>
    <row r="6165" ht="14.4" customHeight="1" x14ac:dyDescent="0.3"/>
    <row r="6166" ht="14.4" customHeight="1" x14ac:dyDescent="0.3"/>
    <row r="6167" ht="14.4" customHeight="1" x14ac:dyDescent="0.3"/>
    <row r="6168" ht="14.4" customHeight="1" x14ac:dyDescent="0.3"/>
    <row r="6169" ht="14.4" customHeight="1" x14ac:dyDescent="0.3"/>
    <row r="6170" ht="14.4" customHeight="1" x14ac:dyDescent="0.3"/>
    <row r="6171" ht="14.4" customHeight="1" x14ac:dyDescent="0.3"/>
    <row r="6172" ht="14.4" customHeight="1" x14ac:dyDescent="0.3"/>
    <row r="6173" ht="14.4" customHeight="1" x14ac:dyDescent="0.3"/>
    <row r="6174" ht="14.4" customHeight="1" x14ac:dyDescent="0.3"/>
    <row r="6175" ht="14.4" customHeight="1" x14ac:dyDescent="0.3"/>
    <row r="6176" ht="14.4" customHeight="1" x14ac:dyDescent="0.3"/>
    <row r="6177" ht="14.4" customHeight="1" x14ac:dyDescent="0.3"/>
    <row r="6178" ht="14.4" customHeight="1" x14ac:dyDescent="0.3"/>
    <row r="6179" ht="14.4" customHeight="1" x14ac:dyDescent="0.3"/>
    <row r="6180" ht="14.4" customHeight="1" x14ac:dyDescent="0.3"/>
    <row r="6181" ht="14.4" customHeight="1" x14ac:dyDescent="0.3"/>
    <row r="6182" ht="14.4" customHeight="1" x14ac:dyDescent="0.3"/>
    <row r="6183" ht="14.4" customHeight="1" x14ac:dyDescent="0.3"/>
    <row r="6184" ht="14.4" customHeight="1" x14ac:dyDescent="0.3"/>
    <row r="6185" ht="14.4" customHeight="1" x14ac:dyDescent="0.3"/>
    <row r="6186" ht="14.4" customHeight="1" x14ac:dyDescent="0.3"/>
    <row r="6187" ht="14.4" customHeight="1" x14ac:dyDescent="0.3"/>
    <row r="6188" ht="14.4" customHeight="1" x14ac:dyDescent="0.3"/>
    <row r="6189" ht="14.4" customHeight="1" x14ac:dyDescent="0.3"/>
    <row r="6190" ht="14.4" customHeight="1" x14ac:dyDescent="0.3"/>
    <row r="6191" ht="14.4" customHeight="1" x14ac:dyDescent="0.3"/>
    <row r="6192" ht="14.4" customHeight="1" x14ac:dyDescent="0.3"/>
    <row r="6193" ht="14.4" customHeight="1" x14ac:dyDescent="0.3"/>
    <row r="6194" ht="14.4" customHeight="1" x14ac:dyDescent="0.3"/>
    <row r="6195" ht="14.4" customHeight="1" x14ac:dyDescent="0.3"/>
    <row r="6196" ht="14.4" customHeight="1" x14ac:dyDescent="0.3"/>
    <row r="6197" ht="14.4" customHeight="1" x14ac:dyDescent="0.3"/>
    <row r="6198" ht="14.4" customHeight="1" x14ac:dyDescent="0.3"/>
    <row r="6199" ht="14.4" customHeight="1" x14ac:dyDescent="0.3"/>
    <row r="6200" ht="14.4" customHeight="1" x14ac:dyDescent="0.3"/>
    <row r="6201" ht="14.4" customHeight="1" x14ac:dyDescent="0.3"/>
    <row r="6202" ht="14.4" customHeight="1" x14ac:dyDescent="0.3"/>
    <row r="6203" ht="14.4" customHeight="1" x14ac:dyDescent="0.3"/>
    <row r="6204" ht="14.4" customHeight="1" x14ac:dyDescent="0.3"/>
    <row r="6205" ht="14.4" customHeight="1" x14ac:dyDescent="0.3"/>
    <row r="6206" ht="14.4" customHeight="1" x14ac:dyDescent="0.3"/>
    <row r="6207" ht="14.4" customHeight="1" x14ac:dyDescent="0.3"/>
    <row r="6208" ht="14.4" customHeight="1" x14ac:dyDescent="0.3"/>
    <row r="6209" ht="14.4" customHeight="1" x14ac:dyDescent="0.3"/>
    <row r="6210" ht="14.4" customHeight="1" x14ac:dyDescent="0.3"/>
    <row r="6211" ht="14.4" customHeight="1" x14ac:dyDescent="0.3"/>
    <row r="6212" ht="14.4" customHeight="1" x14ac:dyDescent="0.3"/>
    <row r="6213" ht="14.4" customHeight="1" x14ac:dyDescent="0.3"/>
    <row r="6214" ht="14.4" customHeight="1" x14ac:dyDescent="0.3"/>
    <row r="6215" ht="14.4" customHeight="1" x14ac:dyDescent="0.3"/>
    <row r="6216" ht="14.4" customHeight="1" x14ac:dyDescent="0.3"/>
    <row r="6217" ht="14.4" customHeight="1" x14ac:dyDescent="0.3"/>
    <row r="6218" ht="14.4" customHeight="1" x14ac:dyDescent="0.3"/>
    <row r="6219" ht="14.4" customHeight="1" x14ac:dyDescent="0.3"/>
    <row r="6220" ht="14.4" customHeight="1" x14ac:dyDescent="0.3"/>
    <row r="6221" ht="14.4" customHeight="1" x14ac:dyDescent="0.3"/>
    <row r="6222" ht="14.4" customHeight="1" x14ac:dyDescent="0.3"/>
    <row r="6223" ht="14.4" customHeight="1" x14ac:dyDescent="0.3"/>
    <row r="6224" ht="14.4" customHeight="1" x14ac:dyDescent="0.3"/>
    <row r="6225" ht="14.4" customHeight="1" x14ac:dyDescent="0.3"/>
    <row r="6226" ht="14.4" customHeight="1" x14ac:dyDescent="0.3"/>
    <row r="6227" ht="14.4" customHeight="1" x14ac:dyDescent="0.3"/>
    <row r="6228" ht="14.4" customHeight="1" x14ac:dyDescent="0.3"/>
    <row r="6229" ht="14.4" customHeight="1" x14ac:dyDescent="0.3"/>
    <row r="6230" ht="14.4" customHeight="1" x14ac:dyDescent="0.3"/>
    <row r="6231" ht="14.4" customHeight="1" x14ac:dyDescent="0.3"/>
    <row r="6232" ht="14.4" customHeight="1" x14ac:dyDescent="0.3"/>
    <row r="6233" ht="14.4" customHeight="1" x14ac:dyDescent="0.3"/>
    <row r="6234" ht="14.4" customHeight="1" x14ac:dyDescent="0.3"/>
    <row r="6235" ht="14.4" customHeight="1" x14ac:dyDescent="0.3"/>
    <row r="6236" ht="14.4" customHeight="1" x14ac:dyDescent="0.3"/>
    <row r="6237" ht="14.4" customHeight="1" x14ac:dyDescent="0.3"/>
    <row r="6238" ht="14.4" customHeight="1" x14ac:dyDescent="0.3"/>
    <row r="6239" ht="14.4" customHeight="1" x14ac:dyDescent="0.3"/>
    <row r="6240" ht="14.4" customHeight="1" x14ac:dyDescent="0.3"/>
    <row r="6241" ht="14.4" customHeight="1" x14ac:dyDescent="0.3"/>
    <row r="6242" ht="14.4" customHeight="1" x14ac:dyDescent="0.3"/>
    <row r="6243" ht="14.4" customHeight="1" x14ac:dyDescent="0.3"/>
    <row r="6244" ht="14.4" customHeight="1" x14ac:dyDescent="0.3"/>
    <row r="6245" ht="14.4" customHeight="1" x14ac:dyDescent="0.3"/>
    <row r="6246" ht="14.4" customHeight="1" x14ac:dyDescent="0.3"/>
    <row r="6247" ht="14.4" customHeight="1" x14ac:dyDescent="0.3"/>
    <row r="6248" ht="14.4" customHeight="1" x14ac:dyDescent="0.3"/>
    <row r="6249" ht="14.4" customHeight="1" x14ac:dyDescent="0.3"/>
    <row r="6250" ht="14.4" customHeight="1" x14ac:dyDescent="0.3"/>
    <row r="6251" ht="14.4" customHeight="1" x14ac:dyDescent="0.3"/>
    <row r="6252" ht="14.4" customHeight="1" x14ac:dyDescent="0.3"/>
    <row r="6253" ht="14.4" customHeight="1" x14ac:dyDescent="0.3"/>
    <row r="6254" ht="14.4" customHeight="1" x14ac:dyDescent="0.3"/>
    <row r="6255" ht="14.4" customHeight="1" x14ac:dyDescent="0.3"/>
    <row r="6256" ht="14.4" customHeight="1" x14ac:dyDescent="0.3"/>
    <row r="6257" ht="14.4" customHeight="1" x14ac:dyDescent="0.3"/>
    <row r="6258" ht="14.4" customHeight="1" x14ac:dyDescent="0.3"/>
    <row r="6259" ht="14.4" customHeight="1" x14ac:dyDescent="0.3"/>
    <row r="6260" ht="14.4" customHeight="1" x14ac:dyDescent="0.3"/>
    <row r="6261" ht="14.4" customHeight="1" x14ac:dyDescent="0.3"/>
    <row r="6262" ht="14.4" customHeight="1" x14ac:dyDescent="0.3"/>
    <row r="6263" ht="14.4" customHeight="1" x14ac:dyDescent="0.3"/>
    <row r="6264" ht="14.4" customHeight="1" x14ac:dyDescent="0.3"/>
    <row r="6265" ht="14.4" customHeight="1" x14ac:dyDescent="0.3"/>
    <row r="6266" ht="14.4" customHeight="1" x14ac:dyDescent="0.3"/>
    <row r="6267" ht="14.4" customHeight="1" x14ac:dyDescent="0.3"/>
    <row r="6268" ht="14.4" customHeight="1" x14ac:dyDescent="0.3"/>
    <row r="6269" ht="14.4" customHeight="1" x14ac:dyDescent="0.3"/>
    <row r="6270" ht="14.4" customHeight="1" x14ac:dyDescent="0.3"/>
    <row r="6271" ht="14.4" customHeight="1" x14ac:dyDescent="0.3"/>
    <row r="6272" ht="14.4" customHeight="1" x14ac:dyDescent="0.3"/>
    <row r="6273" ht="14.4" customHeight="1" x14ac:dyDescent="0.3"/>
    <row r="6274" ht="14.4" customHeight="1" x14ac:dyDescent="0.3"/>
    <row r="6275" ht="14.4" customHeight="1" x14ac:dyDescent="0.3"/>
    <row r="6276" ht="14.4" customHeight="1" x14ac:dyDescent="0.3"/>
    <row r="6277" ht="14.4" customHeight="1" x14ac:dyDescent="0.3"/>
    <row r="6278" ht="14.4" customHeight="1" x14ac:dyDescent="0.3"/>
    <row r="6279" ht="14.4" customHeight="1" x14ac:dyDescent="0.3"/>
    <row r="6280" ht="14.4" customHeight="1" x14ac:dyDescent="0.3"/>
    <row r="6281" ht="14.4" customHeight="1" x14ac:dyDescent="0.3"/>
    <row r="6282" ht="14.4" customHeight="1" x14ac:dyDescent="0.3"/>
    <row r="6283" ht="14.4" customHeight="1" x14ac:dyDescent="0.3"/>
    <row r="6284" ht="14.4" customHeight="1" x14ac:dyDescent="0.3"/>
    <row r="6285" ht="14.4" customHeight="1" x14ac:dyDescent="0.3"/>
    <row r="6286" ht="14.4" customHeight="1" x14ac:dyDescent="0.3"/>
    <row r="6287" ht="14.4" customHeight="1" x14ac:dyDescent="0.3"/>
    <row r="6288" ht="14.4" customHeight="1" x14ac:dyDescent="0.3"/>
    <row r="6289" ht="14.4" customHeight="1" x14ac:dyDescent="0.3"/>
    <row r="6290" ht="14.4" customHeight="1" x14ac:dyDescent="0.3"/>
    <row r="6291" ht="14.4" customHeight="1" x14ac:dyDescent="0.3"/>
    <row r="6292" ht="14.4" customHeight="1" x14ac:dyDescent="0.3"/>
    <row r="6293" ht="14.4" customHeight="1" x14ac:dyDescent="0.3"/>
    <row r="6294" ht="14.4" customHeight="1" x14ac:dyDescent="0.3"/>
    <row r="6295" ht="14.4" customHeight="1" x14ac:dyDescent="0.3"/>
    <row r="6296" ht="14.4" customHeight="1" x14ac:dyDescent="0.3"/>
    <row r="6297" ht="14.4" customHeight="1" x14ac:dyDescent="0.3"/>
    <row r="6298" ht="14.4" customHeight="1" x14ac:dyDescent="0.3"/>
    <row r="6299" ht="14.4" customHeight="1" x14ac:dyDescent="0.3"/>
    <row r="6300" ht="14.4" customHeight="1" x14ac:dyDescent="0.3"/>
    <row r="6301" ht="14.4" customHeight="1" x14ac:dyDescent="0.3"/>
    <row r="6302" ht="14.4" customHeight="1" x14ac:dyDescent="0.3"/>
    <row r="6303" ht="14.4" customHeight="1" x14ac:dyDescent="0.3"/>
    <row r="6304" ht="14.4" customHeight="1" x14ac:dyDescent="0.3"/>
    <row r="6305" ht="14.4" customHeight="1" x14ac:dyDescent="0.3"/>
    <row r="6306" ht="14.4" customHeight="1" x14ac:dyDescent="0.3"/>
    <row r="6307" ht="14.4" customHeight="1" x14ac:dyDescent="0.3"/>
    <row r="6308" ht="14.4" customHeight="1" x14ac:dyDescent="0.3"/>
    <row r="6309" ht="14.4" customHeight="1" x14ac:dyDescent="0.3"/>
    <row r="6310" ht="14.4" customHeight="1" x14ac:dyDescent="0.3"/>
    <row r="6311" ht="14.4" customHeight="1" x14ac:dyDescent="0.3"/>
    <row r="6312" ht="14.4" customHeight="1" x14ac:dyDescent="0.3"/>
    <row r="6313" ht="14.4" customHeight="1" x14ac:dyDescent="0.3"/>
    <row r="6314" ht="14.4" customHeight="1" x14ac:dyDescent="0.3"/>
    <row r="6315" ht="14.4" customHeight="1" x14ac:dyDescent="0.3"/>
    <row r="6316" ht="14.4" customHeight="1" x14ac:dyDescent="0.3"/>
    <row r="6317" ht="14.4" customHeight="1" x14ac:dyDescent="0.3"/>
    <row r="6318" ht="14.4" customHeight="1" x14ac:dyDescent="0.3"/>
    <row r="6319" ht="14.4" customHeight="1" x14ac:dyDescent="0.3"/>
    <row r="6320" ht="14.4" customHeight="1" x14ac:dyDescent="0.3"/>
    <row r="6321" ht="14.4" customHeight="1" x14ac:dyDescent="0.3"/>
    <row r="6322" ht="14.4" customHeight="1" x14ac:dyDescent="0.3"/>
    <row r="6323" ht="14.4" customHeight="1" x14ac:dyDescent="0.3"/>
    <row r="6324" ht="14.4" customHeight="1" x14ac:dyDescent="0.3"/>
    <row r="6325" ht="14.4" customHeight="1" x14ac:dyDescent="0.3"/>
    <row r="6326" ht="14.4" customHeight="1" x14ac:dyDescent="0.3"/>
    <row r="6327" ht="14.4" customHeight="1" x14ac:dyDescent="0.3"/>
    <row r="6328" ht="14.4" customHeight="1" x14ac:dyDescent="0.3"/>
    <row r="6329" ht="14.4" customHeight="1" x14ac:dyDescent="0.3"/>
    <row r="6330" ht="14.4" customHeight="1" x14ac:dyDescent="0.3"/>
    <row r="6331" ht="14.4" customHeight="1" x14ac:dyDescent="0.3"/>
    <row r="6332" ht="14.4" customHeight="1" x14ac:dyDescent="0.3"/>
    <row r="6333" ht="14.4" customHeight="1" x14ac:dyDescent="0.3"/>
    <row r="6334" ht="14.4" customHeight="1" x14ac:dyDescent="0.3"/>
    <row r="6335" ht="14.4" customHeight="1" x14ac:dyDescent="0.3"/>
    <row r="6336" ht="14.4" customHeight="1" x14ac:dyDescent="0.3"/>
    <row r="6337" ht="14.4" customHeight="1" x14ac:dyDescent="0.3"/>
    <row r="6338" ht="14.4" customHeight="1" x14ac:dyDescent="0.3"/>
    <row r="6339" ht="14.4" customHeight="1" x14ac:dyDescent="0.3"/>
    <row r="6340" ht="14.4" customHeight="1" x14ac:dyDescent="0.3"/>
    <row r="6341" ht="14.4" customHeight="1" x14ac:dyDescent="0.3"/>
    <row r="6342" ht="14.4" customHeight="1" x14ac:dyDescent="0.3"/>
    <row r="6343" ht="14.4" customHeight="1" x14ac:dyDescent="0.3"/>
    <row r="6344" ht="14.4" customHeight="1" x14ac:dyDescent="0.3"/>
    <row r="6345" ht="14.4" customHeight="1" x14ac:dyDescent="0.3"/>
    <row r="6346" ht="14.4" customHeight="1" x14ac:dyDescent="0.3"/>
    <row r="6347" ht="14.4" customHeight="1" x14ac:dyDescent="0.3"/>
    <row r="6348" ht="14.4" customHeight="1" x14ac:dyDescent="0.3"/>
    <row r="6349" ht="14.4" customHeight="1" x14ac:dyDescent="0.3"/>
    <row r="6350" ht="14.4" customHeight="1" x14ac:dyDescent="0.3"/>
    <row r="6351" ht="14.4" customHeight="1" x14ac:dyDescent="0.3"/>
    <row r="6352" ht="14.4" customHeight="1" x14ac:dyDescent="0.3"/>
    <row r="6353" ht="14.4" customHeight="1" x14ac:dyDescent="0.3"/>
    <row r="6354" ht="14.4" customHeight="1" x14ac:dyDescent="0.3"/>
    <row r="6355" ht="14.4" customHeight="1" x14ac:dyDescent="0.3"/>
    <row r="6356" ht="14.4" customHeight="1" x14ac:dyDescent="0.3"/>
    <row r="6357" ht="14.4" customHeight="1" x14ac:dyDescent="0.3"/>
    <row r="6358" ht="14.4" customHeight="1" x14ac:dyDescent="0.3"/>
    <row r="6359" ht="14.4" customHeight="1" x14ac:dyDescent="0.3"/>
    <row r="6360" ht="14.4" customHeight="1" x14ac:dyDescent="0.3"/>
    <row r="6361" ht="14.4" customHeight="1" x14ac:dyDescent="0.3"/>
    <row r="6362" ht="14.4" customHeight="1" x14ac:dyDescent="0.3"/>
    <row r="6363" ht="14.4" customHeight="1" x14ac:dyDescent="0.3"/>
    <row r="6364" ht="14.4" customHeight="1" x14ac:dyDescent="0.3"/>
    <row r="6365" ht="14.4" customHeight="1" x14ac:dyDescent="0.3"/>
    <row r="6366" ht="14.4" customHeight="1" x14ac:dyDescent="0.3"/>
    <row r="6367" ht="14.4" customHeight="1" x14ac:dyDescent="0.3"/>
    <row r="6368" ht="14.4" customHeight="1" x14ac:dyDescent="0.3"/>
    <row r="6369" ht="14.4" customHeight="1" x14ac:dyDescent="0.3"/>
    <row r="6370" ht="14.4" customHeight="1" x14ac:dyDescent="0.3"/>
    <row r="6371" ht="14.4" customHeight="1" x14ac:dyDescent="0.3"/>
    <row r="6372" ht="14.4" customHeight="1" x14ac:dyDescent="0.3"/>
    <row r="6373" ht="14.4" customHeight="1" x14ac:dyDescent="0.3"/>
    <row r="6374" ht="14.4" customHeight="1" x14ac:dyDescent="0.3"/>
    <row r="6375" ht="14.4" customHeight="1" x14ac:dyDescent="0.3"/>
    <row r="6376" ht="14.4" customHeight="1" x14ac:dyDescent="0.3"/>
    <row r="6377" ht="14.4" customHeight="1" x14ac:dyDescent="0.3"/>
    <row r="6378" ht="14.4" customHeight="1" x14ac:dyDescent="0.3"/>
    <row r="6379" ht="14.4" customHeight="1" x14ac:dyDescent="0.3"/>
    <row r="6380" ht="14.4" customHeight="1" x14ac:dyDescent="0.3"/>
    <row r="6381" ht="14.4" customHeight="1" x14ac:dyDescent="0.3"/>
    <row r="6382" ht="14.4" customHeight="1" x14ac:dyDescent="0.3"/>
    <row r="6383" ht="14.4" customHeight="1" x14ac:dyDescent="0.3"/>
    <row r="6384" ht="14.4" customHeight="1" x14ac:dyDescent="0.3"/>
    <row r="6385" ht="14.4" customHeight="1" x14ac:dyDescent="0.3"/>
    <row r="6386" ht="14.4" customHeight="1" x14ac:dyDescent="0.3"/>
    <row r="6387" ht="14.4" customHeight="1" x14ac:dyDescent="0.3"/>
    <row r="6388" ht="14.4" customHeight="1" x14ac:dyDescent="0.3"/>
    <row r="6389" ht="14.4" customHeight="1" x14ac:dyDescent="0.3"/>
    <row r="6390" ht="14.4" customHeight="1" x14ac:dyDescent="0.3"/>
    <row r="6391" ht="14.4" customHeight="1" x14ac:dyDescent="0.3"/>
    <row r="6392" ht="14.4" customHeight="1" x14ac:dyDescent="0.3"/>
    <row r="6393" ht="14.4" customHeight="1" x14ac:dyDescent="0.3"/>
    <row r="6394" ht="14.4" customHeight="1" x14ac:dyDescent="0.3"/>
    <row r="6395" ht="14.4" customHeight="1" x14ac:dyDescent="0.3"/>
    <row r="6396" ht="14.4" customHeight="1" x14ac:dyDescent="0.3"/>
    <row r="6397" ht="14.4" customHeight="1" x14ac:dyDescent="0.3"/>
    <row r="6398" ht="14.4" customHeight="1" x14ac:dyDescent="0.3"/>
    <row r="6399" ht="14.4" customHeight="1" x14ac:dyDescent="0.3"/>
    <row r="6400" ht="14.4" customHeight="1" x14ac:dyDescent="0.3"/>
    <row r="6401" ht="14.4" customHeight="1" x14ac:dyDescent="0.3"/>
    <row r="6402" ht="14.4" customHeight="1" x14ac:dyDescent="0.3"/>
    <row r="6403" ht="14.4" customHeight="1" x14ac:dyDescent="0.3"/>
    <row r="6404" ht="14.4" customHeight="1" x14ac:dyDescent="0.3"/>
    <row r="6405" ht="14.4" customHeight="1" x14ac:dyDescent="0.3"/>
    <row r="6406" ht="14.4" customHeight="1" x14ac:dyDescent="0.3"/>
    <row r="6407" ht="14.4" customHeight="1" x14ac:dyDescent="0.3"/>
    <row r="6408" ht="14.4" customHeight="1" x14ac:dyDescent="0.3"/>
    <row r="6409" ht="14.4" customHeight="1" x14ac:dyDescent="0.3"/>
    <row r="6410" ht="14.4" customHeight="1" x14ac:dyDescent="0.3"/>
    <row r="6411" ht="14.4" customHeight="1" x14ac:dyDescent="0.3"/>
    <row r="6412" ht="14.4" customHeight="1" x14ac:dyDescent="0.3"/>
    <row r="6413" ht="14.4" customHeight="1" x14ac:dyDescent="0.3"/>
    <row r="6414" ht="14.4" customHeight="1" x14ac:dyDescent="0.3"/>
    <row r="6415" ht="14.4" customHeight="1" x14ac:dyDescent="0.3"/>
    <row r="6416" ht="14.4" customHeight="1" x14ac:dyDescent="0.3"/>
    <row r="6417" ht="14.4" customHeight="1" x14ac:dyDescent="0.3"/>
    <row r="6418" ht="14.4" customHeight="1" x14ac:dyDescent="0.3"/>
    <row r="6419" ht="14.4" customHeight="1" x14ac:dyDescent="0.3"/>
    <row r="6420" ht="14.4" customHeight="1" x14ac:dyDescent="0.3"/>
    <row r="6421" ht="14.4" customHeight="1" x14ac:dyDescent="0.3"/>
    <row r="6422" ht="14.4" customHeight="1" x14ac:dyDescent="0.3"/>
    <row r="6423" ht="14.4" customHeight="1" x14ac:dyDescent="0.3"/>
    <row r="6424" ht="14.4" customHeight="1" x14ac:dyDescent="0.3"/>
    <row r="6425" ht="14.4" customHeight="1" x14ac:dyDescent="0.3"/>
    <row r="6426" ht="14.4" customHeight="1" x14ac:dyDescent="0.3"/>
    <row r="6427" ht="14.4" customHeight="1" x14ac:dyDescent="0.3"/>
    <row r="6428" ht="14.4" customHeight="1" x14ac:dyDescent="0.3"/>
    <row r="6429" ht="14.4" customHeight="1" x14ac:dyDescent="0.3"/>
    <row r="6430" ht="14.4" customHeight="1" x14ac:dyDescent="0.3"/>
    <row r="6431" ht="14.4" customHeight="1" x14ac:dyDescent="0.3"/>
    <row r="6432" ht="14.4" customHeight="1" x14ac:dyDescent="0.3"/>
    <row r="6433" ht="14.4" customHeight="1" x14ac:dyDescent="0.3"/>
    <row r="6434" ht="14.4" customHeight="1" x14ac:dyDescent="0.3"/>
    <row r="6435" ht="14.4" customHeight="1" x14ac:dyDescent="0.3"/>
    <row r="6436" ht="14.4" customHeight="1" x14ac:dyDescent="0.3"/>
    <row r="6437" ht="14.4" customHeight="1" x14ac:dyDescent="0.3"/>
    <row r="6438" ht="14.4" customHeight="1" x14ac:dyDescent="0.3"/>
    <row r="6439" ht="14.4" customHeight="1" x14ac:dyDescent="0.3"/>
    <row r="6440" ht="14.4" customHeight="1" x14ac:dyDescent="0.3"/>
    <row r="6441" ht="14.4" customHeight="1" x14ac:dyDescent="0.3"/>
    <row r="6442" ht="14.4" customHeight="1" x14ac:dyDescent="0.3"/>
    <row r="6443" ht="14.4" customHeight="1" x14ac:dyDescent="0.3"/>
    <row r="6444" ht="14.4" customHeight="1" x14ac:dyDescent="0.3"/>
    <row r="6445" ht="14.4" customHeight="1" x14ac:dyDescent="0.3"/>
    <row r="6446" ht="14.4" customHeight="1" x14ac:dyDescent="0.3"/>
    <row r="6447" ht="14.4" customHeight="1" x14ac:dyDescent="0.3"/>
    <row r="6448" ht="14.4" customHeight="1" x14ac:dyDescent="0.3"/>
    <row r="6449" ht="14.4" customHeight="1" x14ac:dyDescent="0.3"/>
    <row r="6450" ht="14.4" customHeight="1" x14ac:dyDescent="0.3"/>
    <row r="6451" ht="14.4" customHeight="1" x14ac:dyDescent="0.3"/>
    <row r="6452" ht="14.4" customHeight="1" x14ac:dyDescent="0.3"/>
    <row r="6453" ht="14.4" customHeight="1" x14ac:dyDescent="0.3"/>
    <row r="6454" ht="14.4" customHeight="1" x14ac:dyDescent="0.3"/>
    <row r="6455" ht="14.4" customHeight="1" x14ac:dyDescent="0.3"/>
    <row r="6456" ht="14.4" customHeight="1" x14ac:dyDescent="0.3"/>
    <row r="6457" ht="14.4" customHeight="1" x14ac:dyDescent="0.3"/>
    <row r="6458" ht="14.4" customHeight="1" x14ac:dyDescent="0.3"/>
    <row r="6459" ht="14.4" customHeight="1" x14ac:dyDescent="0.3"/>
    <row r="6460" ht="14.4" customHeight="1" x14ac:dyDescent="0.3"/>
    <row r="6461" ht="14.4" customHeight="1" x14ac:dyDescent="0.3"/>
    <row r="6462" ht="14.4" customHeight="1" x14ac:dyDescent="0.3"/>
    <row r="6463" ht="14.4" customHeight="1" x14ac:dyDescent="0.3"/>
    <row r="6464" ht="14.4" customHeight="1" x14ac:dyDescent="0.3"/>
    <row r="6465" ht="14.4" customHeight="1" x14ac:dyDescent="0.3"/>
    <row r="6466" ht="14.4" customHeight="1" x14ac:dyDescent="0.3"/>
    <row r="6467" ht="14.4" customHeight="1" x14ac:dyDescent="0.3"/>
    <row r="6468" ht="14.4" customHeight="1" x14ac:dyDescent="0.3"/>
    <row r="6469" ht="14.4" customHeight="1" x14ac:dyDescent="0.3"/>
    <row r="6470" ht="14.4" customHeight="1" x14ac:dyDescent="0.3"/>
    <row r="6471" ht="14.4" customHeight="1" x14ac:dyDescent="0.3"/>
    <row r="6472" ht="14.4" customHeight="1" x14ac:dyDescent="0.3"/>
    <row r="6473" ht="14.4" customHeight="1" x14ac:dyDescent="0.3"/>
    <row r="6474" ht="14.4" customHeight="1" x14ac:dyDescent="0.3"/>
    <row r="6475" ht="14.4" customHeight="1" x14ac:dyDescent="0.3"/>
    <row r="6476" ht="14.4" customHeight="1" x14ac:dyDescent="0.3"/>
    <row r="6477" ht="14.4" customHeight="1" x14ac:dyDescent="0.3"/>
    <row r="6478" ht="14.4" customHeight="1" x14ac:dyDescent="0.3"/>
    <row r="6479" ht="14.4" customHeight="1" x14ac:dyDescent="0.3"/>
    <row r="6480" ht="14.4" customHeight="1" x14ac:dyDescent="0.3"/>
    <row r="6481" ht="14.4" customHeight="1" x14ac:dyDescent="0.3"/>
    <row r="6482" ht="14.4" customHeight="1" x14ac:dyDescent="0.3"/>
    <row r="6483" ht="14.4" customHeight="1" x14ac:dyDescent="0.3"/>
    <row r="6484" ht="14.4" customHeight="1" x14ac:dyDescent="0.3"/>
    <row r="6485" ht="14.4" customHeight="1" x14ac:dyDescent="0.3"/>
    <row r="6486" ht="14.4" customHeight="1" x14ac:dyDescent="0.3"/>
    <row r="6487" ht="14.4" customHeight="1" x14ac:dyDescent="0.3"/>
    <row r="6488" ht="14.4" customHeight="1" x14ac:dyDescent="0.3"/>
    <row r="6489" ht="14.4" customHeight="1" x14ac:dyDescent="0.3"/>
    <row r="6490" ht="14.4" customHeight="1" x14ac:dyDescent="0.3"/>
    <row r="6491" ht="14.4" customHeight="1" x14ac:dyDescent="0.3"/>
    <row r="6492" ht="14.4" customHeight="1" x14ac:dyDescent="0.3"/>
    <row r="6493" ht="14.4" customHeight="1" x14ac:dyDescent="0.3"/>
    <row r="6494" ht="14.4" customHeight="1" x14ac:dyDescent="0.3"/>
    <row r="6495" ht="14.4" customHeight="1" x14ac:dyDescent="0.3"/>
    <row r="6496" ht="14.4" customHeight="1" x14ac:dyDescent="0.3"/>
    <row r="6497" ht="14.4" customHeight="1" x14ac:dyDescent="0.3"/>
    <row r="6498" ht="14.4" customHeight="1" x14ac:dyDescent="0.3"/>
    <row r="6499" ht="14.4" customHeight="1" x14ac:dyDescent="0.3"/>
    <row r="6500" ht="14.4" customHeight="1" x14ac:dyDescent="0.3"/>
    <row r="6501" ht="14.4" customHeight="1" x14ac:dyDescent="0.3"/>
    <row r="6502" ht="14.4" customHeight="1" x14ac:dyDescent="0.3"/>
    <row r="6503" ht="14.4" customHeight="1" x14ac:dyDescent="0.3"/>
    <row r="6504" ht="14.4" customHeight="1" x14ac:dyDescent="0.3"/>
    <row r="6505" ht="14.4" customHeight="1" x14ac:dyDescent="0.3"/>
    <row r="6506" ht="14.4" customHeight="1" x14ac:dyDescent="0.3"/>
    <row r="6507" ht="14.4" customHeight="1" x14ac:dyDescent="0.3"/>
    <row r="6508" ht="14.4" customHeight="1" x14ac:dyDescent="0.3"/>
    <row r="6509" ht="14.4" customHeight="1" x14ac:dyDescent="0.3"/>
    <row r="6510" ht="14.4" customHeight="1" x14ac:dyDescent="0.3"/>
    <row r="6511" ht="14.4" customHeight="1" x14ac:dyDescent="0.3"/>
    <row r="6512" ht="14.4" customHeight="1" x14ac:dyDescent="0.3"/>
    <row r="6513" ht="14.4" customHeight="1" x14ac:dyDescent="0.3"/>
    <row r="6514" ht="14.4" customHeight="1" x14ac:dyDescent="0.3"/>
    <row r="6515" ht="14.4" customHeight="1" x14ac:dyDescent="0.3"/>
    <row r="6516" ht="14.4" customHeight="1" x14ac:dyDescent="0.3"/>
    <row r="6517" ht="14.4" customHeight="1" x14ac:dyDescent="0.3"/>
    <row r="6518" ht="14.4" customHeight="1" x14ac:dyDescent="0.3"/>
    <row r="6519" ht="14.4" customHeight="1" x14ac:dyDescent="0.3"/>
    <row r="6520" ht="14.4" customHeight="1" x14ac:dyDescent="0.3"/>
    <row r="6521" ht="14.4" customHeight="1" x14ac:dyDescent="0.3"/>
    <row r="6522" ht="14.4" customHeight="1" x14ac:dyDescent="0.3"/>
    <row r="6523" ht="14.4" customHeight="1" x14ac:dyDescent="0.3"/>
    <row r="6524" ht="14.4" customHeight="1" x14ac:dyDescent="0.3"/>
    <row r="6525" ht="14.4" customHeight="1" x14ac:dyDescent="0.3"/>
    <row r="6526" ht="14.4" customHeight="1" x14ac:dyDescent="0.3"/>
    <row r="6527" ht="14.4" customHeight="1" x14ac:dyDescent="0.3"/>
    <row r="6528" ht="14.4" customHeight="1" x14ac:dyDescent="0.3"/>
    <row r="6529" ht="14.4" customHeight="1" x14ac:dyDescent="0.3"/>
    <row r="6530" ht="14.4" customHeight="1" x14ac:dyDescent="0.3"/>
    <row r="6531" ht="14.4" customHeight="1" x14ac:dyDescent="0.3"/>
    <row r="6532" ht="14.4" customHeight="1" x14ac:dyDescent="0.3"/>
    <row r="6533" ht="14.4" customHeight="1" x14ac:dyDescent="0.3"/>
    <row r="6534" ht="14.4" customHeight="1" x14ac:dyDescent="0.3"/>
    <row r="6535" ht="14.4" customHeight="1" x14ac:dyDescent="0.3"/>
    <row r="6536" ht="14.4" customHeight="1" x14ac:dyDescent="0.3"/>
    <row r="6537" ht="14.4" customHeight="1" x14ac:dyDescent="0.3"/>
    <row r="6538" ht="14.4" customHeight="1" x14ac:dyDescent="0.3"/>
    <row r="6539" ht="14.4" customHeight="1" x14ac:dyDescent="0.3"/>
    <row r="6540" ht="14.4" customHeight="1" x14ac:dyDescent="0.3"/>
    <row r="6541" ht="14.4" customHeight="1" x14ac:dyDescent="0.3"/>
    <row r="6542" ht="14.4" customHeight="1" x14ac:dyDescent="0.3"/>
    <row r="6543" ht="14.4" customHeight="1" x14ac:dyDescent="0.3"/>
    <row r="6544" ht="14.4" customHeight="1" x14ac:dyDescent="0.3"/>
    <row r="6545" ht="14.4" customHeight="1" x14ac:dyDescent="0.3"/>
    <row r="6546" ht="14.4" customHeight="1" x14ac:dyDescent="0.3"/>
    <row r="6547" ht="14.4" customHeight="1" x14ac:dyDescent="0.3"/>
    <row r="6548" ht="14.4" customHeight="1" x14ac:dyDescent="0.3"/>
    <row r="6549" ht="14.4" customHeight="1" x14ac:dyDescent="0.3"/>
    <row r="6550" ht="14.4" customHeight="1" x14ac:dyDescent="0.3"/>
    <row r="6551" ht="14.4" customHeight="1" x14ac:dyDescent="0.3"/>
    <row r="6552" ht="14.4" customHeight="1" x14ac:dyDescent="0.3"/>
    <row r="6553" ht="14.4" customHeight="1" x14ac:dyDescent="0.3"/>
    <row r="6554" ht="14.4" customHeight="1" x14ac:dyDescent="0.3"/>
    <row r="6555" ht="14.4" customHeight="1" x14ac:dyDescent="0.3"/>
    <row r="6556" ht="14.4" customHeight="1" x14ac:dyDescent="0.3"/>
    <row r="6557" ht="14.4" customHeight="1" x14ac:dyDescent="0.3"/>
    <row r="6558" ht="14.4" customHeight="1" x14ac:dyDescent="0.3"/>
    <row r="6559" ht="14.4" customHeight="1" x14ac:dyDescent="0.3"/>
    <row r="6560" ht="14.4" customHeight="1" x14ac:dyDescent="0.3"/>
    <row r="6561" ht="14.4" customHeight="1" x14ac:dyDescent="0.3"/>
    <row r="6562" ht="14.4" customHeight="1" x14ac:dyDescent="0.3"/>
    <row r="6563" ht="14.4" customHeight="1" x14ac:dyDescent="0.3"/>
    <row r="6564" ht="14.4" customHeight="1" x14ac:dyDescent="0.3"/>
    <row r="6565" ht="14.4" customHeight="1" x14ac:dyDescent="0.3"/>
    <row r="6566" ht="14.4" customHeight="1" x14ac:dyDescent="0.3"/>
    <row r="6567" ht="14.4" customHeight="1" x14ac:dyDescent="0.3"/>
    <row r="6568" ht="14.4" customHeight="1" x14ac:dyDescent="0.3"/>
    <row r="6569" ht="14.4" customHeight="1" x14ac:dyDescent="0.3"/>
    <row r="6570" ht="14.4" customHeight="1" x14ac:dyDescent="0.3"/>
    <row r="6571" ht="14.4" customHeight="1" x14ac:dyDescent="0.3"/>
    <row r="6572" ht="14.4" customHeight="1" x14ac:dyDescent="0.3"/>
    <row r="6573" ht="14.4" customHeight="1" x14ac:dyDescent="0.3"/>
    <row r="6574" ht="14.4" customHeight="1" x14ac:dyDescent="0.3"/>
    <row r="6575" ht="14.4" customHeight="1" x14ac:dyDescent="0.3"/>
    <row r="6576" ht="14.4" customHeight="1" x14ac:dyDescent="0.3"/>
    <row r="6577" ht="14.4" customHeight="1" x14ac:dyDescent="0.3"/>
    <row r="6578" ht="14.4" customHeight="1" x14ac:dyDescent="0.3"/>
    <row r="6579" ht="14.4" customHeight="1" x14ac:dyDescent="0.3"/>
    <row r="6580" ht="14.4" customHeight="1" x14ac:dyDescent="0.3"/>
    <row r="6581" ht="14.4" customHeight="1" x14ac:dyDescent="0.3"/>
    <row r="6582" ht="14.4" customHeight="1" x14ac:dyDescent="0.3"/>
    <row r="6583" ht="14.4" customHeight="1" x14ac:dyDescent="0.3"/>
    <row r="6584" ht="14.4" customHeight="1" x14ac:dyDescent="0.3"/>
    <row r="6585" ht="14.4" customHeight="1" x14ac:dyDescent="0.3"/>
    <row r="6586" ht="14.4" customHeight="1" x14ac:dyDescent="0.3"/>
    <row r="6587" ht="14.4" customHeight="1" x14ac:dyDescent="0.3"/>
    <row r="6588" ht="14.4" customHeight="1" x14ac:dyDescent="0.3"/>
    <row r="6589" ht="14.4" customHeight="1" x14ac:dyDescent="0.3"/>
    <row r="6590" ht="14.4" customHeight="1" x14ac:dyDescent="0.3"/>
    <row r="6591" ht="14.4" customHeight="1" x14ac:dyDescent="0.3"/>
    <row r="6592" ht="14.4" customHeight="1" x14ac:dyDescent="0.3"/>
    <row r="6593" ht="14.4" customHeight="1" x14ac:dyDescent="0.3"/>
    <row r="6594" ht="14.4" customHeight="1" x14ac:dyDescent="0.3"/>
    <row r="6595" ht="14.4" customHeight="1" x14ac:dyDescent="0.3"/>
    <row r="6596" ht="14.4" customHeight="1" x14ac:dyDescent="0.3"/>
    <row r="6597" ht="14.4" customHeight="1" x14ac:dyDescent="0.3"/>
    <row r="6598" ht="14.4" customHeight="1" x14ac:dyDescent="0.3"/>
    <row r="6599" ht="14.4" customHeight="1" x14ac:dyDescent="0.3"/>
    <row r="6600" ht="14.4" customHeight="1" x14ac:dyDescent="0.3"/>
    <row r="6601" ht="14.4" customHeight="1" x14ac:dyDescent="0.3"/>
    <row r="6602" ht="14.4" customHeight="1" x14ac:dyDescent="0.3"/>
    <row r="6603" ht="14.4" customHeight="1" x14ac:dyDescent="0.3"/>
    <row r="6604" ht="14.4" customHeight="1" x14ac:dyDescent="0.3"/>
    <row r="6605" ht="14.4" customHeight="1" x14ac:dyDescent="0.3"/>
    <row r="6606" ht="14.4" customHeight="1" x14ac:dyDescent="0.3"/>
    <row r="6607" ht="14.4" customHeight="1" x14ac:dyDescent="0.3"/>
    <row r="6608" ht="14.4" customHeight="1" x14ac:dyDescent="0.3"/>
    <row r="6609" ht="14.4" customHeight="1" x14ac:dyDescent="0.3"/>
    <row r="6610" ht="14.4" customHeight="1" x14ac:dyDescent="0.3"/>
    <row r="6611" ht="14.4" customHeight="1" x14ac:dyDescent="0.3"/>
    <row r="6612" ht="14.4" customHeight="1" x14ac:dyDescent="0.3"/>
    <row r="6613" ht="14.4" customHeight="1" x14ac:dyDescent="0.3"/>
    <row r="6614" ht="14.4" customHeight="1" x14ac:dyDescent="0.3"/>
    <row r="6615" ht="14.4" customHeight="1" x14ac:dyDescent="0.3"/>
    <row r="6616" ht="14.4" customHeight="1" x14ac:dyDescent="0.3"/>
    <row r="6617" ht="14.4" customHeight="1" x14ac:dyDescent="0.3"/>
    <row r="6618" ht="14.4" customHeight="1" x14ac:dyDescent="0.3"/>
    <row r="6619" ht="14.4" customHeight="1" x14ac:dyDescent="0.3"/>
    <row r="6620" ht="14.4" customHeight="1" x14ac:dyDescent="0.3"/>
    <row r="6621" ht="14.4" customHeight="1" x14ac:dyDescent="0.3"/>
    <row r="6622" ht="14.4" customHeight="1" x14ac:dyDescent="0.3"/>
    <row r="6623" ht="14.4" customHeight="1" x14ac:dyDescent="0.3"/>
    <row r="6624" ht="14.4" customHeight="1" x14ac:dyDescent="0.3"/>
    <row r="6625" ht="14.4" customHeight="1" x14ac:dyDescent="0.3"/>
    <row r="6626" ht="14.4" customHeight="1" x14ac:dyDescent="0.3"/>
    <row r="6627" ht="14.4" customHeight="1" x14ac:dyDescent="0.3"/>
    <row r="6628" ht="14.4" customHeight="1" x14ac:dyDescent="0.3"/>
    <row r="6629" ht="14.4" customHeight="1" x14ac:dyDescent="0.3"/>
    <row r="6630" ht="14.4" customHeight="1" x14ac:dyDescent="0.3"/>
    <row r="6631" ht="14.4" customHeight="1" x14ac:dyDescent="0.3"/>
    <row r="6632" ht="14.4" customHeight="1" x14ac:dyDescent="0.3"/>
    <row r="6633" ht="14.4" customHeight="1" x14ac:dyDescent="0.3"/>
    <row r="6634" ht="14.4" customHeight="1" x14ac:dyDescent="0.3"/>
    <row r="6635" ht="14.4" customHeight="1" x14ac:dyDescent="0.3"/>
    <row r="6636" ht="14.4" customHeight="1" x14ac:dyDescent="0.3"/>
    <row r="6637" ht="14.4" customHeight="1" x14ac:dyDescent="0.3"/>
    <row r="6638" ht="14.4" customHeight="1" x14ac:dyDescent="0.3"/>
    <row r="6639" ht="14.4" customHeight="1" x14ac:dyDescent="0.3"/>
    <row r="6640" ht="14.4" customHeight="1" x14ac:dyDescent="0.3"/>
    <row r="6641" ht="14.4" customHeight="1" x14ac:dyDescent="0.3"/>
    <row r="6642" ht="14.4" customHeight="1" x14ac:dyDescent="0.3"/>
    <row r="6643" ht="14.4" customHeight="1" x14ac:dyDescent="0.3"/>
    <row r="6644" ht="14.4" customHeight="1" x14ac:dyDescent="0.3"/>
    <row r="6645" ht="14.4" customHeight="1" x14ac:dyDescent="0.3"/>
    <row r="6646" ht="14.4" customHeight="1" x14ac:dyDescent="0.3"/>
    <row r="6647" ht="14.4" customHeight="1" x14ac:dyDescent="0.3"/>
    <row r="6648" ht="14.4" customHeight="1" x14ac:dyDescent="0.3"/>
    <row r="6649" ht="14.4" customHeight="1" x14ac:dyDescent="0.3"/>
    <row r="6650" ht="14.4" customHeight="1" x14ac:dyDescent="0.3"/>
    <row r="6651" ht="14.4" customHeight="1" x14ac:dyDescent="0.3"/>
    <row r="6652" ht="14.4" customHeight="1" x14ac:dyDescent="0.3"/>
    <row r="6653" ht="14.4" customHeight="1" x14ac:dyDescent="0.3"/>
    <row r="6654" ht="14.4" customHeight="1" x14ac:dyDescent="0.3"/>
    <row r="6655" ht="14.4" customHeight="1" x14ac:dyDescent="0.3"/>
    <row r="6656" ht="14.4" customHeight="1" x14ac:dyDescent="0.3"/>
    <row r="6657" ht="14.4" customHeight="1" x14ac:dyDescent="0.3"/>
    <row r="6658" ht="14.4" customHeight="1" x14ac:dyDescent="0.3"/>
    <row r="6659" ht="14.4" customHeight="1" x14ac:dyDescent="0.3"/>
    <row r="6660" ht="14.4" customHeight="1" x14ac:dyDescent="0.3"/>
    <row r="6661" ht="14.4" customHeight="1" x14ac:dyDescent="0.3"/>
    <row r="6662" ht="14.4" customHeight="1" x14ac:dyDescent="0.3"/>
    <row r="6663" ht="14.4" customHeight="1" x14ac:dyDescent="0.3"/>
    <row r="6664" ht="14.4" customHeight="1" x14ac:dyDescent="0.3"/>
    <row r="6665" ht="14.4" customHeight="1" x14ac:dyDescent="0.3"/>
    <row r="6666" ht="14.4" customHeight="1" x14ac:dyDescent="0.3"/>
    <row r="6667" ht="14.4" customHeight="1" x14ac:dyDescent="0.3"/>
    <row r="6668" ht="14.4" customHeight="1" x14ac:dyDescent="0.3"/>
    <row r="6669" ht="14.4" customHeight="1" x14ac:dyDescent="0.3"/>
    <row r="6670" ht="14.4" customHeight="1" x14ac:dyDescent="0.3"/>
    <row r="6671" ht="14.4" customHeight="1" x14ac:dyDescent="0.3"/>
    <row r="6672" ht="14.4" customHeight="1" x14ac:dyDescent="0.3"/>
    <row r="6673" ht="14.4" customHeight="1" x14ac:dyDescent="0.3"/>
    <row r="6674" ht="14.4" customHeight="1" x14ac:dyDescent="0.3"/>
    <row r="6675" ht="14.4" customHeight="1" x14ac:dyDescent="0.3"/>
    <row r="6676" ht="14.4" customHeight="1" x14ac:dyDescent="0.3"/>
    <row r="6677" ht="14.4" customHeight="1" x14ac:dyDescent="0.3"/>
    <row r="6678" ht="14.4" customHeight="1" x14ac:dyDescent="0.3"/>
    <row r="6679" ht="14.4" customHeight="1" x14ac:dyDescent="0.3"/>
    <row r="6680" ht="14.4" customHeight="1" x14ac:dyDescent="0.3"/>
    <row r="6681" ht="14.4" customHeight="1" x14ac:dyDescent="0.3"/>
    <row r="6682" ht="14.4" customHeight="1" x14ac:dyDescent="0.3"/>
    <row r="6683" ht="14.4" customHeight="1" x14ac:dyDescent="0.3"/>
    <row r="6684" ht="14.4" customHeight="1" x14ac:dyDescent="0.3"/>
    <row r="6685" ht="14.4" customHeight="1" x14ac:dyDescent="0.3"/>
    <row r="6686" ht="14.4" customHeight="1" x14ac:dyDescent="0.3"/>
    <row r="6687" ht="14.4" customHeight="1" x14ac:dyDescent="0.3"/>
    <row r="6688" ht="14.4" customHeight="1" x14ac:dyDescent="0.3"/>
    <row r="6689" ht="14.4" customHeight="1" x14ac:dyDescent="0.3"/>
    <row r="6690" ht="14.4" customHeight="1" x14ac:dyDescent="0.3"/>
    <row r="6691" ht="14.4" customHeight="1" x14ac:dyDescent="0.3"/>
    <row r="6692" ht="14.4" customHeight="1" x14ac:dyDescent="0.3"/>
    <row r="6693" ht="14.4" customHeight="1" x14ac:dyDescent="0.3"/>
    <row r="6694" ht="14.4" customHeight="1" x14ac:dyDescent="0.3"/>
    <row r="6695" ht="14.4" customHeight="1" x14ac:dyDescent="0.3"/>
    <row r="6696" ht="14.4" customHeight="1" x14ac:dyDescent="0.3"/>
    <row r="6697" ht="14.4" customHeight="1" x14ac:dyDescent="0.3"/>
    <row r="6698" ht="14.4" customHeight="1" x14ac:dyDescent="0.3"/>
    <row r="6699" ht="14.4" customHeight="1" x14ac:dyDescent="0.3"/>
    <row r="6700" ht="14.4" customHeight="1" x14ac:dyDescent="0.3"/>
    <row r="6701" ht="14.4" customHeight="1" x14ac:dyDescent="0.3"/>
    <row r="6702" ht="14.4" customHeight="1" x14ac:dyDescent="0.3"/>
    <row r="6703" ht="14.4" customHeight="1" x14ac:dyDescent="0.3"/>
    <row r="6704" ht="14.4" customHeight="1" x14ac:dyDescent="0.3"/>
    <row r="6705" ht="14.4" customHeight="1" x14ac:dyDescent="0.3"/>
    <row r="6706" ht="14.4" customHeight="1" x14ac:dyDescent="0.3"/>
    <row r="6707" ht="14.4" customHeight="1" x14ac:dyDescent="0.3"/>
    <row r="6708" ht="14.4" customHeight="1" x14ac:dyDescent="0.3"/>
    <row r="6709" ht="14.4" customHeight="1" x14ac:dyDescent="0.3"/>
    <row r="6710" ht="14.4" customHeight="1" x14ac:dyDescent="0.3"/>
    <row r="6711" ht="14.4" customHeight="1" x14ac:dyDescent="0.3"/>
    <row r="6712" ht="14.4" customHeight="1" x14ac:dyDescent="0.3"/>
    <row r="6713" ht="14.4" customHeight="1" x14ac:dyDescent="0.3"/>
    <row r="6714" ht="14.4" customHeight="1" x14ac:dyDescent="0.3"/>
    <row r="6715" ht="14.4" customHeight="1" x14ac:dyDescent="0.3"/>
    <row r="6716" ht="14.4" customHeight="1" x14ac:dyDescent="0.3"/>
    <row r="6717" ht="14.4" customHeight="1" x14ac:dyDescent="0.3"/>
    <row r="6718" ht="14.4" customHeight="1" x14ac:dyDescent="0.3"/>
    <row r="6719" ht="14.4" customHeight="1" x14ac:dyDescent="0.3"/>
    <row r="6720" ht="14.4" customHeight="1" x14ac:dyDescent="0.3"/>
    <row r="6721" ht="14.4" customHeight="1" x14ac:dyDescent="0.3"/>
    <row r="6722" ht="14.4" customHeight="1" x14ac:dyDescent="0.3"/>
    <row r="6723" ht="14.4" customHeight="1" x14ac:dyDescent="0.3"/>
    <row r="6724" ht="14.4" customHeight="1" x14ac:dyDescent="0.3"/>
    <row r="6725" ht="14.4" customHeight="1" x14ac:dyDescent="0.3"/>
    <row r="6726" ht="14.4" customHeight="1" x14ac:dyDescent="0.3"/>
    <row r="6727" ht="14.4" customHeight="1" x14ac:dyDescent="0.3"/>
    <row r="6728" ht="14.4" customHeight="1" x14ac:dyDescent="0.3"/>
    <row r="6729" ht="14.4" customHeight="1" x14ac:dyDescent="0.3"/>
    <row r="6730" ht="14.4" customHeight="1" x14ac:dyDescent="0.3"/>
    <row r="6731" ht="14.4" customHeight="1" x14ac:dyDescent="0.3"/>
    <row r="6732" ht="14.4" customHeight="1" x14ac:dyDescent="0.3"/>
    <row r="6733" ht="14.4" customHeight="1" x14ac:dyDescent="0.3"/>
    <row r="6734" ht="14.4" customHeight="1" x14ac:dyDescent="0.3"/>
    <row r="6735" ht="14.4" customHeight="1" x14ac:dyDescent="0.3"/>
    <row r="6736" ht="14.4" customHeight="1" x14ac:dyDescent="0.3"/>
    <row r="6737" ht="14.4" customHeight="1" x14ac:dyDescent="0.3"/>
    <row r="6738" ht="14.4" customHeight="1" x14ac:dyDescent="0.3"/>
    <row r="6739" ht="14.4" customHeight="1" x14ac:dyDescent="0.3"/>
    <row r="6740" ht="14.4" customHeight="1" x14ac:dyDescent="0.3"/>
    <row r="6741" ht="14.4" customHeight="1" x14ac:dyDescent="0.3"/>
    <row r="6742" ht="14.4" customHeight="1" x14ac:dyDescent="0.3"/>
    <row r="6743" ht="14.4" customHeight="1" x14ac:dyDescent="0.3"/>
    <row r="6744" ht="14.4" customHeight="1" x14ac:dyDescent="0.3"/>
    <row r="6745" ht="14.4" customHeight="1" x14ac:dyDescent="0.3"/>
    <row r="6746" ht="14.4" customHeight="1" x14ac:dyDescent="0.3"/>
    <row r="6747" ht="14.4" customHeight="1" x14ac:dyDescent="0.3"/>
    <row r="6748" ht="14.4" customHeight="1" x14ac:dyDescent="0.3"/>
    <row r="6749" ht="14.4" customHeight="1" x14ac:dyDescent="0.3"/>
    <row r="6750" ht="14.4" customHeight="1" x14ac:dyDescent="0.3"/>
    <row r="6751" ht="14.4" customHeight="1" x14ac:dyDescent="0.3"/>
    <row r="6752" ht="14.4" customHeight="1" x14ac:dyDescent="0.3"/>
    <row r="6753" ht="14.4" customHeight="1" x14ac:dyDescent="0.3"/>
    <row r="6754" ht="14.4" customHeight="1" x14ac:dyDescent="0.3"/>
    <row r="6755" ht="14.4" customHeight="1" x14ac:dyDescent="0.3"/>
    <row r="6756" ht="14.4" customHeight="1" x14ac:dyDescent="0.3"/>
    <row r="6757" ht="14.4" customHeight="1" x14ac:dyDescent="0.3"/>
    <row r="6758" ht="14.4" customHeight="1" x14ac:dyDescent="0.3"/>
    <row r="6759" ht="14.4" customHeight="1" x14ac:dyDescent="0.3"/>
    <row r="6760" ht="14.4" customHeight="1" x14ac:dyDescent="0.3"/>
    <row r="6761" ht="14.4" customHeight="1" x14ac:dyDescent="0.3"/>
    <row r="6762" ht="14.4" customHeight="1" x14ac:dyDescent="0.3"/>
    <row r="6763" ht="14.4" customHeight="1" x14ac:dyDescent="0.3"/>
    <row r="6764" ht="14.4" customHeight="1" x14ac:dyDescent="0.3"/>
    <row r="6765" ht="14.4" customHeight="1" x14ac:dyDescent="0.3"/>
    <row r="6766" ht="14.4" customHeight="1" x14ac:dyDescent="0.3"/>
    <row r="6767" ht="14.4" customHeight="1" x14ac:dyDescent="0.3"/>
    <row r="6768" ht="14.4" customHeight="1" x14ac:dyDescent="0.3"/>
    <row r="6769" ht="14.4" customHeight="1" x14ac:dyDescent="0.3"/>
    <row r="6770" ht="14.4" customHeight="1" x14ac:dyDescent="0.3"/>
    <row r="6771" ht="14.4" customHeight="1" x14ac:dyDescent="0.3"/>
    <row r="6772" ht="14.4" customHeight="1" x14ac:dyDescent="0.3"/>
    <row r="6773" ht="14.4" customHeight="1" x14ac:dyDescent="0.3"/>
    <row r="6774" ht="14.4" customHeight="1" x14ac:dyDescent="0.3"/>
    <row r="6775" ht="14.4" customHeight="1" x14ac:dyDescent="0.3"/>
    <row r="6776" ht="14.4" customHeight="1" x14ac:dyDescent="0.3"/>
    <row r="6777" ht="14.4" customHeight="1" x14ac:dyDescent="0.3"/>
    <row r="6778" ht="14.4" customHeight="1" x14ac:dyDescent="0.3"/>
    <row r="6779" ht="14.4" customHeight="1" x14ac:dyDescent="0.3"/>
    <row r="6780" ht="14.4" customHeight="1" x14ac:dyDescent="0.3"/>
    <row r="6781" ht="14.4" customHeight="1" x14ac:dyDescent="0.3"/>
    <row r="6782" ht="14.4" customHeight="1" x14ac:dyDescent="0.3"/>
    <row r="6783" ht="14.4" customHeight="1" x14ac:dyDescent="0.3"/>
    <row r="6784" ht="14.4" customHeight="1" x14ac:dyDescent="0.3"/>
    <row r="6785" ht="14.4" customHeight="1" x14ac:dyDescent="0.3"/>
    <row r="6786" ht="14.4" customHeight="1" x14ac:dyDescent="0.3"/>
    <row r="6787" ht="14.4" customHeight="1" x14ac:dyDescent="0.3"/>
    <row r="6788" ht="14.4" customHeight="1" x14ac:dyDescent="0.3"/>
    <row r="6789" ht="14.4" customHeight="1" x14ac:dyDescent="0.3"/>
    <row r="6790" ht="14.4" customHeight="1" x14ac:dyDescent="0.3"/>
    <row r="6791" ht="14.4" customHeight="1" x14ac:dyDescent="0.3"/>
    <row r="6792" ht="14.4" customHeight="1" x14ac:dyDescent="0.3"/>
    <row r="6793" ht="14.4" customHeight="1" x14ac:dyDescent="0.3"/>
    <row r="6794" ht="14.4" customHeight="1" x14ac:dyDescent="0.3"/>
    <row r="6795" ht="14.4" customHeight="1" x14ac:dyDescent="0.3"/>
    <row r="6796" ht="14.4" customHeight="1" x14ac:dyDescent="0.3"/>
    <row r="6797" ht="14.4" customHeight="1" x14ac:dyDescent="0.3"/>
    <row r="6798" ht="14.4" customHeight="1" x14ac:dyDescent="0.3"/>
    <row r="6799" ht="14.4" customHeight="1" x14ac:dyDescent="0.3"/>
    <row r="6800" ht="14.4" customHeight="1" x14ac:dyDescent="0.3"/>
    <row r="6801" ht="14.4" customHeight="1" x14ac:dyDescent="0.3"/>
    <row r="6802" ht="14.4" customHeight="1" x14ac:dyDescent="0.3"/>
    <row r="6803" ht="14.4" customHeight="1" x14ac:dyDescent="0.3"/>
    <row r="6804" ht="14.4" customHeight="1" x14ac:dyDescent="0.3"/>
    <row r="6805" ht="14.4" customHeight="1" x14ac:dyDescent="0.3"/>
    <row r="6806" ht="14.4" customHeight="1" x14ac:dyDescent="0.3"/>
    <row r="6807" ht="14.4" customHeight="1" x14ac:dyDescent="0.3"/>
    <row r="6808" ht="14.4" customHeight="1" x14ac:dyDescent="0.3"/>
    <row r="6809" ht="14.4" customHeight="1" x14ac:dyDescent="0.3"/>
    <row r="6810" ht="14.4" customHeight="1" x14ac:dyDescent="0.3"/>
    <row r="6811" ht="14.4" customHeight="1" x14ac:dyDescent="0.3"/>
    <row r="6812" ht="14.4" customHeight="1" x14ac:dyDescent="0.3"/>
    <row r="6813" ht="14.4" customHeight="1" x14ac:dyDescent="0.3"/>
    <row r="6814" ht="14.4" customHeight="1" x14ac:dyDescent="0.3"/>
    <row r="6815" ht="14.4" customHeight="1" x14ac:dyDescent="0.3"/>
    <row r="6816" ht="14.4" customHeight="1" x14ac:dyDescent="0.3"/>
    <row r="6817" ht="14.4" customHeight="1" x14ac:dyDescent="0.3"/>
    <row r="6818" ht="14.4" customHeight="1" x14ac:dyDescent="0.3"/>
    <row r="6819" ht="14.4" customHeight="1" x14ac:dyDescent="0.3"/>
    <row r="6820" ht="14.4" customHeight="1" x14ac:dyDescent="0.3"/>
    <row r="6821" ht="14.4" customHeight="1" x14ac:dyDescent="0.3"/>
    <row r="6822" ht="14.4" customHeight="1" x14ac:dyDescent="0.3"/>
    <row r="6823" ht="14.4" customHeight="1" x14ac:dyDescent="0.3"/>
    <row r="6824" ht="14.4" customHeight="1" x14ac:dyDescent="0.3"/>
    <row r="6825" ht="14.4" customHeight="1" x14ac:dyDescent="0.3"/>
    <row r="6826" ht="14.4" customHeight="1" x14ac:dyDescent="0.3"/>
    <row r="6827" ht="14.4" customHeight="1" x14ac:dyDescent="0.3"/>
    <row r="6828" ht="14.4" customHeight="1" x14ac:dyDescent="0.3"/>
    <row r="6829" ht="14.4" customHeight="1" x14ac:dyDescent="0.3"/>
    <row r="6830" ht="14.4" customHeight="1" x14ac:dyDescent="0.3"/>
    <row r="6831" ht="14.4" customHeight="1" x14ac:dyDescent="0.3"/>
    <row r="6832" ht="14.4" customHeight="1" x14ac:dyDescent="0.3"/>
    <row r="6833" ht="14.4" customHeight="1" x14ac:dyDescent="0.3"/>
    <row r="6834" ht="14.4" customHeight="1" x14ac:dyDescent="0.3"/>
    <row r="6835" ht="14.4" customHeight="1" x14ac:dyDescent="0.3"/>
    <row r="6836" ht="14.4" customHeight="1" x14ac:dyDescent="0.3"/>
    <row r="6837" ht="14.4" customHeight="1" x14ac:dyDescent="0.3"/>
    <row r="6838" ht="14.4" customHeight="1" x14ac:dyDescent="0.3"/>
    <row r="6839" ht="14.4" customHeight="1" x14ac:dyDescent="0.3"/>
    <row r="6840" ht="14.4" customHeight="1" x14ac:dyDescent="0.3"/>
    <row r="6841" ht="14.4" customHeight="1" x14ac:dyDescent="0.3"/>
    <row r="6842" ht="14.4" customHeight="1" x14ac:dyDescent="0.3"/>
    <row r="6843" ht="14.4" customHeight="1" x14ac:dyDescent="0.3"/>
    <row r="6844" ht="14.4" customHeight="1" x14ac:dyDescent="0.3"/>
    <row r="6845" ht="14.4" customHeight="1" x14ac:dyDescent="0.3"/>
    <row r="6846" ht="14.4" customHeight="1" x14ac:dyDescent="0.3"/>
    <row r="6847" ht="14.4" customHeight="1" x14ac:dyDescent="0.3"/>
    <row r="6848" ht="14.4" customHeight="1" x14ac:dyDescent="0.3"/>
    <row r="6849" ht="14.4" customHeight="1" x14ac:dyDescent="0.3"/>
    <row r="6850" ht="14.4" customHeight="1" x14ac:dyDescent="0.3"/>
    <row r="6851" ht="14.4" customHeight="1" x14ac:dyDescent="0.3"/>
    <row r="6852" ht="14.4" customHeight="1" x14ac:dyDescent="0.3"/>
    <row r="6853" ht="14.4" customHeight="1" x14ac:dyDescent="0.3"/>
    <row r="6854" ht="14.4" customHeight="1" x14ac:dyDescent="0.3"/>
    <row r="6855" ht="14.4" customHeight="1" x14ac:dyDescent="0.3"/>
    <row r="6856" ht="14.4" customHeight="1" x14ac:dyDescent="0.3"/>
    <row r="6857" ht="14.4" customHeight="1" x14ac:dyDescent="0.3"/>
    <row r="6858" ht="14.4" customHeight="1" x14ac:dyDescent="0.3"/>
    <row r="6859" ht="14.4" customHeight="1" x14ac:dyDescent="0.3"/>
    <row r="6860" ht="14.4" customHeight="1" x14ac:dyDescent="0.3"/>
    <row r="6861" ht="14.4" customHeight="1" x14ac:dyDescent="0.3"/>
    <row r="6862" ht="14.4" customHeight="1" x14ac:dyDescent="0.3"/>
    <row r="6863" ht="14.4" customHeight="1" x14ac:dyDescent="0.3"/>
    <row r="6864" ht="14.4" customHeight="1" x14ac:dyDescent="0.3"/>
    <row r="6865" ht="14.4" customHeight="1" x14ac:dyDescent="0.3"/>
    <row r="6866" ht="14.4" customHeight="1" x14ac:dyDescent="0.3"/>
    <row r="6867" ht="14.4" customHeight="1" x14ac:dyDescent="0.3"/>
    <row r="6868" ht="14.4" customHeight="1" x14ac:dyDescent="0.3"/>
    <row r="6869" ht="14.4" customHeight="1" x14ac:dyDescent="0.3"/>
    <row r="6870" ht="14.4" customHeight="1" x14ac:dyDescent="0.3"/>
    <row r="6871" ht="14.4" customHeight="1" x14ac:dyDescent="0.3"/>
    <row r="6872" ht="14.4" customHeight="1" x14ac:dyDescent="0.3"/>
    <row r="6873" ht="14.4" customHeight="1" x14ac:dyDescent="0.3"/>
    <row r="6874" ht="14.4" customHeight="1" x14ac:dyDescent="0.3"/>
    <row r="6875" ht="14.4" customHeight="1" x14ac:dyDescent="0.3"/>
    <row r="6876" ht="14.4" customHeight="1" x14ac:dyDescent="0.3"/>
    <row r="6877" ht="14.4" customHeight="1" x14ac:dyDescent="0.3"/>
    <row r="6878" ht="14.4" customHeight="1" x14ac:dyDescent="0.3"/>
    <row r="6879" ht="14.4" customHeight="1" x14ac:dyDescent="0.3"/>
    <row r="6880" ht="14.4" customHeight="1" x14ac:dyDescent="0.3"/>
    <row r="6881" ht="14.4" customHeight="1" x14ac:dyDescent="0.3"/>
    <row r="6882" ht="14.4" customHeight="1" x14ac:dyDescent="0.3"/>
    <row r="6883" ht="14.4" customHeight="1" x14ac:dyDescent="0.3"/>
    <row r="6884" ht="14.4" customHeight="1" x14ac:dyDescent="0.3"/>
    <row r="6885" ht="14.4" customHeight="1" x14ac:dyDescent="0.3"/>
    <row r="6886" ht="14.4" customHeight="1" x14ac:dyDescent="0.3"/>
    <row r="6887" ht="14.4" customHeight="1" x14ac:dyDescent="0.3"/>
    <row r="6888" ht="14.4" customHeight="1" x14ac:dyDescent="0.3"/>
    <row r="6889" ht="14.4" customHeight="1" x14ac:dyDescent="0.3"/>
    <row r="6890" ht="14.4" customHeight="1" x14ac:dyDescent="0.3"/>
    <row r="6891" ht="14.4" customHeight="1" x14ac:dyDescent="0.3"/>
    <row r="6892" ht="14.4" customHeight="1" x14ac:dyDescent="0.3"/>
    <row r="6893" ht="14.4" customHeight="1" x14ac:dyDescent="0.3"/>
    <row r="6894" ht="14.4" customHeight="1" x14ac:dyDescent="0.3"/>
    <row r="6895" ht="14.4" customHeight="1" x14ac:dyDescent="0.3"/>
    <row r="6896" ht="14.4" customHeight="1" x14ac:dyDescent="0.3"/>
    <row r="6897" ht="14.4" customHeight="1" x14ac:dyDescent="0.3"/>
    <row r="6898" ht="14.4" customHeight="1" x14ac:dyDescent="0.3"/>
    <row r="6899" ht="14.4" customHeight="1" x14ac:dyDescent="0.3"/>
    <row r="6900" ht="14.4" customHeight="1" x14ac:dyDescent="0.3"/>
    <row r="6901" ht="14.4" customHeight="1" x14ac:dyDescent="0.3"/>
    <row r="6902" ht="14.4" customHeight="1" x14ac:dyDescent="0.3"/>
    <row r="6903" ht="14.4" customHeight="1" x14ac:dyDescent="0.3"/>
    <row r="6904" ht="14.4" customHeight="1" x14ac:dyDescent="0.3"/>
    <row r="6905" ht="14.4" customHeight="1" x14ac:dyDescent="0.3"/>
    <row r="6906" ht="14.4" customHeight="1" x14ac:dyDescent="0.3"/>
    <row r="6907" ht="14.4" customHeight="1" x14ac:dyDescent="0.3"/>
    <row r="6908" ht="14.4" customHeight="1" x14ac:dyDescent="0.3"/>
    <row r="6909" ht="14.4" customHeight="1" x14ac:dyDescent="0.3"/>
    <row r="6910" ht="14.4" customHeight="1" x14ac:dyDescent="0.3"/>
    <row r="6911" ht="14.4" customHeight="1" x14ac:dyDescent="0.3"/>
    <row r="6912" ht="14.4" customHeight="1" x14ac:dyDescent="0.3"/>
    <row r="6913" ht="14.4" customHeight="1" x14ac:dyDescent="0.3"/>
    <row r="6914" ht="14.4" customHeight="1" x14ac:dyDescent="0.3"/>
    <row r="6915" ht="14.4" customHeight="1" x14ac:dyDescent="0.3"/>
    <row r="6916" ht="14.4" customHeight="1" x14ac:dyDescent="0.3"/>
    <row r="6917" ht="14.4" customHeight="1" x14ac:dyDescent="0.3"/>
    <row r="6918" ht="14.4" customHeight="1" x14ac:dyDescent="0.3"/>
    <row r="6919" ht="14.4" customHeight="1" x14ac:dyDescent="0.3"/>
    <row r="6920" ht="14.4" customHeight="1" x14ac:dyDescent="0.3"/>
    <row r="6921" ht="14.4" customHeight="1" x14ac:dyDescent="0.3"/>
    <row r="6922" ht="14.4" customHeight="1" x14ac:dyDescent="0.3"/>
    <row r="6923" ht="14.4" customHeight="1" x14ac:dyDescent="0.3"/>
    <row r="6924" ht="14.4" customHeight="1" x14ac:dyDescent="0.3"/>
    <row r="6925" ht="14.4" customHeight="1" x14ac:dyDescent="0.3"/>
    <row r="6926" ht="14.4" customHeight="1" x14ac:dyDescent="0.3"/>
    <row r="6927" ht="14.4" customHeight="1" x14ac:dyDescent="0.3"/>
    <row r="6928" ht="14.4" customHeight="1" x14ac:dyDescent="0.3"/>
    <row r="6929" ht="14.4" customHeight="1" x14ac:dyDescent="0.3"/>
    <row r="6930" ht="14.4" customHeight="1" x14ac:dyDescent="0.3"/>
    <row r="6931" ht="14.4" customHeight="1" x14ac:dyDescent="0.3"/>
    <row r="6932" ht="14.4" customHeight="1" x14ac:dyDescent="0.3"/>
    <row r="6933" ht="14.4" customHeight="1" x14ac:dyDescent="0.3"/>
    <row r="6934" ht="14.4" customHeight="1" x14ac:dyDescent="0.3"/>
    <row r="6935" ht="14.4" customHeight="1" x14ac:dyDescent="0.3"/>
    <row r="6936" ht="14.4" customHeight="1" x14ac:dyDescent="0.3"/>
    <row r="6937" ht="14.4" customHeight="1" x14ac:dyDescent="0.3"/>
    <row r="6938" ht="14.4" customHeight="1" x14ac:dyDescent="0.3"/>
    <row r="6939" ht="14.4" customHeight="1" x14ac:dyDescent="0.3"/>
    <row r="6940" ht="14.4" customHeight="1" x14ac:dyDescent="0.3"/>
    <row r="6941" ht="14.4" customHeight="1" x14ac:dyDescent="0.3"/>
    <row r="6942" ht="14.4" customHeight="1" x14ac:dyDescent="0.3"/>
    <row r="6943" ht="14.4" customHeight="1" x14ac:dyDescent="0.3"/>
    <row r="6944" ht="14.4" customHeight="1" x14ac:dyDescent="0.3"/>
    <row r="6945" ht="14.4" customHeight="1" x14ac:dyDescent="0.3"/>
    <row r="6946" ht="14.4" customHeight="1" x14ac:dyDescent="0.3"/>
    <row r="6947" ht="14.4" customHeight="1" x14ac:dyDescent="0.3"/>
    <row r="6948" ht="14.4" customHeight="1" x14ac:dyDescent="0.3"/>
    <row r="6949" ht="14.4" customHeight="1" x14ac:dyDescent="0.3"/>
    <row r="6950" ht="14.4" customHeight="1" x14ac:dyDescent="0.3"/>
    <row r="6951" ht="14.4" customHeight="1" x14ac:dyDescent="0.3"/>
    <row r="6952" ht="14.4" customHeight="1" x14ac:dyDescent="0.3"/>
    <row r="6953" ht="14.4" customHeight="1" x14ac:dyDescent="0.3"/>
    <row r="6954" ht="14.4" customHeight="1" x14ac:dyDescent="0.3"/>
    <row r="6955" ht="14.4" customHeight="1" x14ac:dyDescent="0.3"/>
    <row r="6956" ht="14.4" customHeight="1" x14ac:dyDescent="0.3"/>
    <row r="6957" ht="14.4" customHeight="1" x14ac:dyDescent="0.3"/>
    <row r="6958" ht="14.4" customHeight="1" x14ac:dyDescent="0.3"/>
    <row r="6959" ht="14.4" customHeight="1" x14ac:dyDescent="0.3"/>
    <row r="6960" ht="14.4" customHeight="1" x14ac:dyDescent="0.3"/>
    <row r="6961" ht="14.4" customHeight="1" x14ac:dyDescent="0.3"/>
    <row r="6962" ht="14.4" customHeight="1" x14ac:dyDescent="0.3"/>
    <row r="6963" ht="14.4" customHeight="1" x14ac:dyDescent="0.3"/>
    <row r="6964" ht="14.4" customHeight="1" x14ac:dyDescent="0.3"/>
    <row r="6965" ht="14.4" customHeight="1" x14ac:dyDescent="0.3"/>
    <row r="6966" ht="14.4" customHeight="1" x14ac:dyDescent="0.3"/>
    <row r="6967" ht="14.4" customHeight="1" x14ac:dyDescent="0.3"/>
    <row r="6968" ht="14.4" customHeight="1" x14ac:dyDescent="0.3"/>
    <row r="6969" ht="14.4" customHeight="1" x14ac:dyDescent="0.3"/>
    <row r="6970" ht="14.4" customHeight="1" x14ac:dyDescent="0.3"/>
    <row r="6971" ht="14.4" customHeight="1" x14ac:dyDescent="0.3"/>
    <row r="6972" ht="14.4" customHeight="1" x14ac:dyDescent="0.3"/>
    <row r="6973" ht="14.4" customHeight="1" x14ac:dyDescent="0.3"/>
    <row r="6974" ht="14.4" customHeight="1" x14ac:dyDescent="0.3"/>
    <row r="6975" ht="14.4" customHeight="1" x14ac:dyDescent="0.3"/>
    <row r="6976" ht="14.4" customHeight="1" x14ac:dyDescent="0.3"/>
    <row r="6977" ht="14.4" customHeight="1" x14ac:dyDescent="0.3"/>
    <row r="6978" ht="14.4" customHeight="1" x14ac:dyDescent="0.3"/>
    <row r="6979" ht="14.4" customHeight="1" x14ac:dyDescent="0.3"/>
    <row r="6980" ht="14.4" customHeight="1" x14ac:dyDescent="0.3"/>
    <row r="6981" ht="14.4" customHeight="1" x14ac:dyDescent="0.3"/>
    <row r="6982" ht="14.4" customHeight="1" x14ac:dyDescent="0.3"/>
    <row r="6983" ht="14.4" customHeight="1" x14ac:dyDescent="0.3"/>
    <row r="6984" ht="14.4" customHeight="1" x14ac:dyDescent="0.3"/>
    <row r="6985" ht="14.4" customHeight="1" x14ac:dyDescent="0.3"/>
    <row r="6986" ht="14.4" customHeight="1" x14ac:dyDescent="0.3"/>
    <row r="6987" ht="14.4" customHeight="1" x14ac:dyDescent="0.3"/>
    <row r="6988" ht="14.4" customHeight="1" x14ac:dyDescent="0.3"/>
    <row r="6989" ht="14.4" customHeight="1" x14ac:dyDescent="0.3"/>
    <row r="6990" ht="14.4" customHeight="1" x14ac:dyDescent="0.3"/>
    <row r="6991" ht="14.4" customHeight="1" x14ac:dyDescent="0.3"/>
    <row r="6992" ht="14.4" customHeight="1" x14ac:dyDescent="0.3"/>
    <row r="6993" ht="14.4" customHeight="1" x14ac:dyDescent="0.3"/>
    <row r="6994" ht="14.4" customHeight="1" x14ac:dyDescent="0.3"/>
    <row r="6995" ht="14.4" customHeight="1" x14ac:dyDescent="0.3"/>
    <row r="6996" ht="14.4" customHeight="1" x14ac:dyDescent="0.3"/>
    <row r="6997" ht="14.4" customHeight="1" x14ac:dyDescent="0.3"/>
    <row r="6998" ht="14.4" customHeight="1" x14ac:dyDescent="0.3"/>
    <row r="6999" ht="14.4" customHeight="1" x14ac:dyDescent="0.3"/>
    <row r="7000" ht="14.4" customHeight="1" x14ac:dyDescent="0.3"/>
    <row r="7001" ht="14.4" customHeight="1" x14ac:dyDescent="0.3"/>
    <row r="7002" ht="14.4" customHeight="1" x14ac:dyDescent="0.3"/>
    <row r="7003" ht="14.4" customHeight="1" x14ac:dyDescent="0.3"/>
    <row r="7004" ht="14.4" customHeight="1" x14ac:dyDescent="0.3"/>
    <row r="7005" ht="14.4" customHeight="1" x14ac:dyDescent="0.3"/>
    <row r="7006" ht="14.4" customHeight="1" x14ac:dyDescent="0.3"/>
    <row r="7007" ht="14.4" customHeight="1" x14ac:dyDescent="0.3"/>
    <row r="7008" ht="14.4" customHeight="1" x14ac:dyDescent="0.3"/>
    <row r="7009" ht="14.4" customHeight="1" x14ac:dyDescent="0.3"/>
    <row r="7010" ht="14.4" customHeight="1" x14ac:dyDescent="0.3"/>
    <row r="7011" ht="14.4" customHeight="1" x14ac:dyDescent="0.3"/>
    <row r="7012" ht="14.4" customHeight="1" x14ac:dyDescent="0.3"/>
    <row r="7013" ht="14.4" customHeight="1" x14ac:dyDescent="0.3"/>
    <row r="7014" ht="14.4" customHeight="1" x14ac:dyDescent="0.3"/>
    <row r="7015" ht="14.4" customHeight="1" x14ac:dyDescent="0.3"/>
    <row r="7016" ht="14.4" customHeight="1" x14ac:dyDescent="0.3"/>
    <row r="7017" ht="14.4" customHeight="1" x14ac:dyDescent="0.3"/>
    <row r="7018" ht="14.4" customHeight="1" x14ac:dyDescent="0.3"/>
    <row r="7019" ht="14.4" customHeight="1" x14ac:dyDescent="0.3"/>
    <row r="7020" ht="14.4" customHeight="1" x14ac:dyDescent="0.3"/>
    <row r="7021" ht="14.4" customHeight="1" x14ac:dyDescent="0.3"/>
    <row r="7022" ht="14.4" customHeight="1" x14ac:dyDescent="0.3"/>
    <row r="7023" ht="14.4" customHeight="1" x14ac:dyDescent="0.3"/>
    <row r="7024" ht="14.4" customHeight="1" x14ac:dyDescent="0.3"/>
    <row r="7025" ht="14.4" customHeight="1" x14ac:dyDescent="0.3"/>
    <row r="7026" ht="14.4" customHeight="1" x14ac:dyDescent="0.3"/>
    <row r="7027" ht="14.4" customHeight="1" x14ac:dyDescent="0.3"/>
    <row r="7028" ht="14.4" customHeight="1" x14ac:dyDescent="0.3"/>
    <row r="7029" ht="14.4" customHeight="1" x14ac:dyDescent="0.3"/>
    <row r="7030" ht="14.4" customHeight="1" x14ac:dyDescent="0.3"/>
    <row r="7031" ht="14.4" customHeight="1" x14ac:dyDescent="0.3"/>
    <row r="7032" ht="14.4" customHeight="1" x14ac:dyDescent="0.3"/>
    <row r="7033" ht="14.4" customHeight="1" x14ac:dyDescent="0.3"/>
    <row r="7034" ht="14.4" customHeight="1" x14ac:dyDescent="0.3"/>
    <row r="7035" ht="14.4" customHeight="1" x14ac:dyDescent="0.3"/>
    <row r="7036" ht="14.4" customHeight="1" x14ac:dyDescent="0.3"/>
    <row r="7037" ht="14.4" customHeight="1" x14ac:dyDescent="0.3"/>
    <row r="7038" ht="14.4" customHeight="1" x14ac:dyDescent="0.3"/>
    <row r="7039" ht="14.4" customHeight="1" x14ac:dyDescent="0.3"/>
    <row r="7040" ht="14.4" customHeight="1" x14ac:dyDescent="0.3"/>
    <row r="7041" ht="14.4" customHeight="1" x14ac:dyDescent="0.3"/>
    <row r="7042" ht="14.4" customHeight="1" x14ac:dyDescent="0.3"/>
    <row r="7043" ht="14.4" customHeight="1" x14ac:dyDescent="0.3"/>
    <row r="7044" ht="14.4" customHeight="1" x14ac:dyDescent="0.3"/>
    <row r="7045" ht="14.4" customHeight="1" x14ac:dyDescent="0.3"/>
    <row r="7046" ht="14.4" customHeight="1" x14ac:dyDescent="0.3"/>
    <row r="7047" ht="14.4" customHeight="1" x14ac:dyDescent="0.3"/>
    <row r="7048" ht="14.4" customHeight="1" x14ac:dyDescent="0.3"/>
    <row r="7049" ht="14.4" customHeight="1" x14ac:dyDescent="0.3"/>
    <row r="7050" ht="14.4" customHeight="1" x14ac:dyDescent="0.3"/>
    <row r="7051" ht="14.4" customHeight="1" x14ac:dyDescent="0.3"/>
    <row r="7052" ht="14.4" customHeight="1" x14ac:dyDescent="0.3"/>
    <row r="7053" ht="14.4" customHeight="1" x14ac:dyDescent="0.3"/>
    <row r="7054" ht="14.4" customHeight="1" x14ac:dyDescent="0.3"/>
    <row r="7055" ht="14.4" customHeight="1" x14ac:dyDescent="0.3"/>
    <row r="7056" ht="14.4" customHeight="1" x14ac:dyDescent="0.3"/>
    <row r="7057" ht="14.4" customHeight="1" x14ac:dyDescent="0.3"/>
    <row r="7058" ht="14.4" customHeight="1" x14ac:dyDescent="0.3"/>
    <row r="7059" ht="14.4" customHeight="1" x14ac:dyDescent="0.3"/>
    <row r="7060" ht="14.4" customHeight="1" x14ac:dyDescent="0.3"/>
    <row r="7061" ht="14.4" customHeight="1" x14ac:dyDescent="0.3"/>
    <row r="7062" ht="14.4" customHeight="1" x14ac:dyDescent="0.3"/>
    <row r="7063" ht="14.4" customHeight="1" x14ac:dyDescent="0.3"/>
    <row r="7064" ht="14.4" customHeight="1" x14ac:dyDescent="0.3"/>
    <row r="7065" ht="14.4" customHeight="1" x14ac:dyDescent="0.3"/>
    <row r="7066" ht="14.4" customHeight="1" x14ac:dyDescent="0.3"/>
    <row r="7067" ht="14.4" customHeight="1" x14ac:dyDescent="0.3"/>
    <row r="7068" ht="14.4" customHeight="1" x14ac:dyDescent="0.3"/>
    <row r="7069" ht="14.4" customHeight="1" x14ac:dyDescent="0.3"/>
    <row r="7070" ht="14.4" customHeight="1" x14ac:dyDescent="0.3"/>
    <row r="7071" ht="14.4" customHeight="1" x14ac:dyDescent="0.3"/>
    <row r="7072" ht="14.4" customHeight="1" x14ac:dyDescent="0.3"/>
    <row r="7073" ht="14.4" customHeight="1" x14ac:dyDescent="0.3"/>
    <row r="7074" ht="14.4" customHeight="1" x14ac:dyDescent="0.3"/>
    <row r="7075" ht="14.4" customHeight="1" x14ac:dyDescent="0.3"/>
    <row r="7076" ht="14.4" customHeight="1" x14ac:dyDescent="0.3"/>
    <row r="7077" ht="14.4" customHeight="1" x14ac:dyDescent="0.3"/>
    <row r="7078" ht="14.4" customHeight="1" x14ac:dyDescent="0.3"/>
    <row r="7079" ht="14.4" customHeight="1" x14ac:dyDescent="0.3"/>
    <row r="7080" ht="14.4" customHeight="1" x14ac:dyDescent="0.3"/>
    <row r="7081" ht="14.4" customHeight="1" x14ac:dyDescent="0.3"/>
    <row r="7082" ht="14.4" customHeight="1" x14ac:dyDescent="0.3"/>
    <row r="7083" ht="14.4" customHeight="1" x14ac:dyDescent="0.3"/>
    <row r="7084" ht="14.4" customHeight="1" x14ac:dyDescent="0.3"/>
    <row r="7085" ht="14.4" customHeight="1" x14ac:dyDescent="0.3"/>
    <row r="7086" ht="14.4" customHeight="1" x14ac:dyDescent="0.3"/>
    <row r="7087" ht="14.4" customHeight="1" x14ac:dyDescent="0.3"/>
    <row r="7088" ht="14.4" customHeight="1" x14ac:dyDescent="0.3"/>
    <row r="7089" ht="14.4" customHeight="1" x14ac:dyDescent="0.3"/>
    <row r="7090" ht="14.4" customHeight="1" x14ac:dyDescent="0.3"/>
    <row r="7091" ht="14.4" customHeight="1" x14ac:dyDescent="0.3"/>
    <row r="7092" ht="14.4" customHeight="1" x14ac:dyDescent="0.3"/>
    <row r="7093" ht="14.4" customHeight="1" x14ac:dyDescent="0.3"/>
    <row r="7094" ht="14.4" customHeight="1" x14ac:dyDescent="0.3"/>
    <row r="7095" ht="14.4" customHeight="1" x14ac:dyDescent="0.3"/>
    <row r="7096" ht="14.4" customHeight="1" x14ac:dyDescent="0.3"/>
    <row r="7097" ht="14.4" customHeight="1" x14ac:dyDescent="0.3"/>
    <row r="7098" ht="14.4" customHeight="1" x14ac:dyDescent="0.3"/>
    <row r="7099" ht="14.4" customHeight="1" x14ac:dyDescent="0.3"/>
    <row r="7100" ht="14.4" customHeight="1" x14ac:dyDescent="0.3"/>
    <row r="7101" ht="14.4" customHeight="1" x14ac:dyDescent="0.3"/>
    <row r="7102" ht="14.4" customHeight="1" x14ac:dyDescent="0.3"/>
    <row r="7103" ht="14.4" customHeight="1" x14ac:dyDescent="0.3"/>
    <row r="7104" ht="14.4" customHeight="1" x14ac:dyDescent="0.3"/>
    <row r="7105" ht="14.4" customHeight="1" x14ac:dyDescent="0.3"/>
    <row r="7106" ht="14.4" customHeight="1" x14ac:dyDescent="0.3"/>
    <row r="7107" ht="14.4" customHeight="1" x14ac:dyDescent="0.3"/>
    <row r="7108" ht="14.4" customHeight="1" x14ac:dyDescent="0.3"/>
    <row r="7109" ht="14.4" customHeight="1" x14ac:dyDescent="0.3"/>
    <row r="7110" ht="14.4" customHeight="1" x14ac:dyDescent="0.3"/>
    <row r="7111" ht="14.4" customHeight="1" x14ac:dyDescent="0.3"/>
    <row r="7112" ht="14.4" customHeight="1" x14ac:dyDescent="0.3"/>
    <row r="7113" ht="14.4" customHeight="1" x14ac:dyDescent="0.3"/>
    <row r="7114" ht="14.4" customHeight="1" x14ac:dyDescent="0.3"/>
    <row r="7115" ht="14.4" customHeight="1" x14ac:dyDescent="0.3"/>
    <row r="7116" ht="14.4" customHeight="1" x14ac:dyDescent="0.3"/>
    <row r="7117" ht="14.4" customHeight="1" x14ac:dyDescent="0.3"/>
    <row r="7118" ht="14.4" customHeight="1" x14ac:dyDescent="0.3"/>
    <row r="7119" ht="14.4" customHeight="1" x14ac:dyDescent="0.3"/>
    <row r="7120" ht="14.4" customHeight="1" x14ac:dyDescent="0.3"/>
    <row r="7121" ht="14.4" customHeight="1" x14ac:dyDescent="0.3"/>
    <row r="7122" ht="14.4" customHeight="1" x14ac:dyDescent="0.3"/>
    <row r="7123" ht="14.4" customHeight="1" x14ac:dyDescent="0.3"/>
    <row r="7124" ht="14.4" customHeight="1" x14ac:dyDescent="0.3"/>
    <row r="7125" ht="14.4" customHeight="1" x14ac:dyDescent="0.3"/>
    <row r="7126" ht="14.4" customHeight="1" x14ac:dyDescent="0.3"/>
    <row r="7127" ht="14.4" customHeight="1" x14ac:dyDescent="0.3"/>
    <row r="7128" ht="14.4" customHeight="1" x14ac:dyDescent="0.3"/>
    <row r="7129" ht="14.4" customHeight="1" x14ac:dyDescent="0.3"/>
    <row r="7130" ht="14.4" customHeight="1" x14ac:dyDescent="0.3"/>
    <row r="7131" ht="14.4" customHeight="1" x14ac:dyDescent="0.3"/>
    <row r="7132" ht="14.4" customHeight="1" x14ac:dyDescent="0.3"/>
    <row r="7133" ht="14.4" customHeight="1" x14ac:dyDescent="0.3"/>
    <row r="7134" ht="14.4" customHeight="1" x14ac:dyDescent="0.3"/>
    <row r="7135" ht="14.4" customHeight="1" x14ac:dyDescent="0.3"/>
    <row r="7136" ht="14.4" customHeight="1" x14ac:dyDescent="0.3"/>
    <row r="7137" ht="14.4" customHeight="1" x14ac:dyDescent="0.3"/>
    <row r="7138" ht="14.4" customHeight="1" x14ac:dyDescent="0.3"/>
    <row r="7139" ht="14.4" customHeight="1" x14ac:dyDescent="0.3"/>
    <row r="7140" ht="14.4" customHeight="1" x14ac:dyDescent="0.3"/>
    <row r="7141" ht="14.4" customHeight="1" x14ac:dyDescent="0.3"/>
    <row r="7142" ht="14.4" customHeight="1" x14ac:dyDescent="0.3"/>
    <row r="7143" ht="14.4" customHeight="1" x14ac:dyDescent="0.3"/>
    <row r="7144" ht="14.4" customHeight="1" x14ac:dyDescent="0.3"/>
    <row r="7145" ht="14.4" customHeight="1" x14ac:dyDescent="0.3"/>
    <row r="7146" ht="14.4" customHeight="1" x14ac:dyDescent="0.3"/>
    <row r="7147" ht="14.4" customHeight="1" x14ac:dyDescent="0.3"/>
    <row r="7148" ht="14.4" customHeight="1" x14ac:dyDescent="0.3"/>
    <row r="7149" ht="14.4" customHeight="1" x14ac:dyDescent="0.3"/>
    <row r="7150" ht="14.4" customHeight="1" x14ac:dyDescent="0.3"/>
    <row r="7151" ht="14.4" customHeight="1" x14ac:dyDescent="0.3"/>
    <row r="7152" ht="14.4" customHeight="1" x14ac:dyDescent="0.3"/>
    <row r="7153" ht="14.4" customHeight="1" x14ac:dyDescent="0.3"/>
    <row r="7154" ht="14.4" customHeight="1" x14ac:dyDescent="0.3"/>
    <row r="7155" ht="14.4" customHeight="1" x14ac:dyDescent="0.3"/>
    <row r="7156" ht="14.4" customHeight="1" x14ac:dyDescent="0.3"/>
    <row r="7157" ht="14.4" customHeight="1" x14ac:dyDescent="0.3"/>
    <row r="7158" ht="14.4" customHeight="1" x14ac:dyDescent="0.3"/>
    <row r="7159" ht="14.4" customHeight="1" x14ac:dyDescent="0.3"/>
    <row r="7160" ht="14.4" customHeight="1" x14ac:dyDescent="0.3"/>
    <row r="7161" ht="14.4" customHeight="1" x14ac:dyDescent="0.3"/>
    <row r="7162" ht="14.4" customHeight="1" x14ac:dyDescent="0.3"/>
    <row r="7163" ht="14.4" customHeight="1" x14ac:dyDescent="0.3"/>
    <row r="7164" ht="14.4" customHeight="1" x14ac:dyDescent="0.3"/>
    <row r="7165" ht="14.4" customHeight="1" x14ac:dyDescent="0.3"/>
    <row r="7166" ht="14.4" customHeight="1" x14ac:dyDescent="0.3"/>
    <row r="7167" ht="14.4" customHeight="1" x14ac:dyDescent="0.3"/>
    <row r="7168" ht="14.4" customHeight="1" x14ac:dyDescent="0.3"/>
    <row r="7169" ht="14.4" customHeight="1" x14ac:dyDescent="0.3"/>
    <row r="7170" ht="14.4" customHeight="1" x14ac:dyDescent="0.3"/>
    <row r="7171" ht="14.4" customHeight="1" x14ac:dyDescent="0.3"/>
    <row r="7172" ht="14.4" customHeight="1" x14ac:dyDescent="0.3"/>
    <row r="7173" ht="14.4" customHeight="1" x14ac:dyDescent="0.3"/>
    <row r="7174" ht="14.4" customHeight="1" x14ac:dyDescent="0.3"/>
    <row r="7175" ht="14.4" customHeight="1" x14ac:dyDescent="0.3"/>
    <row r="7176" ht="14.4" customHeight="1" x14ac:dyDescent="0.3"/>
    <row r="7177" ht="14.4" customHeight="1" x14ac:dyDescent="0.3"/>
    <row r="7178" ht="14.4" customHeight="1" x14ac:dyDescent="0.3"/>
    <row r="7179" ht="14.4" customHeight="1" x14ac:dyDescent="0.3"/>
    <row r="7180" ht="14.4" customHeight="1" x14ac:dyDescent="0.3"/>
    <row r="7181" ht="14.4" customHeight="1" x14ac:dyDescent="0.3"/>
    <row r="7182" ht="14.4" customHeight="1" x14ac:dyDescent="0.3"/>
    <row r="7183" ht="14.4" customHeight="1" x14ac:dyDescent="0.3"/>
    <row r="7184" ht="14.4" customHeight="1" x14ac:dyDescent="0.3"/>
    <row r="7185" ht="14.4" customHeight="1" x14ac:dyDescent="0.3"/>
    <row r="7186" ht="14.4" customHeight="1" x14ac:dyDescent="0.3"/>
    <row r="7187" ht="14.4" customHeight="1" x14ac:dyDescent="0.3"/>
    <row r="7188" ht="14.4" customHeight="1" x14ac:dyDescent="0.3"/>
    <row r="7189" ht="14.4" customHeight="1" x14ac:dyDescent="0.3"/>
    <row r="7190" ht="14.4" customHeight="1" x14ac:dyDescent="0.3"/>
    <row r="7191" ht="14.4" customHeight="1" x14ac:dyDescent="0.3"/>
    <row r="7192" ht="14.4" customHeight="1" x14ac:dyDescent="0.3"/>
    <row r="7193" ht="14.4" customHeight="1" x14ac:dyDescent="0.3"/>
    <row r="7194" ht="14.4" customHeight="1" x14ac:dyDescent="0.3"/>
    <row r="7195" ht="14.4" customHeight="1" x14ac:dyDescent="0.3"/>
    <row r="7196" ht="14.4" customHeight="1" x14ac:dyDescent="0.3"/>
    <row r="7197" ht="14.4" customHeight="1" x14ac:dyDescent="0.3"/>
    <row r="7198" ht="14.4" customHeight="1" x14ac:dyDescent="0.3"/>
    <row r="7199" ht="14.4" customHeight="1" x14ac:dyDescent="0.3"/>
    <row r="7200" ht="14.4" customHeight="1" x14ac:dyDescent="0.3"/>
    <row r="7201" ht="14.4" customHeight="1" x14ac:dyDescent="0.3"/>
    <row r="7202" ht="14.4" customHeight="1" x14ac:dyDescent="0.3"/>
    <row r="7203" ht="14.4" customHeight="1" x14ac:dyDescent="0.3"/>
    <row r="7204" ht="14.4" customHeight="1" x14ac:dyDescent="0.3"/>
    <row r="7205" ht="14.4" customHeight="1" x14ac:dyDescent="0.3"/>
    <row r="7206" ht="14.4" customHeight="1" x14ac:dyDescent="0.3"/>
    <row r="7207" ht="14.4" customHeight="1" x14ac:dyDescent="0.3"/>
    <row r="7208" ht="14.4" customHeight="1" x14ac:dyDescent="0.3"/>
    <row r="7209" ht="14.4" customHeight="1" x14ac:dyDescent="0.3"/>
    <row r="7210" ht="14.4" customHeight="1" x14ac:dyDescent="0.3"/>
    <row r="7211" ht="14.4" customHeight="1" x14ac:dyDescent="0.3"/>
    <row r="7212" ht="14.4" customHeight="1" x14ac:dyDescent="0.3"/>
    <row r="7213" ht="14.4" customHeight="1" x14ac:dyDescent="0.3"/>
    <row r="7214" ht="14.4" customHeight="1" x14ac:dyDescent="0.3"/>
    <row r="7215" ht="14.4" customHeight="1" x14ac:dyDescent="0.3"/>
    <row r="7216" ht="14.4" customHeight="1" x14ac:dyDescent="0.3"/>
    <row r="7217" ht="14.4" customHeight="1" x14ac:dyDescent="0.3"/>
    <row r="7218" ht="14.4" customHeight="1" x14ac:dyDescent="0.3"/>
    <row r="7219" ht="14.4" customHeight="1" x14ac:dyDescent="0.3"/>
    <row r="7220" ht="14.4" customHeight="1" x14ac:dyDescent="0.3"/>
    <row r="7221" ht="14.4" customHeight="1" x14ac:dyDescent="0.3"/>
    <row r="7222" ht="14.4" customHeight="1" x14ac:dyDescent="0.3"/>
    <row r="7223" ht="14.4" customHeight="1" x14ac:dyDescent="0.3"/>
    <row r="7224" ht="14.4" customHeight="1" x14ac:dyDescent="0.3"/>
    <row r="7225" ht="14.4" customHeight="1" x14ac:dyDescent="0.3"/>
    <row r="7226" ht="14.4" customHeight="1" x14ac:dyDescent="0.3"/>
    <row r="7227" ht="14.4" customHeight="1" x14ac:dyDescent="0.3"/>
    <row r="7228" ht="14.4" customHeight="1" x14ac:dyDescent="0.3"/>
    <row r="7229" ht="14.4" customHeight="1" x14ac:dyDescent="0.3"/>
    <row r="7230" ht="14.4" customHeight="1" x14ac:dyDescent="0.3"/>
    <row r="7231" ht="14.4" customHeight="1" x14ac:dyDescent="0.3"/>
    <row r="7232" ht="14.4" customHeight="1" x14ac:dyDescent="0.3"/>
    <row r="7233" ht="14.4" customHeight="1" x14ac:dyDescent="0.3"/>
    <row r="7234" ht="14.4" customHeight="1" x14ac:dyDescent="0.3"/>
    <row r="7235" ht="14.4" customHeight="1" x14ac:dyDescent="0.3"/>
    <row r="7236" ht="14.4" customHeight="1" x14ac:dyDescent="0.3"/>
    <row r="7237" ht="14.4" customHeight="1" x14ac:dyDescent="0.3"/>
    <row r="7238" ht="14.4" customHeight="1" x14ac:dyDescent="0.3"/>
    <row r="7239" ht="14.4" customHeight="1" x14ac:dyDescent="0.3"/>
    <row r="7240" ht="14.4" customHeight="1" x14ac:dyDescent="0.3"/>
    <row r="7241" ht="14.4" customHeight="1" x14ac:dyDescent="0.3"/>
    <row r="7242" ht="14.4" customHeight="1" x14ac:dyDescent="0.3"/>
    <row r="7243" ht="14.4" customHeight="1" x14ac:dyDescent="0.3"/>
    <row r="7244" ht="14.4" customHeight="1" x14ac:dyDescent="0.3"/>
    <row r="7245" ht="14.4" customHeight="1" x14ac:dyDescent="0.3"/>
    <row r="7246" ht="14.4" customHeight="1" x14ac:dyDescent="0.3"/>
    <row r="7247" ht="14.4" customHeight="1" x14ac:dyDescent="0.3"/>
    <row r="7248" ht="14.4" customHeight="1" x14ac:dyDescent="0.3"/>
    <row r="7249" ht="14.4" customHeight="1" x14ac:dyDescent="0.3"/>
    <row r="7250" ht="14.4" customHeight="1" x14ac:dyDescent="0.3"/>
    <row r="7251" ht="14.4" customHeight="1" x14ac:dyDescent="0.3"/>
    <row r="7252" ht="14.4" customHeight="1" x14ac:dyDescent="0.3"/>
    <row r="7253" ht="14.4" customHeight="1" x14ac:dyDescent="0.3"/>
    <row r="7254" ht="14.4" customHeight="1" x14ac:dyDescent="0.3"/>
    <row r="7255" ht="14.4" customHeight="1" x14ac:dyDescent="0.3"/>
    <row r="7256" ht="14.4" customHeight="1" x14ac:dyDescent="0.3"/>
    <row r="7257" ht="14.4" customHeight="1" x14ac:dyDescent="0.3"/>
    <row r="7258" ht="14.4" customHeight="1" x14ac:dyDescent="0.3"/>
    <row r="7259" ht="14.4" customHeight="1" x14ac:dyDescent="0.3"/>
    <row r="7260" ht="14.4" customHeight="1" x14ac:dyDescent="0.3"/>
    <row r="7261" ht="14.4" customHeight="1" x14ac:dyDescent="0.3"/>
    <row r="7262" ht="14.4" customHeight="1" x14ac:dyDescent="0.3"/>
    <row r="7263" ht="14.4" customHeight="1" x14ac:dyDescent="0.3"/>
    <row r="7264" ht="14.4" customHeight="1" x14ac:dyDescent="0.3"/>
    <row r="7265" ht="14.4" customHeight="1" x14ac:dyDescent="0.3"/>
    <row r="7266" ht="14.4" customHeight="1" x14ac:dyDescent="0.3"/>
    <row r="7267" ht="14.4" customHeight="1" x14ac:dyDescent="0.3"/>
    <row r="7268" ht="14.4" customHeight="1" x14ac:dyDescent="0.3"/>
    <row r="7269" ht="14.4" customHeight="1" x14ac:dyDescent="0.3"/>
    <row r="7270" ht="14.4" customHeight="1" x14ac:dyDescent="0.3"/>
    <row r="7271" ht="14.4" customHeight="1" x14ac:dyDescent="0.3"/>
    <row r="7272" ht="14.4" customHeight="1" x14ac:dyDescent="0.3"/>
    <row r="7273" ht="14.4" customHeight="1" x14ac:dyDescent="0.3"/>
    <row r="7274" ht="14.4" customHeight="1" x14ac:dyDescent="0.3"/>
    <row r="7275" ht="14.4" customHeight="1" x14ac:dyDescent="0.3"/>
    <row r="7276" ht="14.4" customHeight="1" x14ac:dyDescent="0.3"/>
    <row r="7277" ht="14.4" customHeight="1" x14ac:dyDescent="0.3"/>
    <row r="7278" ht="14.4" customHeight="1" x14ac:dyDescent="0.3"/>
    <row r="7279" ht="14.4" customHeight="1" x14ac:dyDescent="0.3"/>
    <row r="7280" ht="14.4" customHeight="1" x14ac:dyDescent="0.3"/>
    <row r="7281" ht="14.4" customHeight="1" x14ac:dyDescent="0.3"/>
    <row r="7282" ht="14.4" customHeight="1" x14ac:dyDescent="0.3"/>
    <row r="7283" ht="14.4" customHeight="1" x14ac:dyDescent="0.3"/>
    <row r="7284" ht="14.4" customHeight="1" x14ac:dyDescent="0.3"/>
    <row r="7285" ht="14.4" customHeight="1" x14ac:dyDescent="0.3"/>
    <row r="7286" ht="14.4" customHeight="1" x14ac:dyDescent="0.3"/>
    <row r="7287" ht="14.4" customHeight="1" x14ac:dyDescent="0.3"/>
    <row r="7288" ht="14.4" customHeight="1" x14ac:dyDescent="0.3"/>
    <row r="7289" ht="14.4" customHeight="1" x14ac:dyDescent="0.3"/>
    <row r="7290" ht="14.4" customHeight="1" x14ac:dyDescent="0.3"/>
    <row r="7291" ht="14.4" customHeight="1" x14ac:dyDescent="0.3"/>
    <row r="7292" ht="14.4" customHeight="1" x14ac:dyDescent="0.3"/>
    <row r="7293" ht="14.4" customHeight="1" x14ac:dyDescent="0.3"/>
    <row r="7294" ht="14.4" customHeight="1" x14ac:dyDescent="0.3"/>
    <row r="7295" ht="14.4" customHeight="1" x14ac:dyDescent="0.3"/>
    <row r="7296" ht="14.4" customHeight="1" x14ac:dyDescent="0.3"/>
    <row r="7297" ht="14.4" customHeight="1" x14ac:dyDescent="0.3"/>
    <row r="7298" ht="14.4" customHeight="1" x14ac:dyDescent="0.3"/>
    <row r="7299" ht="14.4" customHeight="1" x14ac:dyDescent="0.3"/>
    <row r="7300" ht="14.4" customHeight="1" x14ac:dyDescent="0.3"/>
    <row r="7301" ht="14.4" customHeight="1" x14ac:dyDescent="0.3"/>
    <row r="7302" ht="14.4" customHeight="1" x14ac:dyDescent="0.3"/>
    <row r="7303" ht="14.4" customHeight="1" x14ac:dyDescent="0.3"/>
    <row r="7304" ht="14.4" customHeight="1" x14ac:dyDescent="0.3"/>
    <row r="7305" ht="14.4" customHeight="1" x14ac:dyDescent="0.3"/>
    <row r="7306" ht="14.4" customHeight="1" x14ac:dyDescent="0.3"/>
    <row r="7307" ht="14.4" customHeight="1" x14ac:dyDescent="0.3"/>
    <row r="7308" ht="14.4" customHeight="1" x14ac:dyDescent="0.3"/>
    <row r="7309" ht="14.4" customHeight="1" x14ac:dyDescent="0.3"/>
    <row r="7310" ht="14.4" customHeight="1" x14ac:dyDescent="0.3"/>
    <row r="7311" ht="14.4" customHeight="1" x14ac:dyDescent="0.3"/>
    <row r="7312" ht="14.4" customHeight="1" x14ac:dyDescent="0.3"/>
    <row r="7313" ht="14.4" customHeight="1" x14ac:dyDescent="0.3"/>
    <row r="7314" ht="14.4" customHeight="1" x14ac:dyDescent="0.3"/>
    <row r="7315" ht="14.4" customHeight="1" x14ac:dyDescent="0.3"/>
    <row r="7316" ht="14.4" customHeight="1" x14ac:dyDescent="0.3"/>
    <row r="7317" ht="14.4" customHeight="1" x14ac:dyDescent="0.3"/>
    <row r="7318" ht="14.4" customHeight="1" x14ac:dyDescent="0.3"/>
    <row r="7319" ht="14.4" customHeight="1" x14ac:dyDescent="0.3"/>
    <row r="7320" ht="14.4" customHeight="1" x14ac:dyDescent="0.3"/>
    <row r="7321" ht="14.4" customHeight="1" x14ac:dyDescent="0.3"/>
    <row r="7322" ht="14.4" customHeight="1" x14ac:dyDescent="0.3"/>
    <row r="7323" ht="14.4" customHeight="1" x14ac:dyDescent="0.3"/>
    <row r="7324" ht="14.4" customHeight="1" x14ac:dyDescent="0.3"/>
    <row r="7325" ht="14.4" customHeight="1" x14ac:dyDescent="0.3"/>
    <row r="7326" ht="14.4" customHeight="1" x14ac:dyDescent="0.3"/>
    <row r="7327" ht="14.4" customHeight="1" x14ac:dyDescent="0.3"/>
    <row r="7328" ht="14.4" customHeight="1" x14ac:dyDescent="0.3"/>
    <row r="7329" ht="14.4" customHeight="1" x14ac:dyDescent="0.3"/>
    <row r="7330" ht="14.4" customHeight="1" x14ac:dyDescent="0.3"/>
    <row r="7331" ht="14.4" customHeight="1" x14ac:dyDescent="0.3"/>
    <row r="7332" ht="14.4" customHeight="1" x14ac:dyDescent="0.3"/>
    <row r="7333" ht="14.4" customHeight="1" x14ac:dyDescent="0.3"/>
    <row r="7334" ht="14.4" customHeight="1" x14ac:dyDescent="0.3"/>
    <row r="7335" ht="14.4" customHeight="1" x14ac:dyDescent="0.3"/>
    <row r="7336" ht="14.4" customHeight="1" x14ac:dyDescent="0.3"/>
    <row r="7337" ht="14.4" customHeight="1" x14ac:dyDescent="0.3"/>
    <row r="7338" ht="14.4" customHeight="1" x14ac:dyDescent="0.3"/>
    <row r="7339" ht="14.4" customHeight="1" x14ac:dyDescent="0.3"/>
    <row r="7340" ht="14.4" customHeight="1" x14ac:dyDescent="0.3"/>
    <row r="7341" ht="14.4" customHeight="1" x14ac:dyDescent="0.3"/>
    <row r="7342" ht="14.4" customHeight="1" x14ac:dyDescent="0.3"/>
    <row r="7343" ht="14.4" customHeight="1" x14ac:dyDescent="0.3"/>
    <row r="7344" ht="14.4" customHeight="1" x14ac:dyDescent="0.3"/>
    <row r="7345" ht="14.4" customHeight="1" x14ac:dyDescent="0.3"/>
    <row r="7346" ht="14.4" customHeight="1" x14ac:dyDescent="0.3"/>
    <row r="7347" ht="14.4" customHeight="1" x14ac:dyDescent="0.3"/>
    <row r="7348" ht="14.4" customHeight="1" x14ac:dyDescent="0.3"/>
    <row r="7349" ht="14.4" customHeight="1" x14ac:dyDescent="0.3"/>
    <row r="7350" ht="14.4" customHeight="1" x14ac:dyDescent="0.3"/>
    <row r="7351" ht="14.4" customHeight="1" x14ac:dyDescent="0.3"/>
    <row r="7352" ht="14.4" customHeight="1" x14ac:dyDescent="0.3"/>
    <row r="7353" ht="14.4" customHeight="1" x14ac:dyDescent="0.3"/>
    <row r="7354" ht="14.4" customHeight="1" x14ac:dyDescent="0.3"/>
    <row r="7355" ht="14.4" customHeight="1" x14ac:dyDescent="0.3"/>
    <row r="7356" ht="14.4" customHeight="1" x14ac:dyDescent="0.3"/>
    <row r="7357" ht="14.4" customHeight="1" x14ac:dyDescent="0.3"/>
    <row r="7358" ht="14.4" customHeight="1" x14ac:dyDescent="0.3"/>
    <row r="7359" ht="14.4" customHeight="1" x14ac:dyDescent="0.3"/>
    <row r="7360" ht="14.4" customHeight="1" x14ac:dyDescent="0.3"/>
    <row r="7361" ht="14.4" customHeight="1" x14ac:dyDescent="0.3"/>
    <row r="7362" ht="14.4" customHeight="1" x14ac:dyDescent="0.3"/>
    <row r="7363" ht="14.4" customHeight="1" x14ac:dyDescent="0.3"/>
    <row r="7364" ht="14.4" customHeight="1" x14ac:dyDescent="0.3"/>
    <row r="7365" ht="14.4" customHeight="1" x14ac:dyDescent="0.3"/>
    <row r="7366" ht="14.4" customHeight="1" x14ac:dyDescent="0.3"/>
    <row r="7367" ht="14.4" customHeight="1" x14ac:dyDescent="0.3"/>
    <row r="7368" ht="14.4" customHeight="1" x14ac:dyDescent="0.3"/>
    <row r="7369" ht="14.4" customHeight="1" x14ac:dyDescent="0.3"/>
    <row r="7370" ht="14.4" customHeight="1" x14ac:dyDescent="0.3"/>
    <row r="7371" ht="14.4" customHeight="1" x14ac:dyDescent="0.3"/>
    <row r="7372" ht="14.4" customHeight="1" x14ac:dyDescent="0.3"/>
    <row r="7373" ht="14.4" customHeight="1" x14ac:dyDescent="0.3"/>
    <row r="7374" ht="14.4" customHeight="1" x14ac:dyDescent="0.3"/>
    <row r="7375" ht="14.4" customHeight="1" x14ac:dyDescent="0.3"/>
    <row r="7376" ht="14.4" customHeight="1" x14ac:dyDescent="0.3"/>
    <row r="7377" ht="14.4" customHeight="1" x14ac:dyDescent="0.3"/>
    <row r="7378" ht="14.4" customHeight="1" x14ac:dyDescent="0.3"/>
    <row r="7379" ht="14.4" customHeight="1" x14ac:dyDescent="0.3"/>
    <row r="7380" ht="14.4" customHeight="1" x14ac:dyDescent="0.3"/>
    <row r="7381" ht="14.4" customHeight="1" x14ac:dyDescent="0.3"/>
    <row r="7382" ht="14.4" customHeight="1" x14ac:dyDescent="0.3"/>
    <row r="7383" ht="14.4" customHeight="1" x14ac:dyDescent="0.3"/>
    <row r="7384" ht="14.4" customHeight="1" x14ac:dyDescent="0.3"/>
    <row r="7385" ht="14.4" customHeight="1" x14ac:dyDescent="0.3"/>
    <row r="7386" ht="14.4" customHeight="1" x14ac:dyDescent="0.3"/>
    <row r="7387" ht="14.4" customHeight="1" x14ac:dyDescent="0.3"/>
    <row r="7388" ht="14.4" customHeight="1" x14ac:dyDescent="0.3"/>
    <row r="7389" ht="14.4" customHeight="1" x14ac:dyDescent="0.3"/>
    <row r="7390" ht="14.4" customHeight="1" x14ac:dyDescent="0.3"/>
    <row r="7391" ht="14.4" customHeight="1" x14ac:dyDescent="0.3"/>
    <row r="7392" ht="14.4" customHeight="1" x14ac:dyDescent="0.3"/>
    <row r="7393" ht="14.4" customHeight="1" x14ac:dyDescent="0.3"/>
    <row r="7394" ht="14.4" customHeight="1" x14ac:dyDescent="0.3"/>
    <row r="7395" ht="14.4" customHeight="1" x14ac:dyDescent="0.3"/>
    <row r="7396" ht="14.4" customHeight="1" x14ac:dyDescent="0.3"/>
    <row r="7397" ht="14.4" customHeight="1" x14ac:dyDescent="0.3"/>
    <row r="7398" ht="14.4" customHeight="1" x14ac:dyDescent="0.3"/>
    <row r="7399" ht="14.4" customHeight="1" x14ac:dyDescent="0.3"/>
    <row r="7400" ht="14.4" customHeight="1" x14ac:dyDescent="0.3"/>
    <row r="7401" ht="14.4" customHeight="1" x14ac:dyDescent="0.3"/>
    <row r="7402" ht="14.4" customHeight="1" x14ac:dyDescent="0.3"/>
    <row r="7403" ht="14.4" customHeight="1" x14ac:dyDescent="0.3"/>
    <row r="7404" ht="14.4" customHeight="1" x14ac:dyDescent="0.3"/>
    <row r="7405" ht="14.4" customHeight="1" x14ac:dyDescent="0.3"/>
    <row r="7406" ht="14.4" customHeight="1" x14ac:dyDescent="0.3"/>
    <row r="7407" ht="14.4" customHeight="1" x14ac:dyDescent="0.3"/>
    <row r="7408" ht="14.4" customHeight="1" x14ac:dyDescent="0.3"/>
    <row r="7409" ht="14.4" customHeight="1" x14ac:dyDescent="0.3"/>
    <row r="7410" ht="14.4" customHeight="1" x14ac:dyDescent="0.3"/>
    <row r="7411" ht="14.4" customHeight="1" x14ac:dyDescent="0.3"/>
    <row r="7412" ht="14.4" customHeight="1" x14ac:dyDescent="0.3"/>
    <row r="7413" ht="14.4" customHeight="1" x14ac:dyDescent="0.3"/>
    <row r="7414" ht="14.4" customHeight="1" x14ac:dyDescent="0.3"/>
    <row r="7415" ht="14.4" customHeight="1" x14ac:dyDescent="0.3"/>
    <row r="7416" ht="14.4" customHeight="1" x14ac:dyDescent="0.3"/>
    <row r="7417" ht="14.4" customHeight="1" x14ac:dyDescent="0.3"/>
    <row r="7418" ht="14.4" customHeight="1" x14ac:dyDescent="0.3"/>
    <row r="7419" ht="14.4" customHeight="1" x14ac:dyDescent="0.3"/>
    <row r="7420" ht="14.4" customHeight="1" x14ac:dyDescent="0.3"/>
    <row r="7421" ht="14.4" customHeight="1" x14ac:dyDescent="0.3"/>
    <row r="7422" ht="14.4" customHeight="1" x14ac:dyDescent="0.3"/>
    <row r="7423" ht="14.4" customHeight="1" x14ac:dyDescent="0.3"/>
    <row r="7424" ht="14.4" customHeight="1" x14ac:dyDescent="0.3"/>
    <row r="7425" ht="14.4" customHeight="1" x14ac:dyDescent="0.3"/>
    <row r="7426" ht="14.4" customHeight="1" x14ac:dyDescent="0.3"/>
    <row r="7427" ht="14.4" customHeight="1" x14ac:dyDescent="0.3"/>
    <row r="7428" ht="14.4" customHeight="1" x14ac:dyDescent="0.3"/>
    <row r="7429" ht="14.4" customHeight="1" x14ac:dyDescent="0.3"/>
    <row r="7430" ht="14.4" customHeight="1" x14ac:dyDescent="0.3"/>
    <row r="7431" ht="14.4" customHeight="1" x14ac:dyDescent="0.3"/>
    <row r="7432" ht="14.4" customHeight="1" x14ac:dyDescent="0.3"/>
    <row r="7433" ht="14.4" customHeight="1" x14ac:dyDescent="0.3"/>
    <row r="7434" ht="14.4" customHeight="1" x14ac:dyDescent="0.3"/>
    <row r="7435" ht="14.4" customHeight="1" x14ac:dyDescent="0.3"/>
    <row r="7436" ht="14.4" customHeight="1" x14ac:dyDescent="0.3"/>
    <row r="7437" ht="14.4" customHeight="1" x14ac:dyDescent="0.3"/>
    <row r="7438" ht="14.4" customHeight="1" x14ac:dyDescent="0.3"/>
    <row r="7439" ht="14.4" customHeight="1" x14ac:dyDescent="0.3"/>
    <row r="7440" ht="14.4" customHeight="1" x14ac:dyDescent="0.3"/>
    <row r="7441" ht="14.4" customHeight="1" x14ac:dyDescent="0.3"/>
    <row r="7442" ht="14.4" customHeight="1" x14ac:dyDescent="0.3"/>
    <row r="7443" ht="14.4" customHeight="1" x14ac:dyDescent="0.3"/>
    <row r="7444" ht="14.4" customHeight="1" x14ac:dyDescent="0.3"/>
    <row r="7445" ht="14.4" customHeight="1" x14ac:dyDescent="0.3"/>
    <row r="7446" ht="14.4" customHeight="1" x14ac:dyDescent="0.3"/>
    <row r="7447" ht="14.4" customHeight="1" x14ac:dyDescent="0.3"/>
    <row r="7448" ht="14.4" customHeight="1" x14ac:dyDescent="0.3"/>
    <row r="7449" ht="14.4" customHeight="1" x14ac:dyDescent="0.3"/>
    <row r="7450" ht="14.4" customHeight="1" x14ac:dyDescent="0.3"/>
    <row r="7451" ht="14.4" customHeight="1" x14ac:dyDescent="0.3"/>
    <row r="7452" ht="14.4" customHeight="1" x14ac:dyDescent="0.3"/>
    <row r="7453" ht="14.4" customHeight="1" x14ac:dyDescent="0.3"/>
    <row r="7454" ht="14.4" customHeight="1" x14ac:dyDescent="0.3"/>
    <row r="7455" ht="14.4" customHeight="1" x14ac:dyDescent="0.3"/>
    <row r="7456" ht="14.4" customHeight="1" x14ac:dyDescent="0.3"/>
    <row r="7457" ht="14.4" customHeight="1" x14ac:dyDescent="0.3"/>
    <row r="7458" ht="14.4" customHeight="1" x14ac:dyDescent="0.3"/>
    <row r="7459" ht="14.4" customHeight="1" x14ac:dyDescent="0.3"/>
    <row r="7460" ht="14.4" customHeight="1" x14ac:dyDescent="0.3"/>
    <row r="7461" ht="14.4" customHeight="1" x14ac:dyDescent="0.3"/>
    <row r="7462" ht="14.4" customHeight="1" x14ac:dyDescent="0.3"/>
    <row r="7463" ht="14.4" customHeight="1" x14ac:dyDescent="0.3"/>
    <row r="7464" ht="14.4" customHeight="1" x14ac:dyDescent="0.3"/>
    <row r="7465" ht="14.4" customHeight="1" x14ac:dyDescent="0.3"/>
    <row r="7466" ht="14.4" customHeight="1" x14ac:dyDescent="0.3"/>
    <row r="7467" ht="14.4" customHeight="1" x14ac:dyDescent="0.3"/>
    <row r="7468" ht="14.4" customHeight="1" x14ac:dyDescent="0.3"/>
    <row r="7469" ht="14.4" customHeight="1" x14ac:dyDescent="0.3"/>
    <row r="7470" ht="14.4" customHeight="1" x14ac:dyDescent="0.3"/>
    <row r="7471" ht="14.4" customHeight="1" x14ac:dyDescent="0.3"/>
    <row r="7472" ht="14.4" customHeight="1" x14ac:dyDescent="0.3"/>
    <row r="7473" ht="14.4" customHeight="1" x14ac:dyDescent="0.3"/>
    <row r="7474" ht="14.4" customHeight="1" x14ac:dyDescent="0.3"/>
    <row r="7475" ht="14.4" customHeight="1" x14ac:dyDescent="0.3"/>
    <row r="7476" ht="14.4" customHeight="1" x14ac:dyDescent="0.3"/>
    <row r="7477" ht="14.4" customHeight="1" x14ac:dyDescent="0.3"/>
    <row r="7478" ht="14.4" customHeight="1" x14ac:dyDescent="0.3"/>
    <row r="7479" ht="14.4" customHeight="1" x14ac:dyDescent="0.3"/>
    <row r="7480" ht="14.4" customHeight="1" x14ac:dyDescent="0.3"/>
    <row r="7481" ht="14.4" customHeight="1" x14ac:dyDescent="0.3"/>
    <row r="7482" ht="14.4" customHeight="1" x14ac:dyDescent="0.3"/>
    <row r="7483" ht="14.4" customHeight="1" x14ac:dyDescent="0.3"/>
    <row r="7484" ht="14.4" customHeight="1" x14ac:dyDescent="0.3"/>
    <row r="7485" ht="14.4" customHeight="1" x14ac:dyDescent="0.3"/>
    <row r="7486" ht="14.4" customHeight="1" x14ac:dyDescent="0.3"/>
    <row r="7487" ht="14.4" customHeight="1" x14ac:dyDescent="0.3"/>
    <row r="7488" ht="14.4" customHeight="1" x14ac:dyDescent="0.3"/>
    <row r="7489" ht="14.4" customHeight="1" x14ac:dyDescent="0.3"/>
    <row r="7490" ht="14.4" customHeight="1" x14ac:dyDescent="0.3"/>
    <row r="7491" ht="14.4" customHeight="1" x14ac:dyDescent="0.3"/>
    <row r="7492" ht="14.4" customHeight="1" x14ac:dyDescent="0.3"/>
    <row r="7493" ht="14.4" customHeight="1" x14ac:dyDescent="0.3"/>
    <row r="7494" ht="14.4" customHeight="1" x14ac:dyDescent="0.3"/>
    <row r="7495" ht="14.4" customHeight="1" x14ac:dyDescent="0.3"/>
    <row r="7496" ht="14.4" customHeight="1" x14ac:dyDescent="0.3"/>
    <row r="7497" ht="14.4" customHeight="1" x14ac:dyDescent="0.3"/>
    <row r="7498" ht="14.4" customHeight="1" x14ac:dyDescent="0.3"/>
    <row r="7499" ht="14.4" customHeight="1" x14ac:dyDescent="0.3"/>
    <row r="7500" ht="14.4" customHeight="1" x14ac:dyDescent="0.3"/>
    <row r="7501" ht="14.4" customHeight="1" x14ac:dyDescent="0.3"/>
    <row r="7502" ht="14.4" customHeight="1" x14ac:dyDescent="0.3"/>
    <row r="7503" ht="14.4" customHeight="1" x14ac:dyDescent="0.3"/>
    <row r="7504" ht="14.4" customHeight="1" x14ac:dyDescent="0.3"/>
    <row r="7505" ht="14.4" customHeight="1" x14ac:dyDescent="0.3"/>
    <row r="7506" ht="14.4" customHeight="1" x14ac:dyDescent="0.3"/>
    <row r="7507" ht="14.4" customHeight="1" x14ac:dyDescent="0.3"/>
    <row r="7508" ht="14.4" customHeight="1" x14ac:dyDescent="0.3"/>
    <row r="7509" ht="14.4" customHeight="1" x14ac:dyDescent="0.3"/>
    <row r="7510" ht="14.4" customHeight="1" x14ac:dyDescent="0.3"/>
    <row r="7511" ht="14.4" customHeight="1" x14ac:dyDescent="0.3"/>
    <row r="7512" ht="14.4" customHeight="1" x14ac:dyDescent="0.3"/>
    <row r="7513" ht="14.4" customHeight="1" x14ac:dyDescent="0.3"/>
    <row r="7514" ht="14.4" customHeight="1" x14ac:dyDescent="0.3"/>
    <row r="7515" ht="14.4" customHeight="1" x14ac:dyDescent="0.3"/>
    <row r="7516" ht="14.4" customHeight="1" x14ac:dyDescent="0.3"/>
    <row r="7517" ht="14.4" customHeight="1" x14ac:dyDescent="0.3"/>
    <row r="7518" ht="14.4" customHeight="1" x14ac:dyDescent="0.3"/>
    <row r="7519" ht="14.4" customHeight="1" x14ac:dyDescent="0.3"/>
    <row r="7520" ht="14.4" customHeight="1" x14ac:dyDescent="0.3"/>
    <row r="7521" ht="14.4" customHeight="1" x14ac:dyDescent="0.3"/>
    <row r="7522" ht="14.4" customHeight="1" x14ac:dyDescent="0.3"/>
    <row r="7523" ht="14.4" customHeight="1" x14ac:dyDescent="0.3"/>
    <row r="7524" ht="14.4" customHeight="1" x14ac:dyDescent="0.3"/>
    <row r="7525" ht="14.4" customHeight="1" x14ac:dyDescent="0.3"/>
    <row r="7526" ht="14.4" customHeight="1" x14ac:dyDescent="0.3"/>
    <row r="7527" ht="14.4" customHeight="1" x14ac:dyDescent="0.3"/>
    <row r="7528" ht="14.4" customHeight="1" x14ac:dyDescent="0.3"/>
    <row r="7529" ht="14.4" customHeight="1" x14ac:dyDescent="0.3"/>
    <row r="7530" ht="14.4" customHeight="1" x14ac:dyDescent="0.3"/>
    <row r="7531" ht="14.4" customHeight="1" x14ac:dyDescent="0.3"/>
    <row r="7532" ht="14.4" customHeight="1" x14ac:dyDescent="0.3"/>
    <row r="7533" ht="14.4" customHeight="1" x14ac:dyDescent="0.3"/>
    <row r="7534" ht="14.4" customHeight="1" x14ac:dyDescent="0.3"/>
    <row r="7535" ht="14.4" customHeight="1" x14ac:dyDescent="0.3"/>
    <row r="7536" ht="14.4" customHeight="1" x14ac:dyDescent="0.3"/>
    <row r="7537" ht="14.4" customHeight="1" x14ac:dyDescent="0.3"/>
    <row r="7538" ht="14.4" customHeight="1" x14ac:dyDescent="0.3"/>
    <row r="7539" ht="14.4" customHeight="1" x14ac:dyDescent="0.3"/>
    <row r="7540" ht="14.4" customHeight="1" x14ac:dyDescent="0.3"/>
    <row r="7541" ht="14.4" customHeight="1" x14ac:dyDescent="0.3"/>
    <row r="7542" ht="14.4" customHeight="1" x14ac:dyDescent="0.3"/>
    <row r="7543" ht="14.4" customHeight="1" x14ac:dyDescent="0.3"/>
    <row r="7544" ht="14.4" customHeight="1" x14ac:dyDescent="0.3"/>
    <row r="7545" ht="14.4" customHeight="1" x14ac:dyDescent="0.3"/>
    <row r="7546" ht="14.4" customHeight="1" x14ac:dyDescent="0.3"/>
    <row r="7547" ht="14.4" customHeight="1" x14ac:dyDescent="0.3"/>
    <row r="7548" ht="14.4" customHeight="1" x14ac:dyDescent="0.3"/>
    <row r="7549" ht="14.4" customHeight="1" x14ac:dyDescent="0.3"/>
    <row r="7550" ht="14.4" customHeight="1" x14ac:dyDescent="0.3"/>
    <row r="7551" ht="14.4" customHeight="1" x14ac:dyDescent="0.3"/>
    <row r="7552" ht="14.4" customHeight="1" x14ac:dyDescent="0.3"/>
    <row r="7553" ht="14.4" customHeight="1" x14ac:dyDescent="0.3"/>
    <row r="7554" ht="14.4" customHeight="1" x14ac:dyDescent="0.3"/>
    <row r="7555" ht="14.4" customHeight="1" x14ac:dyDescent="0.3"/>
    <row r="7556" ht="14.4" customHeight="1" x14ac:dyDescent="0.3"/>
    <row r="7557" ht="14.4" customHeight="1" x14ac:dyDescent="0.3"/>
    <row r="7558" ht="14.4" customHeight="1" x14ac:dyDescent="0.3"/>
    <row r="7559" ht="14.4" customHeight="1" x14ac:dyDescent="0.3"/>
    <row r="7560" ht="14.4" customHeight="1" x14ac:dyDescent="0.3"/>
    <row r="7561" ht="14.4" customHeight="1" x14ac:dyDescent="0.3"/>
    <row r="7562" ht="14.4" customHeight="1" x14ac:dyDescent="0.3"/>
    <row r="7563" ht="14.4" customHeight="1" x14ac:dyDescent="0.3"/>
    <row r="7564" ht="14.4" customHeight="1" x14ac:dyDescent="0.3"/>
    <row r="7565" ht="14.4" customHeight="1" x14ac:dyDescent="0.3"/>
    <row r="7566" ht="14.4" customHeight="1" x14ac:dyDescent="0.3"/>
    <row r="7567" ht="14.4" customHeight="1" x14ac:dyDescent="0.3"/>
    <row r="7568" ht="14.4" customHeight="1" x14ac:dyDescent="0.3"/>
    <row r="7569" ht="14.4" customHeight="1" x14ac:dyDescent="0.3"/>
    <row r="7570" ht="14.4" customHeight="1" x14ac:dyDescent="0.3"/>
    <row r="7571" ht="14.4" customHeight="1" x14ac:dyDescent="0.3"/>
    <row r="7572" ht="14.4" customHeight="1" x14ac:dyDescent="0.3"/>
    <row r="7573" ht="14.4" customHeight="1" x14ac:dyDescent="0.3"/>
    <row r="7574" ht="14.4" customHeight="1" x14ac:dyDescent="0.3"/>
    <row r="7575" ht="14.4" customHeight="1" x14ac:dyDescent="0.3"/>
    <row r="7576" ht="14.4" customHeight="1" x14ac:dyDescent="0.3"/>
    <row r="7577" ht="14.4" customHeight="1" x14ac:dyDescent="0.3"/>
    <row r="7578" ht="14.4" customHeight="1" x14ac:dyDescent="0.3"/>
    <row r="7579" ht="14.4" customHeight="1" x14ac:dyDescent="0.3"/>
    <row r="7580" ht="14.4" customHeight="1" x14ac:dyDescent="0.3"/>
    <row r="7581" ht="14.4" customHeight="1" x14ac:dyDescent="0.3"/>
    <row r="7582" ht="14.4" customHeight="1" x14ac:dyDescent="0.3"/>
    <row r="7583" ht="14.4" customHeight="1" x14ac:dyDescent="0.3"/>
    <row r="7584" ht="14.4" customHeight="1" x14ac:dyDescent="0.3"/>
    <row r="7585" ht="14.4" customHeight="1" x14ac:dyDescent="0.3"/>
    <row r="7586" ht="14.4" customHeight="1" x14ac:dyDescent="0.3"/>
    <row r="7587" ht="14.4" customHeight="1" x14ac:dyDescent="0.3"/>
    <row r="7588" ht="14.4" customHeight="1" x14ac:dyDescent="0.3"/>
    <row r="7589" ht="14.4" customHeight="1" x14ac:dyDescent="0.3"/>
    <row r="7590" ht="14.4" customHeight="1" x14ac:dyDescent="0.3"/>
    <row r="7591" ht="14.4" customHeight="1" x14ac:dyDescent="0.3"/>
    <row r="7592" ht="14.4" customHeight="1" x14ac:dyDescent="0.3"/>
    <row r="7593" ht="14.4" customHeight="1" x14ac:dyDescent="0.3"/>
    <row r="7594" ht="14.4" customHeight="1" x14ac:dyDescent="0.3"/>
    <row r="7595" ht="14.4" customHeight="1" x14ac:dyDescent="0.3"/>
    <row r="7596" ht="14.4" customHeight="1" x14ac:dyDescent="0.3"/>
    <row r="7597" ht="14.4" customHeight="1" x14ac:dyDescent="0.3"/>
    <row r="7598" ht="14.4" customHeight="1" x14ac:dyDescent="0.3"/>
    <row r="7599" ht="14.4" customHeight="1" x14ac:dyDescent="0.3"/>
    <row r="7600" ht="14.4" customHeight="1" x14ac:dyDescent="0.3"/>
    <row r="7601" ht="14.4" customHeight="1" x14ac:dyDescent="0.3"/>
    <row r="7602" ht="14.4" customHeight="1" x14ac:dyDescent="0.3"/>
    <row r="7603" ht="14.4" customHeight="1" x14ac:dyDescent="0.3"/>
    <row r="7604" ht="14.4" customHeight="1" x14ac:dyDescent="0.3"/>
    <row r="7605" ht="14.4" customHeight="1" x14ac:dyDescent="0.3"/>
    <row r="7606" ht="14.4" customHeight="1" x14ac:dyDescent="0.3"/>
    <row r="7607" ht="14.4" customHeight="1" x14ac:dyDescent="0.3"/>
    <row r="7608" ht="14.4" customHeight="1" x14ac:dyDescent="0.3"/>
    <row r="7609" ht="14.4" customHeight="1" x14ac:dyDescent="0.3"/>
    <row r="7610" ht="14.4" customHeight="1" x14ac:dyDescent="0.3"/>
    <row r="7611" ht="14.4" customHeight="1" x14ac:dyDescent="0.3"/>
    <row r="7612" ht="14.4" customHeight="1" x14ac:dyDescent="0.3"/>
    <row r="7613" ht="14.4" customHeight="1" x14ac:dyDescent="0.3"/>
    <row r="7614" ht="14.4" customHeight="1" x14ac:dyDescent="0.3"/>
    <row r="7615" ht="14.4" customHeight="1" x14ac:dyDescent="0.3"/>
    <row r="7616" ht="14.4" customHeight="1" x14ac:dyDescent="0.3"/>
    <row r="7617" ht="14.4" customHeight="1" x14ac:dyDescent="0.3"/>
    <row r="7618" ht="14.4" customHeight="1" x14ac:dyDescent="0.3"/>
    <row r="7619" ht="14.4" customHeight="1" x14ac:dyDescent="0.3"/>
    <row r="7620" ht="14.4" customHeight="1" x14ac:dyDescent="0.3"/>
    <row r="7621" ht="14.4" customHeight="1" x14ac:dyDescent="0.3"/>
    <row r="7622" ht="14.4" customHeight="1" x14ac:dyDescent="0.3"/>
    <row r="7623" ht="14.4" customHeight="1" x14ac:dyDescent="0.3"/>
    <row r="7624" ht="14.4" customHeight="1" x14ac:dyDescent="0.3"/>
    <row r="7625" ht="14.4" customHeight="1" x14ac:dyDescent="0.3"/>
    <row r="7626" ht="14.4" customHeight="1" x14ac:dyDescent="0.3"/>
    <row r="7627" ht="14.4" customHeight="1" x14ac:dyDescent="0.3"/>
    <row r="7628" ht="14.4" customHeight="1" x14ac:dyDescent="0.3"/>
    <row r="7629" ht="14.4" customHeight="1" x14ac:dyDescent="0.3"/>
    <row r="7630" ht="14.4" customHeight="1" x14ac:dyDescent="0.3"/>
    <row r="7631" ht="14.4" customHeight="1" x14ac:dyDescent="0.3"/>
    <row r="7632" ht="14.4" customHeight="1" x14ac:dyDescent="0.3"/>
    <row r="7633" ht="14.4" customHeight="1" x14ac:dyDescent="0.3"/>
    <row r="7634" ht="14.4" customHeight="1" x14ac:dyDescent="0.3"/>
    <row r="7635" ht="14.4" customHeight="1" x14ac:dyDescent="0.3"/>
    <row r="7636" ht="14.4" customHeight="1" x14ac:dyDescent="0.3"/>
    <row r="7637" ht="14.4" customHeight="1" x14ac:dyDescent="0.3"/>
    <row r="7638" ht="14.4" customHeight="1" x14ac:dyDescent="0.3"/>
    <row r="7639" ht="14.4" customHeight="1" x14ac:dyDescent="0.3"/>
    <row r="7640" ht="14.4" customHeight="1" x14ac:dyDescent="0.3"/>
    <row r="7641" ht="14.4" customHeight="1" x14ac:dyDescent="0.3"/>
    <row r="7642" ht="14.4" customHeight="1" x14ac:dyDescent="0.3"/>
    <row r="7643" ht="14.4" customHeight="1" x14ac:dyDescent="0.3"/>
    <row r="7644" ht="14.4" customHeight="1" x14ac:dyDescent="0.3"/>
    <row r="7645" ht="14.4" customHeight="1" x14ac:dyDescent="0.3"/>
    <row r="7646" ht="14.4" customHeight="1" x14ac:dyDescent="0.3"/>
    <row r="7647" ht="14.4" customHeight="1" x14ac:dyDescent="0.3"/>
    <row r="7648" ht="14.4" customHeight="1" x14ac:dyDescent="0.3"/>
    <row r="7649" ht="14.4" customHeight="1" x14ac:dyDescent="0.3"/>
    <row r="7650" ht="14.4" customHeight="1" x14ac:dyDescent="0.3"/>
    <row r="7651" ht="14.4" customHeight="1" x14ac:dyDescent="0.3"/>
    <row r="7652" ht="14.4" customHeight="1" x14ac:dyDescent="0.3"/>
    <row r="7653" ht="14.4" customHeight="1" x14ac:dyDescent="0.3"/>
    <row r="7654" ht="14.4" customHeight="1" x14ac:dyDescent="0.3"/>
    <row r="7655" ht="14.4" customHeight="1" x14ac:dyDescent="0.3"/>
    <row r="7656" ht="14.4" customHeight="1" x14ac:dyDescent="0.3"/>
    <row r="7657" ht="14.4" customHeight="1" x14ac:dyDescent="0.3"/>
    <row r="7658" ht="14.4" customHeight="1" x14ac:dyDescent="0.3"/>
    <row r="7659" ht="14.4" customHeight="1" x14ac:dyDescent="0.3"/>
    <row r="7660" ht="14.4" customHeight="1" x14ac:dyDescent="0.3"/>
    <row r="7661" ht="14.4" customHeight="1" x14ac:dyDescent="0.3"/>
    <row r="7662" ht="14.4" customHeight="1" x14ac:dyDescent="0.3"/>
    <row r="7663" ht="14.4" customHeight="1" x14ac:dyDescent="0.3"/>
    <row r="7664" ht="14.4" customHeight="1" x14ac:dyDescent="0.3"/>
    <row r="7665" ht="14.4" customHeight="1" x14ac:dyDescent="0.3"/>
    <row r="7666" ht="14.4" customHeight="1" x14ac:dyDescent="0.3"/>
    <row r="7667" ht="14.4" customHeight="1" x14ac:dyDescent="0.3"/>
    <row r="7668" ht="14.4" customHeight="1" x14ac:dyDescent="0.3"/>
    <row r="7669" ht="14.4" customHeight="1" x14ac:dyDescent="0.3"/>
    <row r="7670" ht="14.4" customHeight="1" x14ac:dyDescent="0.3"/>
    <row r="7671" ht="14.4" customHeight="1" x14ac:dyDescent="0.3"/>
    <row r="7672" ht="14.4" customHeight="1" x14ac:dyDescent="0.3"/>
    <row r="7673" ht="14.4" customHeight="1" x14ac:dyDescent="0.3"/>
    <row r="7674" ht="14.4" customHeight="1" x14ac:dyDescent="0.3"/>
    <row r="7675" ht="14.4" customHeight="1" x14ac:dyDescent="0.3"/>
    <row r="7676" ht="14.4" customHeight="1" x14ac:dyDescent="0.3"/>
    <row r="7677" ht="14.4" customHeight="1" x14ac:dyDescent="0.3"/>
    <row r="7678" ht="14.4" customHeight="1" x14ac:dyDescent="0.3"/>
    <row r="7679" ht="14.4" customHeight="1" x14ac:dyDescent="0.3"/>
    <row r="7680" ht="14.4" customHeight="1" x14ac:dyDescent="0.3"/>
    <row r="7681" ht="14.4" customHeight="1" x14ac:dyDescent="0.3"/>
    <row r="7682" ht="14.4" customHeight="1" x14ac:dyDescent="0.3"/>
    <row r="7683" ht="14.4" customHeight="1" x14ac:dyDescent="0.3"/>
    <row r="7684" ht="14.4" customHeight="1" x14ac:dyDescent="0.3"/>
    <row r="7685" ht="14.4" customHeight="1" x14ac:dyDescent="0.3"/>
    <row r="7686" ht="14.4" customHeight="1" x14ac:dyDescent="0.3"/>
    <row r="7687" ht="14.4" customHeight="1" x14ac:dyDescent="0.3"/>
    <row r="7688" ht="14.4" customHeight="1" x14ac:dyDescent="0.3"/>
    <row r="7689" ht="14.4" customHeight="1" x14ac:dyDescent="0.3"/>
    <row r="7690" ht="14.4" customHeight="1" x14ac:dyDescent="0.3"/>
    <row r="7691" ht="14.4" customHeight="1" x14ac:dyDescent="0.3"/>
    <row r="7692" ht="14.4" customHeight="1" x14ac:dyDescent="0.3"/>
    <row r="7693" ht="14.4" customHeight="1" x14ac:dyDescent="0.3"/>
    <row r="7694" ht="14.4" customHeight="1" x14ac:dyDescent="0.3"/>
    <row r="7695" ht="14.4" customHeight="1" x14ac:dyDescent="0.3"/>
    <row r="7696" ht="14.4" customHeight="1" x14ac:dyDescent="0.3"/>
    <row r="7697" ht="14.4" customHeight="1" x14ac:dyDescent="0.3"/>
    <row r="7698" ht="14.4" customHeight="1" x14ac:dyDescent="0.3"/>
    <row r="7699" ht="14.4" customHeight="1" x14ac:dyDescent="0.3"/>
    <row r="7700" ht="14.4" customHeight="1" x14ac:dyDescent="0.3"/>
    <row r="7701" ht="14.4" customHeight="1" x14ac:dyDescent="0.3"/>
    <row r="7702" ht="14.4" customHeight="1" x14ac:dyDescent="0.3"/>
    <row r="7703" ht="14.4" customHeight="1" x14ac:dyDescent="0.3"/>
    <row r="7704" ht="14.4" customHeight="1" x14ac:dyDescent="0.3"/>
    <row r="7705" ht="14.4" customHeight="1" x14ac:dyDescent="0.3"/>
    <row r="7706" ht="14.4" customHeight="1" x14ac:dyDescent="0.3"/>
    <row r="7707" ht="14.4" customHeight="1" x14ac:dyDescent="0.3"/>
    <row r="7708" ht="14.4" customHeight="1" x14ac:dyDescent="0.3"/>
    <row r="7709" ht="14.4" customHeight="1" x14ac:dyDescent="0.3"/>
    <row r="7710" ht="14.4" customHeight="1" x14ac:dyDescent="0.3"/>
    <row r="7711" ht="14.4" customHeight="1" x14ac:dyDescent="0.3"/>
    <row r="7712" ht="14.4" customHeight="1" x14ac:dyDescent="0.3"/>
    <row r="7713" ht="14.4" customHeight="1" x14ac:dyDescent="0.3"/>
    <row r="7714" ht="14.4" customHeight="1" x14ac:dyDescent="0.3"/>
    <row r="7715" ht="14.4" customHeight="1" x14ac:dyDescent="0.3"/>
    <row r="7716" ht="14.4" customHeight="1" x14ac:dyDescent="0.3"/>
    <row r="7717" ht="14.4" customHeight="1" x14ac:dyDescent="0.3"/>
    <row r="7718" ht="14.4" customHeight="1" x14ac:dyDescent="0.3"/>
    <row r="7719" ht="14.4" customHeight="1" x14ac:dyDescent="0.3"/>
    <row r="7720" ht="14.4" customHeight="1" x14ac:dyDescent="0.3"/>
    <row r="7721" ht="14.4" customHeight="1" x14ac:dyDescent="0.3"/>
    <row r="7722" ht="14.4" customHeight="1" x14ac:dyDescent="0.3"/>
    <row r="7723" ht="14.4" customHeight="1" x14ac:dyDescent="0.3"/>
    <row r="7724" ht="14.4" customHeight="1" x14ac:dyDescent="0.3"/>
    <row r="7725" ht="14.4" customHeight="1" x14ac:dyDescent="0.3"/>
    <row r="7726" ht="14.4" customHeight="1" x14ac:dyDescent="0.3"/>
    <row r="7727" ht="14.4" customHeight="1" x14ac:dyDescent="0.3"/>
    <row r="7728" ht="14.4" customHeight="1" x14ac:dyDescent="0.3"/>
    <row r="7729" ht="14.4" customHeight="1" x14ac:dyDescent="0.3"/>
    <row r="7730" ht="14.4" customHeight="1" x14ac:dyDescent="0.3"/>
    <row r="7731" ht="14.4" customHeight="1" x14ac:dyDescent="0.3"/>
    <row r="7732" ht="14.4" customHeight="1" x14ac:dyDescent="0.3"/>
    <row r="7733" ht="14.4" customHeight="1" x14ac:dyDescent="0.3"/>
    <row r="7734" ht="14.4" customHeight="1" x14ac:dyDescent="0.3"/>
    <row r="7735" ht="14.4" customHeight="1" x14ac:dyDescent="0.3"/>
    <row r="7736" ht="14.4" customHeight="1" x14ac:dyDescent="0.3"/>
    <row r="7737" ht="14.4" customHeight="1" x14ac:dyDescent="0.3"/>
    <row r="7738" ht="14.4" customHeight="1" x14ac:dyDescent="0.3"/>
    <row r="7739" ht="14.4" customHeight="1" x14ac:dyDescent="0.3"/>
    <row r="7740" ht="14.4" customHeight="1" x14ac:dyDescent="0.3"/>
    <row r="7741" ht="14.4" customHeight="1" x14ac:dyDescent="0.3"/>
    <row r="7742" ht="14.4" customHeight="1" x14ac:dyDescent="0.3"/>
    <row r="7743" ht="14.4" customHeight="1" x14ac:dyDescent="0.3"/>
    <row r="7744" ht="14.4" customHeight="1" x14ac:dyDescent="0.3"/>
    <row r="7745" ht="14.4" customHeight="1" x14ac:dyDescent="0.3"/>
    <row r="7746" ht="14.4" customHeight="1" x14ac:dyDescent="0.3"/>
    <row r="7747" ht="14.4" customHeight="1" x14ac:dyDescent="0.3"/>
    <row r="7748" ht="14.4" customHeight="1" x14ac:dyDescent="0.3"/>
    <row r="7749" ht="14.4" customHeight="1" x14ac:dyDescent="0.3"/>
    <row r="7750" ht="14.4" customHeight="1" x14ac:dyDescent="0.3"/>
    <row r="7751" ht="14.4" customHeight="1" x14ac:dyDescent="0.3"/>
    <row r="7752" ht="14.4" customHeight="1" x14ac:dyDescent="0.3"/>
    <row r="7753" ht="14.4" customHeight="1" x14ac:dyDescent="0.3"/>
    <row r="7754" ht="14.4" customHeight="1" x14ac:dyDescent="0.3"/>
    <row r="7755" ht="14.4" customHeight="1" x14ac:dyDescent="0.3"/>
    <row r="7756" ht="14.4" customHeight="1" x14ac:dyDescent="0.3"/>
    <row r="7757" ht="14.4" customHeight="1" x14ac:dyDescent="0.3"/>
    <row r="7758" ht="14.4" customHeight="1" x14ac:dyDescent="0.3"/>
    <row r="7759" ht="14.4" customHeight="1" x14ac:dyDescent="0.3"/>
    <row r="7760" ht="14.4" customHeight="1" x14ac:dyDescent="0.3"/>
    <row r="7761" ht="14.4" customHeight="1" x14ac:dyDescent="0.3"/>
    <row r="7762" ht="14.4" customHeight="1" x14ac:dyDescent="0.3"/>
    <row r="7763" ht="14.4" customHeight="1" x14ac:dyDescent="0.3"/>
    <row r="7764" ht="14.4" customHeight="1" x14ac:dyDescent="0.3"/>
    <row r="7765" ht="14.4" customHeight="1" x14ac:dyDescent="0.3"/>
    <row r="7766" ht="14.4" customHeight="1" x14ac:dyDescent="0.3"/>
    <row r="7767" ht="14.4" customHeight="1" x14ac:dyDescent="0.3"/>
    <row r="7768" ht="14.4" customHeight="1" x14ac:dyDescent="0.3"/>
    <row r="7769" ht="14.4" customHeight="1" x14ac:dyDescent="0.3"/>
    <row r="7770" ht="14.4" customHeight="1" x14ac:dyDescent="0.3"/>
    <row r="7771" ht="14.4" customHeight="1" x14ac:dyDescent="0.3"/>
    <row r="7772" ht="14.4" customHeight="1" x14ac:dyDescent="0.3"/>
    <row r="7773" ht="14.4" customHeight="1" x14ac:dyDescent="0.3"/>
    <row r="7774" ht="14.4" customHeight="1" x14ac:dyDescent="0.3"/>
    <row r="7775" ht="14.4" customHeight="1" x14ac:dyDescent="0.3"/>
    <row r="7776" ht="14.4" customHeight="1" x14ac:dyDescent="0.3"/>
    <row r="7777" ht="14.4" customHeight="1" x14ac:dyDescent="0.3"/>
    <row r="7778" ht="14.4" customHeight="1" x14ac:dyDescent="0.3"/>
    <row r="7779" ht="14.4" customHeight="1" x14ac:dyDescent="0.3"/>
    <row r="7780" ht="14.4" customHeight="1" x14ac:dyDescent="0.3"/>
    <row r="7781" ht="14.4" customHeight="1" x14ac:dyDescent="0.3"/>
    <row r="7782" ht="14.4" customHeight="1" x14ac:dyDescent="0.3"/>
    <row r="7783" ht="14.4" customHeight="1" x14ac:dyDescent="0.3"/>
    <row r="7784" ht="14.4" customHeight="1" x14ac:dyDescent="0.3"/>
    <row r="7785" ht="14.4" customHeight="1" x14ac:dyDescent="0.3"/>
    <row r="7786" ht="14.4" customHeight="1" x14ac:dyDescent="0.3"/>
    <row r="7787" ht="14.4" customHeight="1" x14ac:dyDescent="0.3"/>
    <row r="7788" ht="14.4" customHeight="1" x14ac:dyDescent="0.3"/>
    <row r="7789" ht="14.4" customHeight="1" x14ac:dyDescent="0.3"/>
    <row r="7790" ht="14.4" customHeight="1" x14ac:dyDescent="0.3"/>
    <row r="7791" ht="14.4" customHeight="1" x14ac:dyDescent="0.3"/>
    <row r="7792" ht="14.4" customHeight="1" x14ac:dyDescent="0.3"/>
    <row r="7793" ht="14.4" customHeight="1" x14ac:dyDescent="0.3"/>
    <row r="7794" ht="14.4" customHeight="1" x14ac:dyDescent="0.3"/>
    <row r="7795" ht="14.4" customHeight="1" x14ac:dyDescent="0.3"/>
    <row r="7796" ht="14.4" customHeight="1" x14ac:dyDescent="0.3"/>
    <row r="7797" ht="14.4" customHeight="1" x14ac:dyDescent="0.3"/>
    <row r="7798" ht="14.4" customHeight="1" x14ac:dyDescent="0.3"/>
    <row r="7799" ht="14.4" customHeight="1" x14ac:dyDescent="0.3"/>
    <row r="7800" ht="14.4" customHeight="1" x14ac:dyDescent="0.3"/>
    <row r="7801" ht="14.4" customHeight="1" x14ac:dyDescent="0.3"/>
    <row r="7802" ht="14.4" customHeight="1" x14ac:dyDescent="0.3"/>
    <row r="7803" ht="14.4" customHeight="1" x14ac:dyDescent="0.3"/>
    <row r="7804" ht="14.4" customHeight="1" x14ac:dyDescent="0.3"/>
    <row r="7805" ht="14.4" customHeight="1" x14ac:dyDescent="0.3"/>
    <row r="7806" ht="14.4" customHeight="1" x14ac:dyDescent="0.3"/>
    <row r="7807" ht="14.4" customHeight="1" x14ac:dyDescent="0.3"/>
    <row r="7808" ht="14.4" customHeight="1" x14ac:dyDescent="0.3"/>
    <row r="7809" ht="14.4" customHeight="1" x14ac:dyDescent="0.3"/>
    <row r="7810" ht="14.4" customHeight="1" x14ac:dyDescent="0.3"/>
    <row r="7811" ht="14.4" customHeight="1" x14ac:dyDescent="0.3"/>
    <row r="7812" ht="14.4" customHeight="1" x14ac:dyDescent="0.3"/>
    <row r="7813" ht="14.4" customHeight="1" x14ac:dyDescent="0.3"/>
    <row r="7814" ht="14.4" customHeight="1" x14ac:dyDescent="0.3"/>
    <row r="7815" ht="14.4" customHeight="1" x14ac:dyDescent="0.3"/>
    <row r="7816" ht="14.4" customHeight="1" x14ac:dyDescent="0.3"/>
    <row r="7817" ht="14.4" customHeight="1" x14ac:dyDescent="0.3"/>
    <row r="7818" ht="14.4" customHeight="1" x14ac:dyDescent="0.3"/>
    <row r="7819" ht="14.4" customHeight="1" x14ac:dyDescent="0.3"/>
    <row r="7820" ht="14.4" customHeight="1" x14ac:dyDescent="0.3"/>
    <row r="7821" ht="14.4" customHeight="1" x14ac:dyDescent="0.3"/>
    <row r="7822" ht="14.4" customHeight="1" x14ac:dyDescent="0.3"/>
    <row r="7823" ht="14.4" customHeight="1" x14ac:dyDescent="0.3"/>
    <row r="7824" ht="14.4" customHeight="1" x14ac:dyDescent="0.3"/>
    <row r="7825" ht="14.4" customHeight="1" x14ac:dyDescent="0.3"/>
    <row r="7826" ht="14.4" customHeight="1" x14ac:dyDescent="0.3"/>
    <row r="7827" ht="14.4" customHeight="1" x14ac:dyDescent="0.3"/>
    <row r="7828" ht="14.4" customHeight="1" x14ac:dyDescent="0.3"/>
    <row r="7829" ht="14.4" customHeight="1" x14ac:dyDescent="0.3"/>
    <row r="7830" ht="14.4" customHeight="1" x14ac:dyDescent="0.3"/>
    <row r="7831" ht="14.4" customHeight="1" x14ac:dyDescent="0.3"/>
    <row r="7832" ht="14.4" customHeight="1" x14ac:dyDescent="0.3"/>
    <row r="7833" ht="14.4" customHeight="1" x14ac:dyDescent="0.3"/>
    <row r="7834" ht="14.4" customHeight="1" x14ac:dyDescent="0.3"/>
    <row r="7835" ht="14.4" customHeight="1" x14ac:dyDescent="0.3"/>
    <row r="7836" ht="14.4" customHeight="1" x14ac:dyDescent="0.3"/>
    <row r="7837" ht="14.4" customHeight="1" x14ac:dyDescent="0.3"/>
    <row r="7838" ht="14.4" customHeight="1" x14ac:dyDescent="0.3"/>
    <row r="7839" ht="14.4" customHeight="1" x14ac:dyDescent="0.3"/>
    <row r="7840" ht="14.4" customHeight="1" x14ac:dyDescent="0.3"/>
    <row r="7841" ht="14.4" customHeight="1" x14ac:dyDescent="0.3"/>
    <row r="7842" ht="14.4" customHeight="1" x14ac:dyDescent="0.3"/>
    <row r="7843" ht="14.4" customHeight="1" x14ac:dyDescent="0.3"/>
    <row r="7844" ht="14.4" customHeight="1" x14ac:dyDescent="0.3"/>
    <row r="7845" ht="14.4" customHeight="1" x14ac:dyDescent="0.3"/>
    <row r="7846" ht="14.4" customHeight="1" x14ac:dyDescent="0.3"/>
    <row r="7847" ht="14.4" customHeight="1" x14ac:dyDescent="0.3"/>
    <row r="7848" ht="14.4" customHeight="1" x14ac:dyDescent="0.3"/>
    <row r="7849" ht="14.4" customHeight="1" x14ac:dyDescent="0.3"/>
    <row r="7850" ht="14.4" customHeight="1" x14ac:dyDescent="0.3"/>
    <row r="7851" ht="14.4" customHeight="1" x14ac:dyDescent="0.3"/>
    <row r="7852" ht="14.4" customHeight="1" x14ac:dyDescent="0.3"/>
    <row r="7853" ht="14.4" customHeight="1" x14ac:dyDescent="0.3"/>
    <row r="7854" ht="14.4" customHeight="1" x14ac:dyDescent="0.3"/>
    <row r="7855" ht="14.4" customHeight="1" x14ac:dyDescent="0.3"/>
    <row r="7856" ht="14.4" customHeight="1" x14ac:dyDescent="0.3"/>
    <row r="7857" ht="14.4" customHeight="1" x14ac:dyDescent="0.3"/>
    <row r="7858" ht="14.4" customHeight="1" x14ac:dyDescent="0.3"/>
    <row r="7859" ht="14.4" customHeight="1" x14ac:dyDescent="0.3"/>
    <row r="7860" ht="14.4" customHeight="1" x14ac:dyDescent="0.3"/>
    <row r="7861" ht="14.4" customHeight="1" x14ac:dyDescent="0.3"/>
    <row r="7862" ht="14.4" customHeight="1" x14ac:dyDescent="0.3"/>
    <row r="7863" ht="14.4" customHeight="1" x14ac:dyDescent="0.3"/>
    <row r="7864" ht="14.4" customHeight="1" x14ac:dyDescent="0.3"/>
    <row r="7865" ht="14.4" customHeight="1" x14ac:dyDescent="0.3"/>
    <row r="7866" ht="14.4" customHeight="1" x14ac:dyDescent="0.3"/>
    <row r="7867" ht="14.4" customHeight="1" x14ac:dyDescent="0.3"/>
    <row r="7868" ht="14.4" customHeight="1" x14ac:dyDescent="0.3"/>
    <row r="7869" ht="14.4" customHeight="1" x14ac:dyDescent="0.3"/>
    <row r="7870" ht="14.4" customHeight="1" x14ac:dyDescent="0.3"/>
    <row r="7871" ht="14.4" customHeight="1" x14ac:dyDescent="0.3"/>
    <row r="7872" ht="14.4" customHeight="1" x14ac:dyDescent="0.3"/>
    <row r="7873" ht="14.4" customHeight="1" x14ac:dyDescent="0.3"/>
    <row r="7874" ht="14.4" customHeight="1" x14ac:dyDescent="0.3"/>
    <row r="7875" ht="14.4" customHeight="1" x14ac:dyDescent="0.3"/>
    <row r="7876" ht="14.4" customHeight="1" x14ac:dyDescent="0.3"/>
    <row r="7877" ht="14.4" customHeight="1" x14ac:dyDescent="0.3"/>
    <row r="7878" ht="14.4" customHeight="1" x14ac:dyDescent="0.3"/>
    <row r="7879" ht="14.4" customHeight="1" x14ac:dyDescent="0.3"/>
    <row r="7880" ht="14.4" customHeight="1" x14ac:dyDescent="0.3"/>
    <row r="7881" ht="14.4" customHeight="1" x14ac:dyDescent="0.3"/>
    <row r="7882" ht="14.4" customHeight="1" x14ac:dyDescent="0.3"/>
    <row r="7883" ht="14.4" customHeight="1" x14ac:dyDescent="0.3"/>
    <row r="7884" ht="14.4" customHeight="1" x14ac:dyDescent="0.3"/>
    <row r="7885" ht="14.4" customHeight="1" x14ac:dyDescent="0.3"/>
    <row r="7886" ht="14.4" customHeight="1" x14ac:dyDescent="0.3"/>
    <row r="7887" ht="14.4" customHeight="1" x14ac:dyDescent="0.3"/>
    <row r="7888" ht="14.4" customHeight="1" x14ac:dyDescent="0.3"/>
    <row r="7889" ht="14.4" customHeight="1" x14ac:dyDescent="0.3"/>
    <row r="7890" ht="14.4" customHeight="1" x14ac:dyDescent="0.3"/>
    <row r="7891" ht="14.4" customHeight="1" x14ac:dyDescent="0.3"/>
    <row r="7892" ht="14.4" customHeight="1" x14ac:dyDescent="0.3"/>
    <row r="7893" ht="14.4" customHeight="1" x14ac:dyDescent="0.3"/>
    <row r="7894" ht="14.4" customHeight="1" x14ac:dyDescent="0.3"/>
    <row r="7895" ht="14.4" customHeight="1" x14ac:dyDescent="0.3"/>
    <row r="7896" ht="14.4" customHeight="1" x14ac:dyDescent="0.3"/>
    <row r="7897" ht="14.4" customHeight="1" x14ac:dyDescent="0.3"/>
    <row r="7898" ht="14.4" customHeight="1" x14ac:dyDescent="0.3"/>
    <row r="7899" ht="14.4" customHeight="1" x14ac:dyDescent="0.3"/>
    <row r="7900" ht="14.4" customHeight="1" x14ac:dyDescent="0.3"/>
    <row r="7901" ht="14.4" customHeight="1" x14ac:dyDescent="0.3"/>
    <row r="7902" ht="14.4" customHeight="1" x14ac:dyDescent="0.3"/>
    <row r="7903" ht="14.4" customHeight="1" x14ac:dyDescent="0.3"/>
    <row r="7904" ht="14.4" customHeight="1" x14ac:dyDescent="0.3"/>
    <row r="7905" ht="14.4" customHeight="1" x14ac:dyDescent="0.3"/>
    <row r="7906" ht="14.4" customHeight="1" x14ac:dyDescent="0.3"/>
    <row r="7907" ht="14.4" customHeight="1" x14ac:dyDescent="0.3"/>
    <row r="7908" ht="14.4" customHeight="1" x14ac:dyDescent="0.3"/>
    <row r="7909" ht="14.4" customHeight="1" x14ac:dyDescent="0.3"/>
    <row r="7910" ht="14.4" customHeight="1" x14ac:dyDescent="0.3"/>
    <row r="7911" ht="14.4" customHeight="1" x14ac:dyDescent="0.3"/>
    <row r="7912" ht="14.4" customHeight="1" x14ac:dyDescent="0.3"/>
    <row r="7913" ht="14.4" customHeight="1" x14ac:dyDescent="0.3"/>
    <row r="7914" ht="14.4" customHeight="1" x14ac:dyDescent="0.3"/>
    <row r="7915" ht="14.4" customHeight="1" x14ac:dyDescent="0.3"/>
    <row r="7916" ht="14.4" customHeight="1" x14ac:dyDescent="0.3"/>
    <row r="7917" ht="14.4" customHeight="1" x14ac:dyDescent="0.3"/>
    <row r="7918" ht="14.4" customHeight="1" x14ac:dyDescent="0.3"/>
    <row r="7919" ht="14.4" customHeight="1" x14ac:dyDescent="0.3"/>
    <row r="7920" ht="14.4" customHeight="1" x14ac:dyDescent="0.3"/>
    <row r="7921" ht="14.4" customHeight="1" x14ac:dyDescent="0.3"/>
    <row r="7922" ht="14.4" customHeight="1" x14ac:dyDescent="0.3"/>
    <row r="7923" ht="14.4" customHeight="1" x14ac:dyDescent="0.3"/>
    <row r="7924" ht="14.4" customHeight="1" x14ac:dyDescent="0.3"/>
    <row r="7925" ht="14.4" customHeight="1" x14ac:dyDescent="0.3"/>
    <row r="7926" ht="14.4" customHeight="1" x14ac:dyDescent="0.3"/>
    <row r="7927" ht="14.4" customHeight="1" x14ac:dyDescent="0.3"/>
    <row r="7928" ht="14.4" customHeight="1" x14ac:dyDescent="0.3"/>
    <row r="7929" ht="14.4" customHeight="1" x14ac:dyDescent="0.3"/>
    <row r="7930" ht="14.4" customHeight="1" x14ac:dyDescent="0.3"/>
    <row r="7931" ht="14.4" customHeight="1" x14ac:dyDescent="0.3"/>
    <row r="7932" ht="14.4" customHeight="1" x14ac:dyDescent="0.3"/>
    <row r="7933" ht="14.4" customHeight="1" x14ac:dyDescent="0.3"/>
    <row r="7934" ht="14.4" customHeight="1" x14ac:dyDescent="0.3"/>
    <row r="7935" ht="14.4" customHeight="1" x14ac:dyDescent="0.3"/>
    <row r="7936" ht="14.4" customHeight="1" x14ac:dyDescent="0.3"/>
    <row r="7937" ht="14.4" customHeight="1" x14ac:dyDescent="0.3"/>
    <row r="7938" ht="14.4" customHeight="1" x14ac:dyDescent="0.3"/>
    <row r="7939" ht="14.4" customHeight="1" x14ac:dyDescent="0.3"/>
    <row r="7940" ht="14.4" customHeight="1" x14ac:dyDescent="0.3"/>
    <row r="7941" ht="14.4" customHeight="1" x14ac:dyDescent="0.3"/>
    <row r="7942" ht="14.4" customHeight="1" x14ac:dyDescent="0.3"/>
    <row r="7943" ht="14.4" customHeight="1" x14ac:dyDescent="0.3"/>
    <row r="7944" ht="14.4" customHeight="1" x14ac:dyDescent="0.3"/>
    <row r="7945" ht="14.4" customHeight="1" x14ac:dyDescent="0.3"/>
    <row r="7946" ht="14.4" customHeight="1" x14ac:dyDescent="0.3"/>
    <row r="7947" ht="14.4" customHeight="1" x14ac:dyDescent="0.3"/>
    <row r="7948" ht="14.4" customHeight="1" x14ac:dyDescent="0.3"/>
    <row r="7949" ht="14.4" customHeight="1" x14ac:dyDescent="0.3"/>
    <row r="7950" ht="14.4" customHeight="1" x14ac:dyDescent="0.3"/>
    <row r="7951" ht="14.4" customHeight="1" x14ac:dyDescent="0.3"/>
    <row r="7952" ht="14.4" customHeight="1" x14ac:dyDescent="0.3"/>
    <row r="7953" ht="14.4" customHeight="1" x14ac:dyDescent="0.3"/>
    <row r="7954" ht="14.4" customHeight="1" x14ac:dyDescent="0.3"/>
    <row r="7955" ht="14.4" customHeight="1" x14ac:dyDescent="0.3"/>
    <row r="7956" ht="14.4" customHeight="1" x14ac:dyDescent="0.3"/>
    <row r="7957" ht="14.4" customHeight="1" x14ac:dyDescent="0.3"/>
    <row r="7958" ht="14.4" customHeight="1" x14ac:dyDescent="0.3"/>
    <row r="7959" ht="14.4" customHeight="1" x14ac:dyDescent="0.3"/>
    <row r="7960" ht="14.4" customHeight="1" x14ac:dyDescent="0.3"/>
    <row r="7961" ht="14.4" customHeight="1" x14ac:dyDescent="0.3"/>
    <row r="7962" ht="14.4" customHeight="1" x14ac:dyDescent="0.3"/>
    <row r="7963" ht="14.4" customHeight="1" x14ac:dyDescent="0.3"/>
    <row r="7964" ht="14.4" customHeight="1" x14ac:dyDescent="0.3"/>
    <row r="7965" ht="14.4" customHeight="1" x14ac:dyDescent="0.3"/>
    <row r="7966" ht="14.4" customHeight="1" x14ac:dyDescent="0.3"/>
    <row r="7967" ht="14.4" customHeight="1" x14ac:dyDescent="0.3"/>
    <row r="7968" ht="14.4" customHeight="1" x14ac:dyDescent="0.3"/>
    <row r="7969" ht="14.4" customHeight="1" x14ac:dyDescent="0.3"/>
    <row r="7970" ht="14.4" customHeight="1" x14ac:dyDescent="0.3"/>
    <row r="7971" ht="14.4" customHeight="1" x14ac:dyDescent="0.3"/>
    <row r="7972" ht="14.4" customHeight="1" x14ac:dyDescent="0.3"/>
    <row r="7973" ht="14.4" customHeight="1" x14ac:dyDescent="0.3"/>
    <row r="7974" ht="14.4" customHeight="1" x14ac:dyDescent="0.3"/>
    <row r="7975" ht="14.4" customHeight="1" x14ac:dyDescent="0.3"/>
    <row r="7976" ht="14.4" customHeight="1" x14ac:dyDescent="0.3"/>
    <row r="7977" ht="14.4" customHeight="1" x14ac:dyDescent="0.3"/>
    <row r="7978" ht="14.4" customHeight="1" x14ac:dyDescent="0.3"/>
    <row r="7979" ht="14.4" customHeight="1" x14ac:dyDescent="0.3"/>
    <row r="7980" ht="14.4" customHeight="1" x14ac:dyDescent="0.3"/>
    <row r="7981" ht="14.4" customHeight="1" x14ac:dyDescent="0.3"/>
    <row r="7982" ht="14.4" customHeight="1" x14ac:dyDescent="0.3"/>
    <row r="7983" ht="14.4" customHeight="1" x14ac:dyDescent="0.3"/>
    <row r="7984" ht="14.4" customHeight="1" x14ac:dyDescent="0.3"/>
    <row r="7985" ht="14.4" customHeight="1" x14ac:dyDescent="0.3"/>
    <row r="7986" ht="14.4" customHeight="1" x14ac:dyDescent="0.3"/>
    <row r="7987" ht="14.4" customHeight="1" x14ac:dyDescent="0.3"/>
    <row r="7988" ht="14.4" customHeight="1" x14ac:dyDescent="0.3"/>
    <row r="7989" ht="14.4" customHeight="1" x14ac:dyDescent="0.3"/>
    <row r="7990" ht="14.4" customHeight="1" x14ac:dyDescent="0.3"/>
    <row r="7991" ht="14.4" customHeight="1" x14ac:dyDescent="0.3"/>
    <row r="7992" ht="14.4" customHeight="1" x14ac:dyDescent="0.3"/>
    <row r="7993" ht="14.4" customHeight="1" x14ac:dyDescent="0.3"/>
    <row r="7994" ht="14.4" customHeight="1" x14ac:dyDescent="0.3"/>
    <row r="7995" ht="14.4" customHeight="1" x14ac:dyDescent="0.3"/>
    <row r="7996" ht="14.4" customHeight="1" x14ac:dyDescent="0.3"/>
    <row r="7997" ht="14.4" customHeight="1" x14ac:dyDescent="0.3"/>
    <row r="7998" ht="14.4" customHeight="1" x14ac:dyDescent="0.3"/>
    <row r="7999" ht="14.4" customHeight="1" x14ac:dyDescent="0.3"/>
    <row r="8000" ht="14.4" customHeight="1" x14ac:dyDescent="0.3"/>
    <row r="8001" ht="14.4" customHeight="1" x14ac:dyDescent="0.3"/>
    <row r="8002" ht="14.4" customHeight="1" x14ac:dyDescent="0.3"/>
    <row r="8003" ht="14.4" customHeight="1" x14ac:dyDescent="0.3"/>
    <row r="8004" ht="14.4" customHeight="1" x14ac:dyDescent="0.3"/>
    <row r="8005" ht="14.4" customHeight="1" x14ac:dyDescent="0.3"/>
    <row r="8006" ht="14.4" customHeight="1" x14ac:dyDescent="0.3"/>
    <row r="8007" ht="14.4" customHeight="1" x14ac:dyDescent="0.3"/>
    <row r="8008" ht="14.4" customHeight="1" x14ac:dyDescent="0.3"/>
    <row r="8009" ht="14.4" customHeight="1" x14ac:dyDescent="0.3"/>
    <row r="8010" ht="14.4" customHeight="1" x14ac:dyDescent="0.3"/>
    <row r="8011" ht="14.4" customHeight="1" x14ac:dyDescent="0.3"/>
    <row r="8012" ht="14.4" customHeight="1" x14ac:dyDescent="0.3"/>
    <row r="8013" ht="14.4" customHeight="1" x14ac:dyDescent="0.3"/>
    <row r="8014" ht="14.4" customHeight="1" x14ac:dyDescent="0.3"/>
    <row r="8015" ht="14.4" customHeight="1" x14ac:dyDescent="0.3"/>
    <row r="8016" ht="14.4" customHeight="1" x14ac:dyDescent="0.3"/>
    <row r="8017" ht="14.4" customHeight="1" x14ac:dyDescent="0.3"/>
    <row r="8018" ht="14.4" customHeight="1" x14ac:dyDescent="0.3"/>
    <row r="8019" ht="14.4" customHeight="1" x14ac:dyDescent="0.3"/>
    <row r="8020" ht="14.4" customHeight="1" x14ac:dyDescent="0.3"/>
    <row r="8021" ht="14.4" customHeight="1" x14ac:dyDescent="0.3"/>
    <row r="8022" ht="14.4" customHeight="1" x14ac:dyDescent="0.3"/>
    <row r="8023" ht="14.4" customHeight="1" x14ac:dyDescent="0.3"/>
    <row r="8024" ht="14.4" customHeight="1" x14ac:dyDescent="0.3"/>
    <row r="8025" ht="14.4" customHeight="1" x14ac:dyDescent="0.3"/>
    <row r="8026" ht="14.4" customHeight="1" x14ac:dyDescent="0.3"/>
    <row r="8027" ht="14.4" customHeight="1" x14ac:dyDescent="0.3"/>
    <row r="8028" ht="14.4" customHeight="1" x14ac:dyDescent="0.3"/>
    <row r="8029" ht="14.4" customHeight="1" x14ac:dyDescent="0.3"/>
    <row r="8030" ht="14.4" customHeight="1" x14ac:dyDescent="0.3"/>
    <row r="8031" ht="14.4" customHeight="1" x14ac:dyDescent="0.3"/>
    <row r="8032" ht="14.4" customHeight="1" x14ac:dyDescent="0.3"/>
    <row r="8033" ht="14.4" customHeight="1" x14ac:dyDescent="0.3"/>
    <row r="8034" ht="14.4" customHeight="1" x14ac:dyDescent="0.3"/>
    <row r="8035" ht="14.4" customHeight="1" x14ac:dyDescent="0.3"/>
    <row r="8036" ht="14.4" customHeight="1" x14ac:dyDescent="0.3"/>
    <row r="8037" ht="14.4" customHeight="1" x14ac:dyDescent="0.3"/>
    <row r="8038" ht="14.4" customHeight="1" x14ac:dyDescent="0.3"/>
    <row r="8039" ht="14.4" customHeight="1" x14ac:dyDescent="0.3"/>
    <row r="8040" ht="14.4" customHeight="1" x14ac:dyDescent="0.3"/>
    <row r="8041" ht="14.4" customHeight="1" x14ac:dyDescent="0.3"/>
    <row r="8042" ht="14.4" customHeight="1" x14ac:dyDescent="0.3"/>
    <row r="8043" ht="14.4" customHeight="1" x14ac:dyDescent="0.3"/>
    <row r="8044" ht="14.4" customHeight="1" x14ac:dyDescent="0.3"/>
    <row r="8045" ht="14.4" customHeight="1" x14ac:dyDescent="0.3"/>
    <row r="8046" ht="14.4" customHeight="1" x14ac:dyDescent="0.3"/>
    <row r="8047" ht="14.4" customHeight="1" x14ac:dyDescent="0.3"/>
    <row r="8048" ht="14.4" customHeight="1" x14ac:dyDescent="0.3"/>
    <row r="8049" ht="14.4" customHeight="1" x14ac:dyDescent="0.3"/>
    <row r="8050" ht="14.4" customHeight="1" x14ac:dyDescent="0.3"/>
    <row r="8051" ht="14.4" customHeight="1" x14ac:dyDescent="0.3"/>
    <row r="8052" ht="14.4" customHeight="1" x14ac:dyDescent="0.3"/>
    <row r="8053" ht="14.4" customHeight="1" x14ac:dyDescent="0.3"/>
    <row r="8054" ht="14.4" customHeight="1" x14ac:dyDescent="0.3"/>
    <row r="8055" ht="14.4" customHeight="1" x14ac:dyDescent="0.3"/>
    <row r="8056" ht="14.4" customHeight="1" x14ac:dyDescent="0.3"/>
    <row r="8057" ht="14.4" customHeight="1" x14ac:dyDescent="0.3"/>
    <row r="8058" ht="14.4" customHeight="1" x14ac:dyDescent="0.3"/>
    <row r="8059" ht="14.4" customHeight="1" x14ac:dyDescent="0.3"/>
    <row r="8060" ht="14.4" customHeight="1" x14ac:dyDescent="0.3"/>
    <row r="8061" ht="14.4" customHeight="1" x14ac:dyDescent="0.3"/>
    <row r="8062" ht="14.4" customHeight="1" x14ac:dyDescent="0.3"/>
    <row r="8063" ht="14.4" customHeight="1" x14ac:dyDescent="0.3"/>
    <row r="8064" ht="14.4" customHeight="1" x14ac:dyDescent="0.3"/>
    <row r="8065" ht="14.4" customHeight="1" x14ac:dyDescent="0.3"/>
    <row r="8066" ht="14.4" customHeight="1" x14ac:dyDescent="0.3"/>
    <row r="8067" ht="14.4" customHeight="1" x14ac:dyDescent="0.3"/>
    <row r="8068" ht="14.4" customHeight="1" x14ac:dyDescent="0.3"/>
    <row r="8069" ht="14.4" customHeight="1" x14ac:dyDescent="0.3"/>
    <row r="8070" ht="14.4" customHeight="1" x14ac:dyDescent="0.3"/>
    <row r="8071" ht="14.4" customHeight="1" x14ac:dyDescent="0.3"/>
    <row r="8072" ht="14.4" customHeight="1" x14ac:dyDescent="0.3"/>
    <row r="8073" ht="14.4" customHeight="1" x14ac:dyDescent="0.3"/>
    <row r="8074" ht="14.4" customHeight="1" x14ac:dyDescent="0.3"/>
    <row r="8075" ht="14.4" customHeight="1" x14ac:dyDescent="0.3"/>
    <row r="8076" ht="14.4" customHeight="1" x14ac:dyDescent="0.3"/>
    <row r="8077" ht="14.4" customHeight="1" x14ac:dyDescent="0.3"/>
    <row r="8078" ht="14.4" customHeight="1" x14ac:dyDescent="0.3"/>
    <row r="8079" ht="14.4" customHeight="1" x14ac:dyDescent="0.3"/>
    <row r="8080" ht="14.4" customHeight="1" x14ac:dyDescent="0.3"/>
    <row r="8081" ht="14.4" customHeight="1" x14ac:dyDescent="0.3"/>
    <row r="8082" ht="14.4" customHeight="1" x14ac:dyDescent="0.3"/>
    <row r="8083" ht="14.4" customHeight="1" x14ac:dyDescent="0.3"/>
    <row r="8084" ht="14.4" customHeight="1" x14ac:dyDescent="0.3"/>
    <row r="8085" ht="14.4" customHeight="1" x14ac:dyDescent="0.3"/>
    <row r="8086" ht="14.4" customHeight="1" x14ac:dyDescent="0.3"/>
    <row r="8087" ht="14.4" customHeight="1" x14ac:dyDescent="0.3"/>
    <row r="8088" ht="14.4" customHeight="1" x14ac:dyDescent="0.3"/>
    <row r="8089" ht="14.4" customHeight="1" x14ac:dyDescent="0.3"/>
    <row r="8090" ht="14.4" customHeight="1" x14ac:dyDescent="0.3"/>
    <row r="8091" ht="14.4" customHeight="1" x14ac:dyDescent="0.3"/>
    <row r="8092" ht="14.4" customHeight="1" x14ac:dyDescent="0.3"/>
    <row r="8093" ht="14.4" customHeight="1" x14ac:dyDescent="0.3"/>
    <row r="8094" ht="14.4" customHeight="1" x14ac:dyDescent="0.3"/>
    <row r="8095" ht="14.4" customHeight="1" x14ac:dyDescent="0.3"/>
    <row r="8096" ht="14.4" customHeight="1" x14ac:dyDescent="0.3"/>
    <row r="8097" ht="14.4" customHeight="1" x14ac:dyDescent="0.3"/>
    <row r="8098" ht="14.4" customHeight="1" x14ac:dyDescent="0.3"/>
    <row r="8099" ht="14.4" customHeight="1" x14ac:dyDescent="0.3"/>
    <row r="8100" ht="14.4" customHeight="1" x14ac:dyDescent="0.3"/>
    <row r="8101" ht="14.4" customHeight="1" x14ac:dyDescent="0.3"/>
    <row r="8102" ht="14.4" customHeight="1" x14ac:dyDescent="0.3"/>
    <row r="8103" ht="14.4" customHeight="1" x14ac:dyDescent="0.3"/>
    <row r="8104" ht="14.4" customHeight="1" x14ac:dyDescent="0.3"/>
    <row r="8105" ht="14.4" customHeight="1" x14ac:dyDescent="0.3"/>
    <row r="8106" ht="14.4" customHeight="1" x14ac:dyDescent="0.3"/>
    <row r="8107" ht="14.4" customHeight="1" x14ac:dyDescent="0.3"/>
    <row r="8108" ht="14.4" customHeight="1" x14ac:dyDescent="0.3"/>
    <row r="8109" ht="14.4" customHeight="1" x14ac:dyDescent="0.3"/>
    <row r="8110" ht="14.4" customHeight="1" x14ac:dyDescent="0.3"/>
    <row r="8111" ht="14.4" customHeight="1" x14ac:dyDescent="0.3"/>
    <row r="8112" ht="14.4" customHeight="1" x14ac:dyDescent="0.3"/>
    <row r="8113" ht="14.4" customHeight="1" x14ac:dyDescent="0.3"/>
    <row r="8114" ht="14.4" customHeight="1" x14ac:dyDescent="0.3"/>
    <row r="8115" ht="14.4" customHeight="1" x14ac:dyDescent="0.3"/>
    <row r="8116" ht="14.4" customHeight="1" x14ac:dyDescent="0.3"/>
    <row r="8117" ht="14.4" customHeight="1" x14ac:dyDescent="0.3"/>
    <row r="8118" ht="14.4" customHeight="1" x14ac:dyDescent="0.3"/>
    <row r="8119" ht="14.4" customHeight="1" x14ac:dyDescent="0.3"/>
    <row r="8120" ht="14.4" customHeight="1" x14ac:dyDescent="0.3"/>
    <row r="8121" ht="14.4" customHeight="1" x14ac:dyDescent="0.3"/>
    <row r="8122" ht="14.4" customHeight="1" x14ac:dyDescent="0.3"/>
    <row r="8123" ht="14.4" customHeight="1" x14ac:dyDescent="0.3"/>
    <row r="8124" ht="14.4" customHeight="1" x14ac:dyDescent="0.3"/>
    <row r="8125" ht="14.4" customHeight="1" x14ac:dyDescent="0.3"/>
    <row r="8126" ht="14.4" customHeight="1" x14ac:dyDescent="0.3"/>
    <row r="8127" ht="14.4" customHeight="1" x14ac:dyDescent="0.3"/>
    <row r="8128" ht="14.4" customHeight="1" x14ac:dyDescent="0.3"/>
    <row r="8129" ht="14.4" customHeight="1" x14ac:dyDescent="0.3"/>
    <row r="8130" ht="14.4" customHeight="1" x14ac:dyDescent="0.3"/>
    <row r="8131" ht="14.4" customHeight="1" x14ac:dyDescent="0.3"/>
    <row r="8132" ht="14.4" customHeight="1" x14ac:dyDescent="0.3"/>
    <row r="8133" ht="14.4" customHeight="1" x14ac:dyDescent="0.3"/>
    <row r="8134" ht="14.4" customHeight="1" x14ac:dyDescent="0.3"/>
    <row r="8135" ht="14.4" customHeight="1" x14ac:dyDescent="0.3"/>
    <row r="8136" ht="14.4" customHeight="1" x14ac:dyDescent="0.3"/>
    <row r="8137" ht="14.4" customHeight="1" x14ac:dyDescent="0.3"/>
    <row r="8138" ht="14.4" customHeight="1" x14ac:dyDescent="0.3"/>
    <row r="8139" ht="14.4" customHeight="1" x14ac:dyDescent="0.3"/>
    <row r="8140" ht="14.4" customHeight="1" x14ac:dyDescent="0.3"/>
    <row r="8141" ht="14.4" customHeight="1" x14ac:dyDescent="0.3"/>
    <row r="8142" ht="14.4" customHeight="1" x14ac:dyDescent="0.3"/>
    <row r="8143" ht="14.4" customHeight="1" x14ac:dyDescent="0.3"/>
    <row r="8144" ht="14.4" customHeight="1" x14ac:dyDescent="0.3"/>
    <row r="8145" ht="14.4" customHeight="1" x14ac:dyDescent="0.3"/>
    <row r="8146" ht="14.4" customHeight="1" x14ac:dyDescent="0.3"/>
    <row r="8147" ht="14.4" customHeight="1" x14ac:dyDescent="0.3"/>
    <row r="8148" ht="14.4" customHeight="1" x14ac:dyDescent="0.3"/>
    <row r="8149" ht="14.4" customHeight="1" x14ac:dyDescent="0.3"/>
    <row r="8150" ht="14.4" customHeight="1" x14ac:dyDescent="0.3"/>
    <row r="8151" ht="14.4" customHeight="1" x14ac:dyDescent="0.3"/>
    <row r="8152" ht="14.4" customHeight="1" x14ac:dyDescent="0.3"/>
    <row r="8153" ht="14.4" customHeight="1" x14ac:dyDescent="0.3"/>
    <row r="8154" ht="14.4" customHeight="1" x14ac:dyDescent="0.3"/>
    <row r="8155" ht="14.4" customHeight="1" x14ac:dyDescent="0.3"/>
    <row r="8156" ht="14.4" customHeight="1" x14ac:dyDescent="0.3"/>
    <row r="8157" ht="14.4" customHeight="1" x14ac:dyDescent="0.3"/>
    <row r="8158" ht="14.4" customHeight="1" x14ac:dyDescent="0.3"/>
    <row r="8159" ht="14.4" customHeight="1" x14ac:dyDescent="0.3"/>
    <row r="8160" ht="14.4" customHeight="1" x14ac:dyDescent="0.3"/>
    <row r="8161" ht="14.4" customHeight="1" x14ac:dyDescent="0.3"/>
    <row r="8162" ht="14.4" customHeight="1" x14ac:dyDescent="0.3"/>
    <row r="8163" ht="14.4" customHeight="1" x14ac:dyDescent="0.3"/>
    <row r="8164" ht="14.4" customHeight="1" x14ac:dyDescent="0.3"/>
    <row r="8165" ht="14.4" customHeight="1" x14ac:dyDescent="0.3"/>
    <row r="8166" ht="14.4" customHeight="1" x14ac:dyDescent="0.3"/>
    <row r="8167" ht="14.4" customHeight="1" x14ac:dyDescent="0.3"/>
    <row r="8168" ht="14.4" customHeight="1" x14ac:dyDescent="0.3"/>
    <row r="8169" ht="14.4" customHeight="1" x14ac:dyDescent="0.3"/>
    <row r="8170" ht="14.4" customHeight="1" x14ac:dyDescent="0.3"/>
    <row r="8171" ht="14.4" customHeight="1" x14ac:dyDescent="0.3"/>
    <row r="8172" ht="14.4" customHeight="1" x14ac:dyDescent="0.3"/>
    <row r="8173" ht="14.4" customHeight="1" x14ac:dyDescent="0.3"/>
    <row r="8174" ht="14.4" customHeight="1" x14ac:dyDescent="0.3"/>
    <row r="8175" ht="14.4" customHeight="1" x14ac:dyDescent="0.3"/>
    <row r="8176" ht="14.4" customHeight="1" x14ac:dyDescent="0.3"/>
    <row r="8177" ht="14.4" customHeight="1" x14ac:dyDescent="0.3"/>
    <row r="8178" ht="14.4" customHeight="1" x14ac:dyDescent="0.3"/>
    <row r="8179" ht="14.4" customHeight="1" x14ac:dyDescent="0.3"/>
    <row r="8180" ht="14.4" customHeight="1" x14ac:dyDescent="0.3"/>
    <row r="8181" ht="14.4" customHeight="1" x14ac:dyDescent="0.3"/>
    <row r="8182" ht="14.4" customHeight="1" x14ac:dyDescent="0.3"/>
    <row r="8183" ht="14.4" customHeight="1" x14ac:dyDescent="0.3"/>
    <row r="8184" ht="14.4" customHeight="1" x14ac:dyDescent="0.3"/>
    <row r="8185" ht="14.4" customHeight="1" x14ac:dyDescent="0.3"/>
    <row r="8186" ht="14.4" customHeight="1" x14ac:dyDescent="0.3"/>
    <row r="8187" ht="14.4" customHeight="1" x14ac:dyDescent="0.3"/>
    <row r="8188" ht="14.4" customHeight="1" x14ac:dyDescent="0.3"/>
    <row r="8189" ht="14.4" customHeight="1" x14ac:dyDescent="0.3"/>
    <row r="8190" ht="14.4" customHeight="1" x14ac:dyDescent="0.3"/>
    <row r="8191" ht="14.4" customHeight="1" x14ac:dyDescent="0.3"/>
    <row r="8192" ht="14.4" customHeight="1" x14ac:dyDescent="0.3"/>
    <row r="8193" ht="14.4" customHeight="1" x14ac:dyDescent="0.3"/>
    <row r="8194" ht="14.4" customHeight="1" x14ac:dyDescent="0.3"/>
    <row r="8195" ht="14.4" customHeight="1" x14ac:dyDescent="0.3"/>
    <row r="8196" ht="14.4" customHeight="1" x14ac:dyDescent="0.3"/>
    <row r="8197" ht="14.4" customHeight="1" x14ac:dyDescent="0.3"/>
    <row r="8198" ht="14.4" customHeight="1" x14ac:dyDescent="0.3"/>
    <row r="8199" ht="14.4" customHeight="1" x14ac:dyDescent="0.3"/>
    <row r="8200" ht="14.4" customHeight="1" x14ac:dyDescent="0.3"/>
    <row r="8201" ht="14.4" customHeight="1" x14ac:dyDescent="0.3"/>
    <row r="8202" ht="14.4" customHeight="1" x14ac:dyDescent="0.3"/>
    <row r="8203" ht="14.4" customHeight="1" x14ac:dyDescent="0.3"/>
    <row r="8204" ht="14.4" customHeight="1" x14ac:dyDescent="0.3"/>
    <row r="8205" ht="14.4" customHeight="1" x14ac:dyDescent="0.3"/>
    <row r="8206" ht="14.4" customHeight="1" x14ac:dyDescent="0.3"/>
    <row r="8207" ht="14.4" customHeight="1" x14ac:dyDescent="0.3"/>
    <row r="8208" ht="14.4" customHeight="1" x14ac:dyDescent="0.3"/>
    <row r="8209" ht="14.4" customHeight="1" x14ac:dyDescent="0.3"/>
    <row r="8210" ht="14.4" customHeight="1" x14ac:dyDescent="0.3"/>
    <row r="8211" ht="14.4" customHeight="1" x14ac:dyDescent="0.3"/>
    <row r="8212" ht="14.4" customHeight="1" x14ac:dyDescent="0.3"/>
    <row r="8213" ht="14.4" customHeight="1" x14ac:dyDescent="0.3"/>
    <row r="8214" ht="14.4" customHeight="1" x14ac:dyDescent="0.3"/>
    <row r="8215" ht="14.4" customHeight="1" x14ac:dyDescent="0.3"/>
    <row r="8216" ht="14.4" customHeight="1" x14ac:dyDescent="0.3"/>
    <row r="8217" ht="14.4" customHeight="1" x14ac:dyDescent="0.3"/>
    <row r="8218" ht="14.4" customHeight="1" x14ac:dyDescent="0.3"/>
    <row r="8219" ht="14.4" customHeight="1" x14ac:dyDescent="0.3"/>
    <row r="8220" ht="14.4" customHeight="1" x14ac:dyDescent="0.3"/>
    <row r="8221" ht="14.4" customHeight="1" x14ac:dyDescent="0.3"/>
    <row r="8222" ht="14.4" customHeight="1" x14ac:dyDescent="0.3"/>
    <row r="8223" ht="14.4" customHeight="1" x14ac:dyDescent="0.3"/>
    <row r="8224" ht="14.4" customHeight="1" x14ac:dyDescent="0.3"/>
    <row r="8225" ht="14.4" customHeight="1" x14ac:dyDescent="0.3"/>
    <row r="8226" ht="14.4" customHeight="1" x14ac:dyDescent="0.3"/>
    <row r="8227" ht="14.4" customHeight="1" x14ac:dyDescent="0.3"/>
    <row r="8228" ht="14.4" customHeight="1" x14ac:dyDescent="0.3"/>
    <row r="8229" ht="14.4" customHeight="1" x14ac:dyDescent="0.3"/>
    <row r="8230" ht="14.4" customHeight="1" x14ac:dyDescent="0.3"/>
    <row r="8231" ht="14.4" customHeight="1" x14ac:dyDescent="0.3"/>
    <row r="8232" ht="14.4" customHeight="1" x14ac:dyDescent="0.3"/>
    <row r="8233" ht="14.4" customHeight="1" x14ac:dyDescent="0.3"/>
    <row r="8234" ht="14.4" customHeight="1" x14ac:dyDescent="0.3"/>
    <row r="8235" ht="14.4" customHeight="1" x14ac:dyDescent="0.3"/>
    <row r="8236" ht="14.4" customHeight="1" x14ac:dyDescent="0.3"/>
    <row r="8237" ht="14.4" customHeight="1" x14ac:dyDescent="0.3"/>
    <row r="8238" ht="14.4" customHeight="1" x14ac:dyDescent="0.3"/>
    <row r="8239" ht="14.4" customHeight="1" x14ac:dyDescent="0.3"/>
    <row r="8240" ht="14.4" customHeight="1" x14ac:dyDescent="0.3"/>
    <row r="8241" ht="14.4" customHeight="1" x14ac:dyDescent="0.3"/>
    <row r="8242" ht="14.4" customHeight="1" x14ac:dyDescent="0.3"/>
    <row r="8243" ht="14.4" customHeight="1" x14ac:dyDescent="0.3"/>
    <row r="8244" ht="14.4" customHeight="1" x14ac:dyDescent="0.3"/>
    <row r="8245" ht="14.4" customHeight="1" x14ac:dyDescent="0.3"/>
    <row r="8246" ht="14.4" customHeight="1" x14ac:dyDescent="0.3"/>
    <row r="8247" ht="14.4" customHeight="1" x14ac:dyDescent="0.3"/>
    <row r="8248" ht="14.4" customHeight="1" x14ac:dyDescent="0.3"/>
    <row r="8249" ht="14.4" customHeight="1" x14ac:dyDescent="0.3"/>
    <row r="8250" ht="14.4" customHeight="1" x14ac:dyDescent="0.3"/>
    <row r="8251" ht="14.4" customHeight="1" x14ac:dyDescent="0.3"/>
    <row r="8252" ht="14.4" customHeight="1" x14ac:dyDescent="0.3"/>
    <row r="8253" ht="14.4" customHeight="1" x14ac:dyDescent="0.3"/>
    <row r="8254" ht="14.4" customHeight="1" x14ac:dyDescent="0.3"/>
    <row r="8255" ht="14.4" customHeight="1" x14ac:dyDescent="0.3"/>
    <row r="8256" ht="14.4" customHeight="1" x14ac:dyDescent="0.3"/>
    <row r="8257" ht="14.4" customHeight="1" x14ac:dyDescent="0.3"/>
    <row r="8258" ht="14.4" customHeight="1" x14ac:dyDescent="0.3"/>
    <row r="8259" ht="14.4" customHeight="1" x14ac:dyDescent="0.3"/>
    <row r="8260" ht="14.4" customHeight="1" x14ac:dyDescent="0.3"/>
    <row r="8261" ht="14.4" customHeight="1" x14ac:dyDescent="0.3"/>
    <row r="8262" ht="14.4" customHeight="1" x14ac:dyDescent="0.3"/>
    <row r="8263" ht="14.4" customHeight="1" x14ac:dyDescent="0.3"/>
    <row r="8264" ht="14.4" customHeight="1" x14ac:dyDescent="0.3"/>
    <row r="8265" ht="14.4" customHeight="1" x14ac:dyDescent="0.3"/>
    <row r="8266" ht="14.4" customHeight="1" x14ac:dyDescent="0.3"/>
    <row r="8267" ht="14.4" customHeight="1" x14ac:dyDescent="0.3"/>
    <row r="8268" ht="14.4" customHeight="1" x14ac:dyDescent="0.3"/>
    <row r="8269" ht="14.4" customHeight="1" x14ac:dyDescent="0.3"/>
    <row r="8270" ht="14.4" customHeight="1" x14ac:dyDescent="0.3"/>
    <row r="8271" ht="14.4" customHeight="1" x14ac:dyDescent="0.3"/>
    <row r="8272" ht="14.4" customHeight="1" x14ac:dyDescent="0.3"/>
    <row r="8273" ht="14.4" customHeight="1" x14ac:dyDescent="0.3"/>
    <row r="8274" ht="14.4" customHeight="1" x14ac:dyDescent="0.3"/>
    <row r="8275" ht="14.4" customHeight="1" x14ac:dyDescent="0.3"/>
    <row r="8276" ht="14.4" customHeight="1" x14ac:dyDescent="0.3"/>
    <row r="8277" ht="14.4" customHeight="1" x14ac:dyDescent="0.3"/>
    <row r="8278" ht="14.4" customHeight="1" x14ac:dyDescent="0.3"/>
    <row r="8279" ht="14.4" customHeight="1" x14ac:dyDescent="0.3"/>
    <row r="8280" ht="14.4" customHeight="1" x14ac:dyDescent="0.3"/>
    <row r="8281" ht="14.4" customHeight="1" x14ac:dyDescent="0.3"/>
    <row r="8282" ht="14.4" customHeight="1" x14ac:dyDescent="0.3"/>
    <row r="8283" ht="14.4" customHeight="1" x14ac:dyDescent="0.3"/>
    <row r="8284" ht="14.4" customHeight="1" x14ac:dyDescent="0.3"/>
    <row r="8285" ht="14.4" customHeight="1" x14ac:dyDescent="0.3"/>
    <row r="8286" ht="14.4" customHeight="1" x14ac:dyDescent="0.3"/>
    <row r="8287" ht="14.4" customHeight="1" x14ac:dyDescent="0.3"/>
    <row r="8288" ht="14.4" customHeight="1" x14ac:dyDescent="0.3"/>
    <row r="8289" ht="14.4" customHeight="1" x14ac:dyDescent="0.3"/>
    <row r="8290" ht="14.4" customHeight="1" x14ac:dyDescent="0.3"/>
    <row r="8291" ht="14.4" customHeight="1" x14ac:dyDescent="0.3"/>
    <row r="8292" ht="14.4" customHeight="1" x14ac:dyDescent="0.3"/>
    <row r="8293" ht="14.4" customHeight="1" x14ac:dyDescent="0.3"/>
    <row r="8294" ht="14.4" customHeight="1" x14ac:dyDescent="0.3"/>
    <row r="8295" ht="14.4" customHeight="1" x14ac:dyDescent="0.3"/>
    <row r="8296" ht="14.4" customHeight="1" x14ac:dyDescent="0.3"/>
    <row r="8297" ht="14.4" customHeight="1" x14ac:dyDescent="0.3"/>
    <row r="8298" ht="14.4" customHeight="1" x14ac:dyDescent="0.3"/>
    <row r="8299" ht="14.4" customHeight="1" x14ac:dyDescent="0.3"/>
    <row r="8300" ht="14.4" customHeight="1" x14ac:dyDescent="0.3"/>
    <row r="8301" ht="14.4" customHeight="1" x14ac:dyDescent="0.3"/>
    <row r="8302" ht="14.4" customHeight="1" x14ac:dyDescent="0.3"/>
    <row r="8303" ht="14.4" customHeight="1" x14ac:dyDescent="0.3"/>
    <row r="8304" ht="14.4" customHeight="1" x14ac:dyDescent="0.3"/>
    <row r="8305" ht="14.4" customHeight="1" x14ac:dyDescent="0.3"/>
    <row r="8306" ht="14.4" customHeight="1" x14ac:dyDescent="0.3"/>
    <row r="8307" ht="14.4" customHeight="1" x14ac:dyDescent="0.3"/>
    <row r="8308" ht="14.4" customHeight="1" x14ac:dyDescent="0.3"/>
    <row r="8309" ht="14.4" customHeight="1" x14ac:dyDescent="0.3"/>
    <row r="8310" ht="14.4" customHeight="1" x14ac:dyDescent="0.3"/>
    <row r="8311" ht="14.4" customHeight="1" x14ac:dyDescent="0.3"/>
    <row r="8312" ht="14.4" customHeight="1" x14ac:dyDescent="0.3"/>
    <row r="8313" ht="14.4" customHeight="1" x14ac:dyDescent="0.3"/>
    <row r="8314" ht="14.4" customHeight="1" x14ac:dyDescent="0.3"/>
    <row r="8315" ht="14.4" customHeight="1" x14ac:dyDescent="0.3"/>
    <row r="8316" ht="14.4" customHeight="1" x14ac:dyDescent="0.3"/>
    <row r="8317" ht="14.4" customHeight="1" x14ac:dyDescent="0.3"/>
    <row r="8318" ht="14.4" customHeight="1" x14ac:dyDescent="0.3"/>
    <row r="8319" ht="14.4" customHeight="1" x14ac:dyDescent="0.3"/>
    <row r="8320" ht="14.4" customHeight="1" x14ac:dyDescent="0.3"/>
    <row r="8321" ht="14.4" customHeight="1" x14ac:dyDescent="0.3"/>
    <row r="8322" ht="14.4" customHeight="1" x14ac:dyDescent="0.3"/>
    <row r="8323" ht="14.4" customHeight="1" x14ac:dyDescent="0.3"/>
    <row r="8324" ht="14.4" customHeight="1" x14ac:dyDescent="0.3"/>
    <row r="8325" ht="14.4" customHeight="1" x14ac:dyDescent="0.3"/>
    <row r="8326" ht="14.4" customHeight="1" x14ac:dyDescent="0.3"/>
    <row r="8327" ht="14.4" customHeight="1" x14ac:dyDescent="0.3"/>
    <row r="8328" ht="14.4" customHeight="1" x14ac:dyDescent="0.3"/>
    <row r="8329" ht="14.4" customHeight="1" x14ac:dyDescent="0.3"/>
    <row r="8330" ht="14.4" customHeight="1" x14ac:dyDescent="0.3"/>
    <row r="8331" ht="14.4" customHeight="1" x14ac:dyDescent="0.3"/>
    <row r="8332" ht="14.4" customHeight="1" x14ac:dyDescent="0.3"/>
    <row r="8333" ht="14.4" customHeight="1" x14ac:dyDescent="0.3"/>
    <row r="8334" ht="14.4" customHeight="1" x14ac:dyDescent="0.3"/>
    <row r="8335" ht="14.4" customHeight="1" x14ac:dyDescent="0.3"/>
    <row r="8336" ht="14.4" customHeight="1" x14ac:dyDescent="0.3"/>
    <row r="8337" ht="14.4" customHeight="1" x14ac:dyDescent="0.3"/>
    <row r="8338" ht="14.4" customHeight="1" x14ac:dyDescent="0.3"/>
    <row r="8339" ht="14.4" customHeight="1" x14ac:dyDescent="0.3"/>
    <row r="8340" ht="14.4" customHeight="1" x14ac:dyDescent="0.3"/>
    <row r="8341" ht="14.4" customHeight="1" x14ac:dyDescent="0.3"/>
    <row r="8342" ht="14.4" customHeight="1" x14ac:dyDescent="0.3"/>
    <row r="8343" ht="14.4" customHeight="1" x14ac:dyDescent="0.3"/>
    <row r="8344" ht="14.4" customHeight="1" x14ac:dyDescent="0.3"/>
    <row r="8345" ht="14.4" customHeight="1" x14ac:dyDescent="0.3"/>
    <row r="8346" ht="14.4" customHeight="1" x14ac:dyDescent="0.3"/>
    <row r="8347" ht="14.4" customHeight="1" x14ac:dyDescent="0.3"/>
    <row r="8348" ht="14.4" customHeight="1" x14ac:dyDescent="0.3"/>
    <row r="8349" ht="14.4" customHeight="1" x14ac:dyDescent="0.3"/>
    <row r="8350" ht="14.4" customHeight="1" x14ac:dyDescent="0.3"/>
    <row r="8351" ht="14.4" customHeight="1" x14ac:dyDescent="0.3"/>
    <row r="8352" ht="14.4" customHeight="1" x14ac:dyDescent="0.3"/>
    <row r="8353" ht="14.4" customHeight="1" x14ac:dyDescent="0.3"/>
    <row r="8354" ht="14.4" customHeight="1" x14ac:dyDescent="0.3"/>
    <row r="8355" ht="14.4" customHeight="1" x14ac:dyDescent="0.3"/>
    <row r="8356" ht="14.4" customHeight="1" x14ac:dyDescent="0.3"/>
    <row r="8357" ht="14.4" customHeight="1" x14ac:dyDescent="0.3"/>
    <row r="8358" ht="14.4" customHeight="1" x14ac:dyDescent="0.3"/>
    <row r="8359" ht="14.4" customHeight="1" x14ac:dyDescent="0.3"/>
    <row r="8360" ht="14.4" customHeight="1" x14ac:dyDescent="0.3"/>
    <row r="8361" ht="14.4" customHeight="1" x14ac:dyDescent="0.3"/>
    <row r="8362" ht="14.4" customHeight="1" x14ac:dyDescent="0.3"/>
    <row r="8363" ht="14.4" customHeight="1" x14ac:dyDescent="0.3"/>
    <row r="8364" ht="14.4" customHeight="1" x14ac:dyDescent="0.3"/>
    <row r="8365" ht="14.4" customHeight="1" x14ac:dyDescent="0.3"/>
    <row r="8366" ht="14.4" customHeight="1" x14ac:dyDescent="0.3"/>
    <row r="8367" ht="14.4" customHeight="1" x14ac:dyDescent="0.3"/>
    <row r="8368" ht="14.4" customHeight="1" x14ac:dyDescent="0.3"/>
    <row r="8369" ht="14.4" customHeight="1" x14ac:dyDescent="0.3"/>
    <row r="8370" ht="14.4" customHeight="1" x14ac:dyDescent="0.3"/>
    <row r="8371" ht="14.4" customHeight="1" x14ac:dyDescent="0.3"/>
    <row r="8372" ht="14.4" customHeight="1" x14ac:dyDescent="0.3"/>
    <row r="8373" ht="14.4" customHeight="1" x14ac:dyDescent="0.3"/>
    <row r="8374" ht="14.4" customHeight="1" x14ac:dyDescent="0.3"/>
    <row r="8375" ht="14.4" customHeight="1" x14ac:dyDescent="0.3"/>
    <row r="8376" ht="14.4" customHeight="1" x14ac:dyDescent="0.3"/>
    <row r="8377" ht="14.4" customHeight="1" x14ac:dyDescent="0.3"/>
    <row r="8378" ht="14.4" customHeight="1" x14ac:dyDescent="0.3"/>
    <row r="8379" ht="14.4" customHeight="1" x14ac:dyDescent="0.3"/>
    <row r="8380" ht="14.4" customHeight="1" x14ac:dyDescent="0.3"/>
    <row r="8381" ht="14.4" customHeight="1" x14ac:dyDescent="0.3"/>
    <row r="8382" ht="14.4" customHeight="1" x14ac:dyDescent="0.3"/>
    <row r="8383" ht="14.4" customHeight="1" x14ac:dyDescent="0.3"/>
    <row r="8384" ht="14.4" customHeight="1" x14ac:dyDescent="0.3"/>
    <row r="8385" ht="14.4" customHeight="1" x14ac:dyDescent="0.3"/>
    <row r="8386" ht="14.4" customHeight="1" x14ac:dyDescent="0.3"/>
    <row r="8387" ht="14.4" customHeight="1" x14ac:dyDescent="0.3"/>
    <row r="8388" ht="14.4" customHeight="1" x14ac:dyDescent="0.3"/>
    <row r="8389" ht="14.4" customHeight="1" x14ac:dyDescent="0.3"/>
    <row r="8390" ht="14.4" customHeight="1" x14ac:dyDescent="0.3"/>
    <row r="8391" ht="14.4" customHeight="1" x14ac:dyDescent="0.3"/>
    <row r="8392" ht="14.4" customHeight="1" x14ac:dyDescent="0.3"/>
    <row r="8393" ht="14.4" customHeight="1" x14ac:dyDescent="0.3"/>
    <row r="8394" ht="14.4" customHeight="1" x14ac:dyDescent="0.3"/>
    <row r="8395" ht="14.4" customHeight="1" x14ac:dyDescent="0.3"/>
    <row r="8396" ht="14.4" customHeight="1" x14ac:dyDescent="0.3"/>
    <row r="8397" ht="14.4" customHeight="1" x14ac:dyDescent="0.3"/>
    <row r="8398" ht="14.4" customHeight="1" x14ac:dyDescent="0.3"/>
    <row r="8399" ht="14.4" customHeight="1" x14ac:dyDescent="0.3"/>
    <row r="8400" ht="14.4" customHeight="1" x14ac:dyDescent="0.3"/>
    <row r="8401" ht="14.4" customHeight="1" x14ac:dyDescent="0.3"/>
    <row r="8402" ht="14.4" customHeight="1" x14ac:dyDescent="0.3"/>
    <row r="8403" ht="14.4" customHeight="1" x14ac:dyDescent="0.3"/>
    <row r="8404" ht="14.4" customHeight="1" x14ac:dyDescent="0.3"/>
    <row r="8405" ht="14.4" customHeight="1" x14ac:dyDescent="0.3"/>
    <row r="8406" ht="14.4" customHeight="1" x14ac:dyDescent="0.3"/>
    <row r="8407" ht="14.4" customHeight="1" x14ac:dyDescent="0.3"/>
    <row r="8408" ht="14.4" customHeight="1" x14ac:dyDescent="0.3"/>
    <row r="8409" ht="14.4" customHeight="1" x14ac:dyDescent="0.3"/>
    <row r="8410" ht="14.4" customHeight="1" x14ac:dyDescent="0.3"/>
    <row r="8411" ht="14.4" customHeight="1" x14ac:dyDescent="0.3"/>
    <row r="8412" ht="14.4" customHeight="1" x14ac:dyDescent="0.3"/>
    <row r="8413" ht="14.4" customHeight="1" x14ac:dyDescent="0.3"/>
    <row r="8414" ht="14.4" customHeight="1" x14ac:dyDescent="0.3"/>
    <row r="8415" ht="14.4" customHeight="1" x14ac:dyDescent="0.3"/>
    <row r="8416" ht="14.4" customHeight="1" x14ac:dyDescent="0.3"/>
    <row r="8417" ht="14.4" customHeight="1" x14ac:dyDescent="0.3"/>
    <row r="8418" ht="14.4" customHeight="1" x14ac:dyDescent="0.3"/>
    <row r="8419" ht="14.4" customHeight="1" x14ac:dyDescent="0.3"/>
    <row r="8420" ht="14.4" customHeight="1" x14ac:dyDescent="0.3"/>
    <row r="8421" ht="14.4" customHeight="1" x14ac:dyDescent="0.3"/>
    <row r="8422" ht="14.4" customHeight="1" x14ac:dyDescent="0.3"/>
    <row r="8423" ht="14.4" customHeight="1" x14ac:dyDescent="0.3"/>
    <row r="8424" ht="14.4" customHeight="1" x14ac:dyDescent="0.3"/>
    <row r="8425" ht="14.4" customHeight="1" x14ac:dyDescent="0.3"/>
    <row r="8426" ht="14.4" customHeight="1" x14ac:dyDescent="0.3"/>
    <row r="8427" ht="14.4" customHeight="1" x14ac:dyDescent="0.3"/>
    <row r="8428" ht="14.4" customHeight="1" x14ac:dyDescent="0.3"/>
    <row r="8429" ht="14.4" customHeight="1" x14ac:dyDescent="0.3"/>
    <row r="8430" ht="14.4" customHeight="1" x14ac:dyDescent="0.3"/>
    <row r="8431" ht="14.4" customHeight="1" x14ac:dyDescent="0.3"/>
    <row r="8432" ht="14.4" customHeight="1" x14ac:dyDescent="0.3"/>
    <row r="8433" ht="14.4" customHeight="1" x14ac:dyDescent="0.3"/>
    <row r="8434" ht="14.4" customHeight="1" x14ac:dyDescent="0.3"/>
    <row r="8435" ht="14.4" customHeight="1" x14ac:dyDescent="0.3"/>
    <row r="8436" ht="14.4" customHeight="1" x14ac:dyDescent="0.3"/>
    <row r="8437" ht="14.4" customHeight="1" x14ac:dyDescent="0.3"/>
    <row r="8438" ht="14.4" customHeight="1" x14ac:dyDescent="0.3"/>
    <row r="8439" ht="14.4" customHeight="1" x14ac:dyDescent="0.3"/>
    <row r="8440" ht="14.4" customHeight="1" x14ac:dyDescent="0.3"/>
    <row r="8441" ht="14.4" customHeight="1" x14ac:dyDescent="0.3"/>
    <row r="8442" ht="14.4" customHeight="1" x14ac:dyDescent="0.3"/>
    <row r="8443" ht="14.4" customHeight="1" x14ac:dyDescent="0.3"/>
    <row r="8444" ht="14.4" customHeight="1" x14ac:dyDescent="0.3"/>
    <row r="8445" ht="14.4" customHeight="1" x14ac:dyDescent="0.3"/>
    <row r="8446" ht="14.4" customHeight="1" x14ac:dyDescent="0.3"/>
    <row r="8447" ht="14.4" customHeight="1" x14ac:dyDescent="0.3"/>
    <row r="8448" ht="14.4" customHeight="1" x14ac:dyDescent="0.3"/>
    <row r="8449" ht="14.4" customHeight="1" x14ac:dyDescent="0.3"/>
    <row r="8450" ht="14.4" customHeight="1" x14ac:dyDescent="0.3"/>
    <row r="8451" ht="14.4" customHeight="1" x14ac:dyDescent="0.3"/>
    <row r="8452" ht="14.4" customHeight="1" x14ac:dyDescent="0.3"/>
    <row r="8453" ht="14.4" customHeight="1" x14ac:dyDescent="0.3"/>
    <row r="8454" ht="14.4" customHeight="1" x14ac:dyDescent="0.3"/>
    <row r="8455" ht="14.4" customHeight="1" x14ac:dyDescent="0.3"/>
    <row r="8456" ht="14.4" customHeight="1" x14ac:dyDescent="0.3"/>
    <row r="8457" ht="14.4" customHeight="1" x14ac:dyDescent="0.3"/>
    <row r="8458" ht="14.4" customHeight="1" x14ac:dyDescent="0.3"/>
    <row r="8459" ht="14.4" customHeight="1" x14ac:dyDescent="0.3"/>
    <row r="8460" ht="14.4" customHeight="1" x14ac:dyDescent="0.3"/>
    <row r="8461" ht="14.4" customHeight="1" x14ac:dyDescent="0.3"/>
    <row r="8462" ht="14.4" customHeight="1" x14ac:dyDescent="0.3"/>
    <row r="8463" ht="14.4" customHeight="1" x14ac:dyDescent="0.3"/>
    <row r="8464" ht="14.4" customHeight="1" x14ac:dyDescent="0.3"/>
    <row r="8465" ht="14.4" customHeight="1" x14ac:dyDescent="0.3"/>
    <row r="8466" ht="14.4" customHeight="1" x14ac:dyDescent="0.3"/>
    <row r="8467" ht="14.4" customHeight="1" x14ac:dyDescent="0.3"/>
    <row r="8468" ht="14.4" customHeight="1" x14ac:dyDescent="0.3"/>
    <row r="8469" ht="14.4" customHeight="1" x14ac:dyDescent="0.3"/>
    <row r="8470" ht="14.4" customHeight="1" x14ac:dyDescent="0.3"/>
    <row r="8471" ht="14.4" customHeight="1" x14ac:dyDescent="0.3"/>
    <row r="8472" ht="14.4" customHeight="1" x14ac:dyDescent="0.3"/>
    <row r="8473" ht="14.4" customHeight="1" x14ac:dyDescent="0.3"/>
    <row r="8474" ht="14.4" customHeight="1" x14ac:dyDescent="0.3"/>
    <row r="8475" ht="14.4" customHeight="1" x14ac:dyDescent="0.3"/>
    <row r="8476" ht="14.4" customHeight="1" x14ac:dyDescent="0.3"/>
    <row r="8477" ht="14.4" customHeight="1" x14ac:dyDescent="0.3"/>
    <row r="8478" ht="14.4" customHeight="1" x14ac:dyDescent="0.3"/>
    <row r="8479" ht="14.4" customHeight="1" x14ac:dyDescent="0.3"/>
    <row r="8480" ht="14.4" customHeight="1" x14ac:dyDescent="0.3"/>
    <row r="8481" ht="14.4" customHeight="1" x14ac:dyDescent="0.3"/>
    <row r="8482" ht="14.4" customHeight="1" x14ac:dyDescent="0.3"/>
    <row r="8483" ht="14.4" customHeight="1" x14ac:dyDescent="0.3"/>
    <row r="8484" ht="14.4" customHeight="1" x14ac:dyDescent="0.3"/>
    <row r="8485" ht="14.4" customHeight="1" x14ac:dyDescent="0.3"/>
    <row r="8486" ht="14.4" customHeight="1" x14ac:dyDescent="0.3"/>
    <row r="8487" ht="14.4" customHeight="1" x14ac:dyDescent="0.3"/>
    <row r="8488" ht="14.4" customHeight="1" x14ac:dyDescent="0.3"/>
    <row r="8489" ht="14.4" customHeight="1" x14ac:dyDescent="0.3"/>
    <row r="8490" ht="14.4" customHeight="1" x14ac:dyDescent="0.3"/>
    <row r="8491" ht="14.4" customHeight="1" x14ac:dyDescent="0.3"/>
    <row r="8492" ht="14.4" customHeight="1" x14ac:dyDescent="0.3"/>
    <row r="8493" ht="14.4" customHeight="1" x14ac:dyDescent="0.3"/>
    <row r="8494" ht="14.4" customHeight="1" x14ac:dyDescent="0.3"/>
    <row r="8495" ht="14.4" customHeight="1" x14ac:dyDescent="0.3"/>
    <row r="8496" ht="14.4" customHeight="1" x14ac:dyDescent="0.3"/>
    <row r="8497" ht="14.4" customHeight="1" x14ac:dyDescent="0.3"/>
    <row r="8498" ht="14.4" customHeight="1" x14ac:dyDescent="0.3"/>
    <row r="8499" ht="14.4" customHeight="1" x14ac:dyDescent="0.3"/>
    <row r="8500" ht="14.4" customHeight="1" x14ac:dyDescent="0.3"/>
    <row r="8501" ht="14.4" customHeight="1" x14ac:dyDescent="0.3"/>
    <row r="8502" ht="14.4" customHeight="1" x14ac:dyDescent="0.3"/>
    <row r="8503" ht="14.4" customHeight="1" x14ac:dyDescent="0.3"/>
    <row r="8504" ht="14.4" customHeight="1" x14ac:dyDescent="0.3"/>
    <row r="8505" ht="14.4" customHeight="1" x14ac:dyDescent="0.3"/>
    <row r="8506" ht="14.4" customHeight="1" x14ac:dyDescent="0.3"/>
    <row r="8507" ht="14.4" customHeight="1" x14ac:dyDescent="0.3"/>
    <row r="8508" ht="14.4" customHeight="1" x14ac:dyDescent="0.3"/>
    <row r="8509" ht="14.4" customHeight="1" x14ac:dyDescent="0.3"/>
    <row r="8510" ht="14.4" customHeight="1" x14ac:dyDescent="0.3"/>
    <row r="8511" ht="14.4" customHeight="1" x14ac:dyDescent="0.3"/>
    <row r="8512" ht="14.4" customHeight="1" x14ac:dyDescent="0.3"/>
    <row r="8513" ht="14.4" customHeight="1" x14ac:dyDescent="0.3"/>
    <row r="8514" ht="14.4" customHeight="1" x14ac:dyDescent="0.3"/>
    <row r="8515" ht="14.4" customHeight="1" x14ac:dyDescent="0.3"/>
    <row r="8516" ht="14.4" customHeight="1" x14ac:dyDescent="0.3"/>
    <row r="8517" ht="14.4" customHeight="1" x14ac:dyDescent="0.3"/>
    <row r="8518" ht="14.4" customHeight="1" x14ac:dyDescent="0.3"/>
    <row r="8519" ht="14.4" customHeight="1" x14ac:dyDescent="0.3"/>
    <row r="8520" ht="14.4" customHeight="1" x14ac:dyDescent="0.3"/>
    <row r="8521" ht="14.4" customHeight="1" x14ac:dyDescent="0.3"/>
    <row r="8522" ht="14.4" customHeight="1" x14ac:dyDescent="0.3"/>
    <row r="8523" ht="14.4" customHeight="1" x14ac:dyDescent="0.3"/>
    <row r="8524" ht="14.4" customHeight="1" x14ac:dyDescent="0.3"/>
    <row r="8525" ht="14.4" customHeight="1" x14ac:dyDescent="0.3"/>
    <row r="8526" ht="14.4" customHeight="1" x14ac:dyDescent="0.3"/>
    <row r="8527" ht="14.4" customHeight="1" x14ac:dyDescent="0.3"/>
    <row r="8528" ht="14.4" customHeight="1" x14ac:dyDescent="0.3"/>
    <row r="8529" ht="14.4" customHeight="1" x14ac:dyDescent="0.3"/>
    <row r="8530" ht="14.4" customHeight="1" x14ac:dyDescent="0.3"/>
    <row r="8531" ht="14.4" customHeight="1" x14ac:dyDescent="0.3"/>
    <row r="8532" ht="14.4" customHeight="1" x14ac:dyDescent="0.3"/>
    <row r="8533" ht="14.4" customHeight="1" x14ac:dyDescent="0.3"/>
    <row r="8534" ht="14.4" customHeight="1" x14ac:dyDescent="0.3"/>
    <row r="8535" ht="14.4" customHeight="1" x14ac:dyDescent="0.3"/>
    <row r="8536" ht="14.4" customHeight="1" x14ac:dyDescent="0.3"/>
    <row r="8537" ht="14.4" customHeight="1" x14ac:dyDescent="0.3"/>
    <row r="8538" ht="14.4" customHeight="1" x14ac:dyDescent="0.3"/>
    <row r="8539" ht="14.4" customHeight="1" x14ac:dyDescent="0.3"/>
    <row r="8540" ht="14.4" customHeight="1" x14ac:dyDescent="0.3"/>
    <row r="8541" ht="14.4" customHeight="1" x14ac:dyDescent="0.3"/>
    <row r="8542" ht="14.4" customHeight="1" x14ac:dyDescent="0.3"/>
    <row r="8543" ht="14.4" customHeight="1" x14ac:dyDescent="0.3"/>
    <row r="8544" ht="14.4" customHeight="1" x14ac:dyDescent="0.3"/>
    <row r="8545" ht="14.4" customHeight="1" x14ac:dyDescent="0.3"/>
    <row r="8546" ht="14.4" customHeight="1" x14ac:dyDescent="0.3"/>
    <row r="8547" ht="14.4" customHeight="1" x14ac:dyDescent="0.3"/>
    <row r="8548" ht="14.4" customHeight="1" x14ac:dyDescent="0.3"/>
    <row r="8549" ht="14.4" customHeight="1" x14ac:dyDescent="0.3"/>
    <row r="8550" ht="14.4" customHeight="1" x14ac:dyDescent="0.3"/>
    <row r="8551" ht="14.4" customHeight="1" x14ac:dyDescent="0.3"/>
    <row r="8552" ht="14.4" customHeight="1" x14ac:dyDescent="0.3"/>
    <row r="8553" ht="14.4" customHeight="1" x14ac:dyDescent="0.3"/>
    <row r="8554" ht="14.4" customHeight="1" x14ac:dyDescent="0.3"/>
    <row r="8555" ht="14.4" customHeight="1" x14ac:dyDescent="0.3"/>
    <row r="8556" ht="14.4" customHeight="1" x14ac:dyDescent="0.3"/>
    <row r="8557" ht="14.4" customHeight="1" x14ac:dyDescent="0.3"/>
    <row r="8558" ht="14.4" customHeight="1" x14ac:dyDescent="0.3"/>
    <row r="8559" ht="14.4" customHeight="1" x14ac:dyDescent="0.3"/>
    <row r="8560" ht="14.4" customHeight="1" x14ac:dyDescent="0.3"/>
    <row r="8561" ht="14.4" customHeight="1" x14ac:dyDescent="0.3"/>
    <row r="8562" ht="14.4" customHeight="1" x14ac:dyDescent="0.3"/>
    <row r="8563" ht="14.4" customHeight="1" x14ac:dyDescent="0.3"/>
    <row r="8564" ht="14.4" customHeight="1" x14ac:dyDescent="0.3"/>
    <row r="8565" ht="14.4" customHeight="1" x14ac:dyDescent="0.3"/>
    <row r="8566" ht="14.4" customHeight="1" x14ac:dyDescent="0.3"/>
    <row r="8567" ht="14.4" customHeight="1" x14ac:dyDescent="0.3"/>
    <row r="8568" ht="14.4" customHeight="1" x14ac:dyDescent="0.3"/>
    <row r="8569" ht="14.4" customHeight="1" x14ac:dyDescent="0.3"/>
    <row r="8570" ht="14.4" customHeight="1" x14ac:dyDescent="0.3"/>
    <row r="8571" ht="14.4" customHeight="1" x14ac:dyDescent="0.3"/>
    <row r="8572" ht="14.4" customHeight="1" x14ac:dyDescent="0.3"/>
    <row r="8573" ht="14.4" customHeight="1" x14ac:dyDescent="0.3"/>
    <row r="8574" ht="14.4" customHeight="1" x14ac:dyDescent="0.3"/>
    <row r="8575" ht="14.4" customHeight="1" x14ac:dyDescent="0.3"/>
    <row r="8576" ht="14.4" customHeight="1" x14ac:dyDescent="0.3"/>
    <row r="8577" ht="14.4" customHeight="1" x14ac:dyDescent="0.3"/>
    <row r="8578" ht="14.4" customHeight="1" x14ac:dyDescent="0.3"/>
    <row r="8579" ht="14.4" customHeight="1" x14ac:dyDescent="0.3"/>
    <row r="8580" ht="14.4" customHeight="1" x14ac:dyDescent="0.3"/>
    <row r="8581" ht="14.4" customHeight="1" x14ac:dyDescent="0.3"/>
    <row r="8582" ht="14.4" customHeight="1" x14ac:dyDescent="0.3"/>
    <row r="8583" ht="14.4" customHeight="1" x14ac:dyDescent="0.3"/>
    <row r="8584" ht="14.4" customHeight="1" x14ac:dyDescent="0.3"/>
    <row r="8585" ht="14.4" customHeight="1" x14ac:dyDescent="0.3"/>
    <row r="8586" ht="14.4" customHeight="1" x14ac:dyDescent="0.3"/>
    <row r="8587" ht="14.4" customHeight="1" x14ac:dyDescent="0.3"/>
    <row r="8588" ht="14.4" customHeight="1" x14ac:dyDescent="0.3"/>
    <row r="8589" ht="14.4" customHeight="1" x14ac:dyDescent="0.3"/>
    <row r="8590" ht="14.4" customHeight="1" x14ac:dyDescent="0.3"/>
    <row r="8591" ht="14.4" customHeight="1" x14ac:dyDescent="0.3"/>
    <row r="8592" ht="14.4" customHeight="1" x14ac:dyDescent="0.3"/>
    <row r="8593" ht="14.4" customHeight="1" x14ac:dyDescent="0.3"/>
    <row r="8594" ht="14.4" customHeight="1" x14ac:dyDescent="0.3"/>
    <row r="8595" ht="14.4" customHeight="1" x14ac:dyDescent="0.3"/>
    <row r="8596" ht="14.4" customHeight="1" x14ac:dyDescent="0.3"/>
    <row r="8597" ht="14.4" customHeight="1" x14ac:dyDescent="0.3"/>
    <row r="8598" ht="14.4" customHeight="1" x14ac:dyDescent="0.3"/>
    <row r="8599" ht="14.4" customHeight="1" x14ac:dyDescent="0.3"/>
    <row r="8600" ht="14.4" customHeight="1" x14ac:dyDescent="0.3"/>
    <row r="8601" ht="14.4" customHeight="1" x14ac:dyDescent="0.3"/>
    <row r="8602" ht="14.4" customHeight="1" x14ac:dyDescent="0.3"/>
    <row r="8603" ht="14.4" customHeight="1" x14ac:dyDescent="0.3"/>
    <row r="8604" ht="14.4" customHeight="1" x14ac:dyDescent="0.3"/>
    <row r="8605" ht="14.4" customHeight="1" x14ac:dyDescent="0.3"/>
    <row r="8606" ht="14.4" customHeight="1" x14ac:dyDescent="0.3"/>
    <row r="8607" ht="14.4" customHeight="1" x14ac:dyDescent="0.3"/>
    <row r="8608" ht="14.4" customHeight="1" x14ac:dyDescent="0.3"/>
    <row r="8609" ht="14.4" customHeight="1" x14ac:dyDescent="0.3"/>
    <row r="8610" ht="14.4" customHeight="1" x14ac:dyDescent="0.3"/>
    <row r="8611" ht="14.4" customHeight="1" x14ac:dyDescent="0.3"/>
    <row r="8612" ht="14.4" customHeight="1" x14ac:dyDescent="0.3"/>
    <row r="8613" ht="14.4" customHeight="1" x14ac:dyDescent="0.3"/>
    <row r="8614" ht="14.4" customHeight="1" x14ac:dyDescent="0.3"/>
    <row r="8615" ht="14.4" customHeight="1" x14ac:dyDescent="0.3"/>
    <row r="8616" ht="14.4" customHeight="1" x14ac:dyDescent="0.3"/>
    <row r="8617" ht="14.4" customHeight="1" x14ac:dyDescent="0.3"/>
    <row r="8618" ht="14.4" customHeight="1" x14ac:dyDescent="0.3"/>
    <row r="8619" ht="14.4" customHeight="1" x14ac:dyDescent="0.3"/>
    <row r="8620" ht="14.4" customHeight="1" x14ac:dyDescent="0.3"/>
    <row r="8621" ht="14.4" customHeight="1" x14ac:dyDescent="0.3"/>
    <row r="8622" ht="14.4" customHeight="1" x14ac:dyDescent="0.3"/>
    <row r="8623" ht="14.4" customHeight="1" x14ac:dyDescent="0.3"/>
    <row r="8624" ht="14.4" customHeight="1" x14ac:dyDescent="0.3"/>
    <row r="8625" ht="14.4" customHeight="1" x14ac:dyDescent="0.3"/>
    <row r="8626" ht="14.4" customHeight="1" x14ac:dyDescent="0.3"/>
    <row r="8627" ht="14.4" customHeight="1" x14ac:dyDescent="0.3"/>
    <row r="8628" ht="14.4" customHeight="1" x14ac:dyDescent="0.3"/>
    <row r="8629" ht="14.4" customHeight="1" x14ac:dyDescent="0.3"/>
    <row r="8630" ht="14.4" customHeight="1" x14ac:dyDescent="0.3"/>
    <row r="8631" ht="14.4" customHeight="1" x14ac:dyDescent="0.3"/>
    <row r="8632" ht="14.4" customHeight="1" x14ac:dyDescent="0.3"/>
    <row r="8633" ht="14.4" customHeight="1" x14ac:dyDescent="0.3"/>
    <row r="8634" ht="14.4" customHeight="1" x14ac:dyDescent="0.3"/>
    <row r="8635" ht="14.4" customHeight="1" x14ac:dyDescent="0.3"/>
    <row r="8636" ht="14.4" customHeight="1" x14ac:dyDescent="0.3"/>
    <row r="8637" ht="14.4" customHeight="1" x14ac:dyDescent="0.3"/>
    <row r="8638" ht="14.4" customHeight="1" x14ac:dyDescent="0.3"/>
    <row r="8639" ht="14.4" customHeight="1" x14ac:dyDescent="0.3"/>
    <row r="8640" ht="14.4" customHeight="1" x14ac:dyDescent="0.3"/>
    <row r="8641" ht="14.4" customHeight="1" x14ac:dyDescent="0.3"/>
    <row r="8642" ht="14.4" customHeight="1" x14ac:dyDescent="0.3"/>
    <row r="8643" ht="14.4" customHeight="1" x14ac:dyDescent="0.3"/>
    <row r="8644" ht="14.4" customHeight="1" x14ac:dyDescent="0.3"/>
    <row r="8645" ht="14.4" customHeight="1" x14ac:dyDescent="0.3"/>
    <row r="8646" ht="14.4" customHeight="1" x14ac:dyDescent="0.3"/>
    <row r="8647" ht="14.4" customHeight="1" x14ac:dyDescent="0.3"/>
    <row r="8648" ht="14.4" customHeight="1" x14ac:dyDescent="0.3"/>
    <row r="8649" ht="14.4" customHeight="1" x14ac:dyDescent="0.3"/>
    <row r="8650" ht="14.4" customHeight="1" x14ac:dyDescent="0.3"/>
    <row r="8651" ht="14.4" customHeight="1" x14ac:dyDescent="0.3"/>
    <row r="8652" ht="14.4" customHeight="1" x14ac:dyDescent="0.3"/>
    <row r="8653" ht="14.4" customHeight="1" x14ac:dyDescent="0.3"/>
    <row r="8654" ht="14.4" customHeight="1" x14ac:dyDescent="0.3"/>
    <row r="8655" ht="14.4" customHeight="1" x14ac:dyDescent="0.3"/>
    <row r="8656" ht="14.4" customHeight="1" x14ac:dyDescent="0.3"/>
    <row r="8657" ht="14.4" customHeight="1" x14ac:dyDescent="0.3"/>
    <row r="8658" ht="14.4" customHeight="1" x14ac:dyDescent="0.3"/>
    <row r="8659" ht="14.4" customHeight="1" x14ac:dyDescent="0.3"/>
    <row r="8660" ht="14.4" customHeight="1" x14ac:dyDescent="0.3"/>
    <row r="8661" ht="14.4" customHeight="1" x14ac:dyDescent="0.3"/>
    <row r="8662" ht="14.4" customHeight="1" x14ac:dyDescent="0.3"/>
    <row r="8663" ht="14.4" customHeight="1" x14ac:dyDescent="0.3"/>
    <row r="8664" ht="14.4" customHeight="1" x14ac:dyDescent="0.3"/>
    <row r="8665" ht="14.4" customHeight="1" x14ac:dyDescent="0.3"/>
    <row r="8666" ht="14.4" customHeight="1" x14ac:dyDescent="0.3"/>
    <row r="8667" ht="14.4" customHeight="1" x14ac:dyDescent="0.3"/>
    <row r="8668" ht="14.4" customHeight="1" x14ac:dyDescent="0.3"/>
    <row r="8669" ht="14.4" customHeight="1" x14ac:dyDescent="0.3"/>
    <row r="8670" ht="14.4" customHeight="1" x14ac:dyDescent="0.3"/>
    <row r="8671" ht="14.4" customHeight="1" x14ac:dyDescent="0.3"/>
    <row r="8672" ht="14.4" customHeight="1" x14ac:dyDescent="0.3"/>
    <row r="8673" ht="14.4" customHeight="1" x14ac:dyDescent="0.3"/>
    <row r="8674" ht="14.4" customHeight="1" x14ac:dyDescent="0.3"/>
    <row r="8675" ht="14.4" customHeight="1" x14ac:dyDescent="0.3"/>
    <row r="8676" ht="14.4" customHeight="1" x14ac:dyDescent="0.3"/>
    <row r="8677" ht="14.4" customHeight="1" x14ac:dyDescent="0.3"/>
    <row r="8678" ht="14.4" customHeight="1" x14ac:dyDescent="0.3"/>
    <row r="8679" ht="14.4" customHeight="1" x14ac:dyDescent="0.3"/>
    <row r="8680" ht="14.4" customHeight="1" x14ac:dyDescent="0.3"/>
    <row r="8681" ht="14.4" customHeight="1" x14ac:dyDescent="0.3"/>
    <row r="8682" ht="14.4" customHeight="1" x14ac:dyDescent="0.3"/>
    <row r="8683" ht="14.4" customHeight="1" x14ac:dyDescent="0.3"/>
    <row r="8684" ht="14.4" customHeight="1" x14ac:dyDescent="0.3"/>
    <row r="8685" ht="14.4" customHeight="1" x14ac:dyDescent="0.3"/>
    <row r="8686" ht="14.4" customHeight="1" x14ac:dyDescent="0.3"/>
    <row r="8687" ht="14.4" customHeight="1" x14ac:dyDescent="0.3"/>
    <row r="8688" ht="14.4" customHeight="1" x14ac:dyDescent="0.3"/>
    <row r="8689" ht="14.4" customHeight="1" x14ac:dyDescent="0.3"/>
    <row r="8690" ht="14.4" customHeight="1" x14ac:dyDescent="0.3"/>
    <row r="8691" ht="14.4" customHeight="1" x14ac:dyDescent="0.3"/>
    <row r="8692" ht="14.4" customHeight="1" x14ac:dyDescent="0.3"/>
    <row r="8693" ht="14.4" customHeight="1" x14ac:dyDescent="0.3"/>
    <row r="8694" ht="14.4" customHeight="1" x14ac:dyDescent="0.3"/>
    <row r="8695" ht="14.4" customHeight="1" x14ac:dyDescent="0.3"/>
    <row r="8696" ht="14.4" customHeight="1" x14ac:dyDescent="0.3"/>
    <row r="8697" ht="14.4" customHeight="1" x14ac:dyDescent="0.3"/>
    <row r="8698" ht="14.4" customHeight="1" x14ac:dyDescent="0.3"/>
    <row r="8699" ht="14.4" customHeight="1" x14ac:dyDescent="0.3"/>
    <row r="8700" ht="14.4" customHeight="1" x14ac:dyDescent="0.3"/>
    <row r="8701" ht="14.4" customHeight="1" x14ac:dyDescent="0.3"/>
    <row r="8702" ht="14.4" customHeight="1" x14ac:dyDescent="0.3"/>
    <row r="8703" ht="14.4" customHeight="1" x14ac:dyDescent="0.3"/>
    <row r="8704" ht="14.4" customHeight="1" x14ac:dyDescent="0.3"/>
    <row r="8705" ht="14.4" customHeight="1" x14ac:dyDescent="0.3"/>
    <row r="8706" ht="14.4" customHeight="1" x14ac:dyDescent="0.3"/>
    <row r="8707" ht="14.4" customHeight="1" x14ac:dyDescent="0.3"/>
    <row r="8708" ht="14.4" customHeight="1" x14ac:dyDescent="0.3"/>
    <row r="8709" ht="14.4" customHeight="1" x14ac:dyDescent="0.3"/>
    <row r="8710" ht="14.4" customHeight="1" x14ac:dyDescent="0.3"/>
    <row r="8711" ht="14.4" customHeight="1" x14ac:dyDescent="0.3"/>
    <row r="8712" ht="14.4" customHeight="1" x14ac:dyDescent="0.3"/>
    <row r="8713" ht="14.4" customHeight="1" x14ac:dyDescent="0.3"/>
    <row r="8714" ht="14.4" customHeight="1" x14ac:dyDescent="0.3"/>
    <row r="8715" ht="14.4" customHeight="1" x14ac:dyDescent="0.3"/>
    <row r="8716" ht="14.4" customHeight="1" x14ac:dyDescent="0.3"/>
    <row r="8717" ht="14.4" customHeight="1" x14ac:dyDescent="0.3"/>
    <row r="8718" ht="14.4" customHeight="1" x14ac:dyDescent="0.3"/>
    <row r="8719" ht="14.4" customHeight="1" x14ac:dyDescent="0.3"/>
    <row r="8720" ht="14.4" customHeight="1" x14ac:dyDescent="0.3"/>
    <row r="8721" ht="14.4" customHeight="1" x14ac:dyDescent="0.3"/>
    <row r="8722" ht="14.4" customHeight="1" x14ac:dyDescent="0.3"/>
    <row r="8723" ht="14.4" customHeight="1" x14ac:dyDescent="0.3"/>
    <row r="8724" ht="14.4" customHeight="1" x14ac:dyDescent="0.3"/>
    <row r="8725" ht="14.4" customHeight="1" x14ac:dyDescent="0.3"/>
    <row r="8726" ht="14.4" customHeight="1" x14ac:dyDescent="0.3"/>
    <row r="8727" ht="14.4" customHeight="1" x14ac:dyDescent="0.3"/>
    <row r="8728" ht="14.4" customHeight="1" x14ac:dyDescent="0.3"/>
    <row r="8729" ht="14.4" customHeight="1" x14ac:dyDescent="0.3"/>
    <row r="8730" ht="14.4" customHeight="1" x14ac:dyDescent="0.3"/>
    <row r="8731" ht="14.4" customHeight="1" x14ac:dyDescent="0.3"/>
    <row r="8732" ht="14.4" customHeight="1" x14ac:dyDescent="0.3"/>
    <row r="8733" ht="14.4" customHeight="1" x14ac:dyDescent="0.3"/>
    <row r="8734" ht="14.4" customHeight="1" x14ac:dyDescent="0.3"/>
    <row r="8735" ht="14.4" customHeight="1" x14ac:dyDescent="0.3"/>
    <row r="8736" ht="14.4" customHeight="1" x14ac:dyDescent="0.3"/>
    <row r="8737" ht="14.4" customHeight="1" x14ac:dyDescent="0.3"/>
    <row r="8738" ht="14.4" customHeight="1" x14ac:dyDescent="0.3"/>
    <row r="8739" ht="14.4" customHeight="1" x14ac:dyDescent="0.3"/>
    <row r="8740" ht="14.4" customHeight="1" x14ac:dyDescent="0.3"/>
    <row r="8741" ht="14.4" customHeight="1" x14ac:dyDescent="0.3"/>
    <row r="8742" ht="14.4" customHeight="1" x14ac:dyDescent="0.3"/>
    <row r="8743" ht="14.4" customHeight="1" x14ac:dyDescent="0.3"/>
    <row r="8744" ht="14.4" customHeight="1" x14ac:dyDescent="0.3"/>
    <row r="8745" ht="14.4" customHeight="1" x14ac:dyDescent="0.3"/>
    <row r="8746" ht="14.4" customHeight="1" x14ac:dyDescent="0.3"/>
    <row r="8747" ht="14.4" customHeight="1" x14ac:dyDescent="0.3"/>
    <row r="8748" ht="14.4" customHeight="1" x14ac:dyDescent="0.3"/>
    <row r="8749" ht="14.4" customHeight="1" x14ac:dyDescent="0.3"/>
    <row r="8750" ht="14.4" customHeight="1" x14ac:dyDescent="0.3"/>
    <row r="8751" ht="14.4" customHeight="1" x14ac:dyDescent="0.3"/>
    <row r="8752" ht="14.4" customHeight="1" x14ac:dyDescent="0.3"/>
    <row r="8753" ht="14.4" customHeight="1" x14ac:dyDescent="0.3"/>
    <row r="8754" ht="14.4" customHeight="1" x14ac:dyDescent="0.3"/>
    <row r="8755" ht="14.4" customHeight="1" x14ac:dyDescent="0.3"/>
    <row r="8756" ht="14.4" customHeight="1" x14ac:dyDescent="0.3"/>
    <row r="8757" ht="14.4" customHeight="1" x14ac:dyDescent="0.3"/>
    <row r="8758" ht="14.4" customHeight="1" x14ac:dyDescent="0.3"/>
    <row r="8759" ht="14.4" customHeight="1" x14ac:dyDescent="0.3"/>
    <row r="8760" ht="14.4" customHeight="1" x14ac:dyDescent="0.3"/>
    <row r="8761" ht="14.4" customHeight="1" x14ac:dyDescent="0.3"/>
    <row r="8762" ht="14.4" customHeight="1" x14ac:dyDescent="0.3"/>
    <row r="8763" ht="14.4" customHeight="1" x14ac:dyDescent="0.3"/>
    <row r="8764" ht="14.4" customHeight="1" x14ac:dyDescent="0.3"/>
    <row r="8765" ht="14.4" customHeight="1" x14ac:dyDescent="0.3"/>
    <row r="8766" ht="14.4" customHeight="1" x14ac:dyDescent="0.3"/>
    <row r="8767" ht="14.4" customHeight="1" x14ac:dyDescent="0.3"/>
    <row r="8768" ht="14.4" customHeight="1" x14ac:dyDescent="0.3"/>
    <row r="8769" ht="14.4" customHeight="1" x14ac:dyDescent="0.3"/>
    <row r="8770" ht="14.4" customHeight="1" x14ac:dyDescent="0.3"/>
    <row r="8771" ht="14.4" customHeight="1" x14ac:dyDescent="0.3"/>
    <row r="8772" ht="14.4" customHeight="1" x14ac:dyDescent="0.3"/>
    <row r="8773" ht="14.4" customHeight="1" x14ac:dyDescent="0.3"/>
    <row r="8774" ht="14.4" customHeight="1" x14ac:dyDescent="0.3"/>
    <row r="8775" ht="14.4" customHeight="1" x14ac:dyDescent="0.3"/>
    <row r="8776" ht="14.4" customHeight="1" x14ac:dyDescent="0.3"/>
    <row r="8777" ht="14.4" customHeight="1" x14ac:dyDescent="0.3"/>
    <row r="8778" ht="14.4" customHeight="1" x14ac:dyDescent="0.3"/>
    <row r="8779" ht="14.4" customHeight="1" x14ac:dyDescent="0.3"/>
    <row r="8780" ht="14.4" customHeight="1" x14ac:dyDescent="0.3"/>
    <row r="8781" ht="14.4" customHeight="1" x14ac:dyDescent="0.3"/>
    <row r="8782" ht="14.4" customHeight="1" x14ac:dyDescent="0.3"/>
    <row r="8783" ht="14.4" customHeight="1" x14ac:dyDescent="0.3"/>
    <row r="8784" ht="14.4" customHeight="1" x14ac:dyDescent="0.3"/>
    <row r="8785" ht="14.4" customHeight="1" x14ac:dyDescent="0.3"/>
    <row r="8786" ht="14.4" customHeight="1" x14ac:dyDescent="0.3"/>
    <row r="8787" ht="14.4" customHeight="1" x14ac:dyDescent="0.3"/>
    <row r="8788" ht="14.4" customHeight="1" x14ac:dyDescent="0.3"/>
    <row r="8789" ht="14.4" customHeight="1" x14ac:dyDescent="0.3"/>
    <row r="8790" ht="14.4" customHeight="1" x14ac:dyDescent="0.3"/>
    <row r="8791" ht="14.4" customHeight="1" x14ac:dyDescent="0.3"/>
    <row r="8792" ht="14.4" customHeight="1" x14ac:dyDescent="0.3"/>
    <row r="8793" ht="14.4" customHeight="1" x14ac:dyDescent="0.3"/>
    <row r="8794" ht="14.4" customHeight="1" x14ac:dyDescent="0.3"/>
    <row r="8795" ht="14.4" customHeight="1" x14ac:dyDescent="0.3"/>
    <row r="8796" ht="14.4" customHeight="1" x14ac:dyDescent="0.3"/>
    <row r="8797" ht="14.4" customHeight="1" x14ac:dyDescent="0.3"/>
    <row r="8798" ht="14.4" customHeight="1" x14ac:dyDescent="0.3"/>
    <row r="8799" ht="14.4" customHeight="1" x14ac:dyDescent="0.3"/>
    <row r="8800" ht="14.4" customHeight="1" x14ac:dyDescent="0.3"/>
    <row r="8801" ht="14.4" customHeight="1" x14ac:dyDescent="0.3"/>
    <row r="8802" ht="14.4" customHeight="1" x14ac:dyDescent="0.3"/>
    <row r="8803" ht="14.4" customHeight="1" x14ac:dyDescent="0.3"/>
    <row r="8804" ht="14.4" customHeight="1" x14ac:dyDescent="0.3"/>
    <row r="8805" ht="14.4" customHeight="1" x14ac:dyDescent="0.3"/>
    <row r="8806" ht="14.4" customHeight="1" x14ac:dyDescent="0.3"/>
    <row r="8807" ht="14.4" customHeight="1" x14ac:dyDescent="0.3"/>
    <row r="8808" ht="14.4" customHeight="1" x14ac:dyDescent="0.3"/>
    <row r="8809" ht="14.4" customHeight="1" x14ac:dyDescent="0.3"/>
    <row r="8810" ht="14.4" customHeight="1" x14ac:dyDescent="0.3"/>
    <row r="8811" ht="14.4" customHeight="1" x14ac:dyDescent="0.3"/>
    <row r="8812" ht="14.4" customHeight="1" x14ac:dyDescent="0.3"/>
    <row r="8813" ht="14.4" customHeight="1" x14ac:dyDescent="0.3"/>
    <row r="8814" ht="14.4" customHeight="1" x14ac:dyDescent="0.3"/>
    <row r="8815" ht="14.4" customHeight="1" x14ac:dyDescent="0.3"/>
    <row r="8816" ht="14.4" customHeight="1" x14ac:dyDescent="0.3"/>
    <row r="8817" ht="14.4" customHeight="1" x14ac:dyDescent="0.3"/>
    <row r="8818" ht="14.4" customHeight="1" x14ac:dyDescent="0.3"/>
    <row r="8819" ht="14.4" customHeight="1" x14ac:dyDescent="0.3"/>
    <row r="8820" ht="14.4" customHeight="1" x14ac:dyDescent="0.3"/>
    <row r="8821" ht="14.4" customHeight="1" x14ac:dyDescent="0.3"/>
    <row r="8822" ht="14.4" customHeight="1" x14ac:dyDescent="0.3"/>
    <row r="8823" ht="14.4" customHeight="1" x14ac:dyDescent="0.3"/>
    <row r="8824" ht="14.4" customHeight="1" x14ac:dyDescent="0.3"/>
    <row r="8825" ht="14.4" customHeight="1" x14ac:dyDescent="0.3"/>
    <row r="8826" ht="14.4" customHeight="1" x14ac:dyDescent="0.3"/>
    <row r="8827" ht="14.4" customHeight="1" x14ac:dyDescent="0.3"/>
    <row r="8828" ht="14.4" customHeight="1" x14ac:dyDescent="0.3"/>
    <row r="8829" ht="14.4" customHeight="1" x14ac:dyDescent="0.3"/>
    <row r="8830" ht="14.4" customHeight="1" x14ac:dyDescent="0.3"/>
    <row r="8831" ht="14.4" customHeight="1" x14ac:dyDescent="0.3"/>
    <row r="8832" ht="14.4" customHeight="1" x14ac:dyDescent="0.3"/>
    <row r="8833" ht="14.4" customHeight="1" x14ac:dyDescent="0.3"/>
    <row r="8834" ht="14.4" customHeight="1" x14ac:dyDescent="0.3"/>
    <row r="8835" ht="14.4" customHeight="1" x14ac:dyDescent="0.3"/>
    <row r="8836" ht="14.4" customHeight="1" x14ac:dyDescent="0.3"/>
    <row r="8837" ht="14.4" customHeight="1" x14ac:dyDescent="0.3"/>
    <row r="8838" ht="14.4" customHeight="1" x14ac:dyDescent="0.3"/>
    <row r="8839" ht="14.4" customHeight="1" x14ac:dyDescent="0.3"/>
    <row r="8840" ht="14.4" customHeight="1" x14ac:dyDescent="0.3"/>
    <row r="8841" ht="14.4" customHeight="1" x14ac:dyDescent="0.3"/>
    <row r="8842" ht="14.4" customHeight="1" x14ac:dyDescent="0.3"/>
    <row r="8843" ht="14.4" customHeight="1" x14ac:dyDescent="0.3"/>
    <row r="8844" ht="14.4" customHeight="1" x14ac:dyDescent="0.3"/>
    <row r="8845" ht="14.4" customHeight="1" x14ac:dyDescent="0.3"/>
    <row r="8846" ht="14.4" customHeight="1" x14ac:dyDescent="0.3"/>
    <row r="8847" ht="14.4" customHeight="1" x14ac:dyDescent="0.3"/>
    <row r="8848" ht="14.4" customHeight="1" x14ac:dyDescent="0.3"/>
    <row r="8849" ht="14.4" customHeight="1" x14ac:dyDescent="0.3"/>
    <row r="8850" ht="14.4" customHeight="1" x14ac:dyDescent="0.3"/>
    <row r="8851" ht="14.4" customHeight="1" x14ac:dyDescent="0.3"/>
    <row r="8852" ht="14.4" customHeight="1" x14ac:dyDescent="0.3"/>
    <row r="8853" ht="14.4" customHeight="1" x14ac:dyDescent="0.3"/>
    <row r="8854" ht="14.4" customHeight="1" x14ac:dyDescent="0.3"/>
    <row r="8855" ht="14.4" customHeight="1" x14ac:dyDescent="0.3"/>
    <row r="8856" ht="14.4" customHeight="1" x14ac:dyDescent="0.3"/>
    <row r="8857" ht="14.4" customHeight="1" x14ac:dyDescent="0.3"/>
    <row r="8858" ht="14.4" customHeight="1" x14ac:dyDescent="0.3"/>
    <row r="8859" ht="14.4" customHeight="1" x14ac:dyDescent="0.3"/>
    <row r="8860" ht="14.4" customHeight="1" x14ac:dyDescent="0.3"/>
    <row r="8861" ht="14.4" customHeight="1" x14ac:dyDescent="0.3"/>
    <row r="8862" ht="14.4" customHeight="1" x14ac:dyDescent="0.3"/>
    <row r="8863" ht="14.4" customHeight="1" x14ac:dyDescent="0.3"/>
    <row r="8864" ht="14.4" customHeight="1" x14ac:dyDescent="0.3"/>
    <row r="8865" ht="14.4" customHeight="1" x14ac:dyDescent="0.3"/>
    <row r="8866" ht="14.4" customHeight="1" x14ac:dyDescent="0.3"/>
    <row r="8867" ht="14.4" customHeight="1" x14ac:dyDescent="0.3"/>
    <row r="8868" ht="14.4" customHeight="1" x14ac:dyDescent="0.3"/>
    <row r="8869" ht="14.4" customHeight="1" x14ac:dyDescent="0.3"/>
    <row r="8870" ht="14.4" customHeight="1" x14ac:dyDescent="0.3"/>
    <row r="8871" ht="14.4" customHeight="1" x14ac:dyDescent="0.3"/>
    <row r="8872" ht="14.4" customHeight="1" x14ac:dyDescent="0.3"/>
    <row r="8873" ht="14.4" customHeight="1" x14ac:dyDescent="0.3"/>
    <row r="8874" ht="14.4" customHeight="1" x14ac:dyDescent="0.3"/>
    <row r="8875" ht="14.4" customHeight="1" x14ac:dyDescent="0.3"/>
    <row r="8876" ht="14.4" customHeight="1" x14ac:dyDescent="0.3"/>
    <row r="8877" ht="14.4" customHeight="1" x14ac:dyDescent="0.3"/>
    <row r="8878" ht="14.4" customHeight="1" x14ac:dyDescent="0.3"/>
    <row r="8879" ht="14.4" customHeight="1" x14ac:dyDescent="0.3"/>
    <row r="8880" ht="14.4" customHeight="1" x14ac:dyDescent="0.3"/>
    <row r="8881" ht="14.4" customHeight="1" x14ac:dyDescent="0.3"/>
    <row r="8882" ht="14.4" customHeight="1" x14ac:dyDescent="0.3"/>
    <row r="8883" ht="14.4" customHeight="1" x14ac:dyDescent="0.3"/>
    <row r="8884" ht="14.4" customHeight="1" x14ac:dyDescent="0.3"/>
    <row r="8885" ht="14.4" customHeight="1" x14ac:dyDescent="0.3"/>
    <row r="8886" ht="14.4" customHeight="1" x14ac:dyDescent="0.3"/>
    <row r="8887" ht="14.4" customHeight="1" x14ac:dyDescent="0.3"/>
    <row r="8888" ht="14.4" customHeight="1" x14ac:dyDescent="0.3"/>
    <row r="8889" ht="14.4" customHeight="1" x14ac:dyDescent="0.3"/>
    <row r="8890" ht="14.4" customHeight="1" x14ac:dyDescent="0.3"/>
    <row r="8891" ht="14.4" customHeight="1" x14ac:dyDescent="0.3"/>
    <row r="8892" ht="14.4" customHeight="1" x14ac:dyDescent="0.3"/>
    <row r="8893" ht="14.4" customHeight="1" x14ac:dyDescent="0.3"/>
    <row r="8894" ht="14.4" customHeight="1" x14ac:dyDescent="0.3"/>
    <row r="8895" ht="14.4" customHeight="1" x14ac:dyDescent="0.3"/>
    <row r="8896" ht="14.4" customHeight="1" x14ac:dyDescent="0.3"/>
    <row r="8897" ht="14.4" customHeight="1" x14ac:dyDescent="0.3"/>
    <row r="8898" ht="14.4" customHeight="1" x14ac:dyDescent="0.3"/>
    <row r="8899" ht="14.4" customHeight="1" x14ac:dyDescent="0.3"/>
    <row r="8900" ht="14.4" customHeight="1" x14ac:dyDescent="0.3"/>
    <row r="8901" ht="14.4" customHeight="1" x14ac:dyDescent="0.3"/>
    <row r="8902" ht="14.4" customHeight="1" x14ac:dyDescent="0.3"/>
    <row r="8903" ht="14.4" customHeight="1" x14ac:dyDescent="0.3"/>
    <row r="8904" ht="14.4" customHeight="1" x14ac:dyDescent="0.3"/>
    <row r="8905" ht="14.4" customHeight="1" x14ac:dyDescent="0.3"/>
    <row r="8906" ht="14.4" customHeight="1" x14ac:dyDescent="0.3"/>
    <row r="8907" ht="14.4" customHeight="1" x14ac:dyDescent="0.3"/>
    <row r="8908" ht="14.4" customHeight="1" x14ac:dyDescent="0.3"/>
    <row r="8909" ht="14.4" customHeight="1" x14ac:dyDescent="0.3"/>
    <row r="8910" ht="14.4" customHeight="1" x14ac:dyDescent="0.3"/>
    <row r="8911" ht="14.4" customHeight="1" x14ac:dyDescent="0.3"/>
    <row r="8912" ht="14.4" customHeight="1" x14ac:dyDescent="0.3"/>
    <row r="8913" ht="14.4" customHeight="1" x14ac:dyDescent="0.3"/>
    <row r="8914" ht="14.4" customHeight="1" x14ac:dyDescent="0.3"/>
    <row r="8915" ht="14.4" customHeight="1" x14ac:dyDescent="0.3"/>
    <row r="8916" ht="14.4" customHeight="1" x14ac:dyDescent="0.3"/>
    <row r="8917" ht="14.4" customHeight="1" x14ac:dyDescent="0.3"/>
    <row r="8918" ht="14.4" customHeight="1" x14ac:dyDescent="0.3"/>
    <row r="8919" ht="14.4" customHeight="1" x14ac:dyDescent="0.3"/>
    <row r="8920" ht="14.4" customHeight="1" x14ac:dyDescent="0.3"/>
    <row r="8921" ht="14.4" customHeight="1" x14ac:dyDescent="0.3"/>
    <row r="8922" ht="14.4" customHeight="1" x14ac:dyDescent="0.3"/>
    <row r="8923" ht="14.4" customHeight="1" x14ac:dyDescent="0.3"/>
    <row r="8924" ht="14.4" customHeight="1" x14ac:dyDescent="0.3"/>
    <row r="8925" ht="14.4" customHeight="1" x14ac:dyDescent="0.3"/>
    <row r="8926" ht="14.4" customHeight="1" x14ac:dyDescent="0.3"/>
    <row r="8927" ht="14.4" customHeight="1" x14ac:dyDescent="0.3"/>
    <row r="8928" ht="14.4" customHeight="1" x14ac:dyDescent="0.3"/>
    <row r="8929" ht="14.4" customHeight="1" x14ac:dyDescent="0.3"/>
    <row r="8930" ht="14.4" customHeight="1" x14ac:dyDescent="0.3"/>
    <row r="8931" ht="14.4" customHeight="1" x14ac:dyDescent="0.3"/>
    <row r="8932" ht="14.4" customHeight="1" x14ac:dyDescent="0.3"/>
    <row r="8933" ht="14.4" customHeight="1" x14ac:dyDescent="0.3"/>
    <row r="8934" ht="14.4" customHeight="1" x14ac:dyDescent="0.3"/>
    <row r="8935" ht="14.4" customHeight="1" x14ac:dyDescent="0.3"/>
    <row r="8936" ht="14.4" customHeight="1" x14ac:dyDescent="0.3"/>
    <row r="8937" ht="14.4" customHeight="1" x14ac:dyDescent="0.3"/>
    <row r="8938" ht="14.4" customHeight="1" x14ac:dyDescent="0.3"/>
    <row r="8939" ht="14.4" customHeight="1" x14ac:dyDescent="0.3"/>
    <row r="8940" ht="14.4" customHeight="1" x14ac:dyDescent="0.3"/>
    <row r="8941" ht="14.4" customHeight="1" x14ac:dyDescent="0.3"/>
    <row r="8942" ht="14.4" customHeight="1" x14ac:dyDescent="0.3"/>
    <row r="8943" ht="14.4" customHeight="1" x14ac:dyDescent="0.3"/>
    <row r="8944" ht="14.4" customHeight="1" x14ac:dyDescent="0.3"/>
    <row r="8945" ht="14.4" customHeight="1" x14ac:dyDescent="0.3"/>
    <row r="8946" ht="14.4" customHeight="1" x14ac:dyDescent="0.3"/>
    <row r="8947" ht="14.4" customHeight="1" x14ac:dyDescent="0.3"/>
    <row r="8948" ht="14.4" customHeight="1" x14ac:dyDescent="0.3"/>
    <row r="8949" ht="14.4" customHeight="1" x14ac:dyDescent="0.3"/>
    <row r="8950" ht="14.4" customHeight="1" x14ac:dyDescent="0.3"/>
    <row r="8951" ht="14.4" customHeight="1" x14ac:dyDescent="0.3"/>
    <row r="8952" ht="14.4" customHeight="1" x14ac:dyDescent="0.3"/>
    <row r="8953" ht="14.4" customHeight="1" x14ac:dyDescent="0.3"/>
    <row r="8954" ht="14.4" customHeight="1" x14ac:dyDescent="0.3"/>
    <row r="8955" ht="14.4" customHeight="1" x14ac:dyDescent="0.3"/>
    <row r="8956" ht="14.4" customHeight="1" x14ac:dyDescent="0.3"/>
    <row r="8957" ht="14.4" customHeight="1" x14ac:dyDescent="0.3"/>
    <row r="8958" ht="14.4" customHeight="1" x14ac:dyDescent="0.3"/>
    <row r="8959" ht="14.4" customHeight="1" x14ac:dyDescent="0.3"/>
    <row r="8960" ht="14.4" customHeight="1" x14ac:dyDescent="0.3"/>
    <row r="8961" ht="14.4" customHeight="1" x14ac:dyDescent="0.3"/>
    <row r="8962" ht="14.4" customHeight="1" x14ac:dyDescent="0.3"/>
    <row r="8963" ht="14.4" customHeight="1" x14ac:dyDescent="0.3"/>
    <row r="8964" ht="14.4" customHeight="1" x14ac:dyDescent="0.3"/>
    <row r="8965" ht="14.4" customHeight="1" x14ac:dyDescent="0.3"/>
    <row r="8966" ht="14.4" customHeight="1" x14ac:dyDescent="0.3"/>
    <row r="8967" ht="14.4" customHeight="1" x14ac:dyDescent="0.3"/>
    <row r="8968" ht="14.4" customHeight="1" x14ac:dyDescent="0.3"/>
    <row r="8969" ht="14.4" customHeight="1" x14ac:dyDescent="0.3"/>
    <row r="8970" ht="14.4" customHeight="1" x14ac:dyDescent="0.3"/>
    <row r="8971" ht="14.4" customHeight="1" x14ac:dyDescent="0.3"/>
    <row r="8972" ht="14.4" customHeight="1" x14ac:dyDescent="0.3"/>
    <row r="8973" ht="14.4" customHeight="1" x14ac:dyDescent="0.3"/>
    <row r="8974" ht="14.4" customHeight="1" x14ac:dyDescent="0.3"/>
    <row r="8975" ht="14.4" customHeight="1" x14ac:dyDescent="0.3"/>
    <row r="8976" ht="14.4" customHeight="1" x14ac:dyDescent="0.3"/>
    <row r="8977" ht="14.4" customHeight="1" x14ac:dyDescent="0.3"/>
    <row r="8978" ht="14.4" customHeight="1" x14ac:dyDescent="0.3"/>
    <row r="8979" ht="14.4" customHeight="1" x14ac:dyDescent="0.3"/>
    <row r="8980" ht="14.4" customHeight="1" x14ac:dyDescent="0.3"/>
    <row r="8981" ht="14.4" customHeight="1" x14ac:dyDescent="0.3"/>
    <row r="8982" ht="14.4" customHeight="1" x14ac:dyDescent="0.3"/>
    <row r="8983" ht="14.4" customHeight="1" x14ac:dyDescent="0.3"/>
    <row r="8984" ht="14.4" customHeight="1" x14ac:dyDescent="0.3"/>
    <row r="8985" ht="14.4" customHeight="1" x14ac:dyDescent="0.3"/>
    <row r="8986" ht="14.4" customHeight="1" x14ac:dyDescent="0.3"/>
    <row r="8987" ht="14.4" customHeight="1" x14ac:dyDescent="0.3"/>
    <row r="8988" ht="14.4" customHeight="1" x14ac:dyDescent="0.3"/>
    <row r="8989" ht="14.4" customHeight="1" x14ac:dyDescent="0.3"/>
    <row r="8990" ht="14.4" customHeight="1" x14ac:dyDescent="0.3"/>
    <row r="8991" ht="14.4" customHeight="1" x14ac:dyDescent="0.3"/>
    <row r="8992" ht="14.4" customHeight="1" x14ac:dyDescent="0.3"/>
    <row r="8993" ht="14.4" customHeight="1" x14ac:dyDescent="0.3"/>
    <row r="8994" ht="14.4" customHeight="1" x14ac:dyDescent="0.3"/>
    <row r="8995" ht="14.4" customHeight="1" x14ac:dyDescent="0.3"/>
    <row r="8996" ht="14.4" customHeight="1" x14ac:dyDescent="0.3"/>
    <row r="8997" ht="14.4" customHeight="1" x14ac:dyDescent="0.3"/>
    <row r="8998" ht="14.4" customHeight="1" x14ac:dyDescent="0.3"/>
    <row r="8999" ht="14.4" customHeight="1" x14ac:dyDescent="0.3"/>
    <row r="9000" ht="14.4" customHeight="1" x14ac:dyDescent="0.3"/>
    <row r="9001" ht="14.4" customHeight="1" x14ac:dyDescent="0.3"/>
    <row r="9002" ht="14.4" customHeight="1" x14ac:dyDescent="0.3"/>
    <row r="9003" ht="14.4" customHeight="1" x14ac:dyDescent="0.3"/>
    <row r="9004" ht="14.4" customHeight="1" x14ac:dyDescent="0.3"/>
    <row r="9005" ht="14.4" customHeight="1" x14ac:dyDescent="0.3"/>
    <row r="9006" ht="14.4" customHeight="1" x14ac:dyDescent="0.3"/>
    <row r="9007" ht="14.4" customHeight="1" x14ac:dyDescent="0.3"/>
    <row r="9008" ht="14.4" customHeight="1" x14ac:dyDescent="0.3"/>
    <row r="9009" ht="14.4" customHeight="1" x14ac:dyDescent="0.3"/>
    <row r="9010" ht="14.4" customHeight="1" x14ac:dyDescent="0.3"/>
    <row r="9011" ht="14.4" customHeight="1" x14ac:dyDescent="0.3"/>
    <row r="9012" ht="14.4" customHeight="1" x14ac:dyDescent="0.3"/>
    <row r="9013" ht="14.4" customHeight="1" x14ac:dyDescent="0.3"/>
    <row r="9014" ht="14.4" customHeight="1" x14ac:dyDescent="0.3"/>
    <row r="9015" ht="14.4" customHeight="1" x14ac:dyDescent="0.3"/>
    <row r="9016" ht="14.4" customHeight="1" x14ac:dyDescent="0.3"/>
    <row r="9017" ht="14.4" customHeight="1" x14ac:dyDescent="0.3"/>
    <row r="9018" ht="14.4" customHeight="1" x14ac:dyDescent="0.3"/>
    <row r="9019" ht="14.4" customHeight="1" x14ac:dyDescent="0.3"/>
    <row r="9020" ht="14.4" customHeight="1" x14ac:dyDescent="0.3"/>
    <row r="9021" ht="14.4" customHeight="1" x14ac:dyDescent="0.3"/>
    <row r="9022" ht="14.4" customHeight="1" x14ac:dyDescent="0.3"/>
    <row r="9023" ht="14.4" customHeight="1" x14ac:dyDescent="0.3"/>
    <row r="9024" ht="14.4" customHeight="1" x14ac:dyDescent="0.3"/>
    <row r="9025" ht="14.4" customHeight="1" x14ac:dyDescent="0.3"/>
    <row r="9026" ht="14.4" customHeight="1" x14ac:dyDescent="0.3"/>
    <row r="9027" ht="14.4" customHeight="1" x14ac:dyDescent="0.3"/>
    <row r="9028" ht="14.4" customHeight="1" x14ac:dyDescent="0.3"/>
    <row r="9029" ht="14.4" customHeight="1" x14ac:dyDescent="0.3"/>
    <row r="9030" ht="14.4" customHeight="1" x14ac:dyDescent="0.3"/>
    <row r="9031" ht="14.4" customHeight="1" x14ac:dyDescent="0.3"/>
    <row r="9032" ht="14.4" customHeight="1" x14ac:dyDescent="0.3"/>
    <row r="9033" ht="14.4" customHeight="1" x14ac:dyDescent="0.3"/>
    <row r="9034" ht="14.4" customHeight="1" x14ac:dyDescent="0.3"/>
    <row r="9035" ht="14.4" customHeight="1" x14ac:dyDescent="0.3"/>
    <row r="9036" ht="14.4" customHeight="1" x14ac:dyDescent="0.3"/>
    <row r="9037" ht="14.4" customHeight="1" x14ac:dyDescent="0.3"/>
    <row r="9038" ht="14.4" customHeight="1" x14ac:dyDescent="0.3"/>
    <row r="9039" ht="14.4" customHeight="1" x14ac:dyDescent="0.3"/>
    <row r="9040" ht="14.4" customHeight="1" x14ac:dyDescent="0.3"/>
    <row r="9041" ht="14.4" customHeight="1" x14ac:dyDescent="0.3"/>
    <row r="9042" ht="14.4" customHeight="1" x14ac:dyDescent="0.3"/>
    <row r="9043" ht="14.4" customHeight="1" x14ac:dyDescent="0.3"/>
    <row r="9044" ht="14.4" customHeight="1" x14ac:dyDescent="0.3"/>
    <row r="9045" ht="14.4" customHeight="1" x14ac:dyDescent="0.3"/>
    <row r="9046" ht="14.4" customHeight="1" x14ac:dyDescent="0.3"/>
    <row r="9047" ht="14.4" customHeight="1" x14ac:dyDescent="0.3"/>
    <row r="9048" ht="14.4" customHeight="1" x14ac:dyDescent="0.3"/>
    <row r="9049" ht="14.4" customHeight="1" x14ac:dyDescent="0.3"/>
    <row r="9050" ht="14.4" customHeight="1" x14ac:dyDescent="0.3"/>
    <row r="9051" ht="14.4" customHeight="1" x14ac:dyDescent="0.3"/>
    <row r="9052" ht="14.4" customHeight="1" x14ac:dyDescent="0.3"/>
    <row r="9053" ht="14.4" customHeight="1" x14ac:dyDescent="0.3"/>
    <row r="9054" ht="14.4" customHeight="1" x14ac:dyDescent="0.3"/>
    <row r="9055" ht="14.4" customHeight="1" x14ac:dyDescent="0.3"/>
    <row r="9056" ht="14.4" customHeight="1" x14ac:dyDescent="0.3"/>
    <row r="9057" ht="14.4" customHeight="1" x14ac:dyDescent="0.3"/>
    <row r="9058" ht="14.4" customHeight="1" x14ac:dyDescent="0.3"/>
    <row r="9059" ht="14.4" customHeight="1" x14ac:dyDescent="0.3"/>
    <row r="9060" ht="14.4" customHeight="1" x14ac:dyDescent="0.3"/>
    <row r="9061" ht="14.4" customHeight="1" x14ac:dyDescent="0.3"/>
    <row r="9062" ht="14.4" customHeight="1" x14ac:dyDescent="0.3"/>
    <row r="9063" ht="14.4" customHeight="1" x14ac:dyDescent="0.3"/>
    <row r="9064" ht="14.4" customHeight="1" x14ac:dyDescent="0.3"/>
    <row r="9065" ht="14.4" customHeight="1" x14ac:dyDescent="0.3"/>
    <row r="9066" ht="14.4" customHeight="1" x14ac:dyDescent="0.3"/>
    <row r="9067" ht="14.4" customHeight="1" x14ac:dyDescent="0.3"/>
    <row r="9068" ht="14.4" customHeight="1" x14ac:dyDescent="0.3"/>
    <row r="9069" ht="14.4" customHeight="1" x14ac:dyDescent="0.3"/>
    <row r="9070" ht="14.4" customHeight="1" x14ac:dyDescent="0.3"/>
    <row r="9071" ht="14.4" customHeight="1" x14ac:dyDescent="0.3"/>
    <row r="9072" ht="14.4" customHeight="1" x14ac:dyDescent="0.3"/>
    <row r="9073" ht="14.4" customHeight="1" x14ac:dyDescent="0.3"/>
    <row r="9074" ht="14.4" customHeight="1" x14ac:dyDescent="0.3"/>
    <row r="9075" ht="14.4" customHeight="1" x14ac:dyDescent="0.3"/>
    <row r="9076" ht="14.4" customHeight="1" x14ac:dyDescent="0.3"/>
    <row r="9077" ht="14.4" customHeight="1" x14ac:dyDescent="0.3"/>
    <row r="9078" ht="14.4" customHeight="1" x14ac:dyDescent="0.3"/>
    <row r="9079" ht="14.4" customHeight="1" x14ac:dyDescent="0.3"/>
    <row r="9080" ht="14.4" customHeight="1" x14ac:dyDescent="0.3"/>
    <row r="9081" ht="14.4" customHeight="1" x14ac:dyDescent="0.3"/>
    <row r="9082" ht="14.4" customHeight="1" x14ac:dyDescent="0.3"/>
    <row r="9083" ht="14.4" customHeight="1" x14ac:dyDescent="0.3"/>
    <row r="9084" ht="14.4" customHeight="1" x14ac:dyDescent="0.3"/>
    <row r="9085" ht="14.4" customHeight="1" x14ac:dyDescent="0.3"/>
    <row r="9086" ht="14.4" customHeight="1" x14ac:dyDescent="0.3"/>
    <row r="9087" ht="14.4" customHeight="1" x14ac:dyDescent="0.3"/>
    <row r="9088" ht="14.4" customHeight="1" x14ac:dyDescent="0.3"/>
    <row r="9089" ht="14.4" customHeight="1" x14ac:dyDescent="0.3"/>
    <row r="9090" ht="14.4" customHeight="1" x14ac:dyDescent="0.3"/>
    <row r="9091" ht="14.4" customHeight="1" x14ac:dyDescent="0.3"/>
    <row r="9092" ht="14.4" customHeight="1" x14ac:dyDescent="0.3"/>
    <row r="9093" ht="14.4" customHeight="1" x14ac:dyDescent="0.3"/>
    <row r="9094" ht="14.4" customHeight="1" x14ac:dyDescent="0.3"/>
    <row r="9095" ht="14.4" customHeight="1" x14ac:dyDescent="0.3"/>
    <row r="9096" ht="14.4" customHeight="1" x14ac:dyDescent="0.3"/>
    <row r="9097" ht="14.4" customHeight="1" x14ac:dyDescent="0.3"/>
    <row r="9098" ht="14.4" customHeight="1" x14ac:dyDescent="0.3"/>
    <row r="9099" ht="14.4" customHeight="1" x14ac:dyDescent="0.3"/>
    <row r="9100" ht="14.4" customHeight="1" x14ac:dyDescent="0.3"/>
    <row r="9101" ht="14.4" customHeight="1" x14ac:dyDescent="0.3"/>
    <row r="9102" ht="14.4" customHeight="1" x14ac:dyDescent="0.3"/>
    <row r="9103" ht="14.4" customHeight="1" x14ac:dyDescent="0.3"/>
    <row r="9104" ht="14.4" customHeight="1" x14ac:dyDescent="0.3"/>
    <row r="9105" ht="14.4" customHeight="1" x14ac:dyDescent="0.3"/>
    <row r="9106" ht="14.4" customHeight="1" x14ac:dyDescent="0.3"/>
    <row r="9107" ht="14.4" customHeight="1" x14ac:dyDescent="0.3"/>
    <row r="9108" ht="14.4" customHeight="1" x14ac:dyDescent="0.3"/>
    <row r="9109" ht="14.4" customHeight="1" x14ac:dyDescent="0.3"/>
    <row r="9110" ht="14.4" customHeight="1" x14ac:dyDescent="0.3"/>
    <row r="9111" ht="14.4" customHeight="1" x14ac:dyDescent="0.3"/>
    <row r="9112" ht="14.4" customHeight="1" x14ac:dyDescent="0.3"/>
    <row r="9113" ht="14.4" customHeight="1" x14ac:dyDescent="0.3"/>
    <row r="9114" ht="14.4" customHeight="1" x14ac:dyDescent="0.3"/>
    <row r="9115" ht="14.4" customHeight="1" x14ac:dyDescent="0.3"/>
    <row r="9116" ht="14.4" customHeight="1" x14ac:dyDescent="0.3"/>
    <row r="9117" ht="14.4" customHeight="1" x14ac:dyDescent="0.3"/>
    <row r="9118" ht="14.4" customHeight="1" x14ac:dyDescent="0.3"/>
    <row r="9119" ht="14.4" customHeight="1" x14ac:dyDescent="0.3"/>
    <row r="9120" ht="14.4" customHeight="1" x14ac:dyDescent="0.3"/>
    <row r="9121" ht="14.4" customHeight="1" x14ac:dyDescent="0.3"/>
    <row r="9122" ht="14.4" customHeight="1" x14ac:dyDescent="0.3"/>
    <row r="9123" ht="14.4" customHeight="1" x14ac:dyDescent="0.3"/>
    <row r="9124" ht="14.4" customHeight="1" x14ac:dyDescent="0.3"/>
    <row r="9125" ht="14.4" customHeight="1" x14ac:dyDescent="0.3"/>
    <row r="9126" ht="14.4" customHeight="1" x14ac:dyDescent="0.3"/>
    <row r="9127" ht="14.4" customHeight="1" x14ac:dyDescent="0.3"/>
    <row r="9128" ht="14.4" customHeight="1" x14ac:dyDescent="0.3"/>
    <row r="9129" ht="14.4" customHeight="1" x14ac:dyDescent="0.3"/>
    <row r="9130" ht="14.4" customHeight="1" x14ac:dyDescent="0.3"/>
    <row r="9131" ht="14.4" customHeight="1" x14ac:dyDescent="0.3"/>
    <row r="9132" ht="14.4" customHeight="1" x14ac:dyDescent="0.3"/>
    <row r="9133" ht="14.4" customHeight="1" x14ac:dyDescent="0.3"/>
    <row r="9134" ht="14.4" customHeight="1" x14ac:dyDescent="0.3"/>
    <row r="9135" ht="14.4" customHeight="1" x14ac:dyDescent="0.3"/>
    <row r="9136" ht="14.4" customHeight="1" x14ac:dyDescent="0.3"/>
    <row r="9137" ht="14.4" customHeight="1" x14ac:dyDescent="0.3"/>
    <row r="9138" ht="14.4" customHeight="1" x14ac:dyDescent="0.3"/>
    <row r="9139" ht="14.4" customHeight="1" x14ac:dyDescent="0.3"/>
    <row r="9140" ht="14.4" customHeight="1" x14ac:dyDescent="0.3"/>
    <row r="9141" ht="14.4" customHeight="1" x14ac:dyDescent="0.3"/>
    <row r="9142" ht="14.4" customHeight="1" x14ac:dyDescent="0.3"/>
    <row r="9143" ht="14.4" customHeight="1" x14ac:dyDescent="0.3"/>
    <row r="9144" ht="14.4" customHeight="1" x14ac:dyDescent="0.3"/>
    <row r="9145" ht="14.4" customHeight="1" x14ac:dyDescent="0.3"/>
    <row r="9146" ht="14.4" customHeight="1" x14ac:dyDescent="0.3"/>
    <row r="9147" ht="14.4" customHeight="1" x14ac:dyDescent="0.3"/>
    <row r="9148" ht="14.4" customHeight="1" x14ac:dyDescent="0.3"/>
    <row r="9149" ht="14.4" customHeight="1" x14ac:dyDescent="0.3"/>
    <row r="9150" ht="14.4" customHeight="1" x14ac:dyDescent="0.3"/>
    <row r="9151" ht="14.4" customHeight="1" x14ac:dyDescent="0.3"/>
    <row r="9152" ht="14.4" customHeight="1" x14ac:dyDescent="0.3"/>
    <row r="9153" ht="14.4" customHeight="1" x14ac:dyDescent="0.3"/>
    <row r="9154" ht="14.4" customHeight="1" x14ac:dyDescent="0.3"/>
    <row r="9155" ht="14.4" customHeight="1" x14ac:dyDescent="0.3"/>
    <row r="9156" ht="14.4" customHeight="1" x14ac:dyDescent="0.3"/>
    <row r="9157" ht="14.4" customHeight="1" x14ac:dyDescent="0.3"/>
    <row r="9158" ht="14.4" customHeight="1" x14ac:dyDescent="0.3"/>
    <row r="9159" ht="14.4" customHeight="1" x14ac:dyDescent="0.3"/>
    <row r="9160" ht="14.4" customHeight="1" x14ac:dyDescent="0.3"/>
    <row r="9161" ht="14.4" customHeight="1" x14ac:dyDescent="0.3"/>
    <row r="9162" ht="14.4" customHeight="1" x14ac:dyDescent="0.3"/>
    <row r="9163" ht="14.4" customHeight="1" x14ac:dyDescent="0.3"/>
    <row r="9164" ht="14.4" customHeight="1" x14ac:dyDescent="0.3"/>
    <row r="9165" ht="14.4" customHeight="1" x14ac:dyDescent="0.3"/>
    <row r="9166" ht="14.4" customHeight="1" x14ac:dyDescent="0.3"/>
    <row r="9167" ht="14.4" customHeight="1" x14ac:dyDescent="0.3"/>
    <row r="9168" ht="14.4" customHeight="1" x14ac:dyDescent="0.3"/>
    <row r="9169" ht="14.4" customHeight="1" x14ac:dyDescent="0.3"/>
    <row r="9170" ht="14.4" customHeight="1" x14ac:dyDescent="0.3"/>
    <row r="9171" ht="14.4" customHeight="1" x14ac:dyDescent="0.3"/>
    <row r="9172" ht="14.4" customHeight="1" x14ac:dyDescent="0.3"/>
    <row r="9173" ht="14.4" customHeight="1" x14ac:dyDescent="0.3"/>
    <row r="9174" ht="14.4" customHeight="1" x14ac:dyDescent="0.3"/>
    <row r="9175" ht="14.4" customHeight="1" x14ac:dyDescent="0.3"/>
    <row r="9176" ht="14.4" customHeight="1" x14ac:dyDescent="0.3"/>
    <row r="9177" ht="14.4" customHeight="1" x14ac:dyDescent="0.3"/>
    <row r="9178" ht="14.4" customHeight="1" x14ac:dyDescent="0.3"/>
    <row r="9179" ht="14.4" customHeight="1" x14ac:dyDescent="0.3"/>
    <row r="9180" ht="14.4" customHeight="1" x14ac:dyDescent="0.3"/>
    <row r="9181" ht="14.4" customHeight="1" x14ac:dyDescent="0.3"/>
    <row r="9182" ht="14.4" customHeight="1" x14ac:dyDescent="0.3"/>
    <row r="9183" ht="14.4" customHeight="1" x14ac:dyDescent="0.3"/>
    <row r="9184" ht="14.4" customHeight="1" x14ac:dyDescent="0.3"/>
    <row r="9185" ht="14.4" customHeight="1" x14ac:dyDescent="0.3"/>
    <row r="9186" ht="14.4" customHeight="1" x14ac:dyDescent="0.3"/>
    <row r="9187" ht="14.4" customHeight="1" x14ac:dyDescent="0.3"/>
    <row r="9188" ht="14.4" customHeight="1" x14ac:dyDescent="0.3"/>
    <row r="9189" ht="14.4" customHeight="1" x14ac:dyDescent="0.3"/>
    <row r="9190" ht="14.4" customHeight="1" x14ac:dyDescent="0.3"/>
    <row r="9191" ht="14.4" customHeight="1" x14ac:dyDescent="0.3"/>
    <row r="9192" ht="14.4" customHeight="1" x14ac:dyDescent="0.3"/>
    <row r="9193" ht="14.4" customHeight="1" x14ac:dyDescent="0.3"/>
    <row r="9194" ht="14.4" customHeight="1" x14ac:dyDescent="0.3"/>
    <row r="9195" ht="14.4" customHeight="1" x14ac:dyDescent="0.3"/>
    <row r="9196" ht="14.4" customHeight="1" x14ac:dyDescent="0.3"/>
    <row r="9197" ht="14.4" customHeight="1" x14ac:dyDescent="0.3"/>
    <row r="9198" ht="14.4" customHeight="1" x14ac:dyDescent="0.3"/>
    <row r="9199" ht="14.4" customHeight="1" x14ac:dyDescent="0.3"/>
    <row r="9200" ht="14.4" customHeight="1" x14ac:dyDescent="0.3"/>
    <row r="9201" ht="14.4" customHeight="1" x14ac:dyDescent="0.3"/>
    <row r="9202" ht="14.4" customHeight="1" x14ac:dyDescent="0.3"/>
    <row r="9203" ht="14.4" customHeight="1" x14ac:dyDescent="0.3"/>
    <row r="9204" ht="14.4" customHeight="1" x14ac:dyDescent="0.3"/>
    <row r="9205" ht="14.4" customHeight="1" x14ac:dyDescent="0.3"/>
    <row r="9206" ht="14.4" customHeight="1" x14ac:dyDescent="0.3"/>
    <row r="9207" ht="14.4" customHeight="1" x14ac:dyDescent="0.3"/>
    <row r="9208" ht="14.4" customHeight="1" x14ac:dyDescent="0.3"/>
    <row r="9209" ht="14.4" customHeight="1" x14ac:dyDescent="0.3"/>
    <row r="9210" ht="14.4" customHeight="1" x14ac:dyDescent="0.3"/>
    <row r="9211" ht="14.4" customHeight="1" x14ac:dyDescent="0.3"/>
    <row r="9212" ht="14.4" customHeight="1" x14ac:dyDescent="0.3"/>
    <row r="9213" ht="14.4" customHeight="1" x14ac:dyDescent="0.3"/>
    <row r="9214" ht="14.4" customHeight="1" x14ac:dyDescent="0.3"/>
    <row r="9215" ht="14.4" customHeight="1" x14ac:dyDescent="0.3"/>
    <row r="9216" ht="14.4" customHeight="1" x14ac:dyDescent="0.3"/>
    <row r="9217" ht="14.4" customHeight="1" x14ac:dyDescent="0.3"/>
    <row r="9218" ht="14.4" customHeight="1" x14ac:dyDescent="0.3"/>
    <row r="9219" ht="14.4" customHeight="1" x14ac:dyDescent="0.3"/>
    <row r="9220" ht="14.4" customHeight="1" x14ac:dyDescent="0.3"/>
    <row r="9221" ht="14.4" customHeight="1" x14ac:dyDescent="0.3"/>
    <row r="9222" ht="14.4" customHeight="1" x14ac:dyDescent="0.3"/>
    <row r="9223" ht="14.4" customHeight="1" x14ac:dyDescent="0.3"/>
    <row r="9224" ht="14.4" customHeight="1" x14ac:dyDescent="0.3"/>
    <row r="9225" ht="14.4" customHeight="1" x14ac:dyDescent="0.3"/>
    <row r="9226" ht="14.4" customHeight="1" x14ac:dyDescent="0.3"/>
    <row r="9227" ht="14.4" customHeight="1" x14ac:dyDescent="0.3"/>
    <row r="9228" ht="14.4" customHeight="1" x14ac:dyDescent="0.3"/>
    <row r="9229" ht="14.4" customHeight="1" x14ac:dyDescent="0.3"/>
    <row r="9230" ht="14.4" customHeight="1" x14ac:dyDescent="0.3"/>
    <row r="9231" ht="14.4" customHeight="1" x14ac:dyDescent="0.3"/>
    <row r="9232" ht="14.4" customHeight="1" x14ac:dyDescent="0.3"/>
    <row r="9233" ht="14.4" customHeight="1" x14ac:dyDescent="0.3"/>
    <row r="9234" ht="14.4" customHeight="1" x14ac:dyDescent="0.3"/>
    <row r="9235" ht="14.4" customHeight="1" x14ac:dyDescent="0.3"/>
    <row r="9236" ht="14.4" customHeight="1" x14ac:dyDescent="0.3"/>
    <row r="9237" ht="14.4" customHeight="1" x14ac:dyDescent="0.3"/>
    <row r="9238" ht="14.4" customHeight="1" x14ac:dyDescent="0.3"/>
    <row r="9239" ht="14.4" customHeight="1" x14ac:dyDescent="0.3"/>
    <row r="9240" ht="14.4" customHeight="1" x14ac:dyDescent="0.3"/>
    <row r="9241" ht="14.4" customHeight="1" x14ac:dyDescent="0.3"/>
    <row r="9242" ht="14.4" customHeight="1" x14ac:dyDescent="0.3"/>
    <row r="9243" ht="14.4" customHeight="1" x14ac:dyDescent="0.3"/>
    <row r="9244" ht="14.4" customHeight="1" x14ac:dyDescent="0.3"/>
    <row r="9245" ht="14.4" customHeight="1" x14ac:dyDescent="0.3"/>
    <row r="9246" ht="14.4" customHeight="1" x14ac:dyDescent="0.3"/>
    <row r="9247" ht="14.4" customHeight="1" x14ac:dyDescent="0.3"/>
    <row r="9248" ht="14.4" customHeight="1" x14ac:dyDescent="0.3"/>
    <row r="9249" ht="14.4" customHeight="1" x14ac:dyDescent="0.3"/>
    <row r="9250" ht="14.4" customHeight="1" x14ac:dyDescent="0.3"/>
    <row r="9251" ht="14.4" customHeight="1" x14ac:dyDescent="0.3"/>
    <row r="9252" ht="14.4" customHeight="1" x14ac:dyDescent="0.3"/>
    <row r="9253" ht="14.4" customHeight="1" x14ac:dyDescent="0.3"/>
    <row r="9254" ht="14.4" customHeight="1" x14ac:dyDescent="0.3"/>
    <row r="9255" ht="14.4" customHeight="1" x14ac:dyDescent="0.3"/>
    <row r="9256" ht="14.4" customHeight="1" x14ac:dyDescent="0.3"/>
    <row r="9257" ht="14.4" customHeight="1" x14ac:dyDescent="0.3"/>
    <row r="9258" ht="14.4" customHeight="1" x14ac:dyDescent="0.3"/>
    <row r="9259" ht="14.4" customHeight="1" x14ac:dyDescent="0.3"/>
    <row r="9260" ht="14.4" customHeight="1" x14ac:dyDescent="0.3"/>
    <row r="9261" ht="14.4" customHeight="1" x14ac:dyDescent="0.3"/>
    <row r="9262" ht="14.4" customHeight="1" x14ac:dyDescent="0.3"/>
    <row r="9263" ht="14.4" customHeight="1" x14ac:dyDescent="0.3"/>
    <row r="9264" ht="14.4" customHeight="1" x14ac:dyDescent="0.3"/>
    <row r="9265" ht="14.4" customHeight="1" x14ac:dyDescent="0.3"/>
    <row r="9266" ht="14.4" customHeight="1" x14ac:dyDescent="0.3"/>
    <row r="9267" ht="14.4" customHeight="1" x14ac:dyDescent="0.3"/>
    <row r="9268" ht="14.4" customHeight="1" x14ac:dyDescent="0.3"/>
    <row r="9269" ht="14.4" customHeight="1" x14ac:dyDescent="0.3"/>
    <row r="9270" ht="14.4" customHeight="1" x14ac:dyDescent="0.3"/>
    <row r="9271" ht="14.4" customHeight="1" x14ac:dyDescent="0.3"/>
    <row r="9272" ht="14.4" customHeight="1" x14ac:dyDescent="0.3"/>
    <row r="9273" ht="14.4" customHeight="1" x14ac:dyDescent="0.3"/>
    <row r="9274" ht="14.4" customHeight="1" x14ac:dyDescent="0.3"/>
    <row r="9275" ht="14.4" customHeight="1" x14ac:dyDescent="0.3"/>
    <row r="9276" ht="14.4" customHeight="1" x14ac:dyDescent="0.3"/>
    <row r="9277" ht="14.4" customHeight="1" x14ac:dyDescent="0.3"/>
    <row r="9278" ht="14.4" customHeight="1" x14ac:dyDescent="0.3"/>
    <row r="9279" ht="14.4" customHeight="1" x14ac:dyDescent="0.3"/>
    <row r="9280" ht="14.4" customHeight="1" x14ac:dyDescent="0.3"/>
    <row r="9281" ht="14.4" customHeight="1" x14ac:dyDescent="0.3"/>
    <row r="9282" ht="14.4" customHeight="1" x14ac:dyDescent="0.3"/>
    <row r="9283" ht="14.4" customHeight="1" x14ac:dyDescent="0.3"/>
    <row r="9284" ht="14.4" customHeight="1" x14ac:dyDescent="0.3"/>
    <row r="9285" ht="14.4" customHeight="1" x14ac:dyDescent="0.3"/>
    <row r="9286" ht="14.4" customHeight="1" x14ac:dyDescent="0.3"/>
    <row r="9287" ht="14.4" customHeight="1" x14ac:dyDescent="0.3"/>
    <row r="9288" ht="14.4" customHeight="1" x14ac:dyDescent="0.3"/>
    <row r="9289" ht="14.4" customHeight="1" x14ac:dyDescent="0.3"/>
    <row r="9290" ht="14.4" customHeight="1" x14ac:dyDescent="0.3"/>
    <row r="9291" ht="14.4" customHeight="1" x14ac:dyDescent="0.3"/>
    <row r="9292" ht="14.4" customHeight="1" x14ac:dyDescent="0.3"/>
    <row r="9293" ht="14.4" customHeight="1" x14ac:dyDescent="0.3"/>
    <row r="9294" ht="14.4" customHeight="1" x14ac:dyDescent="0.3"/>
    <row r="9295" ht="14.4" customHeight="1" x14ac:dyDescent="0.3"/>
    <row r="9296" ht="14.4" customHeight="1" x14ac:dyDescent="0.3"/>
    <row r="9297" ht="14.4" customHeight="1" x14ac:dyDescent="0.3"/>
    <row r="9298" ht="14.4" customHeight="1" x14ac:dyDescent="0.3"/>
    <row r="9299" ht="14.4" customHeight="1" x14ac:dyDescent="0.3"/>
    <row r="9300" ht="14.4" customHeight="1" x14ac:dyDescent="0.3"/>
    <row r="9301" ht="14.4" customHeight="1" x14ac:dyDescent="0.3"/>
    <row r="9302" ht="14.4" customHeight="1" x14ac:dyDescent="0.3"/>
    <row r="9303" ht="14.4" customHeight="1" x14ac:dyDescent="0.3"/>
    <row r="9304" ht="14.4" customHeight="1" x14ac:dyDescent="0.3"/>
    <row r="9305" ht="14.4" customHeight="1" x14ac:dyDescent="0.3"/>
    <row r="9306" ht="14.4" customHeight="1" x14ac:dyDescent="0.3"/>
    <row r="9307" ht="14.4" customHeight="1" x14ac:dyDescent="0.3"/>
    <row r="9308" ht="14.4" customHeight="1" x14ac:dyDescent="0.3"/>
    <row r="9309" ht="14.4" customHeight="1" x14ac:dyDescent="0.3"/>
    <row r="9310" ht="14.4" customHeight="1" x14ac:dyDescent="0.3"/>
    <row r="9311" ht="14.4" customHeight="1" x14ac:dyDescent="0.3"/>
    <row r="9312" ht="14.4" customHeight="1" x14ac:dyDescent="0.3"/>
    <row r="9313" ht="14.4" customHeight="1" x14ac:dyDescent="0.3"/>
    <row r="9314" ht="14.4" customHeight="1" x14ac:dyDescent="0.3"/>
    <row r="9315" ht="14.4" customHeight="1" x14ac:dyDescent="0.3"/>
    <row r="9316" ht="14.4" customHeight="1" x14ac:dyDescent="0.3"/>
    <row r="9317" ht="14.4" customHeight="1" x14ac:dyDescent="0.3"/>
    <row r="9318" ht="14.4" customHeight="1" x14ac:dyDescent="0.3"/>
    <row r="9319" ht="14.4" customHeight="1" x14ac:dyDescent="0.3"/>
    <row r="9320" ht="14.4" customHeight="1" x14ac:dyDescent="0.3"/>
    <row r="9321" ht="14.4" customHeight="1" x14ac:dyDescent="0.3"/>
    <row r="9322" ht="14.4" customHeight="1" x14ac:dyDescent="0.3"/>
    <row r="9323" ht="14.4" customHeight="1" x14ac:dyDescent="0.3"/>
    <row r="9324" ht="14.4" customHeight="1" x14ac:dyDescent="0.3"/>
    <row r="9325" ht="14.4" customHeight="1" x14ac:dyDescent="0.3"/>
    <row r="9326" ht="14.4" customHeight="1" x14ac:dyDescent="0.3"/>
    <row r="9327" ht="14.4" customHeight="1" x14ac:dyDescent="0.3"/>
    <row r="9328" ht="14.4" customHeight="1" x14ac:dyDescent="0.3"/>
    <row r="9329" ht="14.4" customHeight="1" x14ac:dyDescent="0.3"/>
    <row r="9330" ht="14.4" customHeight="1" x14ac:dyDescent="0.3"/>
    <row r="9331" ht="14.4" customHeight="1" x14ac:dyDescent="0.3"/>
    <row r="9332" ht="14.4" customHeight="1" x14ac:dyDescent="0.3"/>
    <row r="9333" ht="14.4" customHeight="1" x14ac:dyDescent="0.3"/>
    <row r="9334" ht="14.4" customHeight="1" x14ac:dyDescent="0.3"/>
    <row r="9335" ht="14.4" customHeight="1" x14ac:dyDescent="0.3"/>
    <row r="9336" ht="14.4" customHeight="1" x14ac:dyDescent="0.3"/>
    <row r="9337" ht="14.4" customHeight="1" x14ac:dyDescent="0.3"/>
    <row r="9338" ht="14.4" customHeight="1" x14ac:dyDescent="0.3"/>
    <row r="9339" ht="14.4" customHeight="1" x14ac:dyDescent="0.3"/>
    <row r="9340" ht="14.4" customHeight="1" x14ac:dyDescent="0.3"/>
    <row r="9341" ht="14.4" customHeight="1" x14ac:dyDescent="0.3"/>
    <row r="9342" ht="14.4" customHeight="1" x14ac:dyDescent="0.3"/>
    <row r="9343" ht="14.4" customHeight="1" x14ac:dyDescent="0.3"/>
    <row r="9344" ht="14.4" customHeight="1" x14ac:dyDescent="0.3"/>
    <row r="9345" ht="14.4" customHeight="1" x14ac:dyDescent="0.3"/>
    <row r="9346" ht="14.4" customHeight="1" x14ac:dyDescent="0.3"/>
    <row r="9347" ht="14.4" customHeight="1" x14ac:dyDescent="0.3"/>
    <row r="9348" ht="14.4" customHeight="1" x14ac:dyDescent="0.3"/>
    <row r="9349" ht="14.4" customHeight="1" x14ac:dyDescent="0.3"/>
    <row r="9350" ht="14.4" customHeight="1" x14ac:dyDescent="0.3"/>
    <row r="9351" ht="14.4" customHeight="1" x14ac:dyDescent="0.3"/>
    <row r="9352" ht="14.4" customHeight="1" x14ac:dyDescent="0.3"/>
    <row r="9353" ht="14.4" customHeight="1" x14ac:dyDescent="0.3"/>
    <row r="9354" ht="14.4" customHeight="1" x14ac:dyDescent="0.3"/>
    <row r="9355" ht="14.4" customHeight="1" x14ac:dyDescent="0.3"/>
    <row r="9356" ht="14.4" customHeight="1" x14ac:dyDescent="0.3"/>
    <row r="9357" ht="14.4" customHeight="1" x14ac:dyDescent="0.3"/>
    <row r="9358" ht="14.4" customHeight="1" x14ac:dyDescent="0.3"/>
    <row r="9359" ht="14.4" customHeight="1" x14ac:dyDescent="0.3"/>
    <row r="9360" ht="14.4" customHeight="1" x14ac:dyDescent="0.3"/>
    <row r="9361" ht="14.4" customHeight="1" x14ac:dyDescent="0.3"/>
    <row r="9362" ht="14.4" customHeight="1" x14ac:dyDescent="0.3"/>
    <row r="9363" ht="14.4" customHeight="1" x14ac:dyDescent="0.3"/>
    <row r="9364" ht="14.4" customHeight="1" x14ac:dyDescent="0.3"/>
    <row r="9365" ht="14.4" customHeight="1" x14ac:dyDescent="0.3"/>
    <row r="9366" ht="14.4" customHeight="1" x14ac:dyDescent="0.3"/>
    <row r="9367" ht="14.4" customHeight="1" x14ac:dyDescent="0.3"/>
    <row r="9368" ht="14.4" customHeight="1" x14ac:dyDescent="0.3"/>
    <row r="9369" ht="14.4" customHeight="1" x14ac:dyDescent="0.3"/>
    <row r="9370" ht="14.4" customHeight="1" x14ac:dyDescent="0.3"/>
    <row r="9371" ht="14.4" customHeight="1" x14ac:dyDescent="0.3"/>
    <row r="9372" ht="14.4" customHeight="1" x14ac:dyDescent="0.3"/>
    <row r="9373" ht="14.4" customHeight="1" x14ac:dyDescent="0.3"/>
    <row r="9374" ht="14.4" customHeight="1" x14ac:dyDescent="0.3"/>
    <row r="9375" ht="14.4" customHeight="1" x14ac:dyDescent="0.3"/>
    <row r="9376" ht="14.4" customHeight="1" x14ac:dyDescent="0.3"/>
    <row r="9377" ht="14.4" customHeight="1" x14ac:dyDescent="0.3"/>
    <row r="9378" ht="14.4" customHeight="1" x14ac:dyDescent="0.3"/>
    <row r="9379" ht="14.4" customHeight="1" x14ac:dyDescent="0.3"/>
    <row r="9380" ht="14.4" customHeight="1" x14ac:dyDescent="0.3"/>
    <row r="9381" ht="14.4" customHeight="1" x14ac:dyDescent="0.3"/>
    <row r="9382" ht="14.4" customHeight="1" x14ac:dyDescent="0.3"/>
    <row r="9383" ht="14.4" customHeight="1" x14ac:dyDescent="0.3"/>
    <row r="9384" ht="14.4" customHeight="1" x14ac:dyDescent="0.3"/>
    <row r="9385" ht="14.4" customHeight="1" x14ac:dyDescent="0.3"/>
    <row r="9386" ht="14.4" customHeight="1" x14ac:dyDescent="0.3"/>
    <row r="9387" ht="14.4" customHeight="1" x14ac:dyDescent="0.3"/>
    <row r="9388" ht="14.4" customHeight="1" x14ac:dyDescent="0.3"/>
    <row r="9389" ht="14.4" customHeight="1" x14ac:dyDescent="0.3"/>
    <row r="9390" ht="14.4" customHeight="1" x14ac:dyDescent="0.3"/>
    <row r="9391" ht="14.4" customHeight="1" x14ac:dyDescent="0.3"/>
    <row r="9392" ht="14.4" customHeight="1" x14ac:dyDescent="0.3"/>
    <row r="9393" ht="14.4" customHeight="1" x14ac:dyDescent="0.3"/>
    <row r="9394" ht="14.4" customHeight="1" x14ac:dyDescent="0.3"/>
    <row r="9395" ht="14.4" customHeight="1" x14ac:dyDescent="0.3"/>
    <row r="9396" ht="14.4" customHeight="1" x14ac:dyDescent="0.3"/>
    <row r="9397" ht="14.4" customHeight="1" x14ac:dyDescent="0.3"/>
    <row r="9398" ht="14.4" customHeight="1" x14ac:dyDescent="0.3"/>
    <row r="9399" ht="14.4" customHeight="1" x14ac:dyDescent="0.3"/>
    <row r="9400" ht="14.4" customHeight="1" x14ac:dyDescent="0.3"/>
    <row r="9401" ht="14.4" customHeight="1" x14ac:dyDescent="0.3"/>
    <row r="9402" ht="14.4" customHeight="1" x14ac:dyDescent="0.3"/>
    <row r="9403" ht="14.4" customHeight="1" x14ac:dyDescent="0.3"/>
    <row r="9404" ht="14.4" customHeight="1" x14ac:dyDescent="0.3"/>
    <row r="9405" ht="14.4" customHeight="1" x14ac:dyDescent="0.3"/>
    <row r="9406" ht="14.4" customHeight="1" x14ac:dyDescent="0.3"/>
    <row r="9407" ht="14.4" customHeight="1" x14ac:dyDescent="0.3"/>
    <row r="9408" ht="14.4" customHeight="1" x14ac:dyDescent="0.3"/>
    <row r="9409" ht="14.4" customHeight="1" x14ac:dyDescent="0.3"/>
    <row r="9410" ht="14.4" customHeight="1" x14ac:dyDescent="0.3"/>
    <row r="9411" ht="14.4" customHeight="1" x14ac:dyDescent="0.3"/>
    <row r="9412" ht="14.4" customHeight="1" x14ac:dyDescent="0.3"/>
    <row r="9413" ht="14.4" customHeight="1" x14ac:dyDescent="0.3"/>
    <row r="9414" ht="14.4" customHeight="1" x14ac:dyDescent="0.3"/>
    <row r="9415" ht="14.4" customHeight="1" x14ac:dyDescent="0.3"/>
    <row r="9416" ht="14.4" customHeight="1" x14ac:dyDescent="0.3"/>
    <row r="9417" ht="14.4" customHeight="1" x14ac:dyDescent="0.3"/>
    <row r="9418" ht="14.4" customHeight="1" x14ac:dyDescent="0.3"/>
    <row r="9419" ht="14.4" customHeight="1" x14ac:dyDescent="0.3"/>
    <row r="9420" ht="14.4" customHeight="1" x14ac:dyDescent="0.3"/>
    <row r="9421" ht="14.4" customHeight="1" x14ac:dyDescent="0.3"/>
    <row r="9422" ht="14.4" customHeight="1" x14ac:dyDescent="0.3"/>
    <row r="9423" ht="14.4" customHeight="1" x14ac:dyDescent="0.3"/>
    <row r="9424" ht="14.4" customHeight="1" x14ac:dyDescent="0.3"/>
    <row r="9425" ht="14.4" customHeight="1" x14ac:dyDescent="0.3"/>
    <row r="9426" ht="14.4" customHeight="1" x14ac:dyDescent="0.3"/>
    <row r="9427" ht="14.4" customHeight="1" x14ac:dyDescent="0.3"/>
    <row r="9428" ht="14.4" customHeight="1" x14ac:dyDescent="0.3"/>
    <row r="9429" ht="14.4" customHeight="1" x14ac:dyDescent="0.3"/>
    <row r="9430" ht="14.4" customHeight="1" x14ac:dyDescent="0.3"/>
    <row r="9431" ht="14.4" customHeight="1" x14ac:dyDescent="0.3"/>
    <row r="9432" ht="14.4" customHeight="1" x14ac:dyDescent="0.3"/>
    <row r="9433" ht="14.4" customHeight="1" x14ac:dyDescent="0.3"/>
    <row r="9434" ht="14.4" customHeight="1" x14ac:dyDescent="0.3"/>
    <row r="9435" ht="14.4" customHeight="1" x14ac:dyDescent="0.3"/>
    <row r="9436" ht="14.4" customHeight="1" x14ac:dyDescent="0.3"/>
    <row r="9437" ht="14.4" customHeight="1" x14ac:dyDescent="0.3"/>
    <row r="9438" ht="14.4" customHeight="1" x14ac:dyDescent="0.3"/>
    <row r="9439" ht="14.4" customHeight="1" x14ac:dyDescent="0.3"/>
    <row r="9440" ht="14.4" customHeight="1" x14ac:dyDescent="0.3"/>
    <row r="9441" ht="14.4" customHeight="1" x14ac:dyDescent="0.3"/>
    <row r="9442" ht="14.4" customHeight="1" x14ac:dyDescent="0.3"/>
    <row r="9443" ht="14.4" customHeight="1" x14ac:dyDescent="0.3"/>
    <row r="9444" ht="14.4" customHeight="1" x14ac:dyDescent="0.3"/>
    <row r="9445" ht="14.4" customHeight="1" x14ac:dyDescent="0.3"/>
    <row r="9446" ht="14.4" customHeight="1" x14ac:dyDescent="0.3"/>
    <row r="9447" ht="14.4" customHeight="1" x14ac:dyDescent="0.3"/>
    <row r="9448" ht="14.4" customHeight="1" x14ac:dyDescent="0.3"/>
    <row r="9449" ht="14.4" customHeight="1" x14ac:dyDescent="0.3"/>
    <row r="9450" ht="14.4" customHeight="1" x14ac:dyDescent="0.3"/>
    <row r="9451" ht="14.4" customHeight="1" x14ac:dyDescent="0.3"/>
    <row r="9452" ht="14.4" customHeight="1" x14ac:dyDescent="0.3"/>
    <row r="9453" ht="14.4" customHeight="1" x14ac:dyDescent="0.3"/>
    <row r="9454" ht="14.4" customHeight="1" x14ac:dyDescent="0.3"/>
    <row r="9455" ht="14.4" customHeight="1" x14ac:dyDescent="0.3"/>
    <row r="9456" ht="14.4" customHeight="1" x14ac:dyDescent="0.3"/>
    <row r="9457" ht="14.4" customHeight="1" x14ac:dyDescent="0.3"/>
    <row r="9458" ht="14.4" customHeight="1" x14ac:dyDescent="0.3"/>
    <row r="9459" ht="14.4" customHeight="1" x14ac:dyDescent="0.3"/>
    <row r="9460" ht="14.4" customHeight="1" x14ac:dyDescent="0.3"/>
    <row r="9461" ht="14.4" customHeight="1" x14ac:dyDescent="0.3"/>
    <row r="9462" ht="14.4" customHeight="1" x14ac:dyDescent="0.3"/>
    <row r="9463" ht="14.4" customHeight="1" x14ac:dyDescent="0.3"/>
    <row r="9464" ht="14.4" customHeight="1" x14ac:dyDescent="0.3"/>
    <row r="9465" ht="14.4" customHeight="1" x14ac:dyDescent="0.3"/>
    <row r="9466" ht="14.4" customHeight="1" x14ac:dyDescent="0.3"/>
    <row r="9467" ht="14.4" customHeight="1" x14ac:dyDescent="0.3"/>
    <row r="9468" ht="14.4" customHeight="1" x14ac:dyDescent="0.3"/>
    <row r="9469" ht="14.4" customHeight="1" x14ac:dyDescent="0.3"/>
    <row r="9470" ht="14.4" customHeight="1" x14ac:dyDescent="0.3"/>
    <row r="9471" ht="14.4" customHeight="1" x14ac:dyDescent="0.3"/>
    <row r="9472" ht="14.4" customHeight="1" x14ac:dyDescent="0.3"/>
    <row r="9473" ht="14.4" customHeight="1" x14ac:dyDescent="0.3"/>
    <row r="9474" ht="14.4" customHeight="1" x14ac:dyDescent="0.3"/>
    <row r="9475" ht="14.4" customHeight="1" x14ac:dyDescent="0.3"/>
    <row r="9476" ht="14.4" customHeight="1" x14ac:dyDescent="0.3"/>
    <row r="9477" ht="14.4" customHeight="1" x14ac:dyDescent="0.3"/>
    <row r="9478" ht="14.4" customHeight="1" x14ac:dyDescent="0.3"/>
    <row r="9479" ht="14.4" customHeight="1" x14ac:dyDescent="0.3"/>
    <row r="9480" ht="14.4" customHeight="1" x14ac:dyDescent="0.3"/>
    <row r="9481" ht="14.4" customHeight="1" x14ac:dyDescent="0.3"/>
    <row r="9482" ht="14.4" customHeight="1" x14ac:dyDescent="0.3"/>
    <row r="9483" ht="14.4" customHeight="1" x14ac:dyDescent="0.3"/>
    <row r="9484" ht="14.4" customHeight="1" x14ac:dyDescent="0.3"/>
    <row r="9485" ht="14.4" customHeight="1" x14ac:dyDescent="0.3"/>
    <row r="9486" ht="14.4" customHeight="1" x14ac:dyDescent="0.3"/>
    <row r="9487" ht="14.4" customHeight="1" x14ac:dyDescent="0.3"/>
    <row r="9488" ht="14.4" customHeight="1" x14ac:dyDescent="0.3"/>
    <row r="9489" ht="14.4" customHeight="1" x14ac:dyDescent="0.3"/>
    <row r="9490" ht="14.4" customHeight="1" x14ac:dyDescent="0.3"/>
    <row r="9491" ht="14.4" customHeight="1" x14ac:dyDescent="0.3"/>
    <row r="9492" ht="14.4" customHeight="1" x14ac:dyDescent="0.3"/>
    <row r="9493" ht="14.4" customHeight="1" x14ac:dyDescent="0.3"/>
    <row r="9494" ht="14.4" customHeight="1" x14ac:dyDescent="0.3"/>
    <row r="9495" ht="14.4" customHeight="1" x14ac:dyDescent="0.3"/>
    <row r="9496" ht="14.4" customHeight="1" x14ac:dyDescent="0.3"/>
    <row r="9497" ht="14.4" customHeight="1" x14ac:dyDescent="0.3"/>
    <row r="9498" ht="14.4" customHeight="1" x14ac:dyDescent="0.3"/>
    <row r="9499" ht="14.4" customHeight="1" x14ac:dyDescent="0.3"/>
    <row r="9500" ht="14.4" customHeight="1" x14ac:dyDescent="0.3"/>
    <row r="9501" ht="14.4" customHeight="1" x14ac:dyDescent="0.3"/>
    <row r="9502" ht="14.4" customHeight="1" x14ac:dyDescent="0.3"/>
    <row r="9503" ht="14.4" customHeight="1" x14ac:dyDescent="0.3"/>
    <row r="9504" ht="14.4" customHeight="1" x14ac:dyDescent="0.3"/>
    <row r="9505" ht="14.4" customHeight="1" x14ac:dyDescent="0.3"/>
    <row r="9506" ht="14.4" customHeight="1" x14ac:dyDescent="0.3"/>
    <row r="9507" ht="14.4" customHeight="1" x14ac:dyDescent="0.3"/>
    <row r="9508" ht="14.4" customHeight="1" x14ac:dyDescent="0.3"/>
    <row r="9509" ht="14.4" customHeight="1" x14ac:dyDescent="0.3"/>
    <row r="9510" ht="14.4" customHeight="1" x14ac:dyDescent="0.3"/>
    <row r="9511" ht="14.4" customHeight="1" x14ac:dyDescent="0.3"/>
    <row r="9512" ht="14.4" customHeight="1" x14ac:dyDescent="0.3"/>
    <row r="9513" ht="14.4" customHeight="1" x14ac:dyDescent="0.3"/>
    <row r="9514" ht="14.4" customHeight="1" x14ac:dyDescent="0.3"/>
    <row r="9515" ht="14.4" customHeight="1" x14ac:dyDescent="0.3"/>
    <row r="9516" ht="14.4" customHeight="1" x14ac:dyDescent="0.3"/>
    <row r="9517" ht="14.4" customHeight="1" x14ac:dyDescent="0.3"/>
    <row r="9518" ht="14.4" customHeight="1" x14ac:dyDescent="0.3"/>
    <row r="9519" ht="14.4" customHeight="1" x14ac:dyDescent="0.3"/>
    <row r="9520" ht="14.4" customHeight="1" x14ac:dyDescent="0.3"/>
    <row r="9521" ht="14.4" customHeight="1" x14ac:dyDescent="0.3"/>
    <row r="9522" ht="14.4" customHeight="1" x14ac:dyDescent="0.3"/>
    <row r="9523" ht="14.4" customHeight="1" x14ac:dyDescent="0.3"/>
    <row r="9524" ht="14.4" customHeight="1" x14ac:dyDescent="0.3"/>
    <row r="9525" ht="14.4" customHeight="1" x14ac:dyDescent="0.3"/>
    <row r="9526" ht="14.4" customHeight="1" x14ac:dyDescent="0.3"/>
    <row r="9527" ht="14.4" customHeight="1" x14ac:dyDescent="0.3"/>
    <row r="9528" ht="14.4" customHeight="1" x14ac:dyDescent="0.3"/>
    <row r="9529" ht="14.4" customHeight="1" x14ac:dyDescent="0.3"/>
    <row r="9530" ht="14.4" customHeight="1" x14ac:dyDescent="0.3"/>
    <row r="9531" ht="14.4" customHeight="1" x14ac:dyDescent="0.3"/>
    <row r="9532" ht="14.4" customHeight="1" x14ac:dyDescent="0.3"/>
    <row r="9533" ht="14.4" customHeight="1" x14ac:dyDescent="0.3"/>
    <row r="9534" ht="14.4" customHeight="1" x14ac:dyDescent="0.3"/>
    <row r="9535" ht="14.4" customHeight="1" x14ac:dyDescent="0.3"/>
    <row r="9536" ht="14.4" customHeight="1" x14ac:dyDescent="0.3"/>
    <row r="9537" ht="14.4" customHeight="1" x14ac:dyDescent="0.3"/>
    <row r="9538" ht="14.4" customHeight="1" x14ac:dyDescent="0.3"/>
    <row r="9539" ht="14.4" customHeight="1" x14ac:dyDescent="0.3"/>
    <row r="9540" ht="14.4" customHeight="1" x14ac:dyDescent="0.3"/>
    <row r="9541" ht="14.4" customHeight="1" x14ac:dyDescent="0.3"/>
    <row r="9542" ht="14.4" customHeight="1" x14ac:dyDescent="0.3"/>
    <row r="9543" ht="14.4" customHeight="1" x14ac:dyDescent="0.3"/>
    <row r="9544" ht="14.4" customHeight="1" x14ac:dyDescent="0.3"/>
    <row r="9545" ht="14.4" customHeight="1" x14ac:dyDescent="0.3"/>
    <row r="9546" ht="14.4" customHeight="1" x14ac:dyDescent="0.3"/>
    <row r="9547" ht="14.4" customHeight="1" x14ac:dyDescent="0.3"/>
    <row r="9548" ht="14.4" customHeight="1" x14ac:dyDescent="0.3"/>
    <row r="9549" ht="14.4" customHeight="1" x14ac:dyDescent="0.3"/>
    <row r="9550" ht="14.4" customHeight="1" x14ac:dyDescent="0.3"/>
    <row r="9551" ht="14.4" customHeight="1" x14ac:dyDescent="0.3"/>
    <row r="9552" ht="14.4" customHeight="1" x14ac:dyDescent="0.3"/>
    <row r="9553" ht="14.4" customHeight="1" x14ac:dyDescent="0.3"/>
    <row r="9554" ht="14.4" customHeight="1" x14ac:dyDescent="0.3"/>
    <row r="9555" ht="14.4" customHeight="1" x14ac:dyDescent="0.3"/>
    <row r="9556" ht="14.4" customHeight="1" x14ac:dyDescent="0.3"/>
    <row r="9557" ht="14.4" customHeight="1" x14ac:dyDescent="0.3"/>
    <row r="9558" ht="14.4" customHeight="1" x14ac:dyDescent="0.3"/>
    <row r="9559" ht="14.4" customHeight="1" x14ac:dyDescent="0.3"/>
    <row r="9560" ht="14.4" customHeight="1" x14ac:dyDescent="0.3"/>
    <row r="9561" ht="14.4" customHeight="1" x14ac:dyDescent="0.3"/>
    <row r="9562" ht="14.4" customHeight="1" x14ac:dyDescent="0.3"/>
    <row r="9563" ht="14.4" customHeight="1" x14ac:dyDescent="0.3"/>
    <row r="9564" ht="14.4" customHeight="1" x14ac:dyDescent="0.3"/>
    <row r="9565" ht="14.4" customHeight="1" x14ac:dyDescent="0.3"/>
    <row r="9566" ht="14.4" customHeight="1" x14ac:dyDescent="0.3"/>
    <row r="9567" ht="14.4" customHeight="1" x14ac:dyDescent="0.3"/>
    <row r="9568" ht="14.4" customHeight="1" x14ac:dyDescent="0.3"/>
    <row r="9569" ht="14.4" customHeight="1" x14ac:dyDescent="0.3"/>
    <row r="9570" ht="14.4" customHeight="1" x14ac:dyDescent="0.3"/>
    <row r="9571" ht="14.4" customHeight="1" x14ac:dyDescent="0.3"/>
    <row r="9572" ht="14.4" customHeight="1" x14ac:dyDescent="0.3"/>
    <row r="9573" ht="14.4" customHeight="1" x14ac:dyDescent="0.3"/>
    <row r="9574" ht="14.4" customHeight="1" x14ac:dyDescent="0.3"/>
    <row r="9575" ht="14.4" customHeight="1" x14ac:dyDescent="0.3"/>
    <row r="9576" ht="14.4" customHeight="1" x14ac:dyDescent="0.3"/>
    <row r="9577" ht="14.4" customHeight="1" x14ac:dyDescent="0.3"/>
    <row r="9578" ht="14.4" customHeight="1" x14ac:dyDescent="0.3"/>
    <row r="9579" ht="14.4" customHeight="1" x14ac:dyDescent="0.3"/>
    <row r="9580" ht="14.4" customHeight="1" x14ac:dyDescent="0.3"/>
    <row r="9581" ht="14.4" customHeight="1" x14ac:dyDescent="0.3"/>
    <row r="9582" ht="14.4" customHeight="1" x14ac:dyDescent="0.3"/>
    <row r="9583" ht="14.4" customHeight="1" x14ac:dyDescent="0.3"/>
    <row r="9584" ht="14.4" customHeight="1" x14ac:dyDescent="0.3"/>
    <row r="9585" ht="14.4" customHeight="1" x14ac:dyDescent="0.3"/>
    <row r="9586" ht="14.4" customHeight="1" x14ac:dyDescent="0.3"/>
    <row r="9587" ht="14.4" customHeight="1" x14ac:dyDescent="0.3"/>
    <row r="9588" ht="14.4" customHeight="1" x14ac:dyDescent="0.3"/>
    <row r="9589" ht="14.4" customHeight="1" x14ac:dyDescent="0.3"/>
    <row r="9590" ht="14.4" customHeight="1" x14ac:dyDescent="0.3"/>
    <row r="9591" ht="14.4" customHeight="1" x14ac:dyDescent="0.3"/>
    <row r="9592" ht="14.4" customHeight="1" x14ac:dyDescent="0.3"/>
    <row r="9593" ht="14.4" customHeight="1" x14ac:dyDescent="0.3"/>
    <row r="9594" ht="14.4" customHeight="1" x14ac:dyDescent="0.3"/>
    <row r="9595" ht="14.4" customHeight="1" x14ac:dyDescent="0.3"/>
    <row r="9596" ht="14.4" customHeight="1" x14ac:dyDescent="0.3"/>
    <row r="9597" ht="14.4" customHeight="1" x14ac:dyDescent="0.3"/>
    <row r="9598" ht="14.4" customHeight="1" x14ac:dyDescent="0.3"/>
    <row r="9599" ht="14.4" customHeight="1" x14ac:dyDescent="0.3"/>
    <row r="9600" ht="14.4" customHeight="1" x14ac:dyDescent="0.3"/>
    <row r="9601" ht="14.4" customHeight="1" x14ac:dyDescent="0.3"/>
    <row r="9602" ht="14.4" customHeight="1" x14ac:dyDescent="0.3"/>
    <row r="9603" ht="14.4" customHeight="1" x14ac:dyDescent="0.3"/>
    <row r="9604" ht="14.4" customHeight="1" x14ac:dyDescent="0.3"/>
    <row r="9605" ht="14.4" customHeight="1" x14ac:dyDescent="0.3"/>
    <row r="9606" ht="14.4" customHeight="1" x14ac:dyDescent="0.3"/>
    <row r="9607" ht="14.4" customHeight="1" x14ac:dyDescent="0.3"/>
    <row r="9608" ht="14.4" customHeight="1" x14ac:dyDescent="0.3"/>
    <row r="9609" ht="14.4" customHeight="1" x14ac:dyDescent="0.3"/>
    <row r="9610" ht="14.4" customHeight="1" x14ac:dyDescent="0.3"/>
    <row r="9611" ht="14.4" customHeight="1" x14ac:dyDescent="0.3"/>
    <row r="9612" ht="14.4" customHeight="1" x14ac:dyDescent="0.3"/>
    <row r="9613" ht="14.4" customHeight="1" x14ac:dyDescent="0.3"/>
    <row r="9614" ht="14.4" customHeight="1" x14ac:dyDescent="0.3"/>
    <row r="9615" ht="14.4" customHeight="1" x14ac:dyDescent="0.3"/>
    <row r="9616" ht="14.4" customHeight="1" x14ac:dyDescent="0.3"/>
    <row r="9617" ht="14.4" customHeight="1" x14ac:dyDescent="0.3"/>
    <row r="9618" ht="14.4" customHeight="1" x14ac:dyDescent="0.3"/>
    <row r="9619" ht="14.4" customHeight="1" x14ac:dyDescent="0.3"/>
    <row r="9620" ht="14.4" customHeight="1" x14ac:dyDescent="0.3"/>
    <row r="9621" ht="14.4" customHeight="1" x14ac:dyDescent="0.3"/>
    <row r="9622" ht="14.4" customHeight="1" x14ac:dyDescent="0.3"/>
    <row r="9623" ht="14.4" customHeight="1" x14ac:dyDescent="0.3"/>
    <row r="9624" ht="14.4" customHeight="1" x14ac:dyDescent="0.3"/>
    <row r="9625" ht="14.4" customHeight="1" x14ac:dyDescent="0.3"/>
    <row r="9626" ht="14.4" customHeight="1" x14ac:dyDescent="0.3"/>
    <row r="9627" ht="14.4" customHeight="1" x14ac:dyDescent="0.3"/>
    <row r="9628" ht="14.4" customHeight="1" x14ac:dyDescent="0.3"/>
    <row r="9629" ht="14.4" customHeight="1" x14ac:dyDescent="0.3"/>
    <row r="9630" ht="14.4" customHeight="1" x14ac:dyDescent="0.3"/>
    <row r="9631" ht="14.4" customHeight="1" x14ac:dyDescent="0.3"/>
    <row r="9632" ht="14.4" customHeight="1" x14ac:dyDescent="0.3"/>
    <row r="9633" ht="14.4" customHeight="1" x14ac:dyDescent="0.3"/>
    <row r="9634" ht="14.4" customHeight="1" x14ac:dyDescent="0.3"/>
    <row r="9635" ht="14.4" customHeight="1" x14ac:dyDescent="0.3"/>
    <row r="9636" ht="14.4" customHeight="1" x14ac:dyDescent="0.3"/>
    <row r="9637" ht="14.4" customHeight="1" x14ac:dyDescent="0.3"/>
    <row r="9638" ht="14.4" customHeight="1" x14ac:dyDescent="0.3"/>
    <row r="9639" ht="14.4" customHeight="1" x14ac:dyDescent="0.3"/>
    <row r="9640" ht="14.4" customHeight="1" x14ac:dyDescent="0.3"/>
    <row r="9641" ht="14.4" customHeight="1" x14ac:dyDescent="0.3"/>
    <row r="9642" ht="14.4" customHeight="1" x14ac:dyDescent="0.3"/>
    <row r="9643" ht="14.4" customHeight="1" x14ac:dyDescent="0.3"/>
    <row r="9644" ht="14.4" customHeight="1" x14ac:dyDescent="0.3"/>
    <row r="9645" ht="14.4" customHeight="1" x14ac:dyDescent="0.3"/>
    <row r="9646" ht="14.4" customHeight="1" x14ac:dyDescent="0.3"/>
    <row r="9647" ht="14.4" customHeight="1" x14ac:dyDescent="0.3"/>
    <row r="9648" ht="14.4" customHeight="1" x14ac:dyDescent="0.3"/>
    <row r="9649" ht="14.4" customHeight="1" x14ac:dyDescent="0.3"/>
    <row r="9650" ht="14.4" customHeight="1" x14ac:dyDescent="0.3"/>
    <row r="9651" ht="14.4" customHeight="1" x14ac:dyDescent="0.3"/>
    <row r="9652" ht="14.4" customHeight="1" x14ac:dyDescent="0.3"/>
    <row r="9653" ht="14.4" customHeight="1" x14ac:dyDescent="0.3"/>
    <row r="9654" ht="14.4" customHeight="1" x14ac:dyDescent="0.3"/>
    <row r="9655" ht="14.4" customHeight="1" x14ac:dyDescent="0.3"/>
    <row r="9656" ht="14.4" customHeight="1" x14ac:dyDescent="0.3"/>
    <row r="9657" ht="14.4" customHeight="1" x14ac:dyDescent="0.3"/>
    <row r="9658" ht="14.4" customHeight="1" x14ac:dyDescent="0.3"/>
    <row r="9659" ht="14.4" customHeight="1" x14ac:dyDescent="0.3"/>
    <row r="9660" ht="14.4" customHeight="1" x14ac:dyDescent="0.3"/>
    <row r="9661" ht="14.4" customHeight="1" x14ac:dyDescent="0.3"/>
    <row r="9662" ht="14.4" customHeight="1" x14ac:dyDescent="0.3"/>
    <row r="9663" ht="14.4" customHeight="1" x14ac:dyDescent="0.3"/>
    <row r="9664" ht="14.4" customHeight="1" x14ac:dyDescent="0.3"/>
    <row r="9665" ht="14.4" customHeight="1" x14ac:dyDescent="0.3"/>
    <row r="9666" ht="14.4" customHeight="1" x14ac:dyDescent="0.3"/>
    <row r="9667" ht="14.4" customHeight="1" x14ac:dyDescent="0.3"/>
    <row r="9668" ht="14.4" customHeight="1" x14ac:dyDescent="0.3"/>
    <row r="9669" ht="14.4" customHeight="1" x14ac:dyDescent="0.3"/>
    <row r="9670" ht="14.4" customHeight="1" x14ac:dyDescent="0.3"/>
    <row r="9671" ht="14.4" customHeight="1" x14ac:dyDescent="0.3"/>
    <row r="9672" ht="14.4" customHeight="1" x14ac:dyDescent="0.3"/>
    <row r="9673" ht="14.4" customHeight="1" x14ac:dyDescent="0.3"/>
    <row r="9674" ht="14.4" customHeight="1" x14ac:dyDescent="0.3"/>
    <row r="9675" ht="14.4" customHeight="1" x14ac:dyDescent="0.3"/>
    <row r="9676" ht="14.4" customHeight="1" x14ac:dyDescent="0.3"/>
    <row r="9677" ht="14.4" customHeight="1" x14ac:dyDescent="0.3"/>
    <row r="9678" ht="14.4" customHeight="1" x14ac:dyDescent="0.3"/>
    <row r="9679" ht="14.4" customHeight="1" x14ac:dyDescent="0.3"/>
    <row r="9680" ht="14.4" customHeight="1" x14ac:dyDescent="0.3"/>
    <row r="9681" ht="14.4" customHeight="1" x14ac:dyDescent="0.3"/>
    <row r="9682" ht="14.4" customHeight="1" x14ac:dyDescent="0.3"/>
    <row r="9683" ht="14.4" customHeight="1" x14ac:dyDescent="0.3"/>
    <row r="9684" ht="14.4" customHeight="1" x14ac:dyDescent="0.3"/>
    <row r="9685" ht="14.4" customHeight="1" x14ac:dyDescent="0.3"/>
    <row r="9686" ht="14.4" customHeight="1" x14ac:dyDescent="0.3"/>
    <row r="9687" ht="14.4" customHeight="1" x14ac:dyDescent="0.3"/>
    <row r="9688" ht="14.4" customHeight="1" x14ac:dyDescent="0.3"/>
    <row r="9689" ht="14.4" customHeight="1" x14ac:dyDescent="0.3"/>
    <row r="9690" ht="14.4" customHeight="1" x14ac:dyDescent="0.3"/>
    <row r="9691" ht="14.4" customHeight="1" x14ac:dyDescent="0.3"/>
    <row r="9692" ht="14.4" customHeight="1" x14ac:dyDescent="0.3"/>
    <row r="9693" ht="14.4" customHeight="1" x14ac:dyDescent="0.3"/>
    <row r="9694" ht="14.4" customHeight="1" x14ac:dyDescent="0.3"/>
    <row r="9695" ht="14.4" customHeight="1" x14ac:dyDescent="0.3"/>
    <row r="9696" ht="14.4" customHeight="1" x14ac:dyDescent="0.3"/>
    <row r="9697" ht="14.4" customHeight="1" x14ac:dyDescent="0.3"/>
    <row r="9698" ht="14.4" customHeight="1" x14ac:dyDescent="0.3"/>
    <row r="9699" ht="14.4" customHeight="1" x14ac:dyDescent="0.3"/>
    <row r="9700" ht="14.4" customHeight="1" x14ac:dyDescent="0.3"/>
    <row r="9701" ht="14.4" customHeight="1" x14ac:dyDescent="0.3"/>
    <row r="9702" ht="14.4" customHeight="1" x14ac:dyDescent="0.3"/>
    <row r="9703" ht="14.4" customHeight="1" x14ac:dyDescent="0.3"/>
    <row r="9704" ht="14.4" customHeight="1" x14ac:dyDescent="0.3"/>
    <row r="9705" ht="14.4" customHeight="1" x14ac:dyDescent="0.3"/>
    <row r="9706" ht="14.4" customHeight="1" x14ac:dyDescent="0.3"/>
    <row r="9707" ht="14.4" customHeight="1" x14ac:dyDescent="0.3"/>
    <row r="9708" ht="14.4" customHeight="1" x14ac:dyDescent="0.3"/>
    <row r="9709" ht="14.4" customHeight="1" x14ac:dyDescent="0.3"/>
    <row r="9710" ht="14.4" customHeight="1" x14ac:dyDescent="0.3"/>
    <row r="9711" ht="14.4" customHeight="1" x14ac:dyDescent="0.3"/>
    <row r="9712" ht="14.4" customHeight="1" x14ac:dyDescent="0.3"/>
    <row r="9713" ht="14.4" customHeight="1" x14ac:dyDescent="0.3"/>
    <row r="9714" ht="14.4" customHeight="1" x14ac:dyDescent="0.3"/>
    <row r="9715" ht="14.4" customHeight="1" x14ac:dyDescent="0.3"/>
    <row r="9716" ht="14.4" customHeight="1" x14ac:dyDescent="0.3"/>
    <row r="9717" ht="14.4" customHeight="1" x14ac:dyDescent="0.3"/>
    <row r="9718" ht="14.4" customHeight="1" x14ac:dyDescent="0.3"/>
    <row r="9719" ht="14.4" customHeight="1" x14ac:dyDescent="0.3"/>
    <row r="9720" ht="14.4" customHeight="1" x14ac:dyDescent="0.3"/>
    <row r="9721" ht="14.4" customHeight="1" x14ac:dyDescent="0.3"/>
    <row r="9722" ht="14.4" customHeight="1" x14ac:dyDescent="0.3"/>
    <row r="9723" ht="14.4" customHeight="1" x14ac:dyDescent="0.3"/>
    <row r="9724" ht="14.4" customHeight="1" x14ac:dyDescent="0.3"/>
    <row r="9725" ht="14.4" customHeight="1" x14ac:dyDescent="0.3"/>
    <row r="9726" ht="14.4" customHeight="1" x14ac:dyDescent="0.3"/>
    <row r="9727" ht="14.4" customHeight="1" x14ac:dyDescent="0.3"/>
    <row r="9728" ht="14.4" customHeight="1" x14ac:dyDescent="0.3"/>
    <row r="9729" ht="14.4" customHeight="1" x14ac:dyDescent="0.3"/>
    <row r="9730" ht="14.4" customHeight="1" x14ac:dyDescent="0.3"/>
    <row r="9731" ht="14.4" customHeight="1" x14ac:dyDescent="0.3"/>
    <row r="9732" ht="14.4" customHeight="1" x14ac:dyDescent="0.3"/>
    <row r="9733" ht="14.4" customHeight="1" x14ac:dyDescent="0.3"/>
    <row r="9734" ht="14.4" customHeight="1" x14ac:dyDescent="0.3"/>
    <row r="9735" ht="14.4" customHeight="1" x14ac:dyDescent="0.3"/>
    <row r="9736" ht="14.4" customHeight="1" x14ac:dyDescent="0.3"/>
    <row r="9737" ht="14.4" customHeight="1" x14ac:dyDescent="0.3"/>
    <row r="9738" ht="14.4" customHeight="1" x14ac:dyDescent="0.3"/>
    <row r="9739" ht="14.4" customHeight="1" x14ac:dyDescent="0.3"/>
    <row r="9740" ht="14.4" customHeight="1" x14ac:dyDescent="0.3"/>
    <row r="9741" ht="14.4" customHeight="1" x14ac:dyDescent="0.3"/>
    <row r="9742" ht="14.4" customHeight="1" x14ac:dyDescent="0.3"/>
    <row r="9743" ht="14.4" customHeight="1" x14ac:dyDescent="0.3"/>
    <row r="9744" ht="14.4" customHeight="1" x14ac:dyDescent="0.3"/>
    <row r="9745" ht="14.4" customHeight="1" x14ac:dyDescent="0.3"/>
    <row r="9746" ht="14.4" customHeight="1" x14ac:dyDescent="0.3"/>
    <row r="9747" ht="14.4" customHeight="1" x14ac:dyDescent="0.3"/>
    <row r="9748" ht="14.4" customHeight="1" x14ac:dyDescent="0.3"/>
    <row r="9749" ht="14.4" customHeight="1" x14ac:dyDescent="0.3"/>
    <row r="9750" ht="14.4" customHeight="1" x14ac:dyDescent="0.3"/>
    <row r="9751" ht="14.4" customHeight="1" x14ac:dyDescent="0.3"/>
    <row r="9752" ht="14.4" customHeight="1" x14ac:dyDescent="0.3"/>
    <row r="9753" ht="14.4" customHeight="1" x14ac:dyDescent="0.3"/>
    <row r="9754" ht="14.4" customHeight="1" x14ac:dyDescent="0.3"/>
    <row r="9755" ht="14.4" customHeight="1" x14ac:dyDescent="0.3"/>
    <row r="9756" ht="14.4" customHeight="1" x14ac:dyDescent="0.3"/>
    <row r="9757" ht="14.4" customHeight="1" x14ac:dyDescent="0.3"/>
    <row r="9758" ht="14.4" customHeight="1" x14ac:dyDescent="0.3"/>
    <row r="9759" ht="14.4" customHeight="1" x14ac:dyDescent="0.3"/>
    <row r="9760" ht="14.4" customHeight="1" x14ac:dyDescent="0.3"/>
    <row r="9761" ht="14.4" customHeight="1" x14ac:dyDescent="0.3"/>
    <row r="9762" ht="14.4" customHeight="1" x14ac:dyDescent="0.3"/>
    <row r="9763" ht="14.4" customHeight="1" x14ac:dyDescent="0.3"/>
    <row r="9764" ht="14.4" customHeight="1" x14ac:dyDescent="0.3"/>
    <row r="9765" ht="14.4" customHeight="1" x14ac:dyDescent="0.3"/>
    <row r="9766" ht="14.4" customHeight="1" x14ac:dyDescent="0.3"/>
    <row r="9767" ht="14.4" customHeight="1" x14ac:dyDescent="0.3"/>
    <row r="9768" ht="14.4" customHeight="1" x14ac:dyDescent="0.3"/>
    <row r="9769" ht="14.4" customHeight="1" x14ac:dyDescent="0.3"/>
    <row r="9770" ht="14.4" customHeight="1" x14ac:dyDescent="0.3"/>
    <row r="9771" ht="14.4" customHeight="1" x14ac:dyDescent="0.3"/>
    <row r="9772" ht="14.4" customHeight="1" x14ac:dyDescent="0.3"/>
    <row r="9773" ht="14.4" customHeight="1" x14ac:dyDescent="0.3"/>
    <row r="9774" ht="14.4" customHeight="1" x14ac:dyDescent="0.3"/>
    <row r="9775" ht="14.4" customHeight="1" x14ac:dyDescent="0.3"/>
    <row r="9776" ht="14.4" customHeight="1" x14ac:dyDescent="0.3"/>
    <row r="9777" ht="14.4" customHeight="1" x14ac:dyDescent="0.3"/>
    <row r="9778" ht="14.4" customHeight="1" x14ac:dyDescent="0.3"/>
    <row r="9779" ht="14.4" customHeight="1" x14ac:dyDescent="0.3"/>
    <row r="9780" ht="14.4" customHeight="1" x14ac:dyDescent="0.3"/>
    <row r="9781" ht="14.4" customHeight="1" x14ac:dyDescent="0.3"/>
    <row r="9782" ht="14.4" customHeight="1" x14ac:dyDescent="0.3"/>
    <row r="9783" ht="14.4" customHeight="1" x14ac:dyDescent="0.3"/>
    <row r="9784" ht="14.4" customHeight="1" x14ac:dyDescent="0.3"/>
    <row r="9785" ht="14.4" customHeight="1" x14ac:dyDescent="0.3"/>
    <row r="9786" ht="14.4" customHeight="1" x14ac:dyDescent="0.3"/>
    <row r="9787" ht="14.4" customHeight="1" x14ac:dyDescent="0.3"/>
    <row r="9788" ht="14.4" customHeight="1" x14ac:dyDescent="0.3"/>
    <row r="9789" ht="14.4" customHeight="1" x14ac:dyDescent="0.3"/>
    <row r="9790" ht="14.4" customHeight="1" x14ac:dyDescent="0.3"/>
    <row r="9791" ht="14.4" customHeight="1" x14ac:dyDescent="0.3"/>
    <row r="9792" ht="14.4" customHeight="1" x14ac:dyDescent="0.3"/>
    <row r="9793" ht="14.4" customHeight="1" x14ac:dyDescent="0.3"/>
    <row r="9794" ht="14.4" customHeight="1" x14ac:dyDescent="0.3"/>
    <row r="9795" ht="14.4" customHeight="1" x14ac:dyDescent="0.3"/>
    <row r="9796" ht="14.4" customHeight="1" x14ac:dyDescent="0.3"/>
    <row r="9797" ht="14.4" customHeight="1" x14ac:dyDescent="0.3"/>
    <row r="9798" ht="14.4" customHeight="1" x14ac:dyDescent="0.3"/>
    <row r="9799" ht="14.4" customHeight="1" x14ac:dyDescent="0.3"/>
    <row r="9800" ht="14.4" customHeight="1" x14ac:dyDescent="0.3"/>
    <row r="9801" ht="14.4" customHeight="1" x14ac:dyDescent="0.3"/>
    <row r="9802" ht="14.4" customHeight="1" x14ac:dyDescent="0.3"/>
    <row r="9803" ht="14.4" customHeight="1" x14ac:dyDescent="0.3"/>
    <row r="9804" ht="14.4" customHeight="1" x14ac:dyDescent="0.3"/>
    <row r="9805" ht="14.4" customHeight="1" x14ac:dyDescent="0.3"/>
    <row r="9806" ht="14.4" customHeight="1" x14ac:dyDescent="0.3"/>
    <row r="9807" ht="14.4" customHeight="1" x14ac:dyDescent="0.3"/>
    <row r="9808" ht="14.4" customHeight="1" x14ac:dyDescent="0.3"/>
    <row r="9809" ht="14.4" customHeight="1" x14ac:dyDescent="0.3"/>
    <row r="9810" ht="14.4" customHeight="1" x14ac:dyDescent="0.3"/>
    <row r="9811" ht="14.4" customHeight="1" x14ac:dyDescent="0.3"/>
    <row r="9812" ht="14.4" customHeight="1" x14ac:dyDescent="0.3"/>
    <row r="9813" ht="14.4" customHeight="1" x14ac:dyDescent="0.3"/>
    <row r="9814" ht="14.4" customHeight="1" x14ac:dyDescent="0.3"/>
    <row r="9815" ht="14.4" customHeight="1" x14ac:dyDescent="0.3"/>
    <row r="9816" ht="14.4" customHeight="1" x14ac:dyDescent="0.3"/>
    <row r="9817" ht="14.4" customHeight="1" x14ac:dyDescent="0.3"/>
    <row r="9818" ht="14.4" customHeight="1" x14ac:dyDescent="0.3"/>
    <row r="9819" ht="14.4" customHeight="1" x14ac:dyDescent="0.3"/>
    <row r="9820" ht="14.4" customHeight="1" x14ac:dyDescent="0.3"/>
    <row r="9821" ht="14.4" customHeight="1" x14ac:dyDescent="0.3"/>
    <row r="9822" ht="14.4" customHeight="1" x14ac:dyDescent="0.3"/>
    <row r="9823" ht="14.4" customHeight="1" x14ac:dyDescent="0.3"/>
    <row r="9824" ht="14.4" customHeight="1" x14ac:dyDescent="0.3"/>
    <row r="9825" ht="14.4" customHeight="1" x14ac:dyDescent="0.3"/>
    <row r="9826" ht="14.4" customHeight="1" x14ac:dyDescent="0.3"/>
    <row r="9827" ht="14.4" customHeight="1" x14ac:dyDescent="0.3"/>
    <row r="9828" ht="14.4" customHeight="1" x14ac:dyDescent="0.3"/>
    <row r="9829" ht="14.4" customHeight="1" x14ac:dyDescent="0.3"/>
    <row r="9830" ht="14.4" customHeight="1" x14ac:dyDescent="0.3"/>
    <row r="9831" ht="14.4" customHeight="1" x14ac:dyDescent="0.3"/>
    <row r="9832" ht="14.4" customHeight="1" x14ac:dyDescent="0.3"/>
    <row r="9833" ht="14.4" customHeight="1" x14ac:dyDescent="0.3"/>
    <row r="9834" ht="14.4" customHeight="1" x14ac:dyDescent="0.3"/>
    <row r="9835" ht="14.4" customHeight="1" x14ac:dyDescent="0.3"/>
    <row r="9836" ht="14.4" customHeight="1" x14ac:dyDescent="0.3"/>
    <row r="9837" ht="14.4" customHeight="1" x14ac:dyDescent="0.3"/>
    <row r="9838" ht="14.4" customHeight="1" x14ac:dyDescent="0.3"/>
    <row r="9839" ht="14.4" customHeight="1" x14ac:dyDescent="0.3"/>
    <row r="9840" ht="14.4" customHeight="1" x14ac:dyDescent="0.3"/>
    <row r="9841" ht="14.4" customHeight="1" x14ac:dyDescent="0.3"/>
    <row r="9842" ht="14.4" customHeight="1" x14ac:dyDescent="0.3"/>
    <row r="9843" ht="14.4" customHeight="1" x14ac:dyDescent="0.3"/>
    <row r="9844" ht="14.4" customHeight="1" x14ac:dyDescent="0.3"/>
    <row r="9845" ht="14.4" customHeight="1" x14ac:dyDescent="0.3"/>
    <row r="9846" ht="14.4" customHeight="1" x14ac:dyDescent="0.3"/>
    <row r="9847" ht="14.4" customHeight="1" x14ac:dyDescent="0.3"/>
    <row r="9848" ht="14.4" customHeight="1" x14ac:dyDescent="0.3"/>
    <row r="9849" ht="14.4" customHeight="1" x14ac:dyDescent="0.3"/>
    <row r="9850" ht="14.4" customHeight="1" x14ac:dyDescent="0.3"/>
    <row r="9851" ht="14.4" customHeight="1" x14ac:dyDescent="0.3"/>
    <row r="9852" ht="14.4" customHeight="1" x14ac:dyDescent="0.3"/>
    <row r="9853" ht="14.4" customHeight="1" x14ac:dyDescent="0.3"/>
    <row r="9854" ht="14.4" customHeight="1" x14ac:dyDescent="0.3"/>
    <row r="9855" ht="14.4" customHeight="1" x14ac:dyDescent="0.3"/>
    <row r="9856" ht="14.4" customHeight="1" x14ac:dyDescent="0.3"/>
    <row r="9857" ht="14.4" customHeight="1" x14ac:dyDescent="0.3"/>
    <row r="9858" ht="14.4" customHeight="1" x14ac:dyDescent="0.3"/>
    <row r="9859" ht="14.4" customHeight="1" x14ac:dyDescent="0.3"/>
    <row r="9860" ht="14.4" customHeight="1" x14ac:dyDescent="0.3"/>
    <row r="9861" ht="14.4" customHeight="1" x14ac:dyDescent="0.3"/>
    <row r="9862" ht="14.4" customHeight="1" x14ac:dyDescent="0.3"/>
    <row r="9863" ht="14.4" customHeight="1" x14ac:dyDescent="0.3"/>
    <row r="9864" ht="14.4" customHeight="1" x14ac:dyDescent="0.3"/>
    <row r="9865" ht="14.4" customHeight="1" x14ac:dyDescent="0.3"/>
    <row r="9866" ht="14.4" customHeight="1" x14ac:dyDescent="0.3"/>
    <row r="9867" ht="14.4" customHeight="1" x14ac:dyDescent="0.3"/>
    <row r="9868" ht="14.4" customHeight="1" x14ac:dyDescent="0.3"/>
    <row r="9869" ht="14.4" customHeight="1" x14ac:dyDescent="0.3"/>
    <row r="9870" ht="14.4" customHeight="1" x14ac:dyDescent="0.3"/>
    <row r="9871" ht="14.4" customHeight="1" x14ac:dyDescent="0.3"/>
    <row r="9872" ht="14.4" customHeight="1" x14ac:dyDescent="0.3"/>
    <row r="9873" ht="14.4" customHeight="1" x14ac:dyDescent="0.3"/>
    <row r="9874" ht="14.4" customHeight="1" x14ac:dyDescent="0.3"/>
    <row r="9875" ht="14.4" customHeight="1" x14ac:dyDescent="0.3"/>
    <row r="9876" ht="14.4" customHeight="1" x14ac:dyDescent="0.3"/>
    <row r="9877" ht="14.4" customHeight="1" x14ac:dyDescent="0.3"/>
    <row r="9878" ht="14.4" customHeight="1" x14ac:dyDescent="0.3"/>
    <row r="9879" ht="14.4" customHeight="1" x14ac:dyDescent="0.3"/>
    <row r="9880" ht="14.4" customHeight="1" x14ac:dyDescent="0.3"/>
    <row r="9881" ht="14.4" customHeight="1" x14ac:dyDescent="0.3"/>
    <row r="9882" ht="14.4" customHeight="1" x14ac:dyDescent="0.3"/>
    <row r="9883" ht="14.4" customHeight="1" x14ac:dyDescent="0.3"/>
    <row r="9884" ht="14.4" customHeight="1" x14ac:dyDescent="0.3"/>
    <row r="9885" ht="14.4" customHeight="1" x14ac:dyDescent="0.3"/>
    <row r="9886" ht="14.4" customHeight="1" x14ac:dyDescent="0.3"/>
    <row r="9887" ht="14.4" customHeight="1" x14ac:dyDescent="0.3"/>
    <row r="9888" ht="14.4" customHeight="1" x14ac:dyDescent="0.3"/>
    <row r="9889" ht="14.4" customHeight="1" x14ac:dyDescent="0.3"/>
    <row r="9890" ht="14.4" customHeight="1" x14ac:dyDescent="0.3"/>
    <row r="9891" ht="14.4" customHeight="1" x14ac:dyDescent="0.3"/>
    <row r="9892" ht="14.4" customHeight="1" x14ac:dyDescent="0.3"/>
    <row r="9893" ht="14.4" customHeight="1" x14ac:dyDescent="0.3"/>
    <row r="9894" ht="14.4" customHeight="1" x14ac:dyDescent="0.3"/>
    <row r="9895" ht="14.4" customHeight="1" x14ac:dyDescent="0.3"/>
    <row r="9896" ht="14.4" customHeight="1" x14ac:dyDescent="0.3"/>
    <row r="9897" ht="14.4" customHeight="1" x14ac:dyDescent="0.3"/>
    <row r="9898" ht="14.4" customHeight="1" x14ac:dyDescent="0.3"/>
    <row r="9899" ht="14.4" customHeight="1" x14ac:dyDescent="0.3"/>
    <row r="9900" ht="14.4" customHeight="1" x14ac:dyDescent="0.3"/>
    <row r="9901" ht="14.4" customHeight="1" x14ac:dyDescent="0.3"/>
    <row r="9902" ht="14.4" customHeight="1" x14ac:dyDescent="0.3"/>
    <row r="9903" ht="14.4" customHeight="1" x14ac:dyDescent="0.3"/>
    <row r="9904" ht="14.4" customHeight="1" x14ac:dyDescent="0.3"/>
    <row r="9905" ht="14.4" customHeight="1" x14ac:dyDescent="0.3"/>
    <row r="9906" ht="14.4" customHeight="1" x14ac:dyDescent="0.3"/>
    <row r="9907" ht="14.4" customHeight="1" x14ac:dyDescent="0.3"/>
    <row r="9908" ht="14.4" customHeight="1" x14ac:dyDescent="0.3"/>
    <row r="9909" ht="14.4" customHeight="1" x14ac:dyDescent="0.3"/>
    <row r="9910" ht="14.4" customHeight="1" x14ac:dyDescent="0.3"/>
    <row r="9911" ht="14.4" customHeight="1" x14ac:dyDescent="0.3"/>
    <row r="9912" ht="14.4" customHeight="1" x14ac:dyDescent="0.3"/>
    <row r="9913" ht="14.4" customHeight="1" x14ac:dyDescent="0.3"/>
    <row r="9914" ht="14.4" customHeight="1" x14ac:dyDescent="0.3"/>
    <row r="9915" ht="14.4" customHeight="1" x14ac:dyDescent="0.3"/>
    <row r="9916" ht="14.4" customHeight="1" x14ac:dyDescent="0.3"/>
    <row r="9917" ht="14.4" customHeight="1" x14ac:dyDescent="0.3"/>
    <row r="9918" ht="14.4" customHeight="1" x14ac:dyDescent="0.3"/>
    <row r="9919" ht="14.4" customHeight="1" x14ac:dyDescent="0.3"/>
    <row r="9920" ht="14.4" customHeight="1" x14ac:dyDescent="0.3"/>
    <row r="9921" ht="14.4" customHeight="1" x14ac:dyDescent="0.3"/>
    <row r="9922" ht="14.4" customHeight="1" x14ac:dyDescent="0.3"/>
    <row r="9923" ht="14.4" customHeight="1" x14ac:dyDescent="0.3"/>
    <row r="9924" ht="14.4" customHeight="1" x14ac:dyDescent="0.3"/>
    <row r="9925" ht="14.4" customHeight="1" x14ac:dyDescent="0.3"/>
    <row r="9926" ht="14.4" customHeight="1" x14ac:dyDescent="0.3"/>
    <row r="9927" ht="14.4" customHeight="1" x14ac:dyDescent="0.3"/>
    <row r="9928" ht="14.4" customHeight="1" x14ac:dyDescent="0.3"/>
    <row r="9929" ht="14.4" customHeight="1" x14ac:dyDescent="0.3"/>
    <row r="9930" ht="14.4" customHeight="1" x14ac:dyDescent="0.3"/>
    <row r="9931" ht="14.4" customHeight="1" x14ac:dyDescent="0.3"/>
    <row r="9932" ht="14.4" customHeight="1" x14ac:dyDescent="0.3"/>
    <row r="9933" ht="14.4" customHeight="1" x14ac:dyDescent="0.3"/>
    <row r="9934" ht="14.4" customHeight="1" x14ac:dyDescent="0.3"/>
    <row r="9935" ht="14.4" customHeight="1" x14ac:dyDescent="0.3"/>
    <row r="9936" ht="14.4" customHeight="1" x14ac:dyDescent="0.3"/>
    <row r="9937" ht="14.4" customHeight="1" x14ac:dyDescent="0.3"/>
    <row r="9938" ht="14.4" customHeight="1" x14ac:dyDescent="0.3"/>
    <row r="9939" ht="14.4" customHeight="1" x14ac:dyDescent="0.3"/>
    <row r="9940" ht="14.4" customHeight="1" x14ac:dyDescent="0.3"/>
    <row r="9941" ht="14.4" customHeight="1" x14ac:dyDescent="0.3"/>
    <row r="9942" ht="14.4" customHeight="1" x14ac:dyDescent="0.3"/>
    <row r="9943" ht="14.4" customHeight="1" x14ac:dyDescent="0.3"/>
    <row r="9944" ht="14.4" customHeight="1" x14ac:dyDescent="0.3"/>
    <row r="9945" ht="14.4" customHeight="1" x14ac:dyDescent="0.3"/>
    <row r="9946" ht="14.4" customHeight="1" x14ac:dyDescent="0.3"/>
    <row r="9947" ht="14.4" customHeight="1" x14ac:dyDescent="0.3"/>
    <row r="9948" ht="14.4" customHeight="1" x14ac:dyDescent="0.3"/>
    <row r="9949" ht="14.4" customHeight="1" x14ac:dyDescent="0.3"/>
    <row r="9950" ht="14.4" customHeight="1" x14ac:dyDescent="0.3"/>
    <row r="9951" ht="14.4" customHeight="1" x14ac:dyDescent="0.3"/>
    <row r="9952" ht="14.4" customHeight="1" x14ac:dyDescent="0.3"/>
    <row r="9953" ht="14.4" customHeight="1" x14ac:dyDescent="0.3"/>
    <row r="9954" ht="14.4" customHeight="1" x14ac:dyDescent="0.3"/>
    <row r="9955" ht="14.4" customHeight="1" x14ac:dyDescent="0.3"/>
    <row r="9956" ht="14.4" customHeight="1" x14ac:dyDescent="0.3"/>
    <row r="9957" ht="14.4" customHeight="1" x14ac:dyDescent="0.3"/>
    <row r="9958" ht="14.4" customHeight="1" x14ac:dyDescent="0.3"/>
    <row r="9959" ht="14.4" customHeight="1" x14ac:dyDescent="0.3"/>
    <row r="9960" ht="14.4" customHeight="1" x14ac:dyDescent="0.3"/>
    <row r="9961" ht="14.4" customHeight="1" x14ac:dyDescent="0.3"/>
    <row r="9962" ht="14.4" customHeight="1" x14ac:dyDescent="0.3"/>
    <row r="9963" ht="14.4" customHeight="1" x14ac:dyDescent="0.3"/>
    <row r="9964" ht="14.4" customHeight="1" x14ac:dyDescent="0.3"/>
    <row r="9965" ht="14.4" customHeight="1" x14ac:dyDescent="0.3"/>
    <row r="9966" ht="14.4" customHeight="1" x14ac:dyDescent="0.3"/>
    <row r="9967" ht="14.4" customHeight="1" x14ac:dyDescent="0.3"/>
    <row r="9968" ht="14.4" customHeight="1" x14ac:dyDescent="0.3"/>
    <row r="9969" ht="14.4" customHeight="1" x14ac:dyDescent="0.3"/>
    <row r="9970" ht="14.4" customHeight="1" x14ac:dyDescent="0.3"/>
    <row r="9971" ht="14.4" customHeight="1" x14ac:dyDescent="0.3"/>
    <row r="9972" ht="14.4" customHeight="1" x14ac:dyDescent="0.3"/>
    <row r="9973" ht="14.4" customHeight="1" x14ac:dyDescent="0.3"/>
    <row r="9974" ht="14.4" customHeight="1" x14ac:dyDescent="0.3"/>
    <row r="9975" ht="14.4" customHeight="1" x14ac:dyDescent="0.3"/>
    <row r="9976" ht="14.4" customHeight="1" x14ac:dyDescent="0.3"/>
    <row r="9977" ht="14.4" customHeight="1" x14ac:dyDescent="0.3"/>
    <row r="9978" ht="14.4" customHeight="1" x14ac:dyDescent="0.3"/>
    <row r="9979" ht="14.4" customHeight="1" x14ac:dyDescent="0.3"/>
    <row r="9980" ht="14.4" customHeight="1" x14ac:dyDescent="0.3"/>
    <row r="9981" ht="14.4" customHeight="1" x14ac:dyDescent="0.3"/>
    <row r="9982" ht="14.4" customHeight="1" x14ac:dyDescent="0.3"/>
    <row r="9983" ht="14.4" customHeight="1" x14ac:dyDescent="0.3"/>
    <row r="9984" ht="14.4" customHeight="1" x14ac:dyDescent="0.3"/>
    <row r="9985" ht="14.4" customHeight="1" x14ac:dyDescent="0.3"/>
    <row r="9986" ht="14.4" customHeight="1" x14ac:dyDescent="0.3"/>
    <row r="9987" ht="14.4" customHeight="1" x14ac:dyDescent="0.3"/>
    <row r="9988" ht="14.4" customHeight="1" x14ac:dyDescent="0.3"/>
    <row r="9989" ht="14.4" customHeight="1" x14ac:dyDescent="0.3"/>
    <row r="9990" ht="14.4" customHeight="1" x14ac:dyDescent="0.3"/>
    <row r="9991" ht="14.4" customHeight="1" x14ac:dyDescent="0.3"/>
    <row r="9992" ht="14.4" customHeight="1" x14ac:dyDescent="0.3"/>
    <row r="9993" ht="14.4" customHeight="1" x14ac:dyDescent="0.3"/>
    <row r="9994" ht="14.4" customHeight="1" x14ac:dyDescent="0.3"/>
    <row r="9995" ht="14.4" customHeight="1" x14ac:dyDescent="0.3"/>
    <row r="9996" ht="14.4" customHeight="1" x14ac:dyDescent="0.3"/>
    <row r="9997" ht="14.4" customHeight="1" x14ac:dyDescent="0.3"/>
    <row r="9998" ht="14.4" customHeight="1" x14ac:dyDescent="0.3"/>
    <row r="9999" ht="14.4" customHeight="1" x14ac:dyDescent="0.3"/>
    <row r="10000" ht="14.4" customHeight="1" x14ac:dyDescent="0.3"/>
    <row r="10001" ht="14.4" customHeight="1" x14ac:dyDescent="0.3"/>
    <row r="10002" ht="14.4" customHeight="1" x14ac:dyDescent="0.3"/>
    <row r="10003" ht="14.4" customHeight="1" x14ac:dyDescent="0.3"/>
    <row r="10004" ht="14.4" customHeight="1" x14ac:dyDescent="0.3"/>
    <row r="10005" ht="14.4" customHeight="1" x14ac:dyDescent="0.3"/>
    <row r="10006" ht="14.4" customHeight="1" x14ac:dyDescent="0.3"/>
    <row r="10007" ht="14.4" customHeight="1" x14ac:dyDescent="0.3"/>
    <row r="10008" ht="14.4" customHeight="1" x14ac:dyDescent="0.3"/>
    <row r="10009" ht="14.4" customHeight="1" x14ac:dyDescent="0.3"/>
    <row r="10010" ht="14.4" customHeight="1" x14ac:dyDescent="0.3"/>
    <row r="10011" ht="14.4" customHeight="1" x14ac:dyDescent="0.3"/>
    <row r="10012" ht="14.4" customHeight="1" x14ac:dyDescent="0.3"/>
    <row r="10013" ht="14.4" customHeight="1" x14ac:dyDescent="0.3"/>
    <row r="10014" ht="14.4" customHeight="1" x14ac:dyDescent="0.3"/>
    <row r="10015" ht="14.4" customHeight="1" x14ac:dyDescent="0.3"/>
    <row r="10016" ht="14.4" customHeight="1" x14ac:dyDescent="0.3"/>
    <row r="10017" ht="14.4" customHeight="1" x14ac:dyDescent="0.3"/>
    <row r="10018" ht="14.4" customHeight="1" x14ac:dyDescent="0.3"/>
    <row r="10019" ht="14.4" customHeight="1" x14ac:dyDescent="0.3"/>
    <row r="10020" ht="14.4" customHeight="1" x14ac:dyDescent="0.3"/>
    <row r="10021" ht="14.4" customHeight="1" x14ac:dyDescent="0.3"/>
    <row r="10022" ht="14.4" customHeight="1" x14ac:dyDescent="0.3"/>
    <row r="10023" ht="14.4" customHeight="1" x14ac:dyDescent="0.3"/>
    <row r="10024" ht="14.4" customHeight="1" x14ac:dyDescent="0.3"/>
    <row r="10025" ht="14.4" customHeight="1" x14ac:dyDescent="0.3"/>
    <row r="10026" ht="14.4" customHeight="1" x14ac:dyDescent="0.3"/>
    <row r="10027" ht="14.4" customHeight="1" x14ac:dyDescent="0.3"/>
    <row r="10028" ht="14.4" customHeight="1" x14ac:dyDescent="0.3"/>
    <row r="10029" ht="14.4" customHeight="1" x14ac:dyDescent="0.3"/>
    <row r="10030" ht="14.4" customHeight="1" x14ac:dyDescent="0.3"/>
    <row r="10031" ht="14.4" customHeight="1" x14ac:dyDescent="0.3"/>
    <row r="10032" ht="14.4" customHeight="1" x14ac:dyDescent="0.3"/>
    <row r="10033" ht="14.4" customHeight="1" x14ac:dyDescent="0.3"/>
    <row r="10034" ht="14.4" customHeight="1" x14ac:dyDescent="0.3"/>
    <row r="10035" ht="14.4" customHeight="1" x14ac:dyDescent="0.3"/>
    <row r="10036" ht="14.4" customHeight="1" x14ac:dyDescent="0.3"/>
    <row r="10037" ht="14.4" customHeight="1" x14ac:dyDescent="0.3"/>
    <row r="10038" ht="14.4" customHeight="1" x14ac:dyDescent="0.3"/>
    <row r="10039" ht="14.4" customHeight="1" x14ac:dyDescent="0.3"/>
    <row r="10040" ht="14.4" customHeight="1" x14ac:dyDescent="0.3"/>
    <row r="10041" ht="14.4" customHeight="1" x14ac:dyDescent="0.3"/>
    <row r="10042" ht="14.4" customHeight="1" x14ac:dyDescent="0.3"/>
    <row r="10043" ht="14.4" customHeight="1" x14ac:dyDescent="0.3"/>
    <row r="10044" ht="14.4" customHeight="1" x14ac:dyDescent="0.3"/>
    <row r="10045" ht="14.4" customHeight="1" x14ac:dyDescent="0.3"/>
    <row r="10046" ht="14.4" customHeight="1" x14ac:dyDescent="0.3"/>
    <row r="10047" ht="14.4" customHeight="1" x14ac:dyDescent="0.3"/>
    <row r="10048" ht="14.4" customHeight="1" x14ac:dyDescent="0.3"/>
    <row r="10049" ht="14.4" customHeight="1" x14ac:dyDescent="0.3"/>
    <row r="10050" ht="14.4" customHeight="1" x14ac:dyDescent="0.3"/>
    <row r="10051" ht="14.4" customHeight="1" x14ac:dyDescent="0.3"/>
    <row r="10052" ht="14.4" customHeight="1" x14ac:dyDescent="0.3"/>
    <row r="10053" ht="14.4" customHeight="1" x14ac:dyDescent="0.3"/>
    <row r="10054" ht="14.4" customHeight="1" x14ac:dyDescent="0.3"/>
    <row r="10055" ht="14.4" customHeight="1" x14ac:dyDescent="0.3"/>
    <row r="10056" ht="14.4" customHeight="1" x14ac:dyDescent="0.3"/>
    <row r="10057" ht="14.4" customHeight="1" x14ac:dyDescent="0.3"/>
    <row r="10058" ht="14.4" customHeight="1" x14ac:dyDescent="0.3"/>
    <row r="10059" ht="14.4" customHeight="1" x14ac:dyDescent="0.3"/>
    <row r="10060" ht="14.4" customHeight="1" x14ac:dyDescent="0.3"/>
    <row r="10061" ht="14.4" customHeight="1" x14ac:dyDescent="0.3"/>
    <row r="10062" ht="14.4" customHeight="1" x14ac:dyDescent="0.3"/>
    <row r="10063" ht="14.4" customHeight="1" x14ac:dyDescent="0.3"/>
    <row r="10064" ht="14.4" customHeight="1" x14ac:dyDescent="0.3"/>
    <row r="10065" ht="14.4" customHeight="1" x14ac:dyDescent="0.3"/>
    <row r="10066" ht="14.4" customHeight="1" x14ac:dyDescent="0.3"/>
    <row r="10067" ht="14.4" customHeight="1" x14ac:dyDescent="0.3"/>
    <row r="10068" ht="14.4" customHeight="1" x14ac:dyDescent="0.3"/>
    <row r="10069" ht="14.4" customHeight="1" x14ac:dyDescent="0.3"/>
    <row r="10070" ht="14.4" customHeight="1" x14ac:dyDescent="0.3"/>
    <row r="10071" ht="14.4" customHeight="1" x14ac:dyDescent="0.3"/>
    <row r="10072" ht="14.4" customHeight="1" x14ac:dyDescent="0.3"/>
    <row r="10073" ht="14.4" customHeight="1" x14ac:dyDescent="0.3"/>
    <row r="10074" ht="14.4" customHeight="1" x14ac:dyDescent="0.3"/>
    <row r="10075" ht="14.4" customHeight="1" x14ac:dyDescent="0.3"/>
    <row r="10076" ht="14.4" customHeight="1" x14ac:dyDescent="0.3"/>
    <row r="10077" ht="14.4" customHeight="1" x14ac:dyDescent="0.3"/>
    <row r="10078" ht="14.4" customHeight="1" x14ac:dyDescent="0.3"/>
    <row r="10079" ht="14.4" customHeight="1" x14ac:dyDescent="0.3"/>
    <row r="10080" ht="14.4" customHeight="1" x14ac:dyDescent="0.3"/>
    <row r="10081" ht="14.4" customHeight="1" x14ac:dyDescent="0.3"/>
    <row r="10082" ht="14.4" customHeight="1" x14ac:dyDescent="0.3"/>
    <row r="10083" ht="14.4" customHeight="1" x14ac:dyDescent="0.3"/>
    <row r="10084" ht="14.4" customHeight="1" x14ac:dyDescent="0.3"/>
    <row r="10085" ht="14.4" customHeight="1" x14ac:dyDescent="0.3"/>
    <row r="10086" ht="14.4" customHeight="1" x14ac:dyDescent="0.3"/>
    <row r="10087" ht="14.4" customHeight="1" x14ac:dyDescent="0.3"/>
    <row r="10088" ht="14.4" customHeight="1" x14ac:dyDescent="0.3"/>
    <row r="10089" ht="14.4" customHeight="1" x14ac:dyDescent="0.3"/>
    <row r="10090" ht="14.4" customHeight="1" x14ac:dyDescent="0.3"/>
    <row r="10091" ht="14.4" customHeight="1" x14ac:dyDescent="0.3"/>
    <row r="10092" ht="14.4" customHeight="1" x14ac:dyDescent="0.3"/>
    <row r="10093" ht="14.4" customHeight="1" x14ac:dyDescent="0.3"/>
    <row r="10094" ht="14.4" customHeight="1" x14ac:dyDescent="0.3"/>
    <row r="10095" ht="14.4" customHeight="1" x14ac:dyDescent="0.3"/>
    <row r="10096" ht="14.4" customHeight="1" x14ac:dyDescent="0.3"/>
    <row r="10097" ht="14.4" customHeight="1" x14ac:dyDescent="0.3"/>
    <row r="10098" ht="14.4" customHeight="1" x14ac:dyDescent="0.3"/>
    <row r="10099" ht="14.4" customHeight="1" x14ac:dyDescent="0.3"/>
    <row r="10100" ht="14.4" customHeight="1" x14ac:dyDescent="0.3"/>
    <row r="10101" ht="14.4" customHeight="1" x14ac:dyDescent="0.3"/>
    <row r="10102" ht="14.4" customHeight="1" x14ac:dyDescent="0.3"/>
    <row r="10103" ht="14.4" customHeight="1" x14ac:dyDescent="0.3"/>
    <row r="10104" ht="14.4" customHeight="1" x14ac:dyDescent="0.3"/>
    <row r="10105" ht="14.4" customHeight="1" x14ac:dyDescent="0.3"/>
    <row r="10106" ht="14.4" customHeight="1" x14ac:dyDescent="0.3"/>
    <row r="10107" ht="14.4" customHeight="1" x14ac:dyDescent="0.3"/>
    <row r="10108" ht="14.4" customHeight="1" x14ac:dyDescent="0.3"/>
    <row r="10109" ht="14.4" customHeight="1" x14ac:dyDescent="0.3"/>
    <row r="10110" ht="14.4" customHeight="1" x14ac:dyDescent="0.3"/>
    <row r="10111" ht="14.4" customHeight="1" x14ac:dyDescent="0.3"/>
    <row r="10112" ht="14.4" customHeight="1" x14ac:dyDescent="0.3"/>
    <row r="10113" ht="14.4" customHeight="1" x14ac:dyDescent="0.3"/>
    <row r="10114" ht="14.4" customHeight="1" x14ac:dyDescent="0.3"/>
    <row r="10115" ht="14.4" customHeight="1" x14ac:dyDescent="0.3"/>
    <row r="10116" ht="14.4" customHeight="1" x14ac:dyDescent="0.3"/>
    <row r="10117" ht="14.4" customHeight="1" x14ac:dyDescent="0.3"/>
    <row r="10118" ht="14.4" customHeight="1" x14ac:dyDescent="0.3"/>
    <row r="10119" ht="14.4" customHeight="1" x14ac:dyDescent="0.3"/>
    <row r="10120" ht="14.4" customHeight="1" x14ac:dyDescent="0.3"/>
    <row r="10121" ht="14.4" customHeight="1" x14ac:dyDescent="0.3"/>
    <row r="10122" ht="14.4" customHeight="1" x14ac:dyDescent="0.3"/>
    <row r="10123" ht="14.4" customHeight="1" x14ac:dyDescent="0.3"/>
    <row r="10124" ht="14.4" customHeight="1" x14ac:dyDescent="0.3"/>
    <row r="10125" ht="14.4" customHeight="1" x14ac:dyDescent="0.3"/>
    <row r="10126" ht="14.4" customHeight="1" x14ac:dyDescent="0.3"/>
    <row r="10127" ht="14.4" customHeight="1" x14ac:dyDescent="0.3"/>
    <row r="10128" ht="14.4" customHeight="1" x14ac:dyDescent="0.3"/>
    <row r="10129" ht="14.4" customHeight="1" x14ac:dyDescent="0.3"/>
    <row r="10130" ht="14.4" customHeight="1" x14ac:dyDescent="0.3"/>
    <row r="10131" ht="14.4" customHeight="1" x14ac:dyDescent="0.3"/>
    <row r="10132" ht="14.4" customHeight="1" x14ac:dyDescent="0.3"/>
    <row r="10133" ht="14.4" customHeight="1" x14ac:dyDescent="0.3"/>
    <row r="10134" ht="14.4" customHeight="1" x14ac:dyDescent="0.3"/>
    <row r="10135" ht="14.4" customHeight="1" x14ac:dyDescent="0.3"/>
    <row r="10136" ht="14.4" customHeight="1" x14ac:dyDescent="0.3"/>
    <row r="10137" ht="14.4" customHeight="1" x14ac:dyDescent="0.3"/>
    <row r="10138" ht="14.4" customHeight="1" x14ac:dyDescent="0.3"/>
    <row r="10139" ht="14.4" customHeight="1" x14ac:dyDescent="0.3"/>
    <row r="10140" ht="14.4" customHeight="1" x14ac:dyDescent="0.3"/>
    <row r="10141" ht="14.4" customHeight="1" x14ac:dyDescent="0.3"/>
    <row r="10142" ht="14.4" customHeight="1" x14ac:dyDescent="0.3"/>
    <row r="10143" ht="14.4" customHeight="1" x14ac:dyDescent="0.3"/>
    <row r="10144" ht="14.4" customHeight="1" x14ac:dyDescent="0.3"/>
    <row r="10145" ht="14.4" customHeight="1" x14ac:dyDescent="0.3"/>
    <row r="10146" ht="14.4" customHeight="1" x14ac:dyDescent="0.3"/>
    <row r="10147" ht="14.4" customHeight="1" x14ac:dyDescent="0.3"/>
    <row r="10148" ht="14.4" customHeight="1" x14ac:dyDescent="0.3"/>
    <row r="10149" ht="14.4" customHeight="1" x14ac:dyDescent="0.3"/>
    <row r="10150" ht="14.4" customHeight="1" x14ac:dyDescent="0.3"/>
    <row r="10151" ht="14.4" customHeight="1" x14ac:dyDescent="0.3"/>
    <row r="10152" ht="14.4" customHeight="1" x14ac:dyDescent="0.3"/>
    <row r="10153" ht="14.4" customHeight="1" x14ac:dyDescent="0.3"/>
    <row r="10154" ht="14.4" customHeight="1" x14ac:dyDescent="0.3"/>
    <row r="10155" ht="14.4" customHeight="1" x14ac:dyDescent="0.3"/>
    <row r="10156" ht="14.4" customHeight="1" x14ac:dyDescent="0.3"/>
    <row r="10157" ht="14.4" customHeight="1" x14ac:dyDescent="0.3"/>
    <row r="10158" ht="14.4" customHeight="1" x14ac:dyDescent="0.3"/>
    <row r="10159" ht="14.4" customHeight="1" x14ac:dyDescent="0.3"/>
    <row r="10160" ht="14.4" customHeight="1" x14ac:dyDescent="0.3"/>
    <row r="10161" ht="14.4" customHeight="1" x14ac:dyDescent="0.3"/>
    <row r="10162" ht="14.4" customHeight="1" x14ac:dyDescent="0.3"/>
    <row r="10163" ht="14.4" customHeight="1" x14ac:dyDescent="0.3"/>
    <row r="10164" ht="14.4" customHeight="1" x14ac:dyDescent="0.3"/>
    <row r="10165" ht="14.4" customHeight="1" x14ac:dyDescent="0.3"/>
    <row r="10166" ht="14.4" customHeight="1" x14ac:dyDescent="0.3"/>
    <row r="10167" ht="14.4" customHeight="1" x14ac:dyDescent="0.3"/>
    <row r="10168" ht="14.4" customHeight="1" x14ac:dyDescent="0.3"/>
    <row r="10169" ht="14.4" customHeight="1" x14ac:dyDescent="0.3"/>
    <row r="10170" ht="14.4" customHeight="1" x14ac:dyDescent="0.3"/>
    <row r="10171" ht="14.4" customHeight="1" x14ac:dyDescent="0.3"/>
    <row r="10172" ht="14.4" customHeight="1" x14ac:dyDescent="0.3"/>
    <row r="10173" ht="14.4" customHeight="1" x14ac:dyDescent="0.3"/>
    <row r="10174" ht="14.4" customHeight="1" x14ac:dyDescent="0.3"/>
    <row r="10175" ht="14.4" customHeight="1" x14ac:dyDescent="0.3"/>
    <row r="10176" ht="14.4" customHeight="1" x14ac:dyDescent="0.3"/>
    <row r="10177" ht="14.4" customHeight="1" x14ac:dyDescent="0.3"/>
    <row r="10178" ht="14.4" customHeight="1" x14ac:dyDescent="0.3"/>
    <row r="10179" ht="14.4" customHeight="1" x14ac:dyDescent="0.3"/>
    <row r="10180" ht="14.4" customHeight="1" x14ac:dyDescent="0.3"/>
    <row r="10181" ht="14.4" customHeight="1" x14ac:dyDescent="0.3"/>
    <row r="10182" ht="14.4" customHeight="1" x14ac:dyDescent="0.3"/>
    <row r="10183" ht="14.4" customHeight="1" x14ac:dyDescent="0.3"/>
    <row r="10184" ht="14.4" customHeight="1" x14ac:dyDescent="0.3"/>
    <row r="10185" ht="14.4" customHeight="1" x14ac:dyDescent="0.3"/>
    <row r="10186" ht="14.4" customHeight="1" x14ac:dyDescent="0.3"/>
    <row r="10187" ht="14.4" customHeight="1" x14ac:dyDescent="0.3"/>
    <row r="10188" ht="14.4" customHeight="1" x14ac:dyDescent="0.3"/>
    <row r="10189" ht="14.4" customHeight="1" x14ac:dyDescent="0.3"/>
    <row r="10190" ht="14.4" customHeight="1" x14ac:dyDescent="0.3"/>
    <row r="10191" ht="14.4" customHeight="1" x14ac:dyDescent="0.3"/>
    <row r="10192" ht="14.4" customHeight="1" x14ac:dyDescent="0.3"/>
    <row r="10193" ht="14.4" customHeight="1" x14ac:dyDescent="0.3"/>
    <row r="10194" ht="14.4" customHeight="1" x14ac:dyDescent="0.3"/>
    <row r="10195" ht="14.4" customHeight="1" x14ac:dyDescent="0.3"/>
    <row r="10196" ht="14.4" customHeight="1" x14ac:dyDescent="0.3"/>
    <row r="10197" ht="14.4" customHeight="1" x14ac:dyDescent="0.3"/>
    <row r="10198" ht="14.4" customHeight="1" x14ac:dyDescent="0.3"/>
    <row r="10199" ht="14.4" customHeight="1" x14ac:dyDescent="0.3"/>
    <row r="10200" ht="14.4" customHeight="1" x14ac:dyDescent="0.3"/>
    <row r="10201" ht="14.4" customHeight="1" x14ac:dyDescent="0.3"/>
    <row r="10202" ht="14.4" customHeight="1" x14ac:dyDescent="0.3"/>
    <row r="10203" ht="14.4" customHeight="1" x14ac:dyDescent="0.3"/>
    <row r="10204" ht="14.4" customHeight="1" x14ac:dyDescent="0.3"/>
    <row r="10205" ht="14.4" customHeight="1" x14ac:dyDescent="0.3"/>
    <row r="10206" ht="14.4" customHeight="1" x14ac:dyDescent="0.3"/>
    <row r="10207" ht="14.4" customHeight="1" x14ac:dyDescent="0.3"/>
    <row r="10208" ht="14.4" customHeight="1" x14ac:dyDescent="0.3"/>
    <row r="10209" ht="14.4" customHeight="1" x14ac:dyDescent="0.3"/>
    <row r="10210" ht="14.4" customHeight="1" x14ac:dyDescent="0.3"/>
    <row r="10211" ht="14.4" customHeight="1" x14ac:dyDescent="0.3"/>
    <row r="10212" ht="14.4" customHeight="1" x14ac:dyDescent="0.3"/>
    <row r="10213" ht="14.4" customHeight="1" x14ac:dyDescent="0.3"/>
    <row r="10214" ht="14.4" customHeight="1" x14ac:dyDescent="0.3"/>
    <row r="10215" ht="14.4" customHeight="1" x14ac:dyDescent="0.3"/>
    <row r="10216" ht="14.4" customHeight="1" x14ac:dyDescent="0.3"/>
    <row r="10217" ht="14.4" customHeight="1" x14ac:dyDescent="0.3"/>
    <row r="10218" ht="14.4" customHeight="1" x14ac:dyDescent="0.3"/>
    <row r="10219" ht="14.4" customHeight="1" x14ac:dyDescent="0.3"/>
    <row r="10220" ht="14.4" customHeight="1" x14ac:dyDescent="0.3"/>
    <row r="10221" ht="14.4" customHeight="1" x14ac:dyDescent="0.3"/>
    <row r="10222" ht="14.4" customHeight="1" x14ac:dyDescent="0.3"/>
    <row r="10223" ht="14.4" customHeight="1" x14ac:dyDescent="0.3"/>
    <row r="10224" ht="14.4" customHeight="1" x14ac:dyDescent="0.3"/>
    <row r="10225" ht="14.4" customHeight="1" x14ac:dyDescent="0.3"/>
    <row r="10226" ht="14.4" customHeight="1" x14ac:dyDescent="0.3"/>
    <row r="10227" ht="14.4" customHeight="1" x14ac:dyDescent="0.3"/>
    <row r="10228" ht="14.4" customHeight="1" x14ac:dyDescent="0.3"/>
    <row r="10229" ht="14.4" customHeight="1" x14ac:dyDescent="0.3"/>
    <row r="10230" ht="14.4" customHeight="1" x14ac:dyDescent="0.3"/>
    <row r="10231" ht="14.4" customHeight="1" x14ac:dyDescent="0.3"/>
    <row r="10232" ht="14.4" customHeight="1" x14ac:dyDescent="0.3"/>
    <row r="10233" ht="14.4" customHeight="1" x14ac:dyDescent="0.3"/>
    <row r="10234" ht="14.4" customHeight="1" x14ac:dyDescent="0.3"/>
    <row r="10235" ht="14.4" customHeight="1" x14ac:dyDescent="0.3"/>
    <row r="10236" ht="14.4" customHeight="1" x14ac:dyDescent="0.3"/>
    <row r="10237" ht="14.4" customHeight="1" x14ac:dyDescent="0.3"/>
    <row r="10238" ht="14.4" customHeight="1" x14ac:dyDescent="0.3"/>
    <row r="10239" ht="14.4" customHeight="1" x14ac:dyDescent="0.3"/>
    <row r="10240" ht="14.4" customHeight="1" x14ac:dyDescent="0.3"/>
    <row r="10241" ht="14.4" customHeight="1" x14ac:dyDescent="0.3"/>
    <row r="10242" ht="14.4" customHeight="1" x14ac:dyDescent="0.3"/>
    <row r="10243" ht="14.4" customHeight="1" x14ac:dyDescent="0.3"/>
    <row r="10244" ht="14.4" customHeight="1" x14ac:dyDescent="0.3"/>
    <row r="10245" ht="14.4" customHeight="1" x14ac:dyDescent="0.3"/>
    <row r="10246" ht="14.4" customHeight="1" x14ac:dyDescent="0.3"/>
    <row r="10247" ht="14.4" customHeight="1" x14ac:dyDescent="0.3"/>
    <row r="10248" ht="14.4" customHeight="1" x14ac:dyDescent="0.3"/>
    <row r="10249" ht="14.4" customHeight="1" x14ac:dyDescent="0.3"/>
    <row r="10250" ht="14.4" customHeight="1" x14ac:dyDescent="0.3"/>
    <row r="10251" ht="14.4" customHeight="1" x14ac:dyDescent="0.3"/>
    <row r="10252" ht="14.4" customHeight="1" x14ac:dyDescent="0.3"/>
    <row r="10253" ht="14.4" customHeight="1" x14ac:dyDescent="0.3"/>
    <row r="10254" ht="14.4" customHeight="1" x14ac:dyDescent="0.3"/>
    <row r="10255" ht="14.4" customHeight="1" x14ac:dyDescent="0.3"/>
    <row r="10256" ht="14.4" customHeight="1" x14ac:dyDescent="0.3"/>
    <row r="10257" ht="14.4" customHeight="1" x14ac:dyDescent="0.3"/>
    <row r="10258" ht="14.4" customHeight="1" x14ac:dyDescent="0.3"/>
    <row r="10259" ht="14.4" customHeight="1" x14ac:dyDescent="0.3"/>
    <row r="10260" ht="14.4" customHeight="1" x14ac:dyDescent="0.3"/>
    <row r="10261" ht="14.4" customHeight="1" x14ac:dyDescent="0.3"/>
    <row r="10262" ht="14.4" customHeight="1" x14ac:dyDescent="0.3"/>
    <row r="10263" ht="14.4" customHeight="1" x14ac:dyDescent="0.3"/>
    <row r="10264" ht="14.4" customHeight="1" x14ac:dyDescent="0.3"/>
    <row r="10265" ht="14.4" customHeight="1" x14ac:dyDescent="0.3"/>
    <row r="10266" ht="14.4" customHeight="1" x14ac:dyDescent="0.3"/>
    <row r="10267" ht="14.4" customHeight="1" x14ac:dyDescent="0.3"/>
    <row r="10268" ht="14.4" customHeight="1" x14ac:dyDescent="0.3"/>
    <row r="10269" ht="14.4" customHeight="1" x14ac:dyDescent="0.3"/>
    <row r="10270" ht="14.4" customHeight="1" x14ac:dyDescent="0.3"/>
    <row r="10271" ht="14.4" customHeight="1" x14ac:dyDescent="0.3"/>
    <row r="10272" ht="14.4" customHeight="1" x14ac:dyDescent="0.3"/>
    <row r="10273" ht="14.4" customHeight="1" x14ac:dyDescent="0.3"/>
    <row r="10274" ht="14.4" customHeight="1" x14ac:dyDescent="0.3"/>
    <row r="10275" ht="14.4" customHeight="1" x14ac:dyDescent="0.3"/>
    <row r="10276" ht="14.4" customHeight="1" x14ac:dyDescent="0.3"/>
    <row r="10277" ht="14.4" customHeight="1" x14ac:dyDescent="0.3"/>
    <row r="10278" ht="14.4" customHeight="1" x14ac:dyDescent="0.3"/>
    <row r="10279" ht="14.4" customHeight="1" x14ac:dyDescent="0.3"/>
    <row r="10280" ht="14.4" customHeight="1" x14ac:dyDescent="0.3"/>
    <row r="10281" ht="14.4" customHeight="1" x14ac:dyDescent="0.3"/>
    <row r="10282" ht="14.4" customHeight="1" x14ac:dyDescent="0.3"/>
    <row r="10283" ht="14.4" customHeight="1" x14ac:dyDescent="0.3"/>
    <row r="10284" ht="14.4" customHeight="1" x14ac:dyDescent="0.3"/>
    <row r="10285" ht="14.4" customHeight="1" x14ac:dyDescent="0.3"/>
    <row r="10286" ht="14.4" customHeight="1" x14ac:dyDescent="0.3"/>
    <row r="10287" ht="14.4" customHeight="1" x14ac:dyDescent="0.3"/>
    <row r="10288" ht="14.4" customHeight="1" x14ac:dyDescent="0.3"/>
    <row r="10289" ht="14.4" customHeight="1" x14ac:dyDescent="0.3"/>
    <row r="10290" ht="14.4" customHeight="1" x14ac:dyDescent="0.3"/>
    <row r="10291" ht="14.4" customHeight="1" x14ac:dyDescent="0.3"/>
    <row r="10292" ht="14.4" customHeight="1" x14ac:dyDescent="0.3"/>
    <row r="10293" ht="14.4" customHeight="1" x14ac:dyDescent="0.3"/>
    <row r="10294" ht="14.4" customHeight="1" x14ac:dyDescent="0.3"/>
    <row r="10295" ht="14.4" customHeight="1" x14ac:dyDescent="0.3"/>
    <row r="10296" ht="14.4" customHeight="1" x14ac:dyDescent="0.3"/>
    <row r="10297" ht="14.4" customHeight="1" x14ac:dyDescent="0.3"/>
    <row r="10298" ht="14.4" customHeight="1" x14ac:dyDescent="0.3"/>
    <row r="10299" ht="14.4" customHeight="1" x14ac:dyDescent="0.3"/>
    <row r="10300" ht="14.4" customHeight="1" x14ac:dyDescent="0.3"/>
    <row r="10301" ht="14.4" customHeight="1" x14ac:dyDescent="0.3"/>
    <row r="10302" ht="14.4" customHeight="1" x14ac:dyDescent="0.3"/>
    <row r="10303" ht="14.4" customHeight="1" x14ac:dyDescent="0.3"/>
    <row r="10304" ht="14.4" customHeight="1" x14ac:dyDescent="0.3"/>
    <row r="10305" ht="14.4" customHeight="1" x14ac:dyDescent="0.3"/>
    <row r="10306" ht="14.4" customHeight="1" x14ac:dyDescent="0.3"/>
    <row r="10307" ht="14.4" customHeight="1" x14ac:dyDescent="0.3"/>
    <row r="10308" ht="14.4" customHeight="1" x14ac:dyDescent="0.3"/>
    <row r="10309" ht="14.4" customHeight="1" x14ac:dyDescent="0.3"/>
    <row r="10310" ht="14.4" customHeight="1" x14ac:dyDescent="0.3"/>
    <row r="10311" ht="14.4" customHeight="1" x14ac:dyDescent="0.3"/>
    <row r="10312" ht="14.4" customHeight="1" x14ac:dyDescent="0.3"/>
    <row r="10313" ht="14.4" customHeight="1" x14ac:dyDescent="0.3"/>
    <row r="10314" ht="14.4" customHeight="1" x14ac:dyDescent="0.3"/>
    <row r="10315" ht="14.4" customHeight="1" x14ac:dyDescent="0.3"/>
    <row r="10316" ht="14.4" customHeight="1" x14ac:dyDescent="0.3"/>
    <row r="10317" ht="14.4" customHeight="1" x14ac:dyDescent="0.3"/>
    <row r="10318" ht="14.4" customHeight="1" x14ac:dyDescent="0.3"/>
    <row r="10319" ht="14.4" customHeight="1" x14ac:dyDescent="0.3"/>
    <row r="10320" ht="14.4" customHeight="1" x14ac:dyDescent="0.3"/>
    <row r="10321" ht="14.4" customHeight="1" x14ac:dyDescent="0.3"/>
    <row r="10322" ht="14.4" customHeight="1" x14ac:dyDescent="0.3"/>
    <row r="10323" ht="14.4" customHeight="1" x14ac:dyDescent="0.3"/>
    <row r="10324" ht="14.4" customHeight="1" x14ac:dyDescent="0.3"/>
    <row r="10325" ht="14.4" customHeight="1" x14ac:dyDescent="0.3"/>
    <row r="10326" ht="14.4" customHeight="1" x14ac:dyDescent="0.3"/>
    <row r="10327" ht="14.4" customHeight="1" x14ac:dyDescent="0.3"/>
    <row r="10328" ht="14.4" customHeight="1" x14ac:dyDescent="0.3"/>
    <row r="10329" ht="14.4" customHeight="1" x14ac:dyDescent="0.3"/>
    <row r="10330" ht="14.4" customHeight="1" x14ac:dyDescent="0.3"/>
    <row r="10331" ht="14.4" customHeight="1" x14ac:dyDescent="0.3"/>
    <row r="10332" ht="14.4" customHeight="1" x14ac:dyDescent="0.3"/>
    <row r="10333" ht="14.4" customHeight="1" x14ac:dyDescent="0.3"/>
    <row r="10334" ht="14.4" customHeight="1" x14ac:dyDescent="0.3"/>
    <row r="10335" ht="14.4" customHeight="1" x14ac:dyDescent="0.3"/>
    <row r="10336" ht="14.4" customHeight="1" x14ac:dyDescent="0.3"/>
    <row r="10337" ht="14.4" customHeight="1" x14ac:dyDescent="0.3"/>
    <row r="10338" ht="14.4" customHeight="1" x14ac:dyDescent="0.3"/>
    <row r="10339" ht="14.4" customHeight="1" x14ac:dyDescent="0.3"/>
    <row r="10340" ht="14.4" customHeight="1" x14ac:dyDescent="0.3"/>
    <row r="10341" ht="14.4" customHeight="1" x14ac:dyDescent="0.3"/>
    <row r="10342" ht="14.4" customHeight="1" x14ac:dyDescent="0.3"/>
    <row r="10343" ht="14.4" customHeight="1" x14ac:dyDescent="0.3"/>
    <row r="10344" ht="14.4" customHeight="1" x14ac:dyDescent="0.3"/>
    <row r="10345" ht="14.4" customHeight="1" x14ac:dyDescent="0.3"/>
    <row r="10346" ht="14.4" customHeight="1" x14ac:dyDescent="0.3"/>
    <row r="10347" ht="14.4" customHeight="1" x14ac:dyDescent="0.3"/>
    <row r="10348" ht="14.4" customHeight="1" x14ac:dyDescent="0.3"/>
    <row r="10349" ht="14.4" customHeight="1" x14ac:dyDescent="0.3"/>
    <row r="10350" ht="14.4" customHeight="1" x14ac:dyDescent="0.3"/>
    <row r="10351" ht="14.4" customHeight="1" x14ac:dyDescent="0.3"/>
    <row r="10352" ht="14.4" customHeight="1" x14ac:dyDescent="0.3"/>
    <row r="10353" ht="14.4" customHeight="1" x14ac:dyDescent="0.3"/>
    <row r="10354" ht="14.4" customHeight="1" x14ac:dyDescent="0.3"/>
    <row r="10355" ht="14.4" customHeight="1" x14ac:dyDescent="0.3"/>
    <row r="10356" ht="14.4" customHeight="1" x14ac:dyDescent="0.3"/>
    <row r="10357" ht="14.4" customHeight="1" x14ac:dyDescent="0.3"/>
    <row r="10358" ht="14.4" customHeight="1" x14ac:dyDescent="0.3"/>
    <row r="10359" ht="14.4" customHeight="1" x14ac:dyDescent="0.3"/>
    <row r="10360" ht="14.4" customHeight="1" x14ac:dyDescent="0.3"/>
    <row r="10361" ht="14.4" customHeight="1" x14ac:dyDescent="0.3"/>
    <row r="10362" ht="14.4" customHeight="1" x14ac:dyDescent="0.3"/>
    <row r="10363" ht="14.4" customHeight="1" x14ac:dyDescent="0.3"/>
    <row r="10364" ht="14.4" customHeight="1" x14ac:dyDescent="0.3"/>
    <row r="10365" ht="14.4" customHeight="1" x14ac:dyDescent="0.3"/>
    <row r="10366" ht="14.4" customHeight="1" x14ac:dyDescent="0.3"/>
    <row r="10367" ht="14.4" customHeight="1" x14ac:dyDescent="0.3"/>
    <row r="10368" ht="14.4" customHeight="1" x14ac:dyDescent="0.3"/>
    <row r="10369" ht="14.4" customHeight="1" x14ac:dyDescent="0.3"/>
    <row r="10370" ht="14.4" customHeight="1" x14ac:dyDescent="0.3"/>
    <row r="10371" ht="14.4" customHeight="1" x14ac:dyDescent="0.3"/>
    <row r="10372" ht="14.4" customHeight="1" x14ac:dyDescent="0.3"/>
    <row r="10373" ht="14.4" customHeight="1" x14ac:dyDescent="0.3"/>
    <row r="10374" ht="14.4" customHeight="1" x14ac:dyDescent="0.3"/>
    <row r="10375" ht="14.4" customHeight="1" x14ac:dyDescent="0.3"/>
    <row r="10376" ht="14.4" customHeight="1" x14ac:dyDescent="0.3"/>
    <row r="10377" ht="14.4" customHeight="1" x14ac:dyDescent="0.3"/>
    <row r="10378" ht="14.4" customHeight="1" x14ac:dyDescent="0.3"/>
    <row r="10379" ht="14.4" customHeight="1" x14ac:dyDescent="0.3"/>
    <row r="10380" ht="14.4" customHeight="1" x14ac:dyDescent="0.3"/>
    <row r="10381" ht="14.4" customHeight="1" x14ac:dyDescent="0.3"/>
    <row r="10382" ht="14.4" customHeight="1" x14ac:dyDescent="0.3"/>
    <row r="10383" ht="14.4" customHeight="1" x14ac:dyDescent="0.3"/>
    <row r="10384" ht="14.4" customHeight="1" x14ac:dyDescent="0.3"/>
    <row r="10385" ht="14.4" customHeight="1" x14ac:dyDescent="0.3"/>
    <row r="10386" ht="14.4" customHeight="1" x14ac:dyDescent="0.3"/>
    <row r="10387" ht="14.4" customHeight="1" x14ac:dyDescent="0.3"/>
    <row r="10388" ht="14.4" customHeight="1" x14ac:dyDescent="0.3"/>
    <row r="10389" ht="14.4" customHeight="1" x14ac:dyDescent="0.3"/>
    <row r="10390" ht="14.4" customHeight="1" x14ac:dyDescent="0.3"/>
    <row r="10391" ht="14.4" customHeight="1" x14ac:dyDescent="0.3"/>
    <row r="10392" ht="14.4" customHeight="1" x14ac:dyDescent="0.3"/>
    <row r="10393" ht="14.4" customHeight="1" x14ac:dyDescent="0.3"/>
    <row r="10394" ht="14.4" customHeight="1" x14ac:dyDescent="0.3"/>
    <row r="10395" ht="14.4" customHeight="1" x14ac:dyDescent="0.3"/>
    <row r="10396" ht="14.4" customHeight="1" x14ac:dyDescent="0.3"/>
    <row r="10397" ht="14.4" customHeight="1" x14ac:dyDescent="0.3"/>
    <row r="10398" ht="14.4" customHeight="1" x14ac:dyDescent="0.3"/>
    <row r="10399" ht="14.4" customHeight="1" x14ac:dyDescent="0.3"/>
    <row r="10400" ht="14.4" customHeight="1" x14ac:dyDescent="0.3"/>
    <row r="10401" ht="14.4" customHeight="1" x14ac:dyDescent="0.3"/>
    <row r="10402" ht="14.4" customHeight="1" x14ac:dyDescent="0.3"/>
    <row r="10403" ht="14.4" customHeight="1" x14ac:dyDescent="0.3"/>
    <row r="10404" ht="14.4" customHeight="1" x14ac:dyDescent="0.3"/>
    <row r="10405" ht="14.4" customHeight="1" x14ac:dyDescent="0.3"/>
    <row r="10406" ht="14.4" customHeight="1" x14ac:dyDescent="0.3"/>
    <row r="10407" ht="14.4" customHeight="1" x14ac:dyDescent="0.3"/>
    <row r="10408" ht="14.4" customHeight="1" x14ac:dyDescent="0.3"/>
    <row r="10409" ht="14.4" customHeight="1" x14ac:dyDescent="0.3"/>
    <row r="10410" ht="14.4" customHeight="1" x14ac:dyDescent="0.3"/>
    <row r="10411" ht="14.4" customHeight="1" x14ac:dyDescent="0.3"/>
    <row r="10412" ht="14.4" customHeight="1" x14ac:dyDescent="0.3"/>
    <row r="10413" ht="14.4" customHeight="1" x14ac:dyDescent="0.3"/>
    <row r="10414" ht="14.4" customHeight="1" x14ac:dyDescent="0.3"/>
    <row r="10415" ht="14.4" customHeight="1" x14ac:dyDescent="0.3"/>
    <row r="10416" ht="14.4" customHeight="1" x14ac:dyDescent="0.3"/>
    <row r="10417" ht="14.4" customHeight="1" x14ac:dyDescent="0.3"/>
    <row r="10418" ht="14.4" customHeight="1" x14ac:dyDescent="0.3"/>
    <row r="10419" ht="14.4" customHeight="1" x14ac:dyDescent="0.3"/>
    <row r="10420" ht="14.4" customHeight="1" x14ac:dyDescent="0.3"/>
    <row r="10421" ht="14.4" customHeight="1" x14ac:dyDescent="0.3"/>
    <row r="10422" ht="14.4" customHeight="1" x14ac:dyDescent="0.3"/>
    <row r="10423" ht="14.4" customHeight="1" x14ac:dyDescent="0.3"/>
    <row r="10424" ht="14.4" customHeight="1" x14ac:dyDescent="0.3"/>
    <row r="10425" ht="14.4" customHeight="1" x14ac:dyDescent="0.3"/>
    <row r="10426" ht="14.4" customHeight="1" x14ac:dyDescent="0.3"/>
    <row r="10427" ht="14.4" customHeight="1" x14ac:dyDescent="0.3"/>
    <row r="10428" ht="14.4" customHeight="1" x14ac:dyDescent="0.3"/>
    <row r="10429" ht="14.4" customHeight="1" x14ac:dyDescent="0.3"/>
    <row r="10430" ht="14.4" customHeight="1" x14ac:dyDescent="0.3"/>
    <row r="10431" ht="14.4" customHeight="1" x14ac:dyDescent="0.3"/>
    <row r="10432" ht="14.4" customHeight="1" x14ac:dyDescent="0.3"/>
    <row r="10433" ht="14.4" customHeight="1" x14ac:dyDescent="0.3"/>
    <row r="10434" ht="14.4" customHeight="1" x14ac:dyDescent="0.3"/>
    <row r="10435" ht="14.4" customHeight="1" x14ac:dyDescent="0.3"/>
    <row r="10436" ht="14.4" customHeight="1" x14ac:dyDescent="0.3"/>
    <row r="10437" ht="14.4" customHeight="1" x14ac:dyDescent="0.3"/>
    <row r="10438" ht="14.4" customHeight="1" x14ac:dyDescent="0.3"/>
    <row r="10439" ht="14.4" customHeight="1" x14ac:dyDescent="0.3"/>
    <row r="10440" ht="14.4" customHeight="1" x14ac:dyDescent="0.3"/>
    <row r="10441" ht="14.4" customHeight="1" x14ac:dyDescent="0.3"/>
    <row r="10442" ht="14.4" customHeight="1" x14ac:dyDescent="0.3"/>
    <row r="10443" ht="14.4" customHeight="1" x14ac:dyDescent="0.3"/>
    <row r="10444" ht="14.4" customHeight="1" x14ac:dyDescent="0.3"/>
    <row r="10445" ht="14.4" customHeight="1" x14ac:dyDescent="0.3"/>
    <row r="10446" ht="14.4" customHeight="1" x14ac:dyDescent="0.3"/>
    <row r="10447" ht="14.4" customHeight="1" x14ac:dyDescent="0.3"/>
    <row r="10448" ht="14.4" customHeight="1" x14ac:dyDescent="0.3"/>
    <row r="10449" ht="14.4" customHeight="1" x14ac:dyDescent="0.3"/>
    <row r="10450" ht="14.4" customHeight="1" x14ac:dyDescent="0.3"/>
    <row r="10451" ht="14.4" customHeight="1" x14ac:dyDescent="0.3"/>
    <row r="10452" ht="14.4" customHeight="1" x14ac:dyDescent="0.3"/>
    <row r="10453" ht="14.4" customHeight="1" x14ac:dyDescent="0.3"/>
    <row r="10454" ht="14.4" customHeight="1" x14ac:dyDescent="0.3"/>
    <row r="10455" ht="14.4" customHeight="1" x14ac:dyDescent="0.3"/>
    <row r="10456" ht="14.4" customHeight="1" x14ac:dyDescent="0.3"/>
    <row r="10457" ht="14.4" customHeight="1" x14ac:dyDescent="0.3"/>
    <row r="10458" ht="14.4" customHeight="1" x14ac:dyDescent="0.3"/>
    <row r="10459" ht="14.4" customHeight="1" x14ac:dyDescent="0.3"/>
    <row r="10460" ht="14.4" customHeight="1" x14ac:dyDescent="0.3"/>
    <row r="10461" ht="14.4" customHeight="1" x14ac:dyDescent="0.3"/>
    <row r="10462" ht="14.4" customHeight="1" x14ac:dyDescent="0.3"/>
    <row r="10463" ht="14.4" customHeight="1" x14ac:dyDescent="0.3"/>
    <row r="10464" ht="14.4" customHeight="1" x14ac:dyDescent="0.3"/>
    <row r="10465" ht="14.4" customHeight="1" x14ac:dyDescent="0.3"/>
    <row r="10466" ht="14.4" customHeight="1" x14ac:dyDescent="0.3"/>
    <row r="10467" ht="14.4" customHeight="1" x14ac:dyDescent="0.3"/>
    <row r="10468" ht="14.4" customHeight="1" x14ac:dyDescent="0.3"/>
    <row r="10469" ht="14.4" customHeight="1" x14ac:dyDescent="0.3"/>
    <row r="10470" ht="14.4" customHeight="1" x14ac:dyDescent="0.3"/>
    <row r="10471" ht="14.4" customHeight="1" x14ac:dyDescent="0.3"/>
    <row r="10472" ht="14.4" customHeight="1" x14ac:dyDescent="0.3"/>
    <row r="10473" ht="14.4" customHeight="1" x14ac:dyDescent="0.3"/>
    <row r="10474" ht="14.4" customHeight="1" x14ac:dyDescent="0.3"/>
    <row r="10475" ht="14.4" customHeight="1" x14ac:dyDescent="0.3"/>
    <row r="10476" ht="14.4" customHeight="1" x14ac:dyDescent="0.3"/>
    <row r="10477" ht="14.4" customHeight="1" x14ac:dyDescent="0.3"/>
    <row r="10478" ht="14.4" customHeight="1" x14ac:dyDescent="0.3"/>
    <row r="10479" ht="14.4" customHeight="1" x14ac:dyDescent="0.3"/>
    <row r="10480" ht="14.4" customHeight="1" x14ac:dyDescent="0.3"/>
    <row r="10481" ht="14.4" customHeight="1" x14ac:dyDescent="0.3"/>
    <row r="10482" ht="14.4" customHeight="1" x14ac:dyDescent="0.3"/>
    <row r="10483" ht="14.4" customHeight="1" x14ac:dyDescent="0.3"/>
    <row r="10484" ht="14.4" customHeight="1" x14ac:dyDescent="0.3"/>
    <row r="10485" ht="14.4" customHeight="1" x14ac:dyDescent="0.3"/>
    <row r="10486" ht="14.4" customHeight="1" x14ac:dyDescent="0.3"/>
    <row r="10487" ht="14.4" customHeight="1" x14ac:dyDescent="0.3"/>
    <row r="10488" ht="14.4" customHeight="1" x14ac:dyDescent="0.3"/>
    <row r="10489" ht="14.4" customHeight="1" x14ac:dyDescent="0.3"/>
    <row r="10490" ht="14.4" customHeight="1" x14ac:dyDescent="0.3"/>
    <row r="10491" ht="14.4" customHeight="1" x14ac:dyDescent="0.3"/>
    <row r="10492" ht="14.4" customHeight="1" x14ac:dyDescent="0.3"/>
    <row r="10493" ht="14.4" customHeight="1" x14ac:dyDescent="0.3"/>
    <row r="10494" ht="14.4" customHeight="1" x14ac:dyDescent="0.3"/>
    <row r="10495" ht="14.4" customHeight="1" x14ac:dyDescent="0.3"/>
    <row r="10496" ht="14.4" customHeight="1" x14ac:dyDescent="0.3"/>
    <row r="10497" ht="14.4" customHeight="1" x14ac:dyDescent="0.3"/>
    <row r="10498" ht="14.4" customHeight="1" x14ac:dyDescent="0.3"/>
    <row r="10499" ht="14.4" customHeight="1" x14ac:dyDescent="0.3"/>
    <row r="10500" ht="14.4" customHeight="1" x14ac:dyDescent="0.3"/>
    <row r="10501" ht="14.4" customHeight="1" x14ac:dyDescent="0.3"/>
    <row r="10502" ht="14.4" customHeight="1" x14ac:dyDescent="0.3"/>
    <row r="10503" ht="14.4" customHeight="1" x14ac:dyDescent="0.3"/>
    <row r="10504" ht="14.4" customHeight="1" x14ac:dyDescent="0.3"/>
    <row r="10505" ht="14.4" customHeight="1" x14ac:dyDescent="0.3"/>
    <row r="10506" ht="14.4" customHeight="1" x14ac:dyDescent="0.3"/>
    <row r="10507" ht="14.4" customHeight="1" x14ac:dyDescent="0.3"/>
    <row r="10508" ht="14.4" customHeight="1" x14ac:dyDescent="0.3"/>
    <row r="10509" ht="14.4" customHeight="1" x14ac:dyDescent="0.3"/>
    <row r="10510" ht="14.4" customHeight="1" x14ac:dyDescent="0.3"/>
    <row r="10511" ht="14.4" customHeight="1" x14ac:dyDescent="0.3"/>
    <row r="10512" ht="14.4" customHeight="1" x14ac:dyDescent="0.3"/>
    <row r="10513" ht="14.4" customHeight="1" x14ac:dyDescent="0.3"/>
    <row r="10514" ht="14.4" customHeight="1" x14ac:dyDescent="0.3"/>
    <row r="10515" ht="14.4" customHeight="1" x14ac:dyDescent="0.3"/>
    <row r="10516" ht="14.4" customHeight="1" x14ac:dyDescent="0.3"/>
    <row r="10517" ht="14.4" customHeight="1" x14ac:dyDescent="0.3"/>
    <row r="10518" ht="14.4" customHeight="1" x14ac:dyDescent="0.3"/>
    <row r="10519" ht="14.4" customHeight="1" x14ac:dyDescent="0.3"/>
    <row r="10520" ht="14.4" customHeight="1" x14ac:dyDescent="0.3"/>
    <row r="10521" ht="14.4" customHeight="1" x14ac:dyDescent="0.3"/>
    <row r="10522" ht="14.4" customHeight="1" x14ac:dyDescent="0.3"/>
    <row r="10523" ht="14.4" customHeight="1" x14ac:dyDescent="0.3"/>
    <row r="10524" ht="14.4" customHeight="1" x14ac:dyDescent="0.3"/>
    <row r="10525" ht="14.4" customHeight="1" x14ac:dyDescent="0.3"/>
    <row r="10526" ht="14.4" customHeight="1" x14ac:dyDescent="0.3"/>
    <row r="10527" ht="14.4" customHeight="1" x14ac:dyDescent="0.3"/>
    <row r="10528" ht="14.4" customHeight="1" x14ac:dyDescent="0.3"/>
    <row r="10529" ht="14.4" customHeight="1" x14ac:dyDescent="0.3"/>
    <row r="10530" ht="14.4" customHeight="1" x14ac:dyDescent="0.3"/>
    <row r="10531" ht="14.4" customHeight="1" x14ac:dyDescent="0.3"/>
    <row r="10532" ht="14.4" customHeight="1" x14ac:dyDescent="0.3"/>
    <row r="10533" ht="14.4" customHeight="1" x14ac:dyDescent="0.3"/>
    <row r="10534" ht="14.4" customHeight="1" x14ac:dyDescent="0.3"/>
    <row r="10535" ht="14.4" customHeight="1" x14ac:dyDescent="0.3"/>
    <row r="10536" ht="14.4" customHeight="1" x14ac:dyDescent="0.3"/>
    <row r="10537" ht="14.4" customHeight="1" x14ac:dyDescent="0.3"/>
    <row r="10538" ht="14.4" customHeight="1" x14ac:dyDescent="0.3"/>
    <row r="10539" ht="14.4" customHeight="1" x14ac:dyDescent="0.3"/>
    <row r="10540" ht="14.4" customHeight="1" x14ac:dyDescent="0.3"/>
    <row r="10541" ht="14.4" customHeight="1" x14ac:dyDescent="0.3"/>
    <row r="10542" ht="14.4" customHeight="1" x14ac:dyDescent="0.3"/>
    <row r="10543" ht="14.4" customHeight="1" x14ac:dyDescent="0.3"/>
    <row r="10544" ht="14.4" customHeight="1" x14ac:dyDescent="0.3"/>
    <row r="10545" ht="14.4" customHeight="1" x14ac:dyDescent="0.3"/>
    <row r="10546" ht="14.4" customHeight="1" x14ac:dyDescent="0.3"/>
    <row r="10547" ht="14.4" customHeight="1" x14ac:dyDescent="0.3"/>
    <row r="10548" ht="14.4" customHeight="1" x14ac:dyDescent="0.3"/>
    <row r="10549" ht="14.4" customHeight="1" x14ac:dyDescent="0.3"/>
    <row r="10550" ht="14.4" customHeight="1" x14ac:dyDescent="0.3"/>
    <row r="10551" ht="14.4" customHeight="1" x14ac:dyDescent="0.3"/>
    <row r="10552" ht="14.4" customHeight="1" x14ac:dyDescent="0.3"/>
    <row r="10553" ht="14.4" customHeight="1" x14ac:dyDescent="0.3"/>
    <row r="10554" ht="14.4" customHeight="1" x14ac:dyDescent="0.3"/>
    <row r="10555" ht="14.4" customHeight="1" x14ac:dyDescent="0.3"/>
    <row r="10556" ht="14.4" customHeight="1" x14ac:dyDescent="0.3"/>
    <row r="10557" ht="14.4" customHeight="1" x14ac:dyDescent="0.3"/>
    <row r="10558" ht="14.4" customHeight="1" x14ac:dyDescent="0.3"/>
    <row r="10559" ht="14.4" customHeight="1" x14ac:dyDescent="0.3"/>
    <row r="10560" ht="14.4" customHeight="1" x14ac:dyDescent="0.3"/>
    <row r="10561" ht="14.4" customHeight="1" x14ac:dyDescent="0.3"/>
    <row r="10562" ht="14.4" customHeight="1" x14ac:dyDescent="0.3"/>
    <row r="10563" ht="14.4" customHeight="1" x14ac:dyDescent="0.3"/>
    <row r="10564" ht="14.4" customHeight="1" x14ac:dyDescent="0.3"/>
    <row r="10565" ht="14.4" customHeight="1" x14ac:dyDescent="0.3"/>
    <row r="10566" ht="14.4" customHeight="1" x14ac:dyDescent="0.3"/>
    <row r="10567" ht="14.4" customHeight="1" x14ac:dyDescent="0.3"/>
    <row r="10568" ht="14.4" customHeight="1" x14ac:dyDescent="0.3"/>
    <row r="10569" ht="14.4" customHeight="1" x14ac:dyDescent="0.3"/>
    <row r="10570" ht="14.4" customHeight="1" x14ac:dyDescent="0.3"/>
    <row r="10571" ht="14.4" customHeight="1" x14ac:dyDescent="0.3"/>
    <row r="10572" ht="14.4" customHeight="1" x14ac:dyDescent="0.3"/>
    <row r="10573" ht="14.4" customHeight="1" x14ac:dyDescent="0.3"/>
    <row r="10574" ht="14.4" customHeight="1" x14ac:dyDescent="0.3"/>
    <row r="10575" ht="14.4" customHeight="1" x14ac:dyDescent="0.3"/>
    <row r="10576" ht="14.4" customHeight="1" x14ac:dyDescent="0.3"/>
    <row r="10577" ht="14.4" customHeight="1" x14ac:dyDescent="0.3"/>
    <row r="10578" ht="14.4" customHeight="1" x14ac:dyDescent="0.3"/>
    <row r="10579" ht="14.4" customHeight="1" x14ac:dyDescent="0.3"/>
    <row r="10580" ht="14.4" customHeight="1" x14ac:dyDescent="0.3"/>
    <row r="10581" ht="14.4" customHeight="1" x14ac:dyDescent="0.3"/>
    <row r="10582" ht="14.4" customHeight="1" x14ac:dyDescent="0.3"/>
    <row r="10583" ht="14.4" customHeight="1" x14ac:dyDescent="0.3"/>
    <row r="10584" ht="14.4" customHeight="1" x14ac:dyDescent="0.3"/>
    <row r="10585" ht="14.4" customHeight="1" x14ac:dyDescent="0.3"/>
    <row r="10586" ht="14.4" customHeight="1" x14ac:dyDescent="0.3"/>
    <row r="10587" ht="14.4" customHeight="1" x14ac:dyDescent="0.3"/>
    <row r="10588" ht="14.4" customHeight="1" x14ac:dyDescent="0.3"/>
    <row r="10589" ht="14.4" customHeight="1" x14ac:dyDescent="0.3"/>
    <row r="10590" ht="14.4" customHeight="1" x14ac:dyDescent="0.3"/>
    <row r="10591" ht="14.4" customHeight="1" x14ac:dyDescent="0.3"/>
    <row r="10592" ht="14.4" customHeight="1" x14ac:dyDescent="0.3"/>
    <row r="10593" ht="14.4" customHeight="1" x14ac:dyDescent="0.3"/>
    <row r="10594" ht="14.4" customHeight="1" x14ac:dyDescent="0.3"/>
    <row r="10595" ht="14.4" customHeight="1" x14ac:dyDescent="0.3"/>
    <row r="10596" ht="14.4" customHeight="1" x14ac:dyDescent="0.3"/>
    <row r="10597" ht="14.4" customHeight="1" x14ac:dyDescent="0.3"/>
    <row r="10598" ht="14.4" customHeight="1" x14ac:dyDescent="0.3"/>
    <row r="10599" ht="14.4" customHeight="1" x14ac:dyDescent="0.3"/>
    <row r="10600" ht="14.4" customHeight="1" x14ac:dyDescent="0.3"/>
    <row r="10601" ht="14.4" customHeight="1" x14ac:dyDescent="0.3"/>
    <row r="10602" ht="14.4" customHeight="1" x14ac:dyDescent="0.3"/>
    <row r="10603" ht="14.4" customHeight="1" x14ac:dyDescent="0.3"/>
    <row r="10604" ht="14.4" customHeight="1" x14ac:dyDescent="0.3"/>
    <row r="10605" ht="14.4" customHeight="1" x14ac:dyDescent="0.3"/>
    <row r="10606" ht="14.4" customHeight="1" x14ac:dyDescent="0.3"/>
    <row r="10607" ht="14.4" customHeight="1" x14ac:dyDescent="0.3"/>
    <row r="10608" ht="14.4" customHeight="1" x14ac:dyDescent="0.3"/>
    <row r="10609" ht="14.4" customHeight="1" x14ac:dyDescent="0.3"/>
    <row r="10610" ht="14.4" customHeight="1" x14ac:dyDescent="0.3"/>
    <row r="10611" ht="14.4" customHeight="1" x14ac:dyDescent="0.3"/>
    <row r="10612" ht="14.4" customHeight="1" x14ac:dyDescent="0.3"/>
    <row r="10613" ht="14.4" customHeight="1" x14ac:dyDescent="0.3"/>
    <row r="10614" ht="14.4" customHeight="1" x14ac:dyDescent="0.3"/>
    <row r="10615" ht="14.4" customHeight="1" x14ac:dyDescent="0.3"/>
    <row r="10616" ht="14.4" customHeight="1" x14ac:dyDescent="0.3"/>
    <row r="10617" ht="14.4" customHeight="1" x14ac:dyDescent="0.3"/>
    <row r="10618" ht="14.4" customHeight="1" x14ac:dyDescent="0.3"/>
    <row r="10619" ht="14.4" customHeight="1" x14ac:dyDescent="0.3"/>
    <row r="10620" ht="14.4" customHeight="1" x14ac:dyDescent="0.3"/>
    <row r="10621" ht="14.4" customHeight="1" x14ac:dyDescent="0.3"/>
    <row r="10622" ht="14.4" customHeight="1" x14ac:dyDescent="0.3"/>
    <row r="10623" ht="14.4" customHeight="1" x14ac:dyDescent="0.3"/>
    <row r="10624" ht="14.4" customHeight="1" x14ac:dyDescent="0.3"/>
    <row r="10625" ht="14.4" customHeight="1" x14ac:dyDescent="0.3"/>
    <row r="10626" ht="14.4" customHeight="1" x14ac:dyDescent="0.3"/>
    <row r="10627" ht="14.4" customHeight="1" x14ac:dyDescent="0.3"/>
    <row r="10628" ht="14.4" customHeight="1" x14ac:dyDescent="0.3"/>
    <row r="10629" ht="14.4" customHeight="1" x14ac:dyDescent="0.3"/>
    <row r="10630" ht="14.4" customHeight="1" x14ac:dyDescent="0.3"/>
    <row r="10631" ht="14.4" customHeight="1" x14ac:dyDescent="0.3"/>
    <row r="10632" ht="14.4" customHeight="1" x14ac:dyDescent="0.3"/>
    <row r="10633" ht="14.4" customHeight="1" x14ac:dyDescent="0.3"/>
    <row r="10634" ht="14.4" customHeight="1" x14ac:dyDescent="0.3"/>
    <row r="10635" ht="14.4" customHeight="1" x14ac:dyDescent="0.3"/>
    <row r="10636" ht="14.4" customHeight="1" x14ac:dyDescent="0.3"/>
    <row r="10637" ht="14.4" customHeight="1" x14ac:dyDescent="0.3"/>
    <row r="10638" ht="14.4" customHeight="1" x14ac:dyDescent="0.3"/>
    <row r="10639" ht="14.4" customHeight="1" x14ac:dyDescent="0.3"/>
    <row r="10640" ht="14.4" customHeight="1" x14ac:dyDescent="0.3"/>
    <row r="10641" ht="14.4" customHeight="1" x14ac:dyDescent="0.3"/>
    <row r="10642" ht="14.4" customHeight="1" x14ac:dyDescent="0.3"/>
    <row r="10643" ht="14.4" customHeight="1" x14ac:dyDescent="0.3"/>
    <row r="10644" ht="14.4" customHeight="1" x14ac:dyDescent="0.3"/>
    <row r="10645" ht="14.4" customHeight="1" x14ac:dyDescent="0.3"/>
    <row r="10646" ht="14.4" customHeight="1" x14ac:dyDescent="0.3"/>
    <row r="10647" ht="14.4" customHeight="1" x14ac:dyDescent="0.3"/>
    <row r="10648" ht="14.4" customHeight="1" x14ac:dyDescent="0.3"/>
    <row r="10649" ht="14.4" customHeight="1" x14ac:dyDescent="0.3"/>
    <row r="10650" ht="14.4" customHeight="1" x14ac:dyDescent="0.3"/>
    <row r="10651" ht="14.4" customHeight="1" x14ac:dyDescent="0.3"/>
    <row r="10652" ht="14.4" customHeight="1" x14ac:dyDescent="0.3"/>
    <row r="10653" ht="14.4" customHeight="1" x14ac:dyDescent="0.3"/>
    <row r="10654" ht="14.4" customHeight="1" x14ac:dyDescent="0.3"/>
    <row r="10655" ht="14.4" customHeight="1" x14ac:dyDescent="0.3"/>
    <row r="10656" ht="14.4" customHeight="1" x14ac:dyDescent="0.3"/>
    <row r="10657" ht="14.4" customHeight="1" x14ac:dyDescent="0.3"/>
    <row r="10658" ht="14.4" customHeight="1" x14ac:dyDescent="0.3"/>
    <row r="10659" ht="14.4" customHeight="1" x14ac:dyDescent="0.3"/>
    <row r="10660" ht="14.4" customHeight="1" x14ac:dyDescent="0.3"/>
    <row r="10661" ht="14.4" customHeight="1" x14ac:dyDescent="0.3"/>
    <row r="10662" ht="14.4" customHeight="1" x14ac:dyDescent="0.3"/>
    <row r="10663" ht="14.4" customHeight="1" x14ac:dyDescent="0.3"/>
    <row r="10664" ht="14.4" customHeight="1" x14ac:dyDescent="0.3"/>
    <row r="10665" ht="14.4" customHeight="1" x14ac:dyDescent="0.3"/>
    <row r="10666" ht="14.4" customHeight="1" x14ac:dyDescent="0.3"/>
    <row r="10667" ht="14.4" customHeight="1" x14ac:dyDescent="0.3"/>
    <row r="10668" ht="14.4" customHeight="1" x14ac:dyDescent="0.3"/>
    <row r="10669" ht="14.4" customHeight="1" x14ac:dyDescent="0.3"/>
    <row r="10670" ht="14.4" customHeight="1" x14ac:dyDescent="0.3"/>
    <row r="10671" ht="14.4" customHeight="1" x14ac:dyDescent="0.3"/>
    <row r="10672" ht="14.4" customHeight="1" x14ac:dyDescent="0.3"/>
    <row r="10673" ht="14.4" customHeight="1" x14ac:dyDescent="0.3"/>
    <row r="10674" ht="14.4" customHeight="1" x14ac:dyDescent="0.3"/>
    <row r="10675" ht="14.4" customHeight="1" x14ac:dyDescent="0.3"/>
    <row r="10676" ht="14.4" customHeight="1" x14ac:dyDescent="0.3"/>
    <row r="10677" ht="14.4" customHeight="1" x14ac:dyDescent="0.3"/>
    <row r="10678" ht="14.4" customHeight="1" x14ac:dyDescent="0.3"/>
    <row r="10679" ht="14.4" customHeight="1" x14ac:dyDescent="0.3"/>
    <row r="10680" ht="14.4" customHeight="1" x14ac:dyDescent="0.3"/>
    <row r="10681" ht="14.4" customHeight="1" x14ac:dyDescent="0.3"/>
    <row r="10682" ht="14.4" customHeight="1" x14ac:dyDescent="0.3"/>
    <row r="10683" ht="14.4" customHeight="1" x14ac:dyDescent="0.3"/>
    <row r="10684" ht="14.4" customHeight="1" x14ac:dyDescent="0.3"/>
    <row r="10685" ht="14.4" customHeight="1" x14ac:dyDescent="0.3"/>
    <row r="10686" ht="14.4" customHeight="1" x14ac:dyDescent="0.3"/>
    <row r="10687" ht="14.4" customHeight="1" x14ac:dyDescent="0.3"/>
    <row r="10688" ht="14.4" customHeight="1" x14ac:dyDescent="0.3"/>
    <row r="10689" ht="14.4" customHeight="1" x14ac:dyDescent="0.3"/>
    <row r="10690" ht="14.4" customHeight="1" x14ac:dyDescent="0.3"/>
    <row r="10691" ht="14.4" customHeight="1" x14ac:dyDescent="0.3"/>
    <row r="10692" ht="14.4" customHeight="1" x14ac:dyDescent="0.3"/>
    <row r="10693" ht="14.4" customHeight="1" x14ac:dyDescent="0.3"/>
    <row r="10694" ht="14.4" customHeight="1" x14ac:dyDescent="0.3"/>
    <row r="10695" ht="14.4" customHeight="1" x14ac:dyDescent="0.3"/>
    <row r="10696" ht="14.4" customHeight="1" x14ac:dyDescent="0.3"/>
    <row r="10697" ht="14.4" customHeight="1" x14ac:dyDescent="0.3"/>
    <row r="10698" ht="14.4" customHeight="1" x14ac:dyDescent="0.3"/>
    <row r="10699" ht="14.4" customHeight="1" x14ac:dyDescent="0.3"/>
    <row r="10700" ht="14.4" customHeight="1" x14ac:dyDescent="0.3"/>
    <row r="10701" ht="14.4" customHeight="1" x14ac:dyDescent="0.3"/>
    <row r="10702" ht="14.4" customHeight="1" x14ac:dyDescent="0.3"/>
    <row r="10703" ht="14.4" customHeight="1" x14ac:dyDescent="0.3"/>
    <row r="10704" ht="14.4" customHeight="1" x14ac:dyDescent="0.3"/>
    <row r="10705" ht="14.4" customHeight="1" x14ac:dyDescent="0.3"/>
    <row r="10706" ht="14.4" customHeight="1" x14ac:dyDescent="0.3"/>
    <row r="10707" ht="14.4" customHeight="1" x14ac:dyDescent="0.3"/>
    <row r="10708" ht="14.4" customHeight="1" x14ac:dyDescent="0.3"/>
    <row r="10709" ht="14.4" customHeight="1" x14ac:dyDescent="0.3"/>
    <row r="10710" ht="14.4" customHeight="1" x14ac:dyDescent="0.3"/>
    <row r="10711" ht="14.4" customHeight="1" x14ac:dyDescent="0.3"/>
    <row r="10712" ht="14.4" customHeight="1" x14ac:dyDescent="0.3"/>
    <row r="10713" ht="14.4" customHeight="1" x14ac:dyDescent="0.3"/>
    <row r="10714" ht="14.4" customHeight="1" x14ac:dyDescent="0.3"/>
    <row r="10715" ht="14.4" customHeight="1" x14ac:dyDescent="0.3"/>
    <row r="10716" ht="14.4" customHeight="1" x14ac:dyDescent="0.3"/>
    <row r="10717" ht="14.4" customHeight="1" x14ac:dyDescent="0.3"/>
    <row r="10718" ht="14.4" customHeight="1" x14ac:dyDescent="0.3"/>
    <row r="10719" ht="14.4" customHeight="1" x14ac:dyDescent="0.3"/>
    <row r="10720" ht="14.4" customHeight="1" x14ac:dyDescent="0.3"/>
    <row r="10721" ht="14.4" customHeight="1" x14ac:dyDescent="0.3"/>
    <row r="10722" ht="14.4" customHeight="1" x14ac:dyDescent="0.3"/>
    <row r="10723" ht="14.4" customHeight="1" x14ac:dyDescent="0.3"/>
    <row r="10724" ht="14.4" customHeight="1" x14ac:dyDescent="0.3"/>
    <row r="10725" ht="14.4" customHeight="1" x14ac:dyDescent="0.3"/>
    <row r="10726" ht="14.4" customHeight="1" x14ac:dyDescent="0.3"/>
    <row r="10727" ht="14.4" customHeight="1" x14ac:dyDescent="0.3"/>
    <row r="10728" ht="14.4" customHeight="1" x14ac:dyDescent="0.3"/>
    <row r="10729" ht="14.4" customHeight="1" x14ac:dyDescent="0.3"/>
    <row r="10730" ht="14.4" customHeight="1" x14ac:dyDescent="0.3"/>
    <row r="10731" ht="14.4" customHeight="1" x14ac:dyDescent="0.3"/>
    <row r="10732" ht="14.4" customHeight="1" x14ac:dyDescent="0.3"/>
    <row r="10733" ht="14.4" customHeight="1" x14ac:dyDescent="0.3"/>
    <row r="10734" ht="14.4" customHeight="1" x14ac:dyDescent="0.3"/>
    <row r="10735" ht="14.4" customHeight="1" x14ac:dyDescent="0.3"/>
    <row r="10736" ht="14.4" customHeight="1" x14ac:dyDescent="0.3"/>
    <row r="10737" ht="14.4" customHeight="1" x14ac:dyDescent="0.3"/>
    <row r="10738" ht="14.4" customHeight="1" x14ac:dyDescent="0.3"/>
    <row r="10739" ht="14.4" customHeight="1" x14ac:dyDescent="0.3"/>
    <row r="10740" ht="14.4" customHeight="1" x14ac:dyDescent="0.3"/>
    <row r="10741" ht="14.4" customHeight="1" x14ac:dyDescent="0.3"/>
    <row r="10742" ht="14.4" customHeight="1" x14ac:dyDescent="0.3"/>
    <row r="10743" ht="14.4" customHeight="1" x14ac:dyDescent="0.3"/>
    <row r="10744" ht="14.4" customHeight="1" x14ac:dyDescent="0.3"/>
    <row r="10745" ht="14.4" customHeight="1" x14ac:dyDescent="0.3"/>
    <row r="10746" ht="14.4" customHeight="1" x14ac:dyDescent="0.3"/>
    <row r="10747" ht="14.4" customHeight="1" x14ac:dyDescent="0.3"/>
    <row r="10748" ht="14.4" customHeight="1" x14ac:dyDescent="0.3"/>
    <row r="10749" ht="14.4" customHeight="1" x14ac:dyDescent="0.3"/>
    <row r="10750" ht="14.4" customHeight="1" x14ac:dyDescent="0.3"/>
    <row r="10751" ht="14.4" customHeight="1" x14ac:dyDescent="0.3"/>
    <row r="10752" ht="14.4" customHeight="1" x14ac:dyDescent="0.3"/>
    <row r="10753" ht="14.4" customHeight="1" x14ac:dyDescent="0.3"/>
    <row r="10754" ht="14.4" customHeight="1" x14ac:dyDescent="0.3"/>
    <row r="10755" ht="14.4" customHeight="1" x14ac:dyDescent="0.3"/>
    <row r="10756" ht="14.4" customHeight="1" x14ac:dyDescent="0.3"/>
    <row r="10757" ht="14.4" customHeight="1" x14ac:dyDescent="0.3"/>
    <row r="10758" ht="14.4" customHeight="1" x14ac:dyDescent="0.3"/>
    <row r="10759" ht="14.4" customHeight="1" x14ac:dyDescent="0.3"/>
    <row r="10760" ht="14.4" customHeight="1" x14ac:dyDescent="0.3"/>
    <row r="10761" ht="14.4" customHeight="1" x14ac:dyDescent="0.3"/>
    <row r="10762" ht="14.4" customHeight="1" x14ac:dyDescent="0.3"/>
    <row r="10763" ht="14.4" customHeight="1" x14ac:dyDescent="0.3"/>
    <row r="10764" ht="14.4" customHeight="1" x14ac:dyDescent="0.3"/>
    <row r="10765" ht="14.4" customHeight="1" x14ac:dyDescent="0.3"/>
    <row r="10766" ht="14.4" customHeight="1" x14ac:dyDescent="0.3"/>
    <row r="10767" ht="14.4" customHeight="1" x14ac:dyDescent="0.3"/>
    <row r="10768" ht="14.4" customHeight="1" x14ac:dyDescent="0.3"/>
    <row r="10769" ht="14.4" customHeight="1" x14ac:dyDescent="0.3"/>
    <row r="10770" ht="14.4" customHeight="1" x14ac:dyDescent="0.3"/>
    <row r="10771" ht="14.4" customHeight="1" x14ac:dyDescent="0.3"/>
    <row r="10772" ht="14.4" customHeight="1" x14ac:dyDescent="0.3"/>
    <row r="10773" ht="14.4" customHeight="1" x14ac:dyDescent="0.3"/>
    <row r="10774" ht="14.4" customHeight="1" x14ac:dyDescent="0.3"/>
    <row r="10775" ht="14.4" customHeight="1" x14ac:dyDescent="0.3"/>
    <row r="10776" ht="14.4" customHeight="1" x14ac:dyDescent="0.3"/>
    <row r="10777" ht="14.4" customHeight="1" x14ac:dyDescent="0.3"/>
    <row r="10778" ht="14.4" customHeight="1" x14ac:dyDescent="0.3"/>
    <row r="10779" ht="14.4" customHeight="1" x14ac:dyDescent="0.3"/>
    <row r="10780" ht="14.4" customHeight="1" x14ac:dyDescent="0.3"/>
    <row r="10781" ht="14.4" customHeight="1" x14ac:dyDescent="0.3"/>
    <row r="10782" ht="14.4" customHeight="1" x14ac:dyDescent="0.3"/>
    <row r="10783" ht="14.4" customHeight="1" x14ac:dyDescent="0.3"/>
    <row r="10784" ht="14.4" customHeight="1" x14ac:dyDescent="0.3"/>
    <row r="10785" ht="14.4" customHeight="1" x14ac:dyDescent="0.3"/>
    <row r="10786" ht="14.4" customHeight="1" x14ac:dyDescent="0.3"/>
    <row r="10787" ht="14.4" customHeight="1" x14ac:dyDescent="0.3"/>
    <row r="10788" ht="14.4" customHeight="1" x14ac:dyDescent="0.3"/>
    <row r="10789" ht="14.4" customHeight="1" x14ac:dyDescent="0.3"/>
    <row r="10790" ht="14.4" customHeight="1" x14ac:dyDescent="0.3"/>
    <row r="10791" ht="14.4" customHeight="1" x14ac:dyDescent="0.3"/>
    <row r="10792" ht="14.4" customHeight="1" x14ac:dyDescent="0.3"/>
    <row r="10793" ht="14.4" customHeight="1" x14ac:dyDescent="0.3"/>
    <row r="10794" ht="14.4" customHeight="1" x14ac:dyDescent="0.3"/>
    <row r="10795" ht="14.4" customHeight="1" x14ac:dyDescent="0.3"/>
    <row r="10796" ht="14.4" customHeight="1" x14ac:dyDescent="0.3"/>
    <row r="10797" ht="14.4" customHeight="1" x14ac:dyDescent="0.3"/>
    <row r="10798" ht="14.4" customHeight="1" x14ac:dyDescent="0.3"/>
    <row r="10799" ht="14.4" customHeight="1" x14ac:dyDescent="0.3"/>
    <row r="10800" ht="14.4" customHeight="1" x14ac:dyDescent="0.3"/>
    <row r="10801" ht="14.4" customHeight="1" x14ac:dyDescent="0.3"/>
    <row r="10802" ht="14.4" customHeight="1" x14ac:dyDescent="0.3"/>
    <row r="10803" ht="14.4" customHeight="1" x14ac:dyDescent="0.3"/>
    <row r="10804" ht="14.4" customHeight="1" x14ac:dyDescent="0.3"/>
    <row r="10805" ht="14.4" customHeight="1" x14ac:dyDescent="0.3"/>
    <row r="10806" ht="14.4" customHeight="1" x14ac:dyDescent="0.3"/>
    <row r="10807" ht="14.4" customHeight="1" x14ac:dyDescent="0.3"/>
    <row r="10808" ht="14.4" customHeight="1" x14ac:dyDescent="0.3"/>
    <row r="10809" ht="14.4" customHeight="1" x14ac:dyDescent="0.3"/>
    <row r="10810" ht="14.4" customHeight="1" x14ac:dyDescent="0.3"/>
    <row r="10811" ht="14.4" customHeight="1" x14ac:dyDescent="0.3"/>
    <row r="10812" ht="14.4" customHeight="1" x14ac:dyDescent="0.3"/>
    <row r="10813" ht="14.4" customHeight="1" x14ac:dyDescent="0.3"/>
    <row r="10814" ht="14.4" customHeight="1" x14ac:dyDescent="0.3"/>
    <row r="10815" ht="14.4" customHeight="1" x14ac:dyDescent="0.3"/>
    <row r="10816" ht="14.4" customHeight="1" x14ac:dyDescent="0.3"/>
    <row r="10817" ht="14.4" customHeight="1" x14ac:dyDescent="0.3"/>
    <row r="10818" ht="14.4" customHeight="1" x14ac:dyDescent="0.3"/>
    <row r="10819" ht="14.4" customHeight="1" x14ac:dyDescent="0.3"/>
    <row r="10820" ht="14.4" customHeight="1" x14ac:dyDescent="0.3"/>
    <row r="10821" ht="14.4" customHeight="1" x14ac:dyDescent="0.3"/>
    <row r="10822" ht="14.4" customHeight="1" x14ac:dyDescent="0.3"/>
    <row r="10823" ht="14.4" customHeight="1" x14ac:dyDescent="0.3"/>
    <row r="10824" ht="14.4" customHeight="1" x14ac:dyDescent="0.3"/>
    <row r="10825" ht="14.4" customHeight="1" x14ac:dyDescent="0.3"/>
    <row r="10826" ht="14.4" customHeight="1" x14ac:dyDescent="0.3"/>
    <row r="10827" ht="14.4" customHeight="1" x14ac:dyDescent="0.3"/>
    <row r="10828" ht="14.4" customHeight="1" x14ac:dyDescent="0.3"/>
    <row r="10829" ht="14.4" customHeight="1" x14ac:dyDescent="0.3"/>
    <row r="10830" ht="14.4" customHeight="1" x14ac:dyDescent="0.3"/>
    <row r="10831" ht="14.4" customHeight="1" x14ac:dyDescent="0.3"/>
    <row r="10832" ht="14.4" customHeight="1" x14ac:dyDescent="0.3"/>
    <row r="10833" ht="14.4" customHeight="1" x14ac:dyDescent="0.3"/>
    <row r="10834" ht="14.4" customHeight="1" x14ac:dyDescent="0.3"/>
    <row r="10835" ht="14.4" customHeight="1" x14ac:dyDescent="0.3"/>
    <row r="10836" ht="14.4" customHeight="1" x14ac:dyDescent="0.3"/>
    <row r="10837" ht="14.4" customHeight="1" x14ac:dyDescent="0.3"/>
    <row r="10838" ht="14.4" customHeight="1" x14ac:dyDescent="0.3"/>
    <row r="10839" ht="14.4" customHeight="1" x14ac:dyDescent="0.3"/>
    <row r="10840" ht="14.4" customHeight="1" x14ac:dyDescent="0.3"/>
    <row r="10841" ht="14.4" customHeight="1" x14ac:dyDescent="0.3"/>
    <row r="10842" ht="14.4" customHeight="1" x14ac:dyDescent="0.3"/>
    <row r="10843" ht="14.4" customHeight="1" x14ac:dyDescent="0.3"/>
    <row r="10844" ht="14.4" customHeight="1" x14ac:dyDescent="0.3"/>
    <row r="10845" ht="14.4" customHeight="1" x14ac:dyDescent="0.3"/>
    <row r="10846" ht="14.4" customHeight="1" x14ac:dyDescent="0.3"/>
    <row r="10847" ht="14.4" customHeight="1" x14ac:dyDescent="0.3"/>
    <row r="10848" ht="14.4" customHeight="1" x14ac:dyDescent="0.3"/>
    <row r="10849" ht="14.4" customHeight="1" x14ac:dyDescent="0.3"/>
    <row r="10850" ht="14.4" customHeight="1" x14ac:dyDescent="0.3"/>
    <row r="10851" ht="14.4" customHeight="1" x14ac:dyDescent="0.3"/>
    <row r="10852" ht="14.4" customHeight="1" x14ac:dyDescent="0.3"/>
    <row r="10853" ht="14.4" customHeight="1" x14ac:dyDescent="0.3"/>
    <row r="10854" ht="14.4" customHeight="1" x14ac:dyDescent="0.3"/>
    <row r="10855" ht="14.4" customHeight="1" x14ac:dyDescent="0.3"/>
    <row r="10856" ht="14.4" customHeight="1" x14ac:dyDescent="0.3"/>
    <row r="10857" ht="14.4" customHeight="1" x14ac:dyDescent="0.3"/>
    <row r="10858" ht="14.4" customHeight="1" x14ac:dyDescent="0.3"/>
    <row r="10859" ht="14.4" customHeight="1" x14ac:dyDescent="0.3"/>
    <row r="10860" ht="14.4" customHeight="1" x14ac:dyDescent="0.3"/>
    <row r="10861" ht="14.4" customHeight="1" x14ac:dyDescent="0.3"/>
    <row r="10862" ht="14.4" customHeight="1" x14ac:dyDescent="0.3"/>
    <row r="10863" ht="14.4" customHeight="1" x14ac:dyDescent="0.3"/>
    <row r="10864" ht="14.4" customHeight="1" x14ac:dyDescent="0.3"/>
    <row r="10865" ht="14.4" customHeight="1" x14ac:dyDescent="0.3"/>
    <row r="10866" ht="14.4" customHeight="1" x14ac:dyDescent="0.3"/>
    <row r="10867" ht="14.4" customHeight="1" x14ac:dyDescent="0.3"/>
    <row r="10868" ht="14.4" customHeight="1" x14ac:dyDescent="0.3"/>
    <row r="10869" ht="14.4" customHeight="1" x14ac:dyDescent="0.3"/>
    <row r="10870" ht="14.4" customHeight="1" x14ac:dyDescent="0.3"/>
    <row r="10871" ht="14.4" customHeight="1" x14ac:dyDescent="0.3"/>
    <row r="10872" ht="14.4" customHeight="1" x14ac:dyDescent="0.3"/>
    <row r="10873" ht="14.4" customHeight="1" x14ac:dyDescent="0.3"/>
    <row r="10874" ht="14.4" customHeight="1" x14ac:dyDescent="0.3"/>
    <row r="10875" ht="14.4" customHeight="1" x14ac:dyDescent="0.3"/>
    <row r="10876" ht="14.4" customHeight="1" x14ac:dyDescent="0.3"/>
    <row r="10877" ht="14.4" customHeight="1" x14ac:dyDescent="0.3"/>
    <row r="10878" ht="14.4" customHeight="1" x14ac:dyDescent="0.3"/>
    <row r="10879" ht="14.4" customHeight="1" x14ac:dyDescent="0.3"/>
    <row r="10880" ht="14.4" customHeight="1" x14ac:dyDescent="0.3"/>
    <row r="10881" ht="14.4" customHeight="1" x14ac:dyDescent="0.3"/>
    <row r="10882" ht="14.4" customHeight="1" x14ac:dyDescent="0.3"/>
    <row r="10883" ht="14.4" customHeight="1" x14ac:dyDescent="0.3"/>
    <row r="10884" ht="14.4" customHeight="1" x14ac:dyDescent="0.3"/>
    <row r="10885" ht="14.4" customHeight="1" x14ac:dyDescent="0.3"/>
    <row r="10886" ht="14.4" customHeight="1" x14ac:dyDescent="0.3"/>
    <row r="10887" ht="14.4" customHeight="1" x14ac:dyDescent="0.3"/>
    <row r="10888" ht="14.4" customHeight="1" x14ac:dyDescent="0.3"/>
    <row r="10889" ht="14.4" customHeight="1" x14ac:dyDescent="0.3"/>
    <row r="10890" ht="14.4" customHeight="1" x14ac:dyDescent="0.3"/>
    <row r="10891" ht="14.4" customHeight="1" x14ac:dyDescent="0.3"/>
    <row r="10892" ht="14.4" customHeight="1" x14ac:dyDescent="0.3"/>
    <row r="10893" ht="14.4" customHeight="1" x14ac:dyDescent="0.3"/>
    <row r="10894" ht="14.4" customHeight="1" x14ac:dyDescent="0.3"/>
    <row r="10895" ht="14.4" customHeight="1" x14ac:dyDescent="0.3"/>
    <row r="10896" ht="14.4" customHeight="1" x14ac:dyDescent="0.3"/>
    <row r="10897" ht="14.4" customHeight="1" x14ac:dyDescent="0.3"/>
    <row r="10898" ht="14.4" customHeight="1" x14ac:dyDescent="0.3"/>
    <row r="10899" ht="14.4" customHeight="1" x14ac:dyDescent="0.3"/>
    <row r="10900" ht="14.4" customHeight="1" x14ac:dyDescent="0.3"/>
    <row r="10901" ht="14.4" customHeight="1" x14ac:dyDescent="0.3"/>
    <row r="10902" ht="14.4" customHeight="1" x14ac:dyDescent="0.3"/>
    <row r="10903" ht="14.4" customHeight="1" x14ac:dyDescent="0.3"/>
    <row r="10904" ht="14.4" customHeight="1" x14ac:dyDescent="0.3"/>
    <row r="10905" ht="14.4" customHeight="1" x14ac:dyDescent="0.3"/>
    <row r="10906" ht="14.4" customHeight="1" x14ac:dyDescent="0.3"/>
    <row r="10907" ht="14.4" customHeight="1" x14ac:dyDescent="0.3"/>
    <row r="10908" ht="14.4" customHeight="1" x14ac:dyDescent="0.3"/>
    <row r="10909" ht="14.4" customHeight="1" x14ac:dyDescent="0.3"/>
    <row r="10910" ht="14.4" customHeight="1" x14ac:dyDescent="0.3"/>
    <row r="10911" ht="14.4" customHeight="1" x14ac:dyDescent="0.3"/>
    <row r="10912" ht="14.4" customHeight="1" x14ac:dyDescent="0.3"/>
    <row r="10913" ht="14.4" customHeight="1" x14ac:dyDescent="0.3"/>
    <row r="10914" ht="14.4" customHeight="1" x14ac:dyDescent="0.3"/>
    <row r="10915" ht="14.4" customHeight="1" x14ac:dyDescent="0.3"/>
    <row r="10916" ht="14.4" customHeight="1" x14ac:dyDescent="0.3"/>
    <row r="10917" ht="14.4" customHeight="1" x14ac:dyDescent="0.3"/>
    <row r="10918" ht="14.4" customHeight="1" x14ac:dyDescent="0.3"/>
    <row r="10919" ht="14.4" customHeight="1" x14ac:dyDescent="0.3"/>
    <row r="10920" ht="14.4" customHeight="1" x14ac:dyDescent="0.3"/>
    <row r="10921" ht="14.4" customHeight="1" x14ac:dyDescent="0.3"/>
    <row r="10922" ht="14.4" customHeight="1" x14ac:dyDescent="0.3"/>
    <row r="10923" ht="14.4" customHeight="1" x14ac:dyDescent="0.3"/>
    <row r="10924" ht="14.4" customHeight="1" x14ac:dyDescent="0.3"/>
    <row r="10925" ht="14.4" customHeight="1" x14ac:dyDescent="0.3"/>
    <row r="10926" ht="14.4" customHeight="1" x14ac:dyDescent="0.3"/>
    <row r="10927" ht="14.4" customHeight="1" x14ac:dyDescent="0.3"/>
    <row r="10928" ht="14.4" customHeight="1" x14ac:dyDescent="0.3"/>
    <row r="10929" ht="14.4" customHeight="1" x14ac:dyDescent="0.3"/>
    <row r="10930" ht="14.4" customHeight="1" x14ac:dyDescent="0.3"/>
    <row r="10931" ht="14.4" customHeight="1" x14ac:dyDescent="0.3"/>
    <row r="10932" ht="14.4" customHeight="1" x14ac:dyDescent="0.3"/>
    <row r="10933" ht="14.4" customHeight="1" x14ac:dyDescent="0.3"/>
    <row r="10934" ht="14.4" customHeight="1" x14ac:dyDescent="0.3"/>
    <row r="10935" ht="14.4" customHeight="1" x14ac:dyDescent="0.3"/>
    <row r="10936" ht="14.4" customHeight="1" x14ac:dyDescent="0.3"/>
    <row r="10937" ht="14.4" customHeight="1" x14ac:dyDescent="0.3"/>
    <row r="10938" ht="14.4" customHeight="1" x14ac:dyDescent="0.3"/>
    <row r="10939" ht="14.4" customHeight="1" x14ac:dyDescent="0.3"/>
    <row r="10940" ht="14.4" customHeight="1" x14ac:dyDescent="0.3"/>
    <row r="10941" ht="14.4" customHeight="1" x14ac:dyDescent="0.3"/>
    <row r="10942" ht="14.4" customHeight="1" x14ac:dyDescent="0.3"/>
    <row r="10943" ht="14.4" customHeight="1" x14ac:dyDescent="0.3"/>
    <row r="10944" ht="14.4" customHeight="1" x14ac:dyDescent="0.3"/>
    <row r="10945" ht="14.4" customHeight="1" x14ac:dyDescent="0.3"/>
    <row r="10946" ht="14.4" customHeight="1" x14ac:dyDescent="0.3"/>
    <row r="10947" ht="14.4" customHeight="1" x14ac:dyDescent="0.3"/>
    <row r="10948" ht="14.4" customHeight="1" x14ac:dyDescent="0.3"/>
    <row r="10949" ht="14.4" customHeight="1" x14ac:dyDescent="0.3"/>
    <row r="10950" ht="14.4" customHeight="1" x14ac:dyDescent="0.3"/>
    <row r="10951" ht="14.4" customHeight="1" x14ac:dyDescent="0.3"/>
    <row r="10952" ht="14.4" customHeight="1" x14ac:dyDescent="0.3"/>
    <row r="10953" ht="14.4" customHeight="1" x14ac:dyDescent="0.3"/>
    <row r="10954" ht="14.4" customHeight="1" x14ac:dyDescent="0.3"/>
    <row r="10955" ht="14.4" customHeight="1" x14ac:dyDescent="0.3"/>
    <row r="10956" ht="14.4" customHeight="1" x14ac:dyDescent="0.3"/>
    <row r="10957" ht="14.4" customHeight="1" x14ac:dyDescent="0.3"/>
    <row r="10958" ht="14.4" customHeight="1" x14ac:dyDescent="0.3"/>
    <row r="10959" ht="14.4" customHeight="1" x14ac:dyDescent="0.3"/>
    <row r="10960" ht="14.4" customHeight="1" x14ac:dyDescent="0.3"/>
    <row r="10961" ht="14.4" customHeight="1" x14ac:dyDescent="0.3"/>
    <row r="10962" ht="14.4" customHeight="1" x14ac:dyDescent="0.3"/>
    <row r="10963" ht="14.4" customHeight="1" x14ac:dyDescent="0.3"/>
    <row r="10964" ht="14.4" customHeight="1" x14ac:dyDescent="0.3"/>
    <row r="10965" ht="14.4" customHeight="1" x14ac:dyDescent="0.3"/>
    <row r="10966" ht="14.4" customHeight="1" x14ac:dyDescent="0.3"/>
    <row r="10967" ht="14.4" customHeight="1" x14ac:dyDescent="0.3"/>
    <row r="10968" ht="14.4" customHeight="1" x14ac:dyDescent="0.3"/>
    <row r="10969" ht="14.4" customHeight="1" x14ac:dyDescent="0.3"/>
    <row r="10970" ht="14.4" customHeight="1" x14ac:dyDescent="0.3"/>
    <row r="10971" ht="14.4" customHeight="1" x14ac:dyDescent="0.3"/>
    <row r="10972" ht="14.4" customHeight="1" x14ac:dyDescent="0.3"/>
    <row r="10973" ht="14.4" customHeight="1" x14ac:dyDescent="0.3"/>
    <row r="10974" ht="14.4" customHeight="1" x14ac:dyDescent="0.3"/>
    <row r="10975" ht="14.4" customHeight="1" x14ac:dyDescent="0.3"/>
    <row r="10976" ht="14.4" customHeight="1" x14ac:dyDescent="0.3"/>
    <row r="10977" ht="14.4" customHeight="1" x14ac:dyDescent="0.3"/>
    <row r="10978" ht="14.4" customHeight="1" x14ac:dyDescent="0.3"/>
    <row r="10979" ht="14.4" customHeight="1" x14ac:dyDescent="0.3"/>
    <row r="10980" ht="14.4" customHeight="1" x14ac:dyDescent="0.3"/>
    <row r="10981" ht="14.4" customHeight="1" x14ac:dyDescent="0.3"/>
    <row r="10982" ht="14.4" customHeight="1" x14ac:dyDescent="0.3"/>
    <row r="10983" ht="14.4" customHeight="1" x14ac:dyDescent="0.3"/>
    <row r="10984" ht="14.4" customHeight="1" x14ac:dyDescent="0.3"/>
    <row r="10985" ht="14.4" customHeight="1" x14ac:dyDescent="0.3"/>
    <row r="10986" ht="14.4" customHeight="1" x14ac:dyDescent="0.3"/>
    <row r="10987" ht="14.4" customHeight="1" x14ac:dyDescent="0.3"/>
    <row r="10988" ht="14.4" customHeight="1" x14ac:dyDescent="0.3"/>
    <row r="10989" ht="14.4" customHeight="1" x14ac:dyDescent="0.3"/>
    <row r="10990" ht="14.4" customHeight="1" x14ac:dyDescent="0.3"/>
    <row r="10991" ht="14.4" customHeight="1" x14ac:dyDescent="0.3"/>
    <row r="10992" ht="14.4" customHeight="1" x14ac:dyDescent="0.3"/>
    <row r="10993" ht="14.4" customHeight="1" x14ac:dyDescent="0.3"/>
    <row r="10994" ht="14.4" customHeight="1" x14ac:dyDescent="0.3"/>
    <row r="10995" ht="14.4" customHeight="1" x14ac:dyDescent="0.3"/>
    <row r="10996" ht="14.4" customHeight="1" x14ac:dyDescent="0.3"/>
    <row r="10997" ht="14.4" customHeight="1" x14ac:dyDescent="0.3"/>
    <row r="10998" ht="14.4" customHeight="1" x14ac:dyDescent="0.3"/>
    <row r="10999" ht="14.4" customHeight="1" x14ac:dyDescent="0.3"/>
    <row r="11000" ht="14.4" customHeight="1" x14ac:dyDescent="0.3"/>
    <row r="11001" ht="14.4" customHeight="1" x14ac:dyDescent="0.3"/>
    <row r="11002" ht="14.4" customHeight="1" x14ac:dyDescent="0.3"/>
    <row r="11003" ht="14.4" customHeight="1" x14ac:dyDescent="0.3"/>
    <row r="11004" ht="14.4" customHeight="1" x14ac:dyDescent="0.3"/>
    <row r="11005" ht="14.4" customHeight="1" x14ac:dyDescent="0.3"/>
    <row r="11006" ht="14.4" customHeight="1" x14ac:dyDescent="0.3"/>
    <row r="11007" ht="14.4" customHeight="1" x14ac:dyDescent="0.3"/>
    <row r="11008" ht="14.4" customHeight="1" x14ac:dyDescent="0.3"/>
    <row r="11009" ht="14.4" customHeight="1" x14ac:dyDescent="0.3"/>
    <row r="11010" ht="14.4" customHeight="1" x14ac:dyDescent="0.3"/>
    <row r="11011" ht="14.4" customHeight="1" x14ac:dyDescent="0.3"/>
    <row r="11012" ht="14.4" customHeight="1" x14ac:dyDescent="0.3"/>
    <row r="11013" ht="14.4" customHeight="1" x14ac:dyDescent="0.3"/>
    <row r="11014" ht="14.4" customHeight="1" x14ac:dyDescent="0.3"/>
    <row r="11015" ht="14.4" customHeight="1" x14ac:dyDescent="0.3"/>
    <row r="11016" ht="14.4" customHeight="1" x14ac:dyDescent="0.3"/>
    <row r="11017" ht="14.4" customHeight="1" x14ac:dyDescent="0.3"/>
    <row r="11018" ht="14.4" customHeight="1" x14ac:dyDescent="0.3"/>
    <row r="11019" ht="14.4" customHeight="1" x14ac:dyDescent="0.3"/>
    <row r="11020" ht="14.4" customHeight="1" x14ac:dyDescent="0.3"/>
    <row r="11021" ht="14.4" customHeight="1" x14ac:dyDescent="0.3"/>
    <row r="11022" ht="14.4" customHeight="1" x14ac:dyDescent="0.3"/>
    <row r="11023" ht="14.4" customHeight="1" x14ac:dyDescent="0.3"/>
    <row r="11024" ht="14.4" customHeight="1" x14ac:dyDescent="0.3"/>
    <row r="11025" ht="14.4" customHeight="1" x14ac:dyDescent="0.3"/>
    <row r="11026" ht="14.4" customHeight="1" x14ac:dyDescent="0.3"/>
    <row r="11027" ht="14.4" customHeight="1" x14ac:dyDescent="0.3"/>
    <row r="11028" ht="14.4" customHeight="1" x14ac:dyDescent="0.3"/>
    <row r="11029" ht="14.4" customHeight="1" x14ac:dyDescent="0.3"/>
    <row r="11030" ht="14.4" customHeight="1" x14ac:dyDescent="0.3"/>
    <row r="11031" ht="14.4" customHeight="1" x14ac:dyDescent="0.3"/>
    <row r="11032" ht="14.4" customHeight="1" x14ac:dyDescent="0.3"/>
    <row r="11033" ht="14.4" customHeight="1" x14ac:dyDescent="0.3"/>
    <row r="11034" ht="14.4" customHeight="1" x14ac:dyDescent="0.3"/>
    <row r="11035" ht="14.4" customHeight="1" x14ac:dyDescent="0.3"/>
    <row r="11036" ht="14.4" customHeight="1" x14ac:dyDescent="0.3"/>
    <row r="11037" ht="14.4" customHeight="1" x14ac:dyDescent="0.3"/>
    <row r="11038" ht="14.4" customHeight="1" x14ac:dyDescent="0.3"/>
    <row r="11039" ht="14.4" customHeight="1" x14ac:dyDescent="0.3"/>
    <row r="11040" ht="14.4" customHeight="1" x14ac:dyDescent="0.3"/>
    <row r="11041" ht="14.4" customHeight="1" x14ac:dyDescent="0.3"/>
    <row r="11042" ht="14.4" customHeight="1" x14ac:dyDescent="0.3"/>
    <row r="11043" ht="14.4" customHeight="1" x14ac:dyDescent="0.3"/>
    <row r="11044" ht="14.4" customHeight="1" x14ac:dyDescent="0.3"/>
    <row r="11045" ht="14.4" customHeight="1" x14ac:dyDescent="0.3"/>
    <row r="11046" ht="14.4" customHeight="1" x14ac:dyDescent="0.3"/>
    <row r="11047" ht="14.4" customHeight="1" x14ac:dyDescent="0.3"/>
    <row r="11048" ht="14.4" customHeight="1" x14ac:dyDescent="0.3"/>
    <row r="11049" ht="14.4" customHeight="1" x14ac:dyDescent="0.3"/>
    <row r="11050" ht="14.4" customHeight="1" x14ac:dyDescent="0.3"/>
    <row r="11051" ht="14.4" customHeight="1" x14ac:dyDescent="0.3"/>
    <row r="11052" ht="14.4" customHeight="1" x14ac:dyDescent="0.3"/>
    <row r="11053" ht="14.4" customHeight="1" x14ac:dyDescent="0.3"/>
    <row r="11054" ht="14.4" customHeight="1" x14ac:dyDescent="0.3"/>
    <row r="11055" ht="14.4" customHeight="1" x14ac:dyDescent="0.3"/>
    <row r="11056" ht="14.4" customHeight="1" x14ac:dyDescent="0.3"/>
    <row r="11057" ht="14.4" customHeight="1" x14ac:dyDescent="0.3"/>
    <row r="11058" ht="14.4" customHeight="1" x14ac:dyDescent="0.3"/>
    <row r="11059" ht="14.4" customHeight="1" x14ac:dyDescent="0.3"/>
    <row r="11060" ht="14.4" customHeight="1" x14ac:dyDescent="0.3"/>
    <row r="11061" ht="14.4" customHeight="1" x14ac:dyDescent="0.3"/>
    <row r="11062" ht="14.4" customHeight="1" x14ac:dyDescent="0.3"/>
    <row r="11063" ht="14.4" customHeight="1" x14ac:dyDescent="0.3"/>
    <row r="11064" ht="14.4" customHeight="1" x14ac:dyDescent="0.3"/>
    <row r="11065" ht="14.4" customHeight="1" x14ac:dyDescent="0.3"/>
    <row r="11066" ht="14.4" customHeight="1" x14ac:dyDescent="0.3"/>
    <row r="11067" ht="14.4" customHeight="1" x14ac:dyDescent="0.3"/>
    <row r="11068" ht="14.4" customHeight="1" x14ac:dyDescent="0.3"/>
    <row r="11069" ht="14.4" customHeight="1" x14ac:dyDescent="0.3"/>
    <row r="11070" ht="14.4" customHeight="1" x14ac:dyDescent="0.3"/>
    <row r="11071" ht="14.4" customHeight="1" x14ac:dyDescent="0.3"/>
    <row r="11072" ht="14.4" customHeight="1" x14ac:dyDescent="0.3"/>
    <row r="11073" ht="14.4" customHeight="1" x14ac:dyDescent="0.3"/>
    <row r="11074" ht="14.4" customHeight="1" x14ac:dyDescent="0.3"/>
    <row r="11075" ht="14.4" customHeight="1" x14ac:dyDescent="0.3"/>
    <row r="11076" ht="14.4" customHeight="1" x14ac:dyDescent="0.3"/>
    <row r="11077" ht="14.4" customHeight="1" x14ac:dyDescent="0.3"/>
    <row r="11078" ht="14.4" customHeight="1" x14ac:dyDescent="0.3"/>
    <row r="11079" ht="14.4" customHeight="1" x14ac:dyDescent="0.3"/>
    <row r="11080" ht="14.4" customHeight="1" x14ac:dyDescent="0.3"/>
    <row r="11081" ht="14.4" customHeight="1" x14ac:dyDescent="0.3"/>
    <row r="11082" ht="14.4" customHeight="1" x14ac:dyDescent="0.3"/>
    <row r="11083" ht="14.4" customHeight="1" x14ac:dyDescent="0.3"/>
    <row r="11084" ht="14.4" customHeight="1" x14ac:dyDescent="0.3"/>
    <row r="11085" ht="14.4" customHeight="1" x14ac:dyDescent="0.3"/>
    <row r="11086" ht="14.4" customHeight="1" x14ac:dyDescent="0.3"/>
    <row r="11087" ht="14.4" customHeight="1" x14ac:dyDescent="0.3"/>
    <row r="11088" ht="14.4" customHeight="1" x14ac:dyDescent="0.3"/>
    <row r="11089" ht="14.4" customHeight="1" x14ac:dyDescent="0.3"/>
    <row r="11090" ht="14.4" customHeight="1" x14ac:dyDescent="0.3"/>
    <row r="11091" ht="14.4" customHeight="1" x14ac:dyDescent="0.3"/>
    <row r="11092" ht="14.4" customHeight="1" x14ac:dyDescent="0.3"/>
    <row r="11093" ht="14.4" customHeight="1" x14ac:dyDescent="0.3"/>
    <row r="11094" ht="14.4" customHeight="1" x14ac:dyDescent="0.3"/>
    <row r="11095" ht="14.4" customHeight="1" x14ac:dyDescent="0.3"/>
    <row r="11096" ht="14.4" customHeight="1" x14ac:dyDescent="0.3"/>
    <row r="11097" ht="14.4" customHeight="1" x14ac:dyDescent="0.3"/>
    <row r="11098" ht="14.4" customHeight="1" x14ac:dyDescent="0.3"/>
    <row r="11099" ht="14.4" customHeight="1" x14ac:dyDescent="0.3"/>
    <row r="11100" ht="14.4" customHeight="1" x14ac:dyDescent="0.3"/>
    <row r="11101" ht="14.4" customHeight="1" x14ac:dyDescent="0.3"/>
    <row r="11102" ht="14.4" customHeight="1" x14ac:dyDescent="0.3"/>
    <row r="11103" ht="14.4" customHeight="1" x14ac:dyDescent="0.3"/>
    <row r="11104" ht="14.4" customHeight="1" x14ac:dyDescent="0.3"/>
    <row r="11105" ht="14.4" customHeight="1" x14ac:dyDescent="0.3"/>
    <row r="11106" ht="14.4" customHeight="1" x14ac:dyDescent="0.3"/>
    <row r="11107" ht="14.4" customHeight="1" x14ac:dyDescent="0.3"/>
    <row r="11108" ht="14.4" customHeight="1" x14ac:dyDescent="0.3"/>
    <row r="11109" ht="14.4" customHeight="1" x14ac:dyDescent="0.3"/>
    <row r="11110" ht="14.4" customHeight="1" x14ac:dyDescent="0.3"/>
    <row r="11111" ht="14.4" customHeight="1" x14ac:dyDescent="0.3"/>
    <row r="11112" ht="14.4" customHeight="1" x14ac:dyDescent="0.3"/>
    <row r="11113" ht="14.4" customHeight="1" x14ac:dyDescent="0.3"/>
    <row r="11114" ht="14.4" customHeight="1" x14ac:dyDescent="0.3"/>
    <row r="11115" ht="14.4" customHeight="1" x14ac:dyDescent="0.3"/>
    <row r="11116" ht="14.4" customHeight="1" x14ac:dyDescent="0.3"/>
    <row r="11117" ht="14.4" customHeight="1" x14ac:dyDescent="0.3"/>
    <row r="11118" ht="14.4" customHeight="1" x14ac:dyDescent="0.3"/>
    <row r="11119" ht="14.4" customHeight="1" x14ac:dyDescent="0.3"/>
    <row r="11120" ht="14.4" customHeight="1" x14ac:dyDescent="0.3"/>
    <row r="11121" ht="14.4" customHeight="1" x14ac:dyDescent="0.3"/>
    <row r="11122" ht="14.4" customHeight="1" x14ac:dyDescent="0.3"/>
    <row r="11123" ht="14.4" customHeight="1" x14ac:dyDescent="0.3"/>
    <row r="11124" ht="14.4" customHeight="1" x14ac:dyDescent="0.3"/>
    <row r="11125" ht="14.4" customHeight="1" x14ac:dyDescent="0.3"/>
    <row r="11126" ht="14.4" customHeight="1" x14ac:dyDescent="0.3"/>
    <row r="11127" ht="14.4" customHeight="1" x14ac:dyDescent="0.3"/>
    <row r="11128" ht="14.4" customHeight="1" x14ac:dyDescent="0.3"/>
    <row r="11129" ht="14.4" customHeight="1" x14ac:dyDescent="0.3"/>
    <row r="11130" ht="14.4" customHeight="1" x14ac:dyDescent="0.3"/>
    <row r="11131" ht="14.4" customHeight="1" x14ac:dyDescent="0.3"/>
    <row r="11132" ht="14.4" customHeight="1" x14ac:dyDescent="0.3"/>
    <row r="11133" ht="14.4" customHeight="1" x14ac:dyDescent="0.3"/>
    <row r="11134" ht="14.4" customHeight="1" x14ac:dyDescent="0.3"/>
    <row r="11135" ht="14.4" customHeight="1" x14ac:dyDescent="0.3"/>
    <row r="11136" ht="14.4" customHeight="1" x14ac:dyDescent="0.3"/>
    <row r="11137" ht="14.4" customHeight="1" x14ac:dyDescent="0.3"/>
    <row r="11138" ht="14.4" customHeight="1" x14ac:dyDescent="0.3"/>
    <row r="11139" ht="14.4" customHeight="1" x14ac:dyDescent="0.3"/>
    <row r="11140" ht="14.4" customHeight="1" x14ac:dyDescent="0.3"/>
    <row r="11141" ht="14.4" customHeight="1" x14ac:dyDescent="0.3"/>
    <row r="11142" ht="14.4" customHeight="1" x14ac:dyDescent="0.3"/>
    <row r="11143" ht="14.4" customHeight="1" x14ac:dyDescent="0.3"/>
    <row r="11144" ht="14.4" customHeight="1" x14ac:dyDescent="0.3"/>
    <row r="11145" ht="14.4" customHeight="1" x14ac:dyDescent="0.3"/>
    <row r="11146" ht="14.4" customHeight="1" x14ac:dyDescent="0.3"/>
    <row r="11147" ht="14.4" customHeight="1" x14ac:dyDescent="0.3"/>
    <row r="11148" ht="14.4" customHeight="1" x14ac:dyDescent="0.3"/>
    <row r="11149" ht="14.4" customHeight="1" x14ac:dyDescent="0.3"/>
    <row r="11150" ht="14.4" customHeight="1" x14ac:dyDescent="0.3"/>
    <row r="11151" ht="14.4" customHeight="1" x14ac:dyDescent="0.3"/>
    <row r="11152" ht="14.4" customHeight="1" x14ac:dyDescent="0.3"/>
    <row r="11153" ht="14.4" customHeight="1" x14ac:dyDescent="0.3"/>
    <row r="11154" ht="14.4" customHeight="1" x14ac:dyDescent="0.3"/>
    <row r="11155" ht="14.4" customHeight="1" x14ac:dyDescent="0.3"/>
    <row r="11156" ht="14.4" customHeight="1" x14ac:dyDescent="0.3"/>
    <row r="11157" ht="14.4" customHeight="1" x14ac:dyDescent="0.3"/>
    <row r="11158" ht="14.4" customHeight="1" x14ac:dyDescent="0.3"/>
    <row r="11159" ht="14.4" customHeight="1" x14ac:dyDescent="0.3"/>
    <row r="11160" ht="14.4" customHeight="1" x14ac:dyDescent="0.3"/>
    <row r="11161" ht="14.4" customHeight="1" x14ac:dyDescent="0.3"/>
    <row r="11162" ht="14.4" customHeight="1" x14ac:dyDescent="0.3"/>
    <row r="11163" ht="14.4" customHeight="1" x14ac:dyDescent="0.3"/>
    <row r="11164" ht="14.4" customHeight="1" x14ac:dyDescent="0.3"/>
    <row r="11165" ht="14.4" customHeight="1" x14ac:dyDescent="0.3"/>
    <row r="11166" ht="14.4" customHeight="1" x14ac:dyDescent="0.3"/>
    <row r="11167" ht="14.4" customHeight="1" x14ac:dyDescent="0.3"/>
    <row r="11168" ht="14.4" customHeight="1" x14ac:dyDescent="0.3"/>
    <row r="11169" ht="14.4" customHeight="1" x14ac:dyDescent="0.3"/>
    <row r="11170" ht="14.4" customHeight="1" x14ac:dyDescent="0.3"/>
    <row r="11171" ht="14.4" customHeight="1" x14ac:dyDescent="0.3"/>
    <row r="11172" ht="14.4" customHeight="1" x14ac:dyDescent="0.3"/>
    <row r="11173" ht="14.4" customHeight="1" x14ac:dyDescent="0.3"/>
    <row r="11174" ht="14.4" customHeight="1" x14ac:dyDescent="0.3"/>
    <row r="11175" ht="14.4" customHeight="1" x14ac:dyDescent="0.3"/>
    <row r="11176" ht="14.4" customHeight="1" x14ac:dyDescent="0.3"/>
    <row r="11177" ht="14.4" customHeight="1" x14ac:dyDescent="0.3"/>
    <row r="11178" ht="14.4" customHeight="1" x14ac:dyDescent="0.3"/>
    <row r="11179" ht="14.4" customHeight="1" x14ac:dyDescent="0.3"/>
    <row r="11180" ht="14.4" customHeight="1" x14ac:dyDescent="0.3"/>
    <row r="11181" ht="14.4" customHeight="1" x14ac:dyDescent="0.3"/>
    <row r="11182" ht="14.4" customHeight="1" x14ac:dyDescent="0.3"/>
    <row r="11183" ht="14.4" customHeight="1" x14ac:dyDescent="0.3"/>
    <row r="11184" ht="14.4" customHeight="1" x14ac:dyDescent="0.3"/>
    <row r="11185" ht="14.4" customHeight="1" x14ac:dyDescent="0.3"/>
    <row r="11186" ht="14.4" customHeight="1" x14ac:dyDescent="0.3"/>
    <row r="11187" ht="14.4" customHeight="1" x14ac:dyDescent="0.3"/>
    <row r="11188" ht="14.4" customHeight="1" x14ac:dyDescent="0.3"/>
    <row r="11189" ht="14.4" customHeight="1" x14ac:dyDescent="0.3"/>
    <row r="11190" ht="14.4" customHeight="1" x14ac:dyDescent="0.3"/>
    <row r="11191" ht="14.4" customHeight="1" x14ac:dyDescent="0.3"/>
    <row r="11192" ht="14.4" customHeight="1" x14ac:dyDescent="0.3"/>
    <row r="11193" ht="14.4" customHeight="1" x14ac:dyDescent="0.3"/>
    <row r="11194" ht="14.4" customHeight="1" x14ac:dyDescent="0.3"/>
    <row r="11195" ht="14.4" customHeight="1" x14ac:dyDescent="0.3"/>
    <row r="11196" ht="14.4" customHeight="1" x14ac:dyDescent="0.3"/>
    <row r="11197" ht="14.4" customHeight="1" x14ac:dyDescent="0.3"/>
    <row r="11198" ht="14.4" customHeight="1" x14ac:dyDescent="0.3"/>
    <row r="11199" ht="14.4" customHeight="1" x14ac:dyDescent="0.3"/>
    <row r="11200" ht="14.4" customHeight="1" x14ac:dyDescent="0.3"/>
    <row r="11201" ht="14.4" customHeight="1" x14ac:dyDescent="0.3"/>
    <row r="11202" ht="14.4" customHeight="1" x14ac:dyDescent="0.3"/>
    <row r="11203" ht="14.4" customHeight="1" x14ac:dyDescent="0.3"/>
    <row r="11204" ht="14.4" customHeight="1" x14ac:dyDescent="0.3"/>
    <row r="11205" ht="14.4" customHeight="1" x14ac:dyDescent="0.3"/>
    <row r="11206" ht="14.4" customHeight="1" x14ac:dyDescent="0.3"/>
    <row r="11207" ht="14.4" customHeight="1" x14ac:dyDescent="0.3"/>
    <row r="11208" ht="14.4" customHeight="1" x14ac:dyDescent="0.3"/>
    <row r="11209" ht="14.4" customHeight="1" x14ac:dyDescent="0.3"/>
    <row r="11210" ht="14.4" customHeight="1" x14ac:dyDescent="0.3"/>
    <row r="11211" ht="14.4" customHeight="1" x14ac:dyDescent="0.3"/>
    <row r="11212" ht="14.4" customHeight="1" x14ac:dyDescent="0.3"/>
    <row r="11213" ht="14.4" customHeight="1" x14ac:dyDescent="0.3"/>
    <row r="11214" ht="14.4" customHeight="1" x14ac:dyDescent="0.3"/>
    <row r="11215" ht="14.4" customHeight="1" x14ac:dyDescent="0.3"/>
    <row r="11216" ht="14.4" customHeight="1" x14ac:dyDescent="0.3"/>
    <row r="11217" ht="14.4" customHeight="1" x14ac:dyDescent="0.3"/>
    <row r="11218" ht="14.4" customHeight="1" x14ac:dyDescent="0.3"/>
    <row r="11219" ht="14.4" customHeight="1" x14ac:dyDescent="0.3"/>
    <row r="11220" ht="14.4" customHeight="1" x14ac:dyDescent="0.3"/>
    <row r="11221" ht="14.4" customHeight="1" x14ac:dyDescent="0.3"/>
    <row r="11222" ht="14.4" customHeight="1" x14ac:dyDescent="0.3"/>
    <row r="11223" ht="14.4" customHeight="1" x14ac:dyDescent="0.3"/>
    <row r="11224" ht="14.4" customHeight="1" x14ac:dyDescent="0.3"/>
    <row r="11225" ht="14.4" customHeight="1" x14ac:dyDescent="0.3"/>
    <row r="11226" ht="14.4" customHeight="1" x14ac:dyDescent="0.3"/>
    <row r="11227" ht="14.4" customHeight="1" x14ac:dyDescent="0.3"/>
    <row r="11228" ht="14.4" customHeight="1" x14ac:dyDescent="0.3"/>
    <row r="11229" ht="14.4" customHeight="1" x14ac:dyDescent="0.3"/>
    <row r="11230" ht="14.4" customHeight="1" x14ac:dyDescent="0.3"/>
    <row r="11231" ht="14.4" customHeight="1" x14ac:dyDescent="0.3"/>
    <row r="11232" ht="14.4" customHeight="1" x14ac:dyDescent="0.3"/>
    <row r="11233" ht="14.4" customHeight="1" x14ac:dyDescent="0.3"/>
    <row r="11234" ht="14.4" customHeight="1" x14ac:dyDescent="0.3"/>
    <row r="11235" ht="14.4" customHeight="1" x14ac:dyDescent="0.3"/>
    <row r="11236" ht="14.4" customHeight="1" x14ac:dyDescent="0.3"/>
    <row r="11237" ht="14.4" customHeight="1" x14ac:dyDescent="0.3"/>
    <row r="11238" ht="14.4" customHeight="1" x14ac:dyDescent="0.3"/>
    <row r="11239" ht="14.4" customHeight="1" x14ac:dyDescent="0.3"/>
    <row r="11240" ht="14.4" customHeight="1" x14ac:dyDescent="0.3"/>
    <row r="11241" ht="14.4" customHeight="1" x14ac:dyDescent="0.3"/>
    <row r="11242" ht="14.4" customHeight="1" x14ac:dyDescent="0.3"/>
    <row r="11243" ht="14.4" customHeight="1" x14ac:dyDescent="0.3"/>
    <row r="11244" ht="14.4" customHeight="1" x14ac:dyDescent="0.3"/>
    <row r="11245" ht="14.4" customHeight="1" x14ac:dyDescent="0.3"/>
    <row r="11246" ht="14.4" customHeight="1" x14ac:dyDescent="0.3"/>
    <row r="11247" ht="14.4" customHeight="1" x14ac:dyDescent="0.3"/>
    <row r="11248" ht="14.4" customHeight="1" x14ac:dyDescent="0.3"/>
    <row r="11249" ht="14.4" customHeight="1" x14ac:dyDescent="0.3"/>
    <row r="11250" ht="14.4" customHeight="1" x14ac:dyDescent="0.3"/>
    <row r="11251" ht="14.4" customHeight="1" x14ac:dyDescent="0.3"/>
    <row r="11252" ht="14.4" customHeight="1" x14ac:dyDescent="0.3"/>
    <row r="11253" ht="14.4" customHeight="1" x14ac:dyDescent="0.3"/>
    <row r="11254" ht="14.4" customHeight="1" x14ac:dyDescent="0.3"/>
    <row r="11255" ht="14.4" customHeight="1" x14ac:dyDescent="0.3"/>
    <row r="11256" ht="14.4" customHeight="1" x14ac:dyDescent="0.3"/>
    <row r="11257" ht="14.4" customHeight="1" x14ac:dyDescent="0.3"/>
    <row r="11258" ht="14.4" customHeight="1" x14ac:dyDescent="0.3"/>
    <row r="11259" ht="14.4" customHeight="1" x14ac:dyDescent="0.3"/>
    <row r="11260" ht="14.4" customHeight="1" x14ac:dyDescent="0.3"/>
    <row r="11261" ht="14.4" customHeight="1" x14ac:dyDescent="0.3"/>
    <row r="11262" ht="14.4" customHeight="1" x14ac:dyDescent="0.3"/>
    <row r="11263" ht="14.4" customHeight="1" x14ac:dyDescent="0.3"/>
    <row r="11264" ht="14.4" customHeight="1" x14ac:dyDescent="0.3"/>
    <row r="11265" ht="14.4" customHeight="1" x14ac:dyDescent="0.3"/>
    <row r="11266" ht="14.4" customHeight="1" x14ac:dyDescent="0.3"/>
    <row r="11267" ht="14.4" customHeight="1" x14ac:dyDescent="0.3"/>
    <row r="11268" ht="14.4" customHeight="1" x14ac:dyDescent="0.3"/>
    <row r="11269" ht="14.4" customHeight="1" x14ac:dyDescent="0.3"/>
    <row r="11270" ht="14.4" customHeight="1" x14ac:dyDescent="0.3"/>
    <row r="11271" ht="14.4" customHeight="1" x14ac:dyDescent="0.3"/>
    <row r="11272" ht="14.4" customHeight="1" x14ac:dyDescent="0.3"/>
    <row r="11273" ht="14.4" customHeight="1" x14ac:dyDescent="0.3"/>
    <row r="11274" ht="14.4" customHeight="1" x14ac:dyDescent="0.3"/>
    <row r="11275" ht="14.4" customHeight="1" x14ac:dyDescent="0.3"/>
    <row r="11276" ht="14.4" customHeight="1" x14ac:dyDescent="0.3"/>
    <row r="11277" ht="14.4" customHeight="1" x14ac:dyDescent="0.3"/>
    <row r="11278" ht="14.4" customHeight="1" x14ac:dyDescent="0.3"/>
    <row r="11279" ht="14.4" customHeight="1" x14ac:dyDescent="0.3"/>
    <row r="11280" ht="14.4" customHeight="1" x14ac:dyDescent="0.3"/>
    <row r="11281" ht="14.4" customHeight="1" x14ac:dyDescent="0.3"/>
    <row r="11282" ht="14.4" customHeight="1" x14ac:dyDescent="0.3"/>
    <row r="11283" ht="14.4" customHeight="1" x14ac:dyDescent="0.3"/>
    <row r="11284" ht="14.4" customHeight="1" x14ac:dyDescent="0.3"/>
    <row r="11285" ht="14.4" customHeight="1" x14ac:dyDescent="0.3"/>
    <row r="11286" ht="14.4" customHeight="1" x14ac:dyDescent="0.3"/>
    <row r="11287" ht="14.4" customHeight="1" x14ac:dyDescent="0.3"/>
    <row r="11288" ht="14.4" customHeight="1" x14ac:dyDescent="0.3"/>
    <row r="11289" ht="14.4" customHeight="1" x14ac:dyDescent="0.3"/>
    <row r="11290" ht="14.4" customHeight="1" x14ac:dyDescent="0.3"/>
    <row r="11291" ht="14.4" customHeight="1" x14ac:dyDescent="0.3"/>
    <row r="11292" ht="14.4" customHeight="1" x14ac:dyDescent="0.3"/>
    <row r="11293" ht="14.4" customHeight="1" x14ac:dyDescent="0.3"/>
    <row r="11294" ht="14.4" customHeight="1" x14ac:dyDescent="0.3"/>
    <row r="11295" ht="14.4" customHeight="1" x14ac:dyDescent="0.3"/>
    <row r="11296" ht="14.4" customHeight="1" x14ac:dyDescent="0.3"/>
    <row r="11297" ht="14.4" customHeight="1" x14ac:dyDescent="0.3"/>
    <row r="11298" ht="14.4" customHeight="1" x14ac:dyDescent="0.3"/>
    <row r="11299" ht="14.4" customHeight="1" x14ac:dyDescent="0.3"/>
    <row r="11300" ht="14.4" customHeight="1" x14ac:dyDescent="0.3"/>
    <row r="11301" ht="14.4" customHeight="1" x14ac:dyDescent="0.3"/>
    <row r="11302" ht="14.4" customHeight="1" x14ac:dyDescent="0.3"/>
    <row r="11303" ht="14.4" customHeight="1" x14ac:dyDescent="0.3"/>
    <row r="11304" ht="14.4" customHeight="1" x14ac:dyDescent="0.3"/>
    <row r="11305" ht="14.4" customHeight="1" x14ac:dyDescent="0.3"/>
    <row r="11306" ht="14.4" customHeight="1" x14ac:dyDescent="0.3"/>
    <row r="11307" ht="14.4" customHeight="1" x14ac:dyDescent="0.3"/>
    <row r="11308" ht="14.4" customHeight="1" x14ac:dyDescent="0.3"/>
    <row r="11309" ht="14.4" customHeight="1" x14ac:dyDescent="0.3"/>
    <row r="11310" ht="14.4" customHeight="1" x14ac:dyDescent="0.3"/>
    <row r="11311" ht="14.4" customHeight="1" x14ac:dyDescent="0.3"/>
    <row r="11312" ht="14.4" customHeight="1" x14ac:dyDescent="0.3"/>
    <row r="11313" ht="14.4" customHeight="1" x14ac:dyDescent="0.3"/>
    <row r="11314" ht="14.4" customHeight="1" x14ac:dyDescent="0.3"/>
    <row r="11315" ht="14.4" customHeight="1" x14ac:dyDescent="0.3"/>
    <row r="11316" ht="14.4" customHeight="1" x14ac:dyDescent="0.3"/>
    <row r="11317" ht="14.4" customHeight="1" x14ac:dyDescent="0.3"/>
    <row r="11318" ht="14.4" customHeight="1" x14ac:dyDescent="0.3"/>
    <row r="11319" ht="14.4" customHeight="1" x14ac:dyDescent="0.3"/>
    <row r="11320" ht="14.4" customHeight="1" x14ac:dyDescent="0.3"/>
    <row r="11321" ht="14.4" customHeight="1" x14ac:dyDescent="0.3"/>
    <row r="11322" ht="14.4" customHeight="1" x14ac:dyDescent="0.3"/>
    <row r="11323" ht="14.4" customHeight="1" x14ac:dyDescent="0.3"/>
    <row r="11324" ht="14.4" customHeight="1" x14ac:dyDescent="0.3"/>
    <row r="11325" ht="14.4" customHeight="1" x14ac:dyDescent="0.3"/>
    <row r="11326" ht="14.4" customHeight="1" x14ac:dyDescent="0.3"/>
    <row r="11327" ht="14.4" customHeight="1" x14ac:dyDescent="0.3"/>
    <row r="11328" ht="14.4" customHeight="1" x14ac:dyDescent="0.3"/>
    <row r="11329" ht="14.4" customHeight="1" x14ac:dyDescent="0.3"/>
    <row r="11330" ht="14.4" customHeight="1" x14ac:dyDescent="0.3"/>
    <row r="11331" ht="14.4" customHeight="1" x14ac:dyDescent="0.3"/>
    <row r="11332" ht="14.4" customHeight="1" x14ac:dyDescent="0.3"/>
    <row r="11333" ht="14.4" customHeight="1" x14ac:dyDescent="0.3"/>
    <row r="11334" ht="14.4" customHeight="1" x14ac:dyDescent="0.3"/>
    <row r="11335" ht="14.4" customHeight="1" x14ac:dyDescent="0.3"/>
    <row r="11336" ht="14.4" customHeight="1" x14ac:dyDescent="0.3"/>
    <row r="11337" ht="14.4" customHeight="1" x14ac:dyDescent="0.3"/>
    <row r="11338" ht="14.4" customHeight="1" x14ac:dyDescent="0.3"/>
    <row r="11339" ht="14.4" customHeight="1" x14ac:dyDescent="0.3"/>
    <row r="11340" ht="14.4" customHeight="1" x14ac:dyDescent="0.3"/>
    <row r="11341" ht="14.4" customHeight="1" x14ac:dyDescent="0.3"/>
    <row r="11342" ht="14.4" customHeight="1" x14ac:dyDescent="0.3"/>
    <row r="11343" ht="14.4" customHeight="1" x14ac:dyDescent="0.3"/>
    <row r="11344" ht="14.4" customHeight="1" x14ac:dyDescent="0.3"/>
    <row r="11345" ht="14.4" customHeight="1" x14ac:dyDescent="0.3"/>
    <row r="11346" ht="14.4" customHeight="1" x14ac:dyDescent="0.3"/>
    <row r="11347" ht="14.4" customHeight="1" x14ac:dyDescent="0.3"/>
    <row r="11348" ht="14.4" customHeight="1" x14ac:dyDescent="0.3"/>
    <row r="11349" ht="14.4" customHeight="1" x14ac:dyDescent="0.3"/>
    <row r="11350" ht="14.4" customHeight="1" x14ac:dyDescent="0.3"/>
    <row r="11351" ht="14.4" customHeight="1" x14ac:dyDescent="0.3"/>
    <row r="11352" ht="14.4" customHeight="1" x14ac:dyDescent="0.3"/>
    <row r="11353" ht="14.4" customHeight="1" x14ac:dyDescent="0.3"/>
    <row r="11354" ht="14.4" customHeight="1" x14ac:dyDescent="0.3"/>
    <row r="11355" ht="14.4" customHeight="1" x14ac:dyDescent="0.3"/>
    <row r="11356" ht="14.4" customHeight="1" x14ac:dyDescent="0.3"/>
    <row r="11357" ht="14.4" customHeight="1" x14ac:dyDescent="0.3"/>
    <row r="11358" ht="14.4" customHeight="1" x14ac:dyDescent="0.3"/>
    <row r="11359" ht="14.4" customHeight="1" x14ac:dyDescent="0.3"/>
    <row r="11360" ht="14.4" customHeight="1" x14ac:dyDescent="0.3"/>
    <row r="11361" ht="14.4" customHeight="1" x14ac:dyDescent="0.3"/>
    <row r="11362" ht="14.4" customHeight="1" x14ac:dyDescent="0.3"/>
    <row r="11363" ht="14.4" customHeight="1" x14ac:dyDescent="0.3"/>
    <row r="11364" ht="14.4" customHeight="1" x14ac:dyDescent="0.3"/>
    <row r="11365" ht="14.4" customHeight="1" x14ac:dyDescent="0.3"/>
    <row r="11366" ht="14.4" customHeight="1" x14ac:dyDescent="0.3"/>
    <row r="11367" ht="14.4" customHeight="1" x14ac:dyDescent="0.3"/>
    <row r="11368" ht="14.4" customHeight="1" x14ac:dyDescent="0.3"/>
    <row r="11369" ht="14.4" customHeight="1" x14ac:dyDescent="0.3"/>
    <row r="11370" ht="14.4" customHeight="1" x14ac:dyDescent="0.3"/>
    <row r="11371" ht="14.4" customHeight="1" x14ac:dyDescent="0.3"/>
    <row r="11372" ht="14.4" customHeight="1" x14ac:dyDescent="0.3"/>
    <row r="11373" ht="14.4" customHeight="1" x14ac:dyDescent="0.3"/>
    <row r="11374" ht="14.4" customHeight="1" x14ac:dyDescent="0.3"/>
    <row r="11375" ht="14.4" customHeight="1" x14ac:dyDescent="0.3"/>
    <row r="11376" ht="14.4" customHeight="1" x14ac:dyDescent="0.3"/>
    <row r="11377" ht="14.4" customHeight="1" x14ac:dyDescent="0.3"/>
    <row r="11378" ht="14.4" customHeight="1" x14ac:dyDescent="0.3"/>
    <row r="11379" ht="14.4" customHeight="1" x14ac:dyDescent="0.3"/>
    <row r="11380" ht="14.4" customHeight="1" x14ac:dyDescent="0.3"/>
    <row r="11381" ht="14.4" customHeight="1" x14ac:dyDescent="0.3"/>
    <row r="11382" ht="14.4" customHeight="1" x14ac:dyDescent="0.3"/>
    <row r="11383" ht="14.4" customHeight="1" x14ac:dyDescent="0.3"/>
    <row r="11384" ht="14.4" customHeight="1" x14ac:dyDescent="0.3"/>
    <row r="11385" ht="14.4" customHeight="1" x14ac:dyDescent="0.3"/>
    <row r="11386" ht="14.4" customHeight="1" x14ac:dyDescent="0.3"/>
    <row r="11387" ht="14.4" customHeight="1" x14ac:dyDescent="0.3"/>
    <row r="11388" ht="14.4" customHeight="1" x14ac:dyDescent="0.3"/>
    <row r="11389" ht="14.4" customHeight="1" x14ac:dyDescent="0.3"/>
    <row r="11390" ht="14.4" customHeight="1" x14ac:dyDescent="0.3"/>
    <row r="11391" ht="14.4" customHeight="1" x14ac:dyDescent="0.3"/>
    <row r="11392" ht="14.4" customHeight="1" x14ac:dyDescent="0.3"/>
    <row r="11393" ht="14.4" customHeight="1" x14ac:dyDescent="0.3"/>
    <row r="11394" ht="14.4" customHeight="1" x14ac:dyDescent="0.3"/>
    <row r="11395" ht="14.4" customHeight="1" x14ac:dyDescent="0.3"/>
    <row r="11396" ht="14.4" customHeight="1" x14ac:dyDescent="0.3"/>
    <row r="11397" ht="14.4" customHeight="1" x14ac:dyDescent="0.3"/>
    <row r="11398" ht="14.4" customHeight="1" x14ac:dyDescent="0.3"/>
    <row r="11399" ht="14.4" customHeight="1" x14ac:dyDescent="0.3"/>
    <row r="11400" ht="14.4" customHeight="1" x14ac:dyDescent="0.3"/>
    <row r="11401" ht="14.4" customHeight="1" x14ac:dyDescent="0.3"/>
    <row r="11402" ht="14.4" customHeight="1" x14ac:dyDescent="0.3"/>
    <row r="11403" ht="14.4" customHeight="1" x14ac:dyDescent="0.3"/>
    <row r="11404" ht="14.4" customHeight="1" x14ac:dyDescent="0.3"/>
    <row r="11405" ht="14.4" customHeight="1" x14ac:dyDescent="0.3"/>
    <row r="11406" ht="14.4" customHeight="1" x14ac:dyDescent="0.3"/>
    <row r="11407" ht="14.4" customHeight="1" x14ac:dyDescent="0.3"/>
    <row r="11408" ht="14.4" customHeight="1" x14ac:dyDescent="0.3"/>
    <row r="11409" ht="14.4" customHeight="1" x14ac:dyDescent="0.3"/>
    <row r="11410" ht="14.4" customHeight="1" x14ac:dyDescent="0.3"/>
    <row r="11411" ht="14.4" customHeight="1" x14ac:dyDescent="0.3"/>
    <row r="11412" ht="14.4" customHeight="1" x14ac:dyDescent="0.3"/>
    <row r="11413" ht="14.4" customHeight="1" x14ac:dyDescent="0.3"/>
    <row r="11414" ht="14.4" customHeight="1" x14ac:dyDescent="0.3"/>
    <row r="11415" ht="14.4" customHeight="1" x14ac:dyDescent="0.3"/>
    <row r="11416" ht="14.4" customHeight="1" x14ac:dyDescent="0.3"/>
    <row r="11417" ht="14.4" customHeight="1" x14ac:dyDescent="0.3"/>
    <row r="11418" ht="14.4" customHeight="1" x14ac:dyDescent="0.3"/>
    <row r="11419" ht="14.4" customHeight="1" x14ac:dyDescent="0.3"/>
    <row r="11420" ht="14.4" customHeight="1" x14ac:dyDescent="0.3"/>
    <row r="11421" ht="14.4" customHeight="1" x14ac:dyDescent="0.3"/>
    <row r="11422" ht="14.4" customHeight="1" x14ac:dyDescent="0.3"/>
    <row r="11423" ht="14.4" customHeight="1" x14ac:dyDescent="0.3"/>
    <row r="11424" ht="14.4" customHeight="1" x14ac:dyDescent="0.3"/>
    <row r="11425" ht="14.4" customHeight="1" x14ac:dyDescent="0.3"/>
    <row r="11426" ht="14.4" customHeight="1" x14ac:dyDescent="0.3"/>
    <row r="11427" ht="14.4" customHeight="1" x14ac:dyDescent="0.3"/>
    <row r="11428" ht="14.4" customHeight="1" x14ac:dyDescent="0.3"/>
    <row r="11429" ht="14.4" customHeight="1" x14ac:dyDescent="0.3"/>
    <row r="11430" ht="14.4" customHeight="1" x14ac:dyDescent="0.3"/>
    <row r="11431" ht="14.4" customHeight="1" x14ac:dyDescent="0.3"/>
    <row r="11432" ht="14.4" customHeight="1" x14ac:dyDescent="0.3"/>
    <row r="11433" ht="14.4" customHeight="1" x14ac:dyDescent="0.3"/>
    <row r="11434" ht="14.4" customHeight="1" x14ac:dyDescent="0.3"/>
    <row r="11435" ht="14.4" customHeight="1" x14ac:dyDescent="0.3"/>
    <row r="11436" ht="14.4" customHeight="1" x14ac:dyDescent="0.3"/>
    <row r="11437" ht="14.4" customHeight="1" x14ac:dyDescent="0.3"/>
    <row r="11438" ht="14.4" customHeight="1" x14ac:dyDescent="0.3"/>
    <row r="11439" ht="14.4" customHeight="1" x14ac:dyDescent="0.3"/>
    <row r="11440" ht="14.4" customHeight="1" x14ac:dyDescent="0.3"/>
    <row r="11441" ht="14.4" customHeight="1" x14ac:dyDescent="0.3"/>
    <row r="11442" ht="14.4" customHeight="1" x14ac:dyDescent="0.3"/>
    <row r="11443" ht="14.4" customHeight="1" x14ac:dyDescent="0.3"/>
    <row r="11444" ht="14.4" customHeight="1" x14ac:dyDescent="0.3"/>
    <row r="11445" ht="14.4" customHeight="1" x14ac:dyDescent="0.3"/>
    <row r="11446" ht="14.4" customHeight="1" x14ac:dyDescent="0.3"/>
    <row r="11447" ht="14.4" customHeight="1" x14ac:dyDescent="0.3"/>
    <row r="11448" ht="14.4" customHeight="1" x14ac:dyDescent="0.3"/>
    <row r="11449" ht="14.4" customHeight="1" x14ac:dyDescent="0.3"/>
    <row r="11450" ht="14.4" customHeight="1" x14ac:dyDescent="0.3"/>
    <row r="11451" ht="14.4" customHeight="1" x14ac:dyDescent="0.3"/>
    <row r="11452" ht="14.4" customHeight="1" x14ac:dyDescent="0.3"/>
    <row r="11453" ht="14.4" customHeight="1" x14ac:dyDescent="0.3"/>
    <row r="11454" ht="14.4" customHeight="1" x14ac:dyDescent="0.3"/>
    <row r="11455" ht="14.4" customHeight="1" x14ac:dyDescent="0.3"/>
    <row r="11456" ht="14.4" customHeight="1" x14ac:dyDescent="0.3"/>
    <row r="11457" ht="14.4" customHeight="1" x14ac:dyDescent="0.3"/>
    <row r="11458" ht="14.4" customHeight="1" x14ac:dyDescent="0.3"/>
    <row r="11459" ht="14.4" customHeight="1" x14ac:dyDescent="0.3"/>
    <row r="11460" ht="14.4" customHeight="1" x14ac:dyDescent="0.3"/>
    <row r="11461" ht="14.4" customHeight="1" x14ac:dyDescent="0.3"/>
    <row r="11462" ht="14.4" customHeight="1" x14ac:dyDescent="0.3"/>
    <row r="11463" ht="14.4" customHeight="1" x14ac:dyDescent="0.3"/>
    <row r="11464" ht="14.4" customHeight="1" x14ac:dyDescent="0.3"/>
    <row r="11465" ht="14.4" customHeight="1" x14ac:dyDescent="0.3"/>
    <row r="11466" ht="14.4" customHeight="1" x14ac:dyDescent="0.3"/>
    <row r="11467" ht="14.4" customHeight="1" x14ac:dyDescent="0.3"/>
    <row r="11468" ht="14.4" customHeight="1" x14ac:dyDescent="0.3"/>
    <row r="11469" ht="14.4" customHeight="1" x14ac:dyDescent="0.3"/>
    <row r="11470" ht="14.4" customHeight="1" x14ac:dyDescent="0.3"/>
    <row r="11471" ht="14.4" customHeight="1" x14ac:dyDescent="0.3"/>
    <row r="11472" ht="14.4" customHeight="1" x14ac:dyDescent="0.3"/>
    <row r="11473" ht="14.4" customHeight="1" x14ac:dyDescent="0.3"/>
    <row r="11474" ht="14.4" customHeight="1" x14ac:dyDescent="0.3"/>
    <row r="11475" ht="14.4" customHeight="1" x14ac:dyDescent="0.3"/>
    <row r="11476" ht="14.4" customHeight="1" x14ac:dyDescent="0.3"/>
    <row r="11477" ht="14.4" customHeight="1" x14ac:dyDescent="0.3"/>
    <row r="11478" ht="14.4" customHeight="1" x14ac:dyDescent="0.3"/>
    <row r="11479" ht="14.4" customHeight="1" x14ac:dyDescent="0.3"/>
    <row r="11480" ht="14.4" customHeight="1" x14ac:dyDescent="0.3"/>
    <row r="11481" ht="14.4" customHeight="1" x14ac:dyDescent="0.3"/>
    <row r="11482" ht="14.4" customHeight="1" x14ac:dyDescent="0.3"/>
    <row r="11483" ht="14.4" customHeight="1" x14ac:dyDescent="0.3"/>
    <row r="11484" ht="14.4" customHeight="1" x14ac:dyDescent="0.3"/>
    <row r="11485" ht="14.4" customHeight="1" x14ac:dyDescent="0.3"/>
    <row r="11486" ht="14.4" customHeight="1" x14ac:dyDescent="0.3"/>
    <row r="11487" ht="14.4" customHeight="1" x14ac:dyDescent="0.3"/>
    <row r="11488" ht="14.4" customHeight="1" x14ac:dyDescent="0.3"/>
    <row r="11489" ht="14.4" customHeight="1" x14ac:dyDescent="0.3"/>
    <row r="11490" ht="14.4" customHeight="1" x14ac:dyDescent="0.3"/>
    <row r="11491" ht="14.4" customHeight="1" x14ac:dyDescent="0.3"/>
    <row r="11492" ht="14.4" customHeight="1" x14ac:dyDescent="0.3"/>
    <row r="11493" ht="14.4" customHeight="1" x14ac:dyDescent="0.3"/>
    <row r="11494" ht="14.4" customHeight="1" x14ac:dyDescent="0.3"/>
    <row r="11495" ht="14.4" customHeight="1" x14ac:dyDescent="0.3"/>
    <row r="11496" ht="14.4" customHeight="1" x14ac:dyDescent="0.3"/>
    <row r="11497" ht="14.4" customHeight="1" x14ac:dyDescent="0.3"/>
    <row r="11498" ht="14.4" customHeight="1" x14ac:dyDescent="0.3"/>
    <row r="11499" ht="14.4" customHeight="1" x14ac:dyDescent="0.3"/>
    <row r="11500" ht="14.4" customHeight="1" x14ac:dyDescent="0.3"/>
    <row r="11501" ht="14.4" customHeight="1" x14ac:dyDescent="0.3"/>
    <row r="11502" ht="14.4" customHeight="1" x14ac:dyDescent="0.3"/>
    <row r="11503" ht="14.4" customHeight="1" x14ac:dyDescent="0.3"/>
    <row r="11504" ht="14.4" customHeight="1" x14ac:dyDescent="0.3"/>
    <row r="11505" ht="14.4" customHeight="1" x14ac:dyDescent="0.3"/>
    <row r="11506" ht="14.4" customHeight="1" x14ac:dyDescent="0.3"/>
    <row r="11507" ht="14.4" customHeight="1" x14ac:dyDescent="0.3"/>
    <row r="11508" ht="14.4" customHeight="1" x14ac:dyDescent="0.3"/>
    <row r="11509" ht="14.4" customHeight="1" x14ac:dyDescent="0.3"/>
    <row r="11510" ht="14.4" customHeight="1" x14ac:dyDescent="0.3"/>
    <row r="11511" ht="14.4" customHeight="1" x14ac:dyDescent="0.3"/>
    <row r="11512" ht="14.4" customHeight="1" x14ac:dyDescent="0.3"/>
    <row r="11513" ht="14.4" customHeight="1" x14ac:dyDescent="0.3"/>
    <row r="11514" ht="14.4" customHeight="1" x14ac:dyDescent="0.3"/>
    <row r="11515" ht="14.4" customHeight="1" x14ac:dyDescent="0.3"/>
    <row r="11516" ht="14.4" customHeight="1" x14ac:dyDescent="0.3"/>
    <row r="11517" ht="14.4" customHeight="1" x14ac:dyDescent="0.3"/>
    <row r="11518" ht="14.4" customHeight="1" x14ac:dyDescent="0.3"/>
    <row r="11519" ht="14.4" customHeight="1" x14ac:dyDescent="0.3"/>
    <row r="11520" ht="14.4" customHeight="1" x14ac:dyDescent="0.3"/>
    <row r="11521" ht="14.4" customHeight="1" x14ac:dyDescent="0.3"/>
    <row r="11522" ht="14.4" customHeight="1" x14ac:dyDescent="0.3"/>
    <row r="11523" ht="14.4" customHeight="1" x14ac:dyDescent="0.3"/>
    <row r="11524" ht="14.4" customHeight="1" x14ac:dyDescent="0.3"/>
    <row r="11525" ht="14.4" customHeight="1" x14ac:dyDescent="0.3"/>
    <row r="11526" ht="14.4" customHeight="1" x14ac:dyDescent="0.3"/>
    <row r="11527" ht="14.4" customHeight="1" x14ac:dyDescent="0.3"/>
    <row r="11528" ht="14.4" customHeight="1" x14ac:dyDescent="0.3"/>
    <row r="11529" ht="14.4" customHeight="1" x14ac:dyDescent="0.3"/>
    <row r="11530" ht="14.4" customHeight="1" x14ac:dyDescent="0.3"/>
    <row r="11531" ht="14.4" customHeight="1" x14ac:dyDescent="0.3"/>
    <row r="11532" ht="14.4" customHeight="1" x14ac:dyDescent="0.3"/>
    <row r="11533" ht="14.4" customHeight="1" x14ac:dyDescent="0.3"/>
    <row r="11534" ht="14.4" customHeight="1" x14ac:dyDescent="0.3"/>
    <row r="11535" ht="14.4" customHeight="1" x14ac:dyDescent="0.3"/>
    <row r="11536" ht="14.4" customHeight="1" x14ac:dyDescent="0.3"/>
    <row r="11537" ht="14.4" customHeight="1" x14ac:dyDescent="0.3"/>
    <row r="11538" ht="14.4" customHeight="1" x14ac:dyDescent="0.3"/>
    <row r="11539" ht="14.4" customHeight="1" x14ac:dyDescent="0.3"/>
    <row r="11540" ht="14.4" customHeight="1" x14ac:dyDescent="0.3"/>
    <row r="11541" ht="14.4" customHeight="1" x14ac:dyDescent="0.3"/>
    <row r="11542" ht="14.4" customHeight="1" x14ac:dyDescent="0.3"/>
    <row r="11543" ht="14.4" customHeight="1" x14ac:dyDescent="0.3"/>
    <row r="11544" ht="14.4" customHeight="1" x14ac:dyDescent="0.3"/>
    <row r="11545" ht="14.4" customHeight="1" x14ac:dyDescent="0.3"/>
    <row r="11546" ht="14.4" customHeight="1" x14ac:dyDescent="0.3"/>
    <row r="11547" ht="14.4" customHeight="1" x14ac:dyDescent="0.3"/>
    <row r="11548" ht="14.4" customHeight="1" x14ac:dyDescent="0.3"/>
    <row r="11549" ht="14.4" customHeight="1" x14ac:dyDescent="0.3"/>
    <row r="11550" ht="14.4" customHeight="1" x14ac:dyDescent="0.3"/>
    <row r="11551" ht="14.4" customHeight="1" x14ac:dyDescent="0.3"/>
    <row r="11552" ht="14.4" customHeight="1" x14ac:dyDescent="0.3"/>
    <row r="11553" ht="14.4" customHeight="1" x14ac:dyDescent="0.3"/>
    <row r="11554" ht="14.4" customHeight="1" x14ac:dyDescent="0.3"/>
    <row r="11555" ht="14.4" customHeight="1" x14ac:dyDescent="0.3"/>
    <row r="11556" ht="14.4" customHeight="1" x14ac:dyDescent="0.3"/>
    <row r="11557" ht="14.4" customHeight="1" x14ac:dyDescent="0.3"/>
    <row r="11558" ht="14.4" customHeight="1" x14ac:dyDescent="0.3"/>
    <row r="11559" ht="14.4" customHeight="1" x14ac:dyDescent="0.3"/>
    <row r="11560" ht="14.4" customHeight="1" x14ac:dyDescent="0.3"/>
    <row r="11561" ht="14.4" customHeight="1" x14ac:dyDescent="0.3"/>
    <row r="11562" ht="14.4" customHeight="1" x14ac:dyDescent="0.3"/>
    <row r="11563" ht="14.4" customHeight="1" x14ac:dyDescent="0.3"/>
    <row r="11564" ht="14.4" customHeight="1" x14ac:dyDescent="0.3"/>
    <row r="11565" ht="14.4" customHeight="1" x14ac:dyDescent="0.3"/>
    <row r="11566" ht="14.4" customHeight="1" x14ac:dyDescent="0.3"/>
    <row r="11567" ht="14.4" customHeight="1" x14ac:dyDescent="0.3"/>
    <row r="11568" ht="14.4" customHeight="1" x14ac:dyDescent="0.3"/>
    <row r="11569" ht="14.4" customHeight="1" x14ac:dyDescent="0.3"/>
    <row r="11570" ht="14.4" customHeight="1" x14ac:dyDescent="0.3"/>
    <row r="11571" ht="14.4" customHeight="1" x14ac:dyDescent="0.3"/>
    <row r="11572" ht="14.4" customHeight="1" x14ac:dyDescent="0.3"/>
    <row r="11573" ht="14.4" customHeight="1" x14ac:dyDescent="0.3"/>
    <row r="11574" ht="14.4" customHeight="1" x14ac:dyDescent="0.3"/>
    <row r="11575" ht="14.4" customHeight="1" x14ac:dyDescent="0.3"/>
    <row r="11576" ht="14.4" customHeight="1" x14ac:dyDescent="0.3"/>
    <row r="11577" ht="14.4" customHeight="1" x14ac:dyDescent="0.3"/>
    <row r="11578" ht="14.4" customHeight="1" x14ac:dyDescent="0.3"/>
    <row r="11579" ht="14.4" customHeight="1" x14ac:dyDescent="0.3"/>
    <row r="11580" ht="14.4" customHeight="1" x14ac:dyDescent="0.3"/>
    <row r="11581" ht="14.4" customHeight="1" x14ac:dyDescent="0.3"/>
    <row r="11582" ht="14.4" customHeight="1" x14ac:dyDescent="0.3"/>
    <row r="11583" ht="14.4" customHeight="1" x14ac:dyDescent="0.3"/>
    <row r="11584" ht="14.4" customHeight="1" x14ac:dyDescent="0.3"/>
    <row r="11585" ht="14.4" customHeight="1" x14ac:dyDescent="0.3"/>
    <row r="11586" ht="14.4" customHeight="1" x14ac:dyDescent="0.3"/>
    <row r="11587" ht="14.4" customHeight="1" x14ac:dyDescent="0.3"/>
    <row r="11588" ht="14.4" customHeight="1" x14ac:dyDescent="0.3"/>
    <row r="11589" ht="14.4" customHeight="1" x14ac:dyDescent="0.3"/>
    <row r="11590" ht="14.4" customHeight="1" x14ac:dyDescent="0.3"/>
    <row r="11591" ht="14.4" customHeight="1" x14ac:dyDescent="0.3"/>
    <row r="11592" ht="14.4" customHeight="1" x14ac:dyDescent="0.3"/>
    <row r="11593" ht="14.4" customHeight="1" x14ac:dyDescent="0.3"/>
    <row r="11594" ht="14.4" customHeight="1" x14ac:dyDescent="0.3"/>
    <row r="11595" ht="14.4" customHeight="1" x14ac:dyDescent="0.3"/>
    <row r="11596" ht="14.4" customHeight="1" x14ac:dyDescent="0.3"/>
    <row r="11597" ht="14.4" customHeight="1" x14ac:dyDescent="0.3"/>
    <row r="11598" ht="14.4" customHeight="1" x14ac:dyDescent="0.3"/>
    <row r="11599" ht="14.4" customHeight="1" x14ac:dyDescent="0.3"/>
    <row r="11600" ht="14.4" customHeight="1" x14ac:dyDescent="0.3"/>
    <row r="11601" ht="14.4" customHeight="1" x14ac:dyDescent="0.3"/>
    <row r="11602" ht="14.4" customHeight="1" x14ac:dyDescent="0.3"/>
    <row r="11603" ht="14.4" customHeight="1" x14ac:dyDescent="0.3"/>
    <row r="11604" ht="14.4" customHeight="1" x14ac:dyDescent="0.3"/>
    <row r="11605" ht="14.4" customHeight="1" x14ac:dyDescent="0.3"/>
    <row r="11606" ht="14.4" customHeight="1" x14ac:dyDescent="0.3"/>
    <row r="11607" ht="14.4" customHeight="1" x14ac:dyDescent="0.3"/>
    <row r="11608" ht="14.4" customHeight="1" x14ac:dyDescent="0.3"/>
    <row r="11609" ht="14.4" customHeight="1" x14ac:dyDescent="0.3"/>
    <row r="11610" ht="14.4" customHeight="1" x14ac:dyDescent="0.3"/>
    <row r="11611" ht="14.4" customHeight="1" x14ac:dyDescent="0.3"/>
    <row r="11612" ht="14.4" customHeight="1" x14ac:dyDescent="0.3"/>
    <row r="11613" ht="14.4" customHeight="1" x14ac:dyDescent="0.3"/>
    <row r="11614" ht="14.4" customHeight="1" x14ac:dyDescent="0.3"/>
    <row r="11615" ht="14.4" customHeight="1" x14ac:dyDescent="0.3"/>
    <row r="11616" ht="14.4" customHeight="1" x14ac:dyDescent="0.3"/>
    <row r="11617" ht="14.4" customHeight="1" x14ac:dyDescent="0.3"/>
    <row r="11618" ht="14.4" customHeight="1" x14ac:dyDescent="0.3"/>
    <row r="11619" ht="14.4" customHeight="1" x14ac:dyDescent="0.3"/>
    <row r="11620" ht="14.4" customHeight="1" x14ac:dyDescent="0.3"/>
    <row r="11621" ht="14.4" customHeight="1" x14ac:dyDescent="0.3"/>
    <row r="11622" ht="14.4" customHeight="1" x14ac:dyDescent="0.3"/>
    <row r="11623" ht="14.4" customHeight="1" x14ac:dyDescent="0.3"/>
    <row r="11624" ht="14.4" customHeight="1" x14ac:dyDescent="0.3"/>
    <row r="11625" ht="14.4" customHeight="1" x14ac:dyDescent="0.3"/>
    <row r="11626" ht="14.4" customHeight="1" x14ac:dyDescent="0.3"/>
    <row r="11627" ht="14.4" customHeight="1" x14ac:dyDescent="0.3"/>
    <row r="11628" ht="14.4" customHeight="1" x14ac:dyDescent="0.3"/>
    <row r="11629" ht="14.4" customHeight="1" x14ac:dyDescent="0.3"/>
    <row r="11630" ht="14.4" customHeight="1" x14ac:dyDescent="0.3"/>
    <row r="11631" ht="14.4" customHeight="1" x14ac:dyDescent="0.3"/>
    <row r="11632" ht="14.4" customHeight="1" x14ac:dyDescent="0.3"/>
    <row r="11633" ht="14.4" customHeight="1" x14ac:dyDescent="0.3"/>
    <row r="11634" ht="14.4" customHeight="1" x14ac:dyDescent="0.3"/>
    <row r="11635" ht="14.4" customHeight="1" x14ac:dyDescent="0.3"/>
    <row r="11636" ht="14.4" customHeight="1" x14ac:dyDescent="0.3"/>
    <row r="11637" ht="14.4" customHeight="1" x14ac:dyDescent="0.3"/>
    <row r="11638" ht="14.4" customHeight="1" x14ac:dyDescent="0.3"/>
    <row r="11639" ht="14.4" customHeight="1" x14ac:dyDescent="0.3"/>
    <row r="11640" ht="14.4" customHeight="1" x14ac:dyDescent="0.3"/>
    <row r="11641" ht="14.4" customHeight="1" x14ac:dyDescent="0.3"/>
    <row r="11642" ht="14.4" customHeight="1" x14ac:dyDescent="0.3"/>
    <row r="11643" ht="14.4" customHeight="1" x14ac:dyDescent="0.3"/>
    <row r="11644" ht="14.4" customHeight="1" x14ac:dyDescent="0.3"/>
    <row r="11645" ht="14.4" customHeight="1" x14ac:dyDescent="0.3"/>
    <row r="11646" ht="14.4" customHeight="1" x14ac:dyDescent="0.3"/>
    <row r="11647" ht="14.4" customHeight="1" x14ac:dyDescent="0.3"/>
    <row r="11648" ht="14.4" customHeight="1" x14ac:dyDescent="0.3"/>
    <row r="11649" ht="14.4" customHeight="1" x14ac:dyDescent="0.3"/>
    <row r="11650" ht="14.4" customHeight="1" x14ac:dyDescent="0.3"/>
    <row r="11651" ht="14.4" customHeight="1" x14ac:dyDescent="0.3"/>
    <row r="11652" ht="14.4" customHeight="1" x14ac:dyDescent="0.3"/>
    <row r="11653" ht="14.4" customHeight="1" x14ac:dyDescent="0.3"/>
    <row r="11654" ht="14.4" customHeight="1" x14ac:dyDescent="0.3"/>
    <row r="11655" ht="14.4" customHeight="1" x14ac:dyDescent="0.3"/>
    <row r="11656" ht="14.4" customHeight="1" x14ac:dyDescent="0.3"/>
    <row r="11657" ht="14.4" customHeight="1" x14ac:dyDescent="0.3"/>
    <row r="11658" ht="14.4" customHeight="1" x14ac:dyDescent="0.3"/>
    <row r="11659" ht="14.4" customHeight="1" x14ac:dyDescent="0.3"/>
    <row r="11660" ht="14.4" customHeight="1" x14ac:dyDescent="0.3"/>
    <row r="11661" ht="14.4" customHeight="1" x14ac:dyDescent="0.3"/>
    <row r="11662" ht="14.4" customHeight="1" x14ac:dyDescent="0.3"/>
    <row r="11663" ht="14.4" customHeight="1" x14ac:dyDescent="0.3"/>
    <row r="11664" ht="14.4" customHeight="1" x14ac:dyDescent="0.3"/>
    <row r="11665" ht="14.4" customHeight="1" x14ac:dyDescent="0.3"/>
    <row r="11666" ht="14.4" customHeight="1" x14ac:dyDescent="0.3"/>
    <row r="11667" ht="14.4" customHeight="1" x14ac:dyDescent="0.3"/>
    <row r="11668" ht="14.4" customHeight="1" x14ac:dyDescent="0.3"/>
    <row r="11669" ht="14.4" customHeight="1" x14ac:dyDescent="0.3"/>
    <row r="11670" ht="14.4" customHeight="1" x14ac:dyDescent="0.3"/>
    <row r="11671" ht="14.4" customHeight="1" x14ac:dyDescent="0.3"/>
    <row r="11672" ht="14.4" customHeight="1" x14ac:dyDescent="0.3"/>
    <row r="11673" ht="14.4" customHeight="1" x14ac:dyDescent="0.3"/>
    <row r="11674" ht="14.4" customHeight="1" x14ac:dyDescent="0.3"/>
    <row r="11675" ht="14.4" customHeight="1" x14ac:dyDescent="0.3"/>
    <row r="11676" ht="14.4" customHeight="1" x14ac:dyDescent="0.3"/>
    <row r="11677" ht="14.4" customHeight="1" x14ac:dyDescent="0.3"/>
    <row r="11678" ht="14.4" customHeight="1" x14ac:dyDescent="0.3"/>
    <row r="11679" ht="14.4" customHeight="1" x14ac:dyDescent="0.3"/>
    <row r="11680" ht="14.4" customHeight="1" x14ac:dyDescent="0.3"/>
    <row r="11681" ht="14.4" customHeight="1" x14ac:dyDescent="0.3"/>
    <row r="11682" ht="14.4" customHeight="1" x14ac:dyDescent="0.3"/>
    <row r="11683" ht="14.4" customHeight="1" x14ac:dyDescent="0.3"/>
    <row r="11684" ht="14.4" customHeight="1" x14ac:dyDescent="0.3"/>
    <row r="11685" ht="14.4" customHeight="1" x14ac:dyDescent="0.3"/>
    <row r="11686" ht="14.4" customHeight="1" x14ac:dyDescent="0.3"/>
    <row r="11687" ht="14.4" customHeight="1" x14ac:dyDescent="0.3"/>
    <row r="11688" ht="14.4" customHeight="1" x14ac:dyDescent="0.3"/>
    <row r="11689" ht="14.4" customHeight="1" x14ac:dyDescent="0.3"/>
    <row r="11690" ht="14.4" customHeight="1" x14ac:dyDescent="0.3"/>
    <row r="11691" ht="14.4" customHeight="1" x14ac:dyDescent="0.3"/>
    <row r="11692" ht="14.4" customHeight="1" x14ac:dyDescent="0.3"/>
    <row r="11693" ht="14.4" customHeight="1" x14ac:dyDescent="0.3"/>
    <row r="11694" ht="14.4" customHeight="1" x14ac:dyDescent="0.3"/>
    <row r="11695" ht="14.4" customHeight="1" x14ac:dyDescent="0.3"/>
    <row r="11696" ht="14.4" customHeight="1" x14ac:dyDescent="0.3"/>
    <row r="11697" ht="14.4" customHeight="1" x14ac:dyDescent="0.3"/>
    <row r="11698" ht="14.4" customHeight="1" x14ac:dyDescent="0.3"/>
    <row r="11699" ht="14.4" customHeight="1" x14ac:dyDescent="0.3"/>
    <row r="11700" ht="14.4" customHeight="1" x14ac:dyDescent="0.3"/>
    <row r="11701" ht="14.4" customHeight="1" x14ac:dyDescent="0.3"/>
    <row r="11702" ht="14.4" customHeight="1" x14ac:dyDescent="0.3"/>
    <row r="11703" ht="14.4" customHeight="1" x14ac:dyDescent="0.3"/>
    <row r="11704" ht="14.4" customHeight="1" x14ac:dyDescent="0.3"/>
    <row r="11705" ht="14.4" customHeight="1" x14ac:dyDescent="0.3"/>
    <row r="11706" ht="14.4" customHeight="1" x14ac:dyDescent="0.3"/>
    <row r="11707" ht="14.4" customHeight="1" x14ac:dyDescent="0.3"/>
    <row r="11708" ht="14.4" customHeight="1" x14ac:dyDescent="0.3"/>
    <row r="11709" ht="14.4" customHeight="1" x14ac:dyDescent="0.3"/>
    <row r="11710" ht="14.4" customHeight="1" x14ac:dyDescent="0.3"/>
    <row r="11711" ht="14.4" customHeight="1" x14ac:dyDescent="0.3"/>
    <row r="11712" ht="14.4" customHeight="1" x14ac:dyDescent="0.3"/>
    <row r="11713" ht="14.4" customHeight="1" x14ac:dyDescent="0.3"/>
    <row r="11714" ht="14.4" customHeight="1" x14ac:dyDescent="0.3"/>
    <row r="11715" ht="14.4" customHeight="1" x14ac:dyDescent="0.3"/>
    <row r="11716" ht="14.4" customHeight="1" x14ac:dyDescent="0.3"/>
    <row r="11717" ht="14.4" customHeight="1" x14ac:dyDescent="0.3"/>
    <row r="11718" ht="14.4" customHeight="1" x14ac:dyDescent="0.3"/>
    <row r="11719" ht="14.4" customHeight="1" x14ac:dyDescent="0.3"/>
    <row r="11720" ht="14.4" customHeight="1" x14ac:dyDescent="0.3"/>
    <row r="11721" ht="14.4" customHeight="1" x14ac:dyDescent="0.3"/>
    <row r="11722" ht="14.4" customHeight="1" x14ac:dyDescent="0.3"/>
    <row r="11723" ht="14.4" customHeight="1" x14ac:dyDescent="0.3"/>
    <row r="11724" ht="14.4" customHeight="1" x14ac:dyDescent="0.3"/>
    <row r="11725" ht="14.4" customHeight="1" x14ac:dyDescent="0.3"/>
    <row r="11726" ht="14.4" customHeight="1" x14ac:dyDescent="0.3"/>
    <row r="11727" ht="14.4" customHeight="1" x14ac:dyDescent="0.3"/>
    <row r="11728" ht="14.4" customHeight="1" x14ac:dyDescent="0.3"/>
    <row r="11729" ht="14.4" customHeight="1" x14ac:dyDescent="0.3"/>
    <row r="11730" ht="14.4" customHeight="1" x14ac:dyDescent="0.3"/>
    <row r="11731" ht="14.4" customHeight="1" x14ac:dyDescent="0.3"/>
    <row r="11732" ht="14.4" customHeight="1" x14ac:dyDescent="0.3"/>
    <row r="11733" ht="14.4" customHeight="1" x14ac:dyDescent="0.3"/>
    <row r="11734" ht="14.4" customHeight="1" x14ac:dyDescent="0.3"/>
    <row r="11735" ht="14.4" customHeight="1" x14ac:dyDescent="0.3"/>
    <row r="11736" ht="14.4" customHeight="1" x14ac:dyDescent="0.3"/>
    <row r="11737" ht="14.4" customHeight="1" x14ac:dyDescent="0.3"/>
    <row r="11738" ht="14.4" customHeight="1" x14ac:dyDescent="0.3"/>
    <row r="11739" ht="14.4" customHeight="1" x14ac:dyDescent="0.3"/>
    <row r="11740" ht="14.4" customHeight="1" x14ac:dyDescent="0.3"/>
    <row r="11741" ht="14.4" customHeight="1" x14ac:dyDescent="0.3"/>
    <row r="11742" ht="14.4" customHeight="1" x14ac:dyDescent="0.3"/>
    <row r="11743" ht="14.4" customHeight="1" x14ac:dyDescent="0.3"/>
    <row r="11744" ht="14.4" customHeight="1" x14ac:dyDescent="0.3"/>
    <row r="11745" ht="14.4" customHeight="1" x14ac:dyDescent="0.3"/>
    <row r="11746" ht="14.4" customHeight="1" x14ac:dyDescent="0.3"/>
    <row r="11747" ht="14.4" customHeight="1" x14ac:dyDescent="0.3"/>
    <row r="11748" ht="14.4" customHeight="1" x14ac:dyDescent="0.3"/>
    <row r="11749" ht="14.4" customHeight="1" x14ac:dyDescent="0.3"/>
    <row r="11750" ht="14.4" customHeight="1" x14ac:dyDescent="0.3"/>
    <row r="11751" ht="14.4" customHeight="1" x14ac:dyDescent="0.3"/>
    <row r="11752" ht="14.4" customHeight="1" x14ac:dyDescent="0.3"/>
    <row r="11753" ht="14.4" customHeight="1" x14ac:dyDescent="0.3"/>
    <row r="11754" ht="14.4" customHeight="1" x14ac:dyDescent="0.3"/>
    <row r="11755" ht="14.4" customHeight="1" x14ac:dyDescent="0.3"/>
    <row r="11756" ht="14.4" customHeight="1" x14ac:dyDescent="0.3"/>
    <row r="11757" ht="14.4" customHeight="1" x14ac:dyDescent="0.3"/>
    <row r="11758" ht="14.4" customHeight="1" x14ac:dyDescent="0.3"/>
    <row r="11759" ht="14.4" customHeight="1" x14ac:dyDescent="0.3"/>
    <row r="11760" ht="14.4" customHeight="1" x14ac:dyDescent="0.3"/>
    <row r="11761" ht="14.4" customHeight="1" x14ac:dyDescent="0.3"/>
    <row r="11762" ht="14.4" customHeight="1" x14ac:dyDescent="0.3"/>
    <row r="11763" ht="14.4" customHeight="1" x14ac:dyDescent="0.3"/>
    <row r="11764" ht="14.4" customHeight="1" x14ac:dyDescent="0.3"/>
    <row r="11765" ht="14.4" customHeight="1" x14ac:dyDescent="0.3"/>
    <row r="11766" ht="14.4" customHeight="1" x14ac:dyDescent="0.3"/>
    <row r="11767" ht="14.4" customHeight="1" x14ac:dyDescent="0.3"/>
    <row r="11768" ht="14.4" customHeight="1" x14ac:dyDescent="0.3"/>
    <row r="11769" ht="14.4" customHeight="1" x14ac:dyDescent="0.3"/>
    <row r="11770" ht="14.4" customHeight="1" x14ac:dyDescent="0.3"/>
    <row r="11771" ht="14.4" customHeight="1" x14ac:dyDescent="0.3"/>
    <row r="11772" ht="14.4" customHeight="1" x14ac:dyDescent="0.3"/>
    <row r="11773" ht="14.4" customHeight="1" x14ac:dyDescent="0.3"/>
    <row r="11774" ht="14.4" customHeight="1" x14ac:dyDescent="0.3"/>
    <row r="11775" ht="14.4" customHeight="1" x14ac:dyDescent="0.3"/>
    <row r="11776" ht="14.4" customHeight="1" x14ac:dyDescent="0.3"/>
    <row r="11777" ht="14.4" customHeight="1" x14ac:dyDescent="0.3"/>
    <row r="11778" ht="14.4" customHeight="1" x14ac:dyDescent="0.3"/>
    <row r="11779" ht="14.4" customHeight="1" x14ac:dyDescent="0.3"/>
    <row r="11780" ht="14.4" customHeight="1" x14ac:dyDescent="0.3"/>
    <row r="11781" ht="14.4" customHeight="1" x14ac:dyDescent="0.3"/>
    <row r="11782" ht="14.4" customHeight="1" x14ac:dyDescent="0.3"/>
    <row r="11783" ht="14.4" customHeight="1" x14ac:dyDescent="0.3"/>
    <row r="11784" ht="14.4" customHeight="1" x14ac:dyDescent="0.3"/>
    <row r="11785" ht="14.4" customHeight="1" x14ac:dyDescent="0.3"/>
    <row r="11786" ht="14.4" customHeight="1" x14ac:dyDescent="0.3"/>
    <row r="11787" ht="14.4" customHeight="1" x14ac:dyDescent="0.3"/>
    <row r="11788" ht="14.4" customHeight="1" x14ac:dyDescent="0.3"/>
    <row r="11789" ht="14.4" customHeight="1" x14ac:dyDescent="0.3"/>
    <row r="11790" ht="14.4" customHeight="1" x14ac:dyDescent="0.3"/>
    <row r="11791" ht="14.4" customHeight="1" x14ac:dyDescent="0.3"/>
    <row r="11792" ht="14.4" customHeight="1" x14ac:dyDescent="0.3"/>
    <row r="11793" ht="14.4" customHeight="1" x14ac:dyDescent="0.3"/>
    <row r="11794" ht="14.4" customHeight="1" x14ac:dyDescent="0.3"/>
    <row r="11795" ht="14.4" customHeight="1" x14ac:dyDescent="0.3"/>
    <row r="11796" ht="14.4" customHeight="1" x14ac:dyDescent="0.3"/>
    <row r="11797" ht="14.4" customHeight="1" x14ac:dyDescent="0.3"/>
    <row r="11798" ht="14.4" customHeight="1" x14ac:dyDescent="0.3"/>
    <row r="11799" ht="14.4" customHeight="1" x14ac:dyDescent="0.3"/>
    <row r="11800" ht="14.4" customHeight="1" x14ac:dyDescent="0.3"/>
    <row r="11801" ht="14.4" customHeight="1" x14ac:dyDescent="0.3"/>
    <row r="11802" ht="14.4" customHeight="1" x14ac:dyDescent="0.3"/>
    <row r="11803" ht="14.4" customHeight="1" x14ac:dyDescent="0.3"/>
    <row r="11804" ht="14.4" customHeight="1" x14ac:dyDescent="0.3"/>
    <row r="11805" ht="14.4" customHeight="1" x14ac:dyDescent="0.3"/>
    <row r="11806" ht="14.4" customHeight="1" x14ac:dyDescent="0.3"/>
    <row r="11807" ht="14.4" customHeight="1" x14ac:dyDescent="0.3"/>
    <row r="11808" ht="14.4" customHeight="1" x14ac:dyDescent="0.3"/>
    <row r="11809" ht="14.4" customHeight="1" x14ac:dyDescent="0.3"/>
    <row r="11810" ht="14.4" customHeight="1" x14ac:dyDescent="0.3"/>
    <row r="11811" ht="14.4" customHeight="1" x14ac:dyDescent="0.3"/>
    <row r="11812" ht="14.4" customHeight="1" x14ac:dyDescent="0.3"/>
    <row r="11813" ht="14.4" customHeight="1" x14ac:dyDescent="0.3"/>
    <row r="11814" ht="14.4" customHeight="1" x14ac:dyDescent="0.3"/>
    <row r="11815" ht="14.4" customHeight="1" x14ac:dyDescent="0.3"/>
    <row r="11816" ht="14.4" customHeight="1" x14ac:dyDescent="0.3"/>
    <row r="11817" ht="14.4" customHeight="1" x14ac:dyDescent="0.3"/>
    <row r="11818" ht="14.4" customHeight="1" x14ac:dyDescent="0.3"/>
    <row r="11819" ht="14.4" customHeight="1" x14ac:dyDescent="0.3"/>
    <row r="11820" ht="14.4" customHeight="1" x14ac:dyDescent="0.3"/>
    <row r="11821" ht="14.4" customHeight="1" x14ac:dyDescent="0.3"/>
    <row r="11822" ht="14.4" customHeight="1" x14ac:dyDescent="0.3"/>
    <row r="11823" ht="14.4" customHeight="1" x14ac:dyDescent="0.3"/>
    <row r="11824" ht="14.4" customHeight="1" x14ac:dyDescent="0.3"/>
    <row r="11825" ht="14.4" customHeight="1" x14ac:dyDescent="0.3"/>
    <row r="11826" ht="14.4" customHeight="1" x14ac:dyDescent="0.3"/>
    <row r="11827" ht="14.4" customHeight="1" x14ac:dyDescent="0.3"/>
    <row r="11828" ht="14.4" customHeight="1" x14ac:dyDescent="0.3"/>
    <row r="11829" ht="14.4" customHeight="1" x14ac:dyDescent="0.3"/>
    <row r="11830" ht="14.4" customHeight="1" x14ac:dyDescent="0.3"/>
    <row r="11831" ht="14.4" customHeight="1" x14ac:dyDescent="0.3"/>
    <row r="11832" ht="14.4" customHeight="1" x14ac:dyDescent="0.3"/>
    <row r="11833" ht="14.4" customHeight="1" x14ac:dyDescent="0.3"/>
    <row r="11834" ht="14.4" customHeight="1" x14ac:dyDescent="0.3"/>
    <row r="11835" ht="14.4" customHeight="1" x14ac:dyDescent="0.3"/>
    <row r="11836" ht="14.4" customHeight="1" x14ac:dyDescent="0.3"/>
    <row r="11837" ht="14.4" customHeight="1" x14ac:dyDescent="0.3"/>
    <row r="11838" ht="14.4" customHeight="1" x14ac:dyDescent="0.3"/>
    <row r="11839" ht="14.4" customHeight="1" x14ac:dyDescent="0.3"/>
    <row r="11840" ht="14.4" customHeight="1" x14ac:dyDescent="0.3"/>
    <row r="11841" ht="14.4" customHeight="1" x14ac:dyDescent="0.3"/>
    <row r="11842" ht="14.4" customHeight="1" x14ac:dyDescent="0.3"/>
    <row r="11843" ht="14.4" customHeight="1" x14ac:dyDescent="0.3"/>
    <row r="11844" ht="14.4" customHeight="1" x14ac:dyDescent="0.3"/>
    <row r="11845" ht="14.4" customHeight="1" x14ac:dyDescent="0.3"/>
    <row r="11846" ht="14.4" customHeight="1" x14ac:dyDescent="0.3"/>
    <row r="11847" ht="14.4" customHeight="1" x14ac:dyDescent="0.3"/>
    <row r="11848" ht="14.4" customHeight="1" x14ac:dyDescent="0.3"/>
    <row r="11849" ht="14.4" customHeight="1" x14ac:dyDescent="0.3"/>
    <row r="11850" ht="14.4" customHeight="1" x14ac:dyDescent="0.3"/>
    <row r="11851" ht="14.4" customHeight="1" x14ac:dyDescent="0.3"/>
    <row r="11852" ht="14.4" customHeight="1" x14ac:dyDescent="0.3"/>
    <row r="11853" ht="14.4" customHeight="1" x14ac:dyDescent="0.3"/>
    <row r="11854" ht="14.4" customHeight="1" x14ac:dyDescent="0.3"/>
    <row r="11855" ht="14.4" customHeight="1" x14ac:dyDescent="0.3"/>
    <row r="11856" ht="14.4" customHeight="1" x14ac:dyDescent="0.3"/>
    <row r="11857" ht="14.4" customHeight="1" x14ac:dyDescent="0.3"/>
    <row r="11858" ht="14.4" customHeight="1" x14ac:dyDescent="0.3"/>
    <row r="11859" ht="14.4" customHeight="1" x14ac:dyDescent="0.3"/>
    <row r="11860" ht="14.4" customHeight="1" x14ac:dyDescent="0.3"/>
    <row r="11861" ht="14.4" customHeight="1" x14ac:dyDescent="0.3"/>
    <row r="11862" ht="14.4" customHeight="1" x14ac:dyDescent="0.3"/>
    <row r="11863" ht="14.4" customHeight="1" x14ac:dyDescent="0.3"/>
    <row r="11864" ht="14.4" customHeight="1" x14ac:dyDescent="0.3"/>
    <row r="11865" ht="14.4" customHeight="1" x14ac:dyDescent="0.3"/>
    <row r="11866" ht="14.4" customHeight="1" x14ac:dyDescent="0.3"/>
    <row r="11867" ht="14.4" customHeight="1" x14ac:dyDescent="0.3"/>
    <row r="11868" ht="14.4" customHeight="1" x14ac:dyDescent="0.3"/>
    <row r="11869" ht="14.4" customHeight="1" x14ac:dyDescent="0.3"/>
    <row r="11870" ht="14.4" customHeight="1" x14ac:dyDescent="0.3"/>
    <row r="11871" ht="14.4" customHeight="1" x14ac:dyDescent="0.3"/>
    <row r="11872" ht="14.4" customHeight="1" x14ac:dyDescent="0.3"/>
    <row r="11873" ht="14.4" customHeight="1" x14ac:dyDescent="0.3"/>
    <row r="11874" ht="14.4" customHeight="1" x14ac:dyDescent="0.3"/>
    <row r="11875" ht="14.4" customHeight="1" x14ac:dyDescent="0.3"/>
    <row r="11876" ht="14.4" customHeight="1" x14ac:dyDescent="0.3"/>
    <row r="11877" ht="14.4" customHeight="1" x14ac:dyDescent="0.3"/>
    <row r="11878" ht="14.4" customHeight="1" x14ac:dyDescent="0.3"/>
    <row r="11879" ht="14.4" customHeight="1" x14ac:dyDescent="0.3"/>
    <row r="11880" ht="14.4" customHeight="1" x14ac:dyDescent="0.3"/>
    <row r="11881" ht="14.4" customHeight="1" x14ac:dyDescent="0.3"/>
    <row r="11882" ht="14.4" customHeight="1" x14ac:dyDescent="0.3"/>
    <row r="11883" ht="14.4" customHeight="1" x14ac:dyDescent="0.3"/>
    <row r="11884" ht="14.4" customHeight="1" x14ac:dyDescent="0.3"/>
    <row r="11885" ht="14.4" customHeight="1" x14ac:dyDescent="0.3"/>
    <row r="11886" ht="14.4" customHeight="1" x14ac:dyDescent="0.3"/>
    <row r="11887" ht="14.4" customHeight="1" x14ac:dyDescent="0.3"/>
    <row r="11888" ht="14.4" customHeight="1" x14ac:dyDescent="0.3"/>
    <row r="11889" ht="14.4" customHeight="1" x14ac:dyDescent="0.3"/>
    <row r="11890" ht="14.4" customHeight="1" x14ac:dyDescent="0.3"/>
    <row r="11891" ht="14.4" customHeight="1" x14ac:dyDescent="0.3"/>
    <row r="11892" ht="14.4" customHeight="1" x14ac:dyDescent="0.3"/>
    <row r="11893" ht="14.4" customHeight="1" x14ac:dyDescent="0.3"/>
    <row r="11894" ht="14.4" customHeight="1" x14ac:dyDescent="0.3"/>
    <row r="11895" ht="14.4" customHeight="1" x14ac:dyDescent="0.3"/>
    <row r="11896" ht="14.4" customHeight="1" x14ac:dyDescent="0.3"/>
    <row r="11897" ht="14.4" customHeight="1" x14ac:dyDescent="0.3"/>
    <row r="11898" ht="14.4" customHeight="1" x14ac:dyDescent="0.3"/>
    <row r="11899" ht="14.4" customHeight="1" x14ac:dyDescent="0.3"/>
    <row r="11900" ht="14.4" customHeight="1" x14ac:dyDescent="0.3"/>
    <row r="11901" ht="14.4" customHeight="1" x14ac:dyDescent="0.3"/>
    <row r="11902" ht="14.4" customHeight="1" x14ac:dyDescent="0.3"/>
    <row r="11903" ht="14.4" customHeight="1" x14ac:dyDescent="0.3"/>
    <row r="11904" ht="14.4" customHeight="1" x14ac:dyDescent="0.3"/>
    <row r="11905" ht="14.4" customHeight="1" x14ac:dyDescent="0.3"/>
    <row r="11906" ht="14.4" customHeight="1" x14ac:dyDescent="0.3"/>
    <row r="11907" ht="14.4" customHeight="1" x14ac:dyDescent="0.3"/>
    <row r="11908" ht="14.4" customHeight="1" x14ac:dyDescent="0.3"/>
    <row r="11909" ht="14.4" customHeight="1" x14ac:dyDescent="0.3"/>
    <row r="11910" ht="14.4" customHeight="1" x14ac:dyDescent="0.3"/>
    <row r="11911" ht="14.4" customHeight="1" x14ac:dyDescent="0.3"/>
    <row r="11912" ht="14.4" customHeight="1" x14ac:dyDescent="0.3"/>
    <row r="11913" ht="14.4" customHeight="1" x14ac:dyDescent="0.3"/>
    <row r="11914" ht="14.4" customHeight="1" x14ac:dyDescent="0.3"/>
    <row r="11915" ht="14.4" customHeight="1" x14ac:dyDescent="0.3"/>
    <row r="11916" ht="14.4" customHeight="1" x14ac:dyDescent="0.3"/>
    <row r="11917" ht="14.4" customHeight="1" x14ac:dyDescent="0.3"/>
    <row r="11918" ht="14.4" customHeight="1" x14ac:dyDescent="0.3"/>
    <row r="11919" ht="14.4" customHeight="1" x14ac:dyDescent="0.3"/>
    <row r="11920" ht="14.4" customHeight="1" x14ac:dyDescent="0.3"/>
    <row r="11921" ht="14.4" customHeight="1" x14ac:dyDescent="0.3"/>
    <row r="11922" ht="14.4" customHeight="1" x14ac:dyDescent="0.3"/>
    <row r="11923" ht="14.4" customHeight="1" x14ac:dyDescent="0.3"/>
    <row r="11924" ht="14.4" customHeight="1" x14ac:dyDescent="0.3"/>
    <row r="11925" ht="14.4" customHeight="1" x14ac:dyDescent="0.3"/>
    <row r="11926" ht="14.4" customHeight="1" x14ac:dyDescent="0.3"/>
    <row r="11927" ht="14.4" customHeight="1" x14ac:dyDescent="0.3"/>
    <row r="11928" ht="14.4" customHeight="1" x14ac:dyDescent="0.3"/>
    <row r="11929" ht="14.4" customHeight="1" x14ac:dyDescent="0.3"/>
    <row r="11930" ht="14.4" customHeight="1" x14ac:dyDescent="0.3"/>
    <row r="11931" ht="14.4" customHeight="1" x14ac:dyDescent="0.3"/>
    <row r="11932" ht="14.4" customHeight="1" x14ac:dyDescent="0.3"/>
    <row r="11933" ht="14.4" customHeight="1" x14ac:dyDescent="0.3"/>
    <row r="11934" ht="14.4" customHeight="1" x14ac:dyDescent="0.3"/>
    <row r="11935" ht="14.4" customHeight="1" x14ac:dyDescent="0.3"/>
    <row r="11936" ht="14.4" customHeight="1" x14ac:dyDescent="0.3"/>
    <row r="11937" ht="14.4" customHeight="1" x14ac:dyDescent="0.3"/>
    <row r="11938" ht="14.4" customHeight="1" x14ac:dyDescent="0.3"/>
    <row r="11939" ht="14.4" customHeight="1" x14ac:dyDescent="0.3"/>
    <row r="11940" ht="14.4" customHeight="1" x14ac:dyDescent="0.3"/>
    <row r="11941" ht="14.4" customHeight="1" x14ac:dyDescent="0.3"/>
    <row r="11942" ht="14.4" customHeight="1" x14ac:dyDescent="0.3"/>
    <row r="11943" ht="14.4" customHeight="1" x14ac:dyDescent="0.3"/>
    <row r="11944" ht="14.4" customHeight="1" x14ac:dyDescent="0.3"/>
    <row r="11945" ht="14.4" customHeight="1" x14ac:dyDescent="0.3"/>
    <row r="11946" ht="14.4" customHeight="1" x14ac:dyDescent="0.3"/>
    <row r="11947" ht="14.4" customHeight="1" x14ac:dyDescent="0.3"/>
    <row r="11948" ht="14.4" customHeight="1" x14ac:dyDescent="0.3"/>
    <row r="11949" ht="14.4" customHeight="1" x14ac:dyDescent="0.3"/>
    <row r="11950" ht="14.4" customHeight="1" x14ac:dyDescent="0.3"/>
    <row r="11951" ht="14.4" customHeight="1" x14ac:dyDescent="0.3"/>
    <row r="11952" ht="14.4" customHeight="1" x14ac:dyDescent="0.3"/>
    <row r="11953" ht="14.4" customHeight="1" x14ac:dyDescent="0.3"/>
    <row r="11954" ht="14.4" customHeight="1" x14ac:dyDescent="0.3"/>
    <row r="11955" ht="14.4" customHeight="1" x14ac:dyDescent="0.3"/>
    <row r="11956" ht="14.4" customHeight="1" x14ac:dyDescent="0.3"/>
    <row r="11957" ht="14.4" customHeight="1" x14ac:dyDescent="0.3"/>
    <row r="11958" ht="14.4" customHeight="1" x14ac:dyDescent="0.3"/>
    <row r="11959" ht="14.4" customHeight="1" x14ac:dyDescent="0.3"/>
    <row r="11960" ht="14.4" customHeight="1" x14ac:dyDescent="0.3"/>
    <row r="11961" ht="14.4" customHeight="1" x14ac:dyDescent="0.3"/>
    <row r="11962" ht="14.4" customHeight="1" x14ac:dyDescent="0.3"/>
    <row r="11963" ht="14.4" customHeight="1" x14ac:dyDescent="0.3"/>
    <row r="11964" ht="14.4" customHeight="1" x14ac:dyDescent="0.3"/>
    <row r="11965" ht="14.4" customHeight="1" x14ac:dyDescent="0.3"/>
    <row r="11966" ht="14.4" customHeight="1" x14ac:dyDescent="0.3"/>
    <row r="11967" ht="14.4" customHeight="1" x14ac:dyDescent="0.3"/>
    <row r="11968" ht="14.4" customHeight="1" x14ac:dyDescent="0.3"/>
    <row r="11969" ht="14.4" customHeight="1" x14ac:dyDescent="0.3"/>
    <row r="11970" ht="14.4" customHeight="1" x14ac:dyDescent="0.3"/>
    <row r="11971" ht="14.4" customHeight="1" x14ac:dyDescent="0.3"/>
    <row r="11972" ht="14.4" customHeight="1" x14ac:dyDescent="0.3"/>
    <row r="11973" ht="14.4" customHeight="1" x14ac:dyDescent="0.3"/>
    <row r="11974" ht="14.4" customHeight="1" x14ac:dyDescent="0.3"/>
    <row r="11975" ht="14.4" customHeight="1" x14ac:dyDescent="0.3"/>
    <row r="11976" ht="14.4" customHeight="1" x14ac:dyDescent="0.3"/>
    <row r="11977" ht="14.4" customHeight="1" x14ac:dyDescent="0.3"/>
    <row r="11978" ht="14.4" customHeight="1" x14ac:dyDescent="0.3"/>
    <row r="11979" ht="14.4" customHeight="1" x14ac:dyDescent="0.3"/>
    <row r="11980" ht="14.4" customHeight="1" x14ac:dyDescent="0.3"/>
    <row r="11981" ht="14.4" customHeight="1" x14ac:dyDescent="0.3"/>
    <row r="11982" ht="14.4" customHeight="1" x14ac:dyDescent="0.3"/>
    <row r="11983" ht="14.4" customHeight="1" x14ac:dyDescent="0.3"/>
    <row r="11984" ht="14.4" customHeight="1" x14ac:dyDescent="0.3"/>
    <row r="11985" ht="14.4" customHeight="1" x14ac:dyDescent="0.3"/>
    <row r="11986" ht="14.4" customHeight="1" x14ac:dyDescent="0.3"/>
    <row r="11987" ht="14.4" customHeight="1" x14ac:dyDescent="0.3"/>
    <row r="11988" ht="14.4" customHeight="1" x14ac:dyDescent="0.3"/>
    <row r="11989" ht="14.4" customHeight="1" x14ac:dyDescent="0.3"/>
    <row r="11990" ht="14.4" customHeight="1" x14ac:dyDescent="0.3"/>
    <row r="11991" ht="14.4" customHeight="1" x14ac:dyDescent="0.3"/>
    <row r="11992" ht="14.4" customHeight="1" x14ac:dyDescent="0.3"/>
    <row r="11993" ht="14.4" customHeight="1" x14ac:dyDescent="0.3"/>
    <row r="11994" ht="14.4" customHeight="1" x14ac:dyDescent="0.3"/>
    <row r="11995" ht="14.4" customHeight="1" x14ac:dyDescent="0.3"/>
    <row r="11996" ht="14.4" customHeight="1" x14ac:dyDescent="0.3"/>
    <row r="11997" ht="14.4" customHeight="1" x14ac:dyDescent="0.3"/>
    <row r="11998" ht="14.4" customHeight="1" x14ac:dyDescent="0.3"/>
    <row r="11999" ht="14.4" customHeight="1" x14ac:dyDescent="0.3"/>
    <row r="12000" ht="14.4" customHeight="1" x14ac:dyDescent="0.3"/>
    <row r="12001" ht="14.4" customHeight="1" x14ac:dyDescent="0.3"/>
    <row r="12002" ht="14.4" customHeight="1" x14ac:dyDescent="0.3"/>
    <row r="12003" ht="14.4" customHeight="1" x14ac:dyDescent="0.3"/>
    <row r="12004" ht="14.4" customHeight="1" x14ac:dyDescent="0.3"/>
    <row r="12005" ht="14.4" customHeight="1" x14ac:dyDescent="0.3"/>
    <row r="12006" ht="14.4" customHeight="1" x14ac:dyDescent="0.3"/>
    <row r="12007" ht="14.4" customHeight="1" x14ac:dyDescent="0.3"/>
    <row r="12008" ht="14.4" customHeight="1" x14ac:dyDescent="0.3"/>
    <row r="12009" ht="14.4" customHeight="1" x14ac:dyDescent="0.3"/>
    <row r="12010" ht="14.4" customHeight="1" x14ac:dyDescent="0.3"/>
    <row r="12011" ht="14.4" customHeight="1" x14ac:dyDescent="0.3"/>
    <row r="12012" ht="14.4" customHeight="1" x14ac:dyDescent="0.3"/>
    <row r="12013" ht="14.4" customHeight="1" x14ac:dyDescent="0.3"/>
    <row r="12014" ht="14.4" customHeight="1" x14ac:dyDescent="0.3"/>
    <row r="12015" ht="14.4" customHeight="1" x14ac:dyDescent="0.3"/>
    <row r="12016" ht="14.4" customHeight="1" x14ac:dyDescent="0.3"/>
    <row r="12017" ht="14.4" customHeight="1" x14ac:dyDescent="0.3"/>
    <row r="12018" ht="14.4" customHeight="1" x14ac:dyDescent="0.3"/>
    <row r="12019" ht="14.4" customHeight="1" x14ac:dyDescent="0.3"/>
    <row r="12020" ht="14.4" customHeight="1" x14ac:dyDescent="0.3"/>
    <row r="12021" ht="14.4" customHeight="1" x14ac:dyDescent="0.3"/>
    <row r="12022" ht="14.4" customHeight="1" x14ac:dyDescent="0.3"/>
    <row r="12023" ht="14.4" customHeight="1" x14ac:dyDescent="0.3"/>
    <row r="12024" ht="14.4" customHeight="1" x14ac:dyDescent="0.3"/>
    <row r="12025" ht="14.4" customHeight="1" x14ac:dyDescent="0.3"/>
    <row r="12026" ht="14.4" customHeight="1" x14ac:dyDescent="0.3"/>
    <row r="12027" ht="14.4" customHeight="1" x14ac:dyDescent="0.3"/>
    <row r="12028" ht="14.4" customHeight="1" x14ac:dyDescent="0.3"/>
    <row r="12029" ht="14.4" customHeight="1" x14ac:dyDescent="0.3"/>
    <row r="12030" ht="14.4" customHeight="1" x14ac:dyDescent="0.3"/>
    <row r="12031" ht="14.4" customHeight="1" x14ac:dyDescent="0.3"/>
    <row r="12032" ht="14.4" customHeight="1" x14ac:dyDescent="0.3"/>
    <row r="12033" ht="14.4" customHeight="1" x14ac:dyDescent="0.3"/>
    <row r="12034" ht="14.4" customHeight="1" x14ac:dyDescent="0.3"/>
    <row r="12035" ht="14.4" customHeight="1" x14ac:dyDescent="0.3"/>
    <row r="12036" ht="14.4" customHeight="1" x14ac:dyDescent="0.3"/>
    <row r="12037" ht="14.4" customHeight="1" x14ac:dyDescent="0.3"/>
    <row r="12038" ht="14.4" customHeight="1" x14ac:dyDescent="0.3"/>
    <row r="12039" ht="14.4" customHeight="1" x14ac:dyDescent="0.3"/>
    <row r="12040" ht="14.4" customHeight="1" x14ac:dyDescent="0.3"/>
    <row r="12041" ht="14.4" customHeight="1" x14ac:dyDescent="0.3"/>
    <row r="12042" ht="14.4" customHeight="1" x14ac:dyDescent="0.3"/>
    <row r="12043" ht="14.4" customHeight="1" x14ac:dyDescent="0.3"/>
    <row r="12044" ht="14.4" customHeight="1" x14ac:dyDescent="0.3"/>
    <row r="12045" ht="14.4" customHeight="1" x14ac:dyDescent="0.3"/>
    <row r="12046" ht="14.4" customHeight="1" x14ac:dyDescent="0.3"/>
    <row r="12047" ht="14.4" customHeight="1" x14ac:dyDescent="0.3"/>
    <row r="12048" ht="14.4" customHeight="1" x14ac:dyDescent="0.3"/>
    <row r="12049" ht="14.4" customHeight="1" x14ac:dyDescent="0.3"/>
    <row r="12050" ht="14.4" customHeight="1" x14ac:dyDescent="0.3"/>
    <row r="12051" ht="14.4" customHeight="1" x14ac:dyDescent="0.3"/>
    <row r="12052" ht="14.4" customHeight="1" x14ac:dyDescent="0.3"/>
    <row r="12053" ht="14.4" customHeight="1" x14ac:dyDescent="0.3"/>
    <row r="12054" ht="14.4" customHeight="1" x14ac:dyDescent="0.3"/>
    <row r="12055" ht="14.4" customHeight="1" x14ac:dyDescent="0.3"/>
    <row r="12056" ht="14.4" customHeight="1" x14ac:dyDescent="0.3"/>
    <row r="12057" ht="14.4" customHeight="1" x14ac:dyDescent="0.3"/>
    <row r="12058" ht="14.4" customHeight="1" x14ac:dyDescent="0.3"/>
    <row r="12059" ht="14.4" customHeight="1" x14ac:dyDescent="0.3"/>
    <row r="12060" ht="14.4" customHeight="1" x14ac:dyDescent="0.3"/>
    <row r="12061" ht="14.4" customHeight="1" x14ac:dyDescent="0.3"/>
    <row r="12062" ht="14.4" customHeight="1" x14ac:dyDescent="0.3"/>
    <row r="12063" ht="14.4" customHeight="1" x14ac:dyDescent="0.3"/>
    <row r="12064" ht="14.4" customHeight="1" x14ac:dyDescent="0.3"/>
    <row r="12065" ht="14.4" customHeight="1" x14ac:dyDescent="0.3"/>
    <row r="12066" ht="14.4" customHeight="1" x14ac:dyDescent="0.3"/>
    <row r="12067" ht="14.4" customHeight="1" x14ac:dyDescent="0.3"/>
    <row r="12068" ht="14.4" customHeight="1" x14ac:dyDescent="0.3"/>
    <row r="12069" ht="14.4" customHeight="1" x14ac:dyDescent="0.3"/>
    <row r="12070" ht="14.4" customHeight="1" x14ac:dyDescent="0.3"/>
    <row r="12071" ht="14.4" customHeight="1" x14ac:dyDescent="0.3"/>
    <row r="12072" ht="14.4" customHeight="1" x14ac:dyDescent="0.3"/>
    <row r="12073" ht="14.4" customHeight="1" x14ac:dyDescent="0.3"/>
    <row r="12074" ht="14.4" customHeight="1" x14ac:dyDescent="0.3"/>
    <row r="12075" ht="14.4" customHeight="1" x14ac:dyDescent="0.3"/>
    <row r="12076" ht="14.4" customHeight="1" x14ac:dyDescent="0.3"/>
    <row r="12077" ht="14.4" customHeight="1" x14ac:dyDescent="0.3"/>
    <row r="12078" ht="14.4" customHeight="1" x14ac:dyDescent="0.3"/>
    <row r="12079" ht="14.4" customHeight="1" x14ac:dyDescent="0.3"/>
    <row r="12080" ht="14.4" customHeight="1" x14ac:dyDescent="0.3"/>
    <row r="12081" ht="14.4" customHeight="1" x14ac:dyDescent="0.3"/>
    <row r="12082" ht="14.4" customHeight="1" x14ac:dyDescent="0.3"/>
    <row r="12083" ht="14.4" customHeight="1" x14ac:dyDescent="0.3"/>
    <row r="12084" ht="14.4" customHeight="1" x14ac:dyDescent="0.3"/>
    <row r="12085" ht="14.4" customHeight="1" x14ac:dyDescent="0.3"/>
    <row r="12086" ht="14.4" customHeight="1" x14ac:dyDescent="0.3"/>
    <row r="12087" ht="14.4" customHeight="1" x14ac:dyDescent="0.3"/>
    <row r="12088" ht="14.4" customHeight="1" x14ac:dyDescent="0.3"/>
    <row r="12089" ht="14.4" customHeight="1" x14ac:dyDescent="0.3"/>
    <row r="12090" ht="14.4" customHeight="1" x14ac:dyDescent="0.3"/>
    <row r="12091" ht="14.4" customHeight="1" x14ac:dyDescent="0.3"/>
    <row r="12092" ht="14.4" customHeight="1" x14ac:dyDescent="0.3"/>
    <row r="12093" ht="14.4" customHeight="1" x14ac:dyDescent="0.3"/>
    <row r="12094" ht="14.4" customHeight="1" x14ac:dyDescent="0.3"/>
    <row r="12095" ht="14.4" customHeight="1" x14ac:dyDescent="0.3"/>
    <row r="12096" ht="14.4" customHeight="1" x14ac:dyDescent="0.3"/>
    <row r="12097" ht="14.4" customHeight="1" x14ac:dyDescent="0.3"/>
    <row r="12098" ht="14.4" customHeight="1" x14ac:dyDescent="0.3"/>
    <row r="12099" ht="14.4" customHeight="1" x14ac:dyDescent="0.3"/>
    <row r="12100" ht="14.4" customHeight="1" x14ac:dyDescent="0.3"/>
    <row r="12101" ht="14.4" customHeight="1" x14ac:dyDescent="0.3"/>
    <row r="12102" ht="14.4" customHeight="1" x14ac:dyDescent="0.3"/>
    <row r="12103" ht="14.4" customHeight="1" x14ac:dyDescent="0.3"/>
    <row r="12104" ht="14.4" customHeight="1" x14ac:dyDescent="0.3"/>
    <row r="12105" ht="14.4" customHeight="1" x14ac:dyDescent="0.3"/>
    <row r="12106" ht="14.4" customHeight="1" x14ac:dyDescent="0.3"/>
    <row r="12107" ht="14.4" customHeight="1" x14ac:dyDescent="0.3"/>
    <row r="12108" ht="14.4" customHeight="1" x14ac:dyDescent="0.3"/>
    <row r="12109" ht="14.4" customHeight="1" x14ac:dyDescent="0.3"/>
    <row r="12110" ht="14.4" customHeight="1" x14ac:dyDescent="0.3"/>
    <row r="12111" ht="14.4" customHeight="1" x14ac:dyDescent="0.3"/>
    <row r="12112" ht="14.4" customHeight="1" x14ac:dyDescent="0.3"/>
    <row r="12113" ht="14.4" customHeight="1" x14ac:dyDescent="0.3"/>
    <row r="12114" ht="14.4" customHeight="1" x14ac:dyDescent="0.3"/>
    <row r="12115" ht="14.4" customHeight="1" x14ac:dyDescent="0.3"/>
    <row r="12116" ht="14.4" customHeight="1" x14ac:dyDescent="0.3"/>
    <row r="12117" ht="14.4" customHeight="1" x14ac:dyDescent="0.3"/>
    <row r="12118" ht="14.4" customHeight="1" x14ac:dyDescent="0.3"/>
    <row r="12119" ht="14.4" customHeight="1" x14ac:dyDescent="0.3"/>
    <row r="12120" ht="14.4" customHeight="1" x14ac:dyDescent="0.3"/>
    <row r="12121" ht="14.4" customHeight="1" x14ac:dyDescent="0.3"/>
    <row r="12122" ht="14.4" customHeight="1" x14ac:dyDescent="0.3"/>
    <row r="12123" ht="14.4" customHeight="1" x14ac:dyDescent="0.3"/>
    <row r="12124" ht="14.4" customHeight="1" x14ac:dyDescent="0.3"/>
    <row r="12125" ht="14.4" customHeight="1" x14ac:dyDescent="0.3"/>
    <row r="12126" ht="14.4" customHeight="1" x14ac:dyDescent="0.3"/>
    <row r="12127" ht="14.4" customHeight="1" x14ac:dyDescent="0.3"/>
    <row r="12128" ht="14.4" customHeight="1" x14ac:dyDescent="0.3"/>
    <row r="12129" ht="14.4" customHeight="1" x14ac:dyDescent="0.3"/>
    <row r="12130" ht="14.4" customHeight="1" x14ac:dyDescent="0.3"/>
    <row r="12131" ht="14.4" customHeight="1" x14ac:dyDescent="0.3"/>
    <row r="12132" ht="14.4" customHeight="1" x14ac:dyDescent="0.3"/>
    <row r="12133" ht="14.4" customHeight="1" x14ac:dyDescent="0.3"/>
    <row r="12134" ht="14.4" customHeight="1" x14ac:dyDescent="0.3"/>
    <row r="12135" ht="14.4" customHeight="1" x14ac:dyDescent="0.3"/>
    <row r="12136" ht="14.4" customHeight="1" x14ac:dyDescent="0.3"/>
    <row r="12137" ht="14.4" customHeight="1" x14ac:dyDescent="0.3"/>
    <row r="12138" ht="14.4" customHeight="1" x14ac:dyDescent="0.3"/>
    <row r="12139" ht="14.4" customHeight="1" x14ac:dyDescent="0.3"/>
    <row r="12140" ht="14.4" customHeight="1" x14ac:dyDescent="0.3"/>
    <row r="12141" ht="14.4" customHeight="1" x14ac:dyDescent="0.3"/>
    <row r="12142" ht="14.4" customHeight="1" x14ac:dyDescent="0.3"/>
    <row r="12143" ht="14.4" customHeight="1" x14ac:dyDescent="0.3"/>
    <row r="12144" ht="14.4" customHeight="1" x14ac:dyDescent="0.3"/>
    <row r="12145" ht="14.4" customHeight="1" x14ac:dyDescent="0.3"/>
    <row r="12146" ht="14.4" customHeight="1" x14ac:dyDescent="0.3"/>
    <row r="12147" ht="14.4" customHeight="1" x14ac:dyDescent="0.3"/>
    <row r="12148" ht="14.4" customHeight="1" x14ac:dyDescent="0.3"/>
    <row r="12149" ht="14.4" customHeight="1" x14ac:dyDescent="0.3"/>
    <row r="12150" ht="14.4" customHeight="1" x14ac:dyDescent="0.3"/>
    <row r="12151" ht="14.4" customHeight="1" x14ac:dyDescent="0.3"/>
    <row r="12152" ht="14.4" customHeight="1" x14ac:dyDescent="0.3"/>
    <row r="12153" ht="14.4" customHeight="1" x14ac:dyDescent="0.3"/>
    <row r="12154" ht="14.4" customHeight="1" x14ac:dyDescent="0.3"/>
    <row r="12155" ht="14.4" customHeight="1" x14ac:dyDescent="0.3"/>
    <row r="12156" ht="14.4" customHeight="1" x14ac:dyDescent="0.3"/>
    <row r="12157" ht="14.4" customHeight="1" x14ac:dyDescent="0.3"/>
    <row r="12158" ht="14.4" customHeight="1" x14ac:dyDescent="0.3"/>
    <row r="12159" ht="14.4" customHeight="1" x14ac:dyDescent="0.3"/>
    <row r="12160" ht="14.4" customHeight="1" x14ac:dyDescent="0.3"/>
    <row r="12161" ht="14.4" customHeight="1" x14ac:dyDescent="0.3"/>
    <row r="12162" ht="14.4" customHeight="1" x14ac:dyDescent="0.3"/>
    <row r="12163" ht="14.4" customHeight="1" x14ac:dyDescent="0.3"/>
    <row r="12164" ht="14.4" customHeight="1" x14ac:dyDescent="0.3"/>
    <row r="12165" ht="14.4" customHeight="1" x14ac:dyDescent="0.3"/>
    <row r="12166" ht="14.4" customHeight="1" x14ac:dyDescent="0.3"/>
    <row r="12167" ht="14.4" customHeight="1" x14ac:dyDescent="0.3"/>
    <row r="12168" ht="14.4" customHeight="1" x14ac:dyDescent="0.3"/>
    <row r="12169" ht="14.4" customHeight="1" x14ac:dyDescent="0.3"/>
    <row r="12170" ht="14.4" customHeight="1" x14ac:dyDescent="0.3"/>
    <row r="12171" ht="14.4" customHeight="1" x14ac:dyDescent="0.3"/>
    <row r="12172" ht="14.4" customHeight="1" x14ac:dyDescent="0.3"/>
    <row r="12173" ht="14.4" customHeight="1" x14ac:dyDescent="0.3"/>
    <row r="12174" ht="14.4" customHeight="1" x14ac:dyDescent="0.3"/>
    <row r="12175" ht="14.4" customHeight="1" x14ac:dyDescent="0.3"/>
    <row r="12176" ht="14.4" customHeight="1" x14ac:dyDescent="0.3"/>
    <row r="12177" ht="14.4" customHeight="1" x14ac:dyDescent="0.3"/>
    <row r="12178" ht="14.4" customHeight="1" x14ac:dyDescent="0.3"/>
    <row r="12179" ht="14.4" customHeight="1" x14ac:dyDescent="0.3"/>
    <row r="12180" ht="14.4" customHeight="1" x14ac:dyDescent="0.3"/>
    <row r="12181" ht="14.4" customHeight="1" x14ac:dyDescent="0.3"/>
    <row r="12182" ht="14.4" customHeight="1" x14ac:dyDescent="0.3"/>
    <row r="12183" ht="14.4" customHeight="1" x14ac:dyDescent="0.3"/>
    <row r="12184" ht="14.4" customHeight="1" x14ac:dyDescent="0.3"/>
    <row r="12185" ht="14.4" customHeight="1" x14ac:dyDescent="0.3"/>
    <row r="12186" ht="14.4" customHeight="1" x14ac:dyDescent="0.3"/>
    <row r="12187" ht="14.4" customHeight="1" x14ac:dyDescent="0.3"/>
    <row r="12188" ht="14.4" customHeight="1" x14ac:dyDescent="0.3"/>
    <row r="12189" ht="14.4" customHeight="1" x14ac:dyDescent="0.3"/>
    <row r="12190" ht="14.4" customHeight="1" x14ac:dyDescent="0.3"/>
    <row r="12191" ht="14.4" customHeight="1" x14ac:dyDescent="0.3"/>
    <row r="12192" ht="14.4" customHeight="1" x14ac:dyDescent="0.3"/>
    <row r="12193" ht="14.4" customHeight="1" x14ac:dyDescent="0.3"/>
    <row r="12194" ht="14.4" customHeight="1" x14ac:dyDescent="0.3"/>
    <row r="12195" ht="14.4" customHeight="1" x14ac:dyDescent="0.3"/>
    <row r="12196" ht="14.4" customHeight="1" x14ac:dyDescent="0.3"/>
    <row r="12197" ht="14.4" customHeight="1" x14ac:dyDescent="0.3"/>
    <row r="12198" ht="14.4" customHeight="1" x14ac:dyDescent="0.3"/>
    <row r="12199" ht="14.4" customHeight="1" x14ac:dyDescent="0.3"/>
    <row r="12200" ht="14.4" customHeight="1" x14ac:dyDescent="0.3"/>
    <row r="12201" ht="14.4" customHeight="1" x14ac:dyDescent="0.3"/>
    <row r="12202" ht="14.4" customHeight="1" x14ac:dyDescent="0.3"/>
    <row r="12203" ht="14.4" customHeight="1" x14ac:dyDescent="0.3"/>
    <row r="12204" ht="14.4" customHeight="1" x14ac:dyDescent="0.3"/>
    <row r="12205" ht="14.4" customHeight="1" x14ac:dyDescent="0.3"/>
    <row r="12206" ht="14.4" customHeight="1" x14ac:dyDescent="0.3"/>
    <row r="12207" ht="14.4" customHeight="1" x14ac:dyDescent="0.3"/>
    <row r="12208" ht="14.4" customHeight="1" x14ac:dyDescent="0.3"/>
    <row r="12209" ht="14.4" customHeight="1" x14ac:dyDescent="0.3"/>
    <row r="12210" ht="14.4" customHeight="1" x14ac:dyDescent="0.3"/>
    <row r="12211" ht="14.4" customHeight="1" x14ac:dyDescent="0.3"/>
    <row r="12212" ht="14.4" customHeight="1" x14ac:dyDescent="0.3"/>
    <row r="12213" ht="14.4" customHeight="1" x14ac:dyDescent="0.3"/>
    <row r="12214" ht="14.4" customHeight="1" x14ac:dyDescent="0.3"/>
    <row r="12215" ht="14.4" customHeight="1" x14ac:dyDescent="0.3"/>
    <row r="12216" ht="14.4" customHeight="1" x14ac:dyDescent="0.3"/>
    <row r="12217" ht="14.4" customHeight="1" x14ac:dyDescent="0.3"/>
    <row r="12218" ht="14.4" customHeight="1" x14ac:dyDescent="0.3"/>
    <row r="12219" ht="14.4" customHeight="1" x14ac:dyDescent="0.3"/>
    <row r="12220" ht="14.4" customHeight="1" x14ac:dyDescent="0.3"/>
    <row r="12221" ht="14.4" customHeight="1" x14ac:dyDescent="0.3"/>
    <row r="12222" ht="14.4" customHeight="1" x14ac:dyDescent="0.3"/>
    <row r="12223" ht="14.4" customHeight="1" x14ac:dyDescent="0.3"/>
    <row r="12224" ht="14.4" customHeight="1" x14ac:dyDescent="0.3"/>
    <row r="12225" ht="14.4" customHeight="1" x14ac:dyDescent="0.3"/>
    <row r="12226" ht="14.4" customHeight="1" x14ac:dyDescent="0.3"/>
    <row r="12227" ht="14.4" customHeight="1" x14ac:dyDescent="0.3"/>
    <row r="12228" ht="14.4" customHeight="1" x14ac:dyDescent="0.3"/>
    <row r="12229" ht="14.4" customHeight="1" x14ac:dyDescent="0.3"/>
    <row r="12230" ht="14.4" customHeight="1" x14ac:dyDescent="0.3"/>
    <row r="12231" ht="14.4" customHeight="1" x14ac:dyDescent="0.3"/>
    <row r="12232" ht="14.4" customHeight="1" x14ac:dyDescent="0.3"/>
    <row r="12233" ht="14.4" customHeight="1" x14ac:dyDescent="0.3"/>
    <row r="12234" ht="14.4" customHeight="1" x14ac:dyDescent="0.3"/>
    <row r="12235" ht="14.4" customHeight="1" x14ac:dyDescent="0.3"/>
    <row r="12236" ht="14.4" customHeight="1" x14ac:dyDescent="0.3"/>
    <row r="12237" ht="14.4" customHeight="1" x14ac:dyDescent="0.3"/>
    <row r="12238" ht="14.4" customHeight="1" x14ac:dyDescent="0.3"/>
    <row r="12239" ht="14.4" customHeight="1" x14ac:dyDescent="0.3"/>
    <row r="12240" ht="14.4" customHeight="1" x14ac:dyDescent="0.3"/>
    <row r="12241" ht="14.4" customHeight="1" x14ac:dyDescent="0.3"/>
    <row r="12242" ht="14.4" customHeight="1" x14ac:dyDescent="0.3"/>
    <row r="12243" ht="14.4" customHeight="1" x14ac:dyDescent="0.3"/>
    <row r="12244" ht="14.4" customHeight="1" x14ac:dyDescent="0.3"/>
    <row r="12245" ht="14.4" customHeight="1" x14ac:dyDescent="0.3"/>
    <row r="12246" ht="14.4" customHeight="1" x14ac:dyDescent="0.3"/>
    <row r="12247" ht="14.4" customHeight="1" x14ac:dyDescent="0.3"/>
    <row r="12248" ht="14.4" customHeight="1" x14ac:dyDescent="0.3"/>
    <row r="12249" ht="14.4" customHeight="1" x14ac:dyDescent="0.3"/>
    <row r="12250" ht="14.4" customHeight="1" x14ac:dyDescent="0.3"/>
    <row r="12251" ht="14.4" customHeight="1" x14ac:dyDescent="0.3"/>
    <row r="12252" ht="14.4" customHeight="1" x14ac:dyDescent="0.3"/>
    <row r="12253" ht="14.4" customHeight="1" x14ac:dyDescent="0.3"/>
    <row r="12254" ht="14.4" customHeight="1" x14ac:dyDescent="0.3"/>
    <row r="12255" ht="14.4" customHeight="1" x14ac:dyDescent="0.3"/>
    <row r="12256" ht="14.4" customHeight="1" x14ac:dyDescent="0.3"/>
    <row r="12257" ht="14.4" customHeight="1" x14ac:dyDescent="0.3"/>
    <row r="12258" ht="14.4" customHeight="1" x14ac:dyDescent="0.3"/>
    <row r="12259" ht="14.4" customHeight="1" x14ac:dyDescent="0.3"/>
    <row r="12260" ht="14.4" customHeight="1" x14ac:dyDescent="0.3"/>
    <row r="12261" ht="14.4" customHeight="1" x14ac:dyDescent="0.3"/>
    <row r="12262" ht="14.4" customHeight="1" x14ac:dyDescent="0.3"/>
    <row r="12263" ht="14.4" customHeight="1" x14ac:dyDescent="0.3"/>
    <row r="12264" ht="14.4" customHeight="1" x14ac:dyDescent="0.3"/>
    <row r="12265" ht="14.4" customHeight="1" x14ac:dyDescent="0.3"/>
    <row r="12266" ht="14.4" customHeight="1" x14ac:dyDescent="0.3"/>
    <row r="12267" ht="14.4" customHeight="1" x14ac:dyDescent="0.3"/>
    <row r="12268" ht="14.4" customHeight="1" x14ac:dyDescent="0.3"/>
    <row r="12269" ht="14.4" customHeight="1" x14ac:dyDescent="0.3"/>
    <row r="12270" ht="14.4" customHeight="1" x14ac:dyDescent="0.3"/>
    <row r="12271" ht="14.4" customHeight="1" x14ac:dyDescent="0.3"/>
    <row r="12272" ht="14.4" customHeight="1" x14ac:dyDescent="0.3"/>
    <row r="12273" ht="14.4" customHeight="1" x14ac:dyDescent="0.3"/>
    <row r="12274" ht="14.4" customHeight="1" x14ac:dyDescent="0.3"/>
    <row r="12275" ht="14.4" customHeight="1" x14ac:dyDescent="0.3"/>
    <row r="12276" ht="14.4" customHeight="1" x14ac:dyDescent="0.3"/>
    <row r="12277" ht="14.4" customHeight="1" x14ac:dyDescent="0.3"/>
    <row r="12278" ht="14.4" customHeight="1" x14ac:dyDescent="0.3"/>
    <row r="12279" ht="14.4" customHeight="1" x14ac:dyDescent="0.3"/>
    <row r="12280" ht="14.4" customHeight="1" x14ac:dyDescent="0.3"/>
    <row r="12281" ht="14.4" customHeight="1" x14ac:dyDescent="0.3"/>
    <row r="12282" ht="14.4" customHeight="1" x14ac:dyDescent="0.3"/>
    <row r="12283" ht="14.4" customHeight="1" x14ac:dyDescent="0.3"/>
    <row r="12284" ht="14.4" customHeight="1" x14ac:dyDescent="0.3"/>
    <row r="12285" ht="14.4" customHeight="1" x14ac:dyDescent="0.3"/>
    <row r="12286" ht="14.4" customHeight="1" x14ac:dyDescent="0.3"/>
    <row r="12287" ht="14.4" customHeight="1" x14ac:dyDescent="0.3"/>
    <row r="12288" ht="14.4" customHeight="1" x14ac:dyDescent="0.3"/>
    <row r="12289" ht="14.4" customHeight="1" x14ac:dyDescent="0.3"/>
    <row r="12290" ht="14.4" customHeight="1" x14ac:dyDescent="0.3"/>
    <row r="12291" ht="14.4" customHeight="1" x14ac:dyDescent="0.3"/>
    <row r="12292" ht="14.4" customHeight="1" x14ac:dyDescent="0.3"/>
    <row r="12293" ht="14.4" customHeight="1" x14ac:dyDescent="0.3"/>
    <row r="12294" ht="14.4" customHeight="1" x14ac:dyDescent="0.3"/>
    <row r="12295" ht="14.4" customHeight="1" x14ac:dyDescent="0.3"/>
    <row r="12296" ht="14.4" customHeight="1" x14ac:dyDescent="0.3"/>
    <row r="12297" ht="14.4" customHeight="1" x14ac:dyDescent="0.3"/>
    <row r="12298" ht="14.4" customHeight="1" x14ac:dyDescent="0.3"/>
    <row r="12299" ht="14.4" customHeight="1" x14ac:dyDescent="0.3"/>
    <row r="12300" ht="14.4" customHeight="1" x14ac:dyDescent="0.3"/>
    <row r="12301" ht="14.4" customHeight="1" x14ac:dyDescent="0.3"/>
    <row r="12302" ht="14.4" customHeight="1" x14ac:dyDescent="0.3"/>
    <row r="12303" ht="14.4" customHeight="1" x14ac:dyDescent="0.3"/>
    <row r="12304" ht="14.4" customHeight="1" x14ac:dyDescent="0.3"/>
    <row r="12305" ht="14.4" customHeight="1" x14ac:dyDescent="0.3"/>
    <row r="12306" ht="14.4" customHeight="1" x14ac:dyDescent="0.3"/>
    <row r="12307" ht="14.4" customHeight="1" x14ac:dyDescent="0.3"/>
    <row r="12308" ht="14.4" customHeight="1" x14ac:dyDescent="0.3"/>
    <row r="12309" ht="14.4" customHeight="1" x14ac:dyDescent="0.3"/>
    <row r="12310" ht="14.4" customHeight="1" x14ac:dyDescent="0.3"/>
    <row r="12311" ht="14.4" customHeight="1" x14ac:dyDescent="0.3"/>
    <row r="12312" ht="14.4" customHeight="1" x14ac:dyDescent="0.3"/>
    <row r="12313" ht="14.4" customHeight="1" x14ac:dyDescent="0.3"/>
    <row r="12314" ht="14.4" customHeight="1" x14ac:dyDescent="0.3"/>
    <row r="12315" ht="14.4" customHeight="1" x14ac:dyDescent="0.3"/>
    <row r="12316" ht="14.4" customHeight="1" x14ac:dyDescent="0.3"/>
    <row r="12317" ht="14.4" customHeight="1" x14ac:dyDescent="0.3"/>
    <row r="12318" ht="14.4" customHeight="1" x14ac:dyDescent="0.3"/>
    <row r="12319" ht="14.4" customHeight="1" x14ac:dyDescent="0.3"/>
    <row r="12320" ht="14.4" customHeight="1" x14ac:dyDescent="0.3"/>
    <row r="12321" ht="14.4" customHeight="1" x14ac:dyDescent="0.3"/>
    <row r="12322" ht="14.4" customHeight="1" x14ac:dyDescent="0.3"/>
    <row r="12323" ht="14.4" customHeight="1" x14ac:dyDescent="0.3"/>
    <row r="12324" ht="14.4" customHeight="1" x14ac:dyDescent="0.3"/>
    <row r="12325" ht="14.4" customHeight="1" x14ac:dyDescent="0.3"/>
    <row r="12326" ht="14.4" customHeight="1" x14ac:dyDescent="0.3"/>
    <row r="12327" ht="14.4" customHeight="1" x14ac:dyDescent="0.3"/>
    <row r="12328" ht="14.4" customHeight="1" x14ac:dyDescent="0.3"/>
    <row r="12329" ht="14.4" customHeight="1" x14ac:dyDescent="0.3"/>
    <row r="12330" ht="14.4" customHeight="1" x14ac:dyDescent="0.3"/>
    <row r="12331" ht="14.4" customHeight="1" x14ac:dyDescent="0.3"/>
    <row r="12332" ht="14.4" customHeight="1" x14ac:dyDescent="0.3"/>
    <row r="12333" ht="14.4" customHeight="1" x14ac:dyDescent="0.3"/>
    <row r="12334" ht="14.4" customHeight="1" x14ac:dyDescent="0.3"/>
    <row r="12335" ht="14.4" customHeight="1" x14ac:dyDescent="0.3"/>
    <row r="12336" ht="14.4" customHeight="1" x14ac:dyDescent="0.3"/>
    <row r="12337" ht="14.4" customHeight="1" x14ac:dyDescent="0.3"/>
    <row r="12338" ht="14.4" customHeight="1" x14ac:dyDescent="0.3"/>
    <row r="12339" ht="14.4" customHeight="1" x14ac:dyDescent="0.3"/>
    <row r="12340" ht="14.4" customHeight="1" x14ac:dyDescent="0.3"/>
    <row r="12341" ht="14.4" customHeight="1" x14ac:dyDescent="0.3"/>
    <row r="12342" ht="14.4" customHeight="1" x14ac:dyDescent="0.3"/>
    <row r="12343" ht="14.4" customHeight="1" x14ac:dyDescent="0.3"/>
    <row r="12344" ht="14.4" customHeight="1" x14ac:dyDescent="0.3"/>
    <row r="12345" ht="14.4" customHeight="1" x14ac:dyDescent="0.3"/>
    <row r="12346" ht="14.4" customHeight="1" x14ac:dyDescent="0.3"/>
    <row r="12347" ht="14.4" customHeight="1" x14ac:dyDescent="0.3"/>
    <row r="12348" ht="14.4" customHeight="1" x14ac:dyDescent="0.3"/>
    <row r="12349" ht="14.4" customHeight="1" x14ac:dyDescent="0.3"/>
    <row r="12350" ht="14.4" customHeight="1" x14ac:dyDescent="0.3"/>
    <row r="12351" ht="14.4" customHeight="1" x14ac:dyDescent="0.3"/>
    <row r="12352" ht="14.4" customHeight="1" x14ac:dyDescent="0.3"/>
    <row r="12353" ht="14.4" customHeight="1" x14ac:dyDescent="0.3"/>
    <row r="12354" ht="14.4" customHeight="1" x14ac:dyDescent="0.3"/>
    <row r="12355" ht="14.4" customHeight="1" x14ac:dyDescent="0.3"/>
    <row r="12356" ht="14.4" customHeight="1" x14ac:dyDescent="0.3"/>
    <row r="12357" ht="14.4" customHeight="1" x14ac:dyDescent="0.3"/>
    <row r="12358" ht="14.4" customHeight="1" x14ac:dyDescent="0.3"/>
    <row r="12359" ht="14.4" customHeight="1" x14ac:dyDescent="0.3"/>
    <row r="12360" ht="14.4" customHeight="1" x14ac:dyDescent="0.3"/>
    <row r="12361" ht="14.4" customHeight="1" x14ac:dyDescent="0.3"/>
    <row r="12362" ht="14.4" customHeight="1" x14ac:dyDescent="0.3"/>
    <row r="12363" ht="14.4" customHeight="1" x14ac:dyDescent="0.3"/>
    <row r="12364" ht="14.4" customHeight="1" x14ac:dyDescent="0.3"/>
    <row r="12365" ht="14.4" customHeight="1" x14ac:dyDescent="0.3"/>
    <row r="12366" ht="14.4" customHeight="1" x14ac:dyDescent="0.3"/>
    <row r="12367" ht="14.4" customHeight="1" x14ac:dyDescent="0.3"/>
    <row r="12368" ht="14.4" customHeight="1" x14ac:dyDescent="0.3"/>
    <row r="12369" ht="14.4" customHeight="1" x14ac:dyDescent="0.3"/>
    <row r="12370" ht="14.4" customHeight="1" x14ac:dyDescent="0.3"/>
    <row r="12371" ht="14.4" customHeight="1" x14ac:dyDescent="0.3"/>
    <row r="12372" ht="14.4" customHeight="1" x14ac:dyDescent="0.3"/>
    <row r="12373" ht="14.4" customHeight="1" x14ac:dyDescent="0.3"/>
    <row r="12374" ht="14.4" customHeight="1" x14ac:dyDescent="0.3"/>
    <row r="12375" ht="14.4" customHeight="1" x14ac:dyDescent="0.3"/>
    <row r="12376" ht="14.4" customHeight="1" x14ac:dyDescent="0.3"/>
    <row r="12377" ht="14.4" customHeight="1" x14ac:dyDescent="0.3"/>
    <row r="12378" ht="14.4" customHeight="1" x14ac:dyDescent="0.3"/>
    <row r="12379" ht="14.4" customHeight="1" x14ac:dyDescent="0.3"/>
    <row r="12380" ht="14.4" customHeight="1" x14ac:dyDescent="0.3"/>
    <row r="12381" ht="14.4" customHeight="1" x14ac:dyDescent="0.3"/>
    <row r="12382" ht="14.4" customHeight="1" x14ac:dyDescent="0.3"/>
    <row r="12383" ht="14.4" customHeight="1" x14ac:dyDescent="0.3"/>
    <row r="12384" ht="14.4" customHeight="1" x14ac:dyDescent="0.3"/>
    <row r="12385" ht="14.4" customHeight="1" x14ac:dyDescent="0.3"/>
    <row r="12386" ht="14.4" customHeight="1" x14ac:dyDescent="0.3"/>
    <row r="12387" ht="14.4" customHeight="1" x14ac:dyDescent="0.3"/>
    <row r="12388" ht="14.4" customHeight="1" x14ac:dyDescent="0.3"/>
    <row r="12389" ht="14.4" customHeight="1" x14ac:dyDescent="0.3"/>
    <row r="12390" ht="14.4" customHeight="1" x14ac:dyDescent="0.3"/>
    <row r="12391" ht="14.4" customHeight="1" x14ac:dyDescent="0.3"/>
    <row r="12392" ht="14.4" customHeight="1" x14ac:dyDescent="0.3"/>
    <row r="12393" ht="14.4" customHeight="1" x14ac:dyDescent="0.3"/>
    <row r="12394" ht="14.4" customHeight="1" x14ac:dyDescent="0.3"/>
    <row r="12395" ht="14.4" customHeight="1" x14ac:dyDescent="0.3"/>
    <row r="12396" ht="14.4" customHeight="1" x14ac:dyDescent="0.3"/>
    <row r="12397" ht="14.4" customHeight="1" x14ac:dyDescent="0.3"/>
    <row r="12398" ht="14.4" customHeight="1" x14ac:dyDescent="0.3"/>
    <row r="12399" ht="14.4" customHeight="1" x14ac:dyDescent="0.3"/>
    <row r="12400" ht="14.4" customHeight="1" x14ac:dyDescent="0.3"/>
    <row r="12401" ht="14.4" customHeight="1" x14ac:dyDescent="0.3"/>
    <row r="12402" ht="14.4" customHeight="1" x14ac:dyDescent="0.3"/>
    <row r="12403" ht="14.4" customHeight="1" x14ac:dyDescent="0.3"/>
    <row r="12404" ht="14.4" customHeight="1" x14ac:dyDescent="0.3"/>
    <row r="12405" ht="14.4" customHeight="1" x14ac:dyDescent="0.3"/>
    <row r="12406" ht="14.4" customHeight="1" x14ac:dyDescent="0.3"/>
    <row r="12407" ht="14.4" customHeight="1" x14ac:dyDescent="0.3"/>
    <row r="12408" ht="14.4" customHeight="1" x14ac:dyDescent="0.3"/>
    <row r="12409" ht="14.4" customHeight="1" x14ac:dyDescent="0.3"/>
    <row r="12410" ht="14.4" customHeight="1" x14ac:dyDescent="0.3"/>
    <row r="12411" ht="14.4" customHeight="1" x14ac:dyDescent="0.3"/>
    <row r="12412" ht="14.4" customHeight="1" x14ac:dyDescent="0.3"/>
    <row r="12413" ht="14.4" customHeight="1" x14ac:dyDescent="0.3"/>
    <row r="12414" ht="14.4" customHeight="1" x14ac:dyDescent="0.3"/>
    <row r="12415" ht="14.4" customHeight="1" x14ac:dyDescent="0.3"/>
    <row r="12416" ht="14.4" customHeight="1" x14ac:dyDescent="0.3"/>
    <row r="12417" ht="14.4" customHeight="1" x14ac:dyDescent="0.3"/>
    <row r="12418" ht="14.4" customHeight="1" x14ac:dyDescent="0.3"/>
    <row r="12419" ht="14.4" customHeight="1" x14ac:dyDescent="0.3"/>
    <row r="12420" ht="14.4" customHeight="1" x14ac:dyDescent="0.3"/>
    <row r="12421" ht="14.4" customHeight="1" x14ac:dyDescent="0.3"/>
    <row r="12422" ht="14.4" customHeight="1" x14ac:dyDescent="0.3"/>
    <row r="12423" ht="14.4" customHeight="1" x14ac:dyDescent="0.3"/>
    <row r="12424" ht="14.4" customHeight="1" x14ac:dyDescent="0.3"/>
    <row r="12425" ht="14.4" customHeight="1" x14ac:dyDescent="0.3"/>
    <row r="12426" ht="14.4" customHeight="1" x14ac:dyDescent="0.3"/>
    <row r="12427" ht="14.4" customHeight="1" x14ac:dyDescent="0.3"/>
    <row r="12428" ht="14.4" customHeight="1" x14ac:dyDescent="0.3"/>
    <row r="12429" ht="14.4" customHeight="1" x14ac:dyDescent="0.3"/>
    <row r="12430" ht="14.4" customHeight="1" x14ac:dyDescent="0.3"/>
    <row r="12431" ht="14.4" customHeight="1" x14ac:dyDescent="0.3"/>
    <row r="12432" ht="14.4" customHeight="1" x14ac:dyDescent="0.3"/>
    <row r="12433" ht="14.4" customHeight="1" x14ac:dyDescent="0.3"/>
    <row r="12434" ht="14.4" customHeight="1" x14ac:dyDescent="0.3"/>
    <row r="12435" ht="14.4" customHeight="1" x14ac:dyDescent="0.3"/>
    <row r="12436" ht="14.4" customHeight="1" x14ac:dyDescent="0.3"/>
    <row r="12437" ht="14.4" customHeight="1" x14ac:dyDescent="0.3"/>
    <row r="12438" ht="14.4" customHeight="1" x14ac:dyDescent="0.3"/>
    <row r="12439" ht="14.4" customHeight="1" x14ac:dyDescent="0.3"/>
    <row r="12440" ht="14.4" customHeight="1" x14ac:dyDescent="0.3"/>
    <row r="12441" ht="14.4" customHeight="1" x14ac:dyDescent="0.3"/>
    <row r="12442" ht="14.4" customHeight="1" x14ac:dyDescent="0.3"/>
    <row r="12443" ht="14.4" customHeight="1" x14ac:dyDescent="0.3"/>
    <row r="12444" ht="14.4" customHeight="1" x14ac:dyDescent="0.3"/>
    <row r="12445" ht="14.4" customHeight="1" x14ac:dyDescent="0.3"/>
    <row r="12446" ht="14.4" customHeight="1" x14ac:dyDescent="0.3"/>
    <row r="12447" ht="14.4" customHeight="1" x14ac:dyDescent="0.3"/>
    <row r="12448" ht="14.4" customHeight="1" x14ac:dyDescent="0.3"/>
    <row r="12449" ht="14.4" customHeight="1" x14ac:dyDescent="0.3"/>
    <row r="12450" ht="14.4" customHeight="1" x14ac:dyDescent="0.3"/>
    <row r="12451" ht="14.4" customHeight="1" x14ac:dyDescent="0.3"/>
    <row r="12452" ht="14.4" customHeight="1" x14ac:dyDescent="0.3"/>
    <row r="12453" ht="14.4" customHeight="1" x14ac:dyDescent="0.3"/>
    <row r="12454" ht="14.4" customHeight="1" x14ac:dyDescent="0.3"/>
    <row r="12455" ht="14.4" customHeight="1" x14ac:dyDescent="0.3"/>
    <row r="12456" ht="14.4" customHeight="1" x14ac:dyDescent="0.3"/>
    <row r="12457" ht="14.4" customHeight="1" x14ac:dyDescent="0.3"/>
    <row r="12458" ht="14.4" customHeight="1" x14ac:dyDescent="0.3"/>
    <row r="12459" ht="14.4" customHeight="1" x14ac:dyDescent="0.3"/>
    <row r="12460" ht="14.4" customHeight="1" x14ac:dyDescent="0.3"/>
    <row r="12461" ht="14.4" customHeight="1" x14ac:dyDescent="0.3"/>
    <row r="12462" ht="14.4" customHeight="1" x14ac:dyDescent="0.3"/>
    <row r="12463" ht="14.4" customHeight="1" x14ac:dyDescent="0.3"/>
    <row r="12464" ht="14.4" customHeight="1" x14ac:dyDescent="0.3"/>
    <row r="12465" ht="14.4" customHeight="1" x14ac:dyDescent="0.3"/>
    <row r="12466" ht="14.4" customHeight="1" x14ac:dyDescent="0.3"/>
    <row r="12467" ht="14.4" customHeight="1" x14ac:dyDescent="0.3"/>
    <row r="12468" ht="14.4" customHeight="1" x14ac:dyDescent="0.3"/>
    <row r="12469" ht="14.4" customHeight="1" x14ac:dyDescent="0.3"/>
    <row r="12470" ht="14.4" customHeight="1" x14ac:dyDescent="0.3"/>
    <row r="12471" ht="14.4" customHeight="1" x14ac:dyDescent="0.3"/>
    <row r="12472" ht="14.4" customHeight="1" x14ac:dyDescent="0.3"/>
    <row r="12473" ht="14.4" customHeight="1" x14ac:dyDescent="0.3"/>
    <row r="12474" ht="14.4" customHeight="1" x14ac:dyDescent="0.3"/>
    <row r="12475" ht="14.4" customHeight="1" x14ac:dyDescent="0.3"/>
    <row r="12476" ht="14.4" customHeight="1" x14ac:dyDescent="0.3"/>
    <row r="12477" ht="14.4" customHeight="1" x14ac:dyDescent="0.3"/>
    <row r="12478" ht="14.4" customHeight="1" x14ac:dyDescent="0.3"/>
    <row r="12479" ht="14.4" customHeight="1" x14ac:dyDescent="0.3"/>
    <row r="12480" ht="14.4" customHeight="1" x14ac:dyDescent="0.3"/>
    <row r="12481" ht="14.4" customHeight="1" x14ac:dyDescent="0.3"/>
    <row r="12482" ht="14.4" customHeight="1" x14ac:dyDescent="0.3"/>
    <row r="12483" ht="14.4" customHeight="1" x14ac:dyDescent="0.3"/>
    <row r="12484" ht="14.4" customHeight="1" x14ac:dyDescent="0.3"/>
    <row r="12485" ht="14.4" customHeight="1" x14ac:dyDescent="0.3"/>
    <row r="12486" ht="14.4" customHeight="1" x14ac:dyDescent="0.3"/>
    <row r="12487" ht="14.4" customHeight="1" x14ac:dyDescent="0.3"/>
    <row r="12488" ht="14.4" customHeight="1" x14ac:dyDescent="0.3"/>
    <row r="12489" ht="14.4" customHeight="1" x14ac:dyDescent="0.3"/>
    <row r="12490" ht="14.4" customHeight="1" x14ac:dyDescent="0.3"/>
    <row r="12491" ht="14.4" customHeight="1" x14ac:dyDescent="0.3"/>
    <row r="12492" ht="14.4" customHeight="1" x14ac:dyDescent="0.3"/>
    <row r="12493" ht="14.4" customHeight="1" x14ac:dyDescent="0.3"/>
    <row r="12494" ht="14.4" customHeight="1" x14ac:dyDescent="0.3"/>
    <row r="12495" ht="14.4" customHeight="1" x14ac:dyDescent="0.3"/>
    <row r="12496" ht="14.4" customHeight="1" x14ac:dyDescent="0.3"/>
    <row r="12497" ht="14.4" customHeight="1" x14ac:dyDescent="0.3"/>
    <row r="12498" ht="14.4" customHeight="1" x14ac:dyDescent="0.3"/>
    <row r="12499" ht="14.4" customHeight="1" x14ac:dyDescent="0.3"/>
    <row r="12500" ht="14.4" customHeight="1" x14ac:dyDescent="0.3"/>
    <row r="12501" ht="14.4" customHeight="1" x14ac:dyDescent="0.3"/>
    <row r="12502" ht="14.4" customHeight="1" x14ac:dyDescent="0.3"/>
    <row r="12503" ht="14.4" customHeight="1" x14ac:dyDescent="0.3"/>
    <row r="12504" ht="14.4" customHeight="1" x14ac:dyDescent="0.3"/>
    <row r="12505" ht="14.4" customHeight="1" x14ac:dyDescent="0.3"/>
    <row r="12506" ht="14.4" customHeight="1" x14ac:dyDescent="0.3"/>
    <row r="12507" ht="14.4" customHeight="1" x14ac:dyDescent="0.3"/>
    <row r="12508" ht="14.4" customHeight="1" x14ac:dyDescent="0.3"/>
    <row r="12509" ht="14.4" customHeight="1" x14ac:dyDescent="0.3"/>
    <row r="12510" ht="14.4" customHeight="1" x14ac:dyDescent="0.3"/>
    <row r="12511" ht="14.4" customHeight="1" x14ac:dyDescent="0.3"/>
    <row r="12512" ht="14.4" customHeight="1" x14ac:dyDescent="0.3"/>
    <row r="12513" ht="14.4" customHeight="1" x14ac:dyDescent="0.3"/>
    <row r="12514" ht="14.4" customHeight="1" x14ac:dyDescent="0.3"/>
    <row r="12515" ht="14.4" customHeight="1" x14ac:dyDescent="0.3"/>
    <row r="12516" ht="14.4" customHeight="1" x14ac:dyDescent="0.3"/>
    <row r="12517" ht="14.4" customHeight="1" x14ac:dyDescent="0.3"/>
    <row r="12518" ht="14.4" customHeight="1" x14ac:dyDescent="0.3"/>
    <row r="12519" ht="14.4" customHeight="1" x14ac:dyDescent="0.3"/>
    <row r="12520" ht="14.4" customHeight="1" x14ac:dyDescent="0.3"/>
    <row r="12521" ht="14.4" customHeight="1" x14ac:dyDescent="0.3"/>
    <row r="12522" ht="14.4" customHeight="1" x14ac:dyDescent="0.3"/>
    <row r="12523" ht="14.4" customHeight="1" x14ac:dyDescent="0.3"/>
    <row r="12524" ht="14.4" customHeight="1" x14ac:dyDescent="0.3"/>
    <row r="12525" ht="14.4" customHeight="1" x14ac:dyDescent="0.3"/>
    <row r="12526" ht="14.4" customHeight="1" x14ac:dyDescent="0.3"/>
    <row r="12527" ht="14.4" customHeight="1" x14ac:dyDescent="0.3"/>
    <row r="12528" ht="14.4" customHeight="1" x14ac:dyDescent="0.3"/>
    <row r="12529" ht="14.4" customHeight="1" x14ac:dyDescent="0.3"/>
    <row r="12530" ht="14.4" customHeight="1" x14ac:dyDescent="0.3"/>
    <row r="12531" ht="14.4" customHeight="1" x14ac:dyDescent="0.3"/>
    <row r="12532" ht="14.4" customHeight="1" x14ac:dyDescent="0.3"/>
    <row r="12533" ht="14.4" customHeight="1" x14ac:dyDescent="0.3"/>
    <row r="12534" ht="14.4" customHeight="1" x14ac:dyDescent="0.3"/>
    <row r="12535" ht="14.4" customHeight="1" x14ac:dyDescent="0.3"/>
    <row r="12536" ht="14.4" customHeight="1" x14ac:dyDescent="0.3"/>
    <row r="12537" ht="14.4" customHeight="1" x14ac:dyDescent="0.3"/>
    <row r="12538" ht="14.4" customHeight="1" x14ac:dyDescent="0.3"/>
    <row r="12539" ht="14.4" customHeight="1" x14ac:dyDescent="0.3"/>
    <row r="12540" ht="14.4" customHeight="1" x14ac:dyDescent="0.3"/>
    <row r="12541" ht="14.4" customHeight="1" x14ac:dyDescent="0.3"/>
    <row r="12542" ht="14.4" customHeight="1" x14ac:dyDescent="0.3"/>
    <row r="12543" ht="14.4" customHeight="1" x14ac:dyDescent="0.3"/>
    <row r="12544" ht="14.4" customHeight="1" x14ac:dyDescent="0.3"/>
    <row r="12545" ht="14.4" customHeight="1" x14ac:dyDescent="0.3"/>
    <row r="12546" ht="14.4" customHeight="1" x14ac:dyDescent="0.3"/>
    <row r="12547" ht="14.4" customHeight="1" x14ac:dyDescent="0.3"/>
    <row r="12548" ht="14.4" customHeight="1" x14ac:dyDescent="0.3"/>
    <row r="12549" ht="14.4" customHeight="1" x14ac:dyDescent="0.3"/>
    <row r="12550" ht="14.4" customHeight="1" x14ac:dyDescent="0.3"/>
    <row r="12551" ht="14.4" customHeight="1" x14ac:dyDescent="0.3"/>
    <row r="12552" ht="14.4" customHeight="1" x14ac:dyDescent="0.3"/>
    <row r="12553" ht="14.4" customHeight="1" x14ac:dyDescent="0.3"/>
    <row r="12554" ht="14.4" customHeight="1" x14ac:dyDescent="0.3"/>
    <row r="12555" ht="14.4" customHeight="1" x14ac:dyDescent="0.3"/>
    <row r="12556" ht="14.4" customHeight="1" x14ac:dyDescent="0.3"/>
    <row r="12557" ht="14.4" customHeight="1" x14ac:dyDescent="0.3"/>
    <row r="12558" ht="14.4" customHeight="1" x14ac:dyDescent="0.3"/>
    <row r="12559" ht="14.4" customHeight="1" x14ac:dyDescent="0.3"/>
    <row r="12560" ht="14.4" customHeight="1" x14ac:dyDescent="0.3"/>
    <row r="12561" ht="14.4" customHeight="1" x14ac:dyDescent="0.3"/>
    <row r="12562" ht="14.4" customHeight="1" x14ac:dyDescent="0.3"/>
    <row r="12563" ht="14.4" customHeight="1" x14ac:dyDescent="0.3"/>
    <row r="12564" ht="14.4" customHeight="1" x14ac:dyDescent="0.3"/>
    <row r="12565" ht="14.4" customHeight="1" x14ac:dyDescent="0.3"/>
    <row r="12566" ht="14.4" customHeight="1" x14ac:dyDescent="0.3"/>
    <row r="12567" ht="14.4" customHeight="1" x14ac:dyDescent="0.3"/>
    <row r="12568" ht="14.4" customHeight="1" x14ac:dyDescent="0.3"/>
    <row r="12569" ht="14.4" customHeight="1" x14ac:dyDescent="0.3"/>
    <row r="12570" ht="14.4" customHeight="1" x14ac:dyDescent="0.3"/>
    <row r="12571" ht="14.4" customHeight="1" x14ac:dyDescent="0.3"/>
    <row r="12572" ht="14.4" customHeight="1" x14ac:dyDescent="0.3"/>
    <row r="12573" ht="14.4" customHeight="1" x14ac:dyDescent="0.3"/>
    <row r="12574" ht="14.4" customHeight="1" x14ac:dyDescent="0.3"/>
    <row r="12575" ht="14.4" customHeight="1" x14ac:dyDescent="0.3"/>
    <row r="12576" ht="14.4" customHeight="1" x14ac:dyDescent="0.3"/>
    <row r="12577" ht="14.4" customHeight="1" x14ac:dyDescent="0.3"/>
    <row r="12578" ht="14.4" customHeight="1" x14ac:dyDescent="0.3"/>
    <row r="12579" ht="14.4" customHeight="1" x14ac:dyDescent="0.3"/>
    <row r="12580" ht="14.4" customHeight="1" x14ac:dyDescent="0.3"/>
    <row r="12581" ht="14.4" customHeight="1" x14ac:dyDescent="0.3"/>
    <row r="12582" ht="14.4" customHeight="1" x14ac:dyDescent="0.3"/>
    <row r="12583" ht="14.4" customHeight="1" x14ac:dyDescent="0.3"/>
    <row r="12584" ht="14.4" customHeight="1" x14ac:dyDescent="0.3"/>
    <row r="12585" ht="14.4" customHeight="1" x14ac:dyDescent="0.3"/>
    <row r="12586" ht="14.4" customHeight="1" x14ac:dyDescent="0.3"/>
    <row r="12587" ht="14.4" customHeight="1" x14ac:dyDescent="0.3"/>
    <row r="12588" ht="14.4" customHeight="1" x14ac:dyDescent="0.3"/>
    <row r="12589" ht="14.4" customHeight="1" x14ac:dyDescent="0.3"/>
    <row r="12590" ht="14.4" customHeight="1" x14ac:dyDescent="0.3"/>
    <row r="12591" ht="14.4" customHeight="1" x14ac:dyDescent="0.3"/>
    <row r="12592" ht="14.4" customHeight="1" x14ac:dyDescent="0.3"/>
    <row r="12593" ht="14.4" customHeight="1" x14ac:dyDescent="0.3"/>
    <row r="12594" ht="14.4" customHeight="1" x14ac:dyDescent="0.3"/>
    <row r="12595" ht="14.4" customHeight="1" x14ac:dyDescent="0.3"/>
    <row r="12596" ht="14.4" customHeight="1" x14ac:dyDescent="0.3"/>
    <row r="12597" ht="14.4" customHeight="1" x14ac:dyDescent="0.3"/>
    <row r="12598" ht="14.4" customHeight="1" x14ac:dyDescent="0.3"/>
    <row r="12599" ht="14.4" customHeight="1" x14ac:dyDescent="0.3"/>
    <row r="12600" ht="14.4" customHeight="1" x14ac:dyDescent="0.3"/>
    <row r="12601" ht="14.4" customHeight="1" x14ac:dyDescent="0.3"/>
    <row r="12602" ht="14.4" customHeight="1" x14ac:dyDescent="0.3"/>
    <row r="12603" ht="14.4" customHeight="1" x14ac:dyDescent="0.3"/>
    <row r="12604" ht="14.4" customHeight="1" x14ac:dyDescent="0.3"/>
    <row r="12605" ht="14.4" customHeight="1" x14ac:dyDescent="0.3"/>
    <row r="12606" ht="14.4" customHeight="1" x14ac:dyDescent="0.3"/>
    <row r="12607" ht="14.4" customHeight="1" x14ac:dyDescent="0.3"/>
    <row r="12608" ht="14.4" customHeight="1" x14ac:dyDescent="0.3"/>
    <row r="12609" ht="14.4" customHeight="1" x14ac:dyDescent="0.3"/>
    <row r="12610" ht="14.4" customHeight="1" x14ac:dyDescent="0.3"/>
    <row r="12611" ht="14.4" customHeight="1" x14ac:dyDescent="0.3"/>
    <row r="12612" ht="14.4" customHeight="1" x14ac:dyDescent="0.3"/>
    <row r="12613" ht="14.4" customHeight="1" x14ac:dyDescent="0.3"/>
    <row r="12614" ht="14.4" customHeight="1" x14ac:dyDescent="0.3"/>
    <row r="12615" ht="14.4" customHeight="1" x14ac:dyDescent="0.3"/>
    <row r="12616" ht="14.4" customHeight="1" x14ac:dyDescent="0.3"/>
    <row r="12617" ht="14.4" customHeight="1" x14ac:dyDescent="0.3"/>
    <row r="12618" ht="14.4" customHeight="1" x14ac:dyDescent="0.3"/>
    <row r="12619" ht="14.4" customHeight="1" x14ac:dyDescent="0.3"/>
    <row r="12620" ht="14.4" customHeight="1" x14ac:dyDescent="0.3"/>
    <row r="12621" ht="14.4" customHeight="1" x14ac:dyDescent="0.3"/>
    <row r="12622" ht="14.4" customHeight="1" x14ac:dyDescent="0.3"/>
    <row r="12623" ht="14.4" customHeight="1" x14ac:dyDescent="0.3"/>
    <row r="12624" ht="14.4" customHeight="1" x14ac:dyDescent="0.3"/>
    <row r="12625" ht="14.4" customHeight="1" x14ac:dyDescent="0.3"/>
    <row r="12626" ht="14.4" customHeight="1" x14ac:dyDescent="0.3"/>
    <row r="12627" ht="14.4" customHeight="1" x14ac:dyDescent="0.3"/>
    <row r="12628" ht="14.4" customHeight="1" x14ac:dyDescent="0.3"/>
    <row r="12629" ht="14.4" customHeight="1" x14ac:dyDescent="0.3"/>
    <row r="12630" ht="14.4" customHeight="1" x14ac:dyDescent="0.3"/>
    <row r="12631" ht="14.4" customHeight="1" x14ac:dyDescent="0.3"/>
    <row r="12632" ht="14.4" customHeight="1" x14ac:dyDescent="0.3"/>
    <row r="12633" ht="14.4" customHeight="1" x14ac:dyDescent="0.3"/>
    <row r="12634" ht="14.4" customHeight="1" x14ac:dyDescent="0.3"/>
    <row r="12635" ht="14.4" customHeight="1" x14ac:dyDescent="0.3"/>
    <row r="12636" ht="14.4" customHeight="1" x14ac:dyDescent="0.3"/>
    <row r="12637" ht="14.4" customHeight="1" x14ac:dyDescent="0.3"/>
    <row r="12638" ht="14.4" customHeight="1" x14ac:dyDescent="0.3"/>
    <row r="12639" ht="14.4" customHeight="1" x14ac:dyDescent="0.3"/>
    <row r="12640" ht="14.4" customHeight="1" x14ac:dyDescent="0.3"/>
    <row r="12641" ht="14.4" customHeight="1" x14ac:dyDescent="0.3"/>
    <row r="12642" ht="14.4" customHeight="1" x14ac:dyDescent="0.3"/>
    <row r="12643" ht="14.4" customHeight="1" x14ac:dyDescent="0.3"/>
    <row r="12644" ht="14.4" customHeight="1" x14ac:dyDescent="0.3"/>
    <row r="12645" ht="14.4" customHeight="1" x14ac:dyDescent="0.3"/>
    <row r="12646" ht="14.4" customHeight="1" x14ac:dyDescent="0.3"/>
    <row r="12647" ht="14.4" customHeight="1" x14ac:dyDescent="0.3"/>
    <row r="12648" ht="14.4" customHeight="1" x14ac:dyDescent="0.3"/>
    <row r="12649" ht="14.4" customHeight="1" x14ac:dyDescent="0.3"/>
    <row r="12650" ht="14.4" customHeight="1" x14ac:dyDescent="0.3"/>
    <row r="12651" ht="14.4" customHeight="1" x14ac:dyDescent="0.3"/>
    <row r="12652" ht="14.4" customHeight="1" x14ac:dyDescent="0.3"/>
    <row r="12653" ht="14.4" customHeight="1" x14ac:dyDescent="0.3"/>
    <row r="12654" ht="14.4" customHeight="1" x14ac:dyDescent="0.3"/>
    <row r="12655" ht="14.4" customHeight="1" x14ac:dyDescent="0.3"/>
    <row r="12656" ht="14.4" customHeight="1" x14ac:dyDescent="0.3"/>
    <row r="12657" ht="14.4" customHeight="1" x14ac:dyDescent="0.3"/>
    <row r="12658" ht="14.4" customHeight="1" x14ac:dyDescent="0.3"/>
    <row r="12659" ht="14.4" customHeight="1" x14ac:dyDescent="0.3"/>
    <row r="12660" ht="14.4" customHeight="1" x14ac:dyDescent="0.3"/>
    <row r="12661" ht="14.4" customHeight="1" x14ac:dyDescent="0.3"/>
    <row r="12662" ht="14.4" customHeight="1" x14ac:dyDescent="0.3"/>
    <row r="12663" ht="14.4" customHeight="1" x14ac:dyDescent="0.3"/>
    <row r="12664" ht="14.4" customHeight="1" x14ac:dyDescent="0.3"/>
    <row r="12665" ht="14.4" customHeight="1" x14ac:dyDescent="0.3"/>
    <row r="12666" ht="14.4" customHeight="1" x14ac:dyDescent="0.3"/>
    <row r="12667" ht="14.4" customHeight="1" x14ac:dyDescent="0.3"/>
    <row r="12668" ht="14.4" customHeight="1" x14ac:dyDescent="0.3"/>
    <row r="12669" ht="14.4" customHeight="1" x14ac:dyDescent="0.3"/>
    <row r="12670" ht="14.4" customHeight="1" x14ac:dyDescent="0.3"/>
    <row r="12671" ht="14.4" customHeight="1" x14ac:dyDescent="0.3"/>
    <row r="12672" ht="14.4" customHeight="1" x14ac:dyDescent="0.3"/>
    <row r="12673" ht="14.4" customHeight="1" x14ac:dyDescent="0.3"/>
    <row r="12674" ht="14.4" customHeight="1" x14ac:dyDescent="0.3"/>
    <row r="12675" ht="14.4" customHeight="1" x14ac:dyDescent="0.3"/>
    <row r="12676" ht="14.4" customHeight="1" x14ac:dyDescent="0.3"/>
    <row r="12677" ht="14.4" customHeight="1" x14ac:dyDescent="0.3"/>
    <row r="12678" ht="14.4" customHeight="1" x14ac:dyDescent="0.3"/>
    <row r="12679" ht="14.4" customHeight="1" x14ac:dyDescent="0.3"/>
    <row r="12680" ht="14.4" customHeight="1" x14ac:dyDescent="0.3"/>
    <row r="12681" ht="14.4" customHeight="1" x14ac:dyDescent="0.3"/>
    <row r="12682" ht="14.4" customHeight="1" x14ac:dyDescent="0.3"/>
    <row r="12683" ht="14.4" customHeight="1" x14ac:dyDescent="0.3"/>
    <row r="12684" ht="14.4" customHeight="1" x14ac:dyDescent="0.3"/>
    <row r="12685" ht="14.4" customHeight="1" x14ac:dyDescent="0.3"/>
    <row r="12686" ht="14.4" customHeight="1" x14ac:dyDescent="0.3"/>
    <row r="12687" ht="14.4" customHeight="1" x14ac:dyDescent="0.3"/>
    <row r="12688" ht="14.4" customHeight="1" x14ac:dyDescent="0.3"/>
    <row r="12689" ht="14.4" customHeight="1" x14ac:dyDescent="0.3"/>
    <row r="12690" ht="14.4" customHeight="1" x14ac:dyDescent="0.3"/>
    <row r="12691" ht="14.4" customHeight="1" x14ac:dyDescent="0.3"/>
    <row r="12692" ht="14.4" customHeight="1" x14ac:dyDescent="0.3"/>
    <row r="12693" ht="14.4" customHeight="1" x14ac:dyDescent="0.3"/>
    <row r="12694" ht="14.4" customHeight="1" x14ac:dyDescent="0.3"/>
    <row r="12695" ht="14.4" customHeight="1" x14ac:dyDescent="0.3"/>
    <row r="12696" ht="14.4" customHeight="1" x14ac:dyDescent="0.3"/>
    <row r="12697" ht="14.4" customHeight="1" x14ac:dyDescent="0.3"/>
    <row r="12698" ht="14.4" customHeight="1" x14ac:dyDescent="0.3"/>
    <row r="12699" ht="14.4" customHeight="1" x14ac:dyDescent="0.3"/>
    <row r="12700" ht="14.4" customHeight="1" x14ac:dyDescent="0.3"/>
    <row r="12701" ht="14.4" customHeight="1" x14ac:dyDescent="0.3"/>
    <row r="12702" ht="14.4" customHeight="1" x14ac:dyDescent="0.3"/>
    <row r="12703" ht="14.4" customHeight="1" x14ac:dyDescent="0.3"/>
    <row r="12704" ht="14.4" customHeight="1" x14ac:dyDescent="0.3"/>
    <row r="12705" ht="14.4" customHeight="1" x14ac:dyDescent="0.3"/>
    <row r="12706" ht="14.4" customHeight="1" x14ac:dyDescent="0.3"/>
    <row r="12707" ht="14.4" customHeight="1" x14ac:dyDescent="0.3"/>
    <row r="12708" ht="14.4" customHeight="1" x14ac:dyDescent="0.3"/>
    <row r="12709" ht="14.4" customHeight="1" x14ac:dyDescent="0.3"/>
    <row r="12710" ht="14.4" customHeight="1" x14ac:dyDescent="0.3"/>
    <row r="12711" ht="14.4" customHeight="1" x14ac:dyDescent="0.3"/>
    <row r="12712" ht="14.4" customHeight="1" x14ac:dyDescent="0.3"/>
    <row r="12713" ht="14.4" customHeight="1" x14ac:dyDescent="0.3"/>
    <row r="12714" ht="14.4" customHeight="1" x14ac:dyDescent="0.3"/>
    <row r="12715" ht="14.4" customHeight="1" x14ac:dyDescent="0.3"/>
    <row r="12716" ht="14.4" customHeight="1" x14ac:dyDescent="0.3"/>
    <row r="12717" ht="14.4" customHeight="1" x14ac:dyDescent="0.3"/>
    <row r="12718" ht="14.4" customHeight="1" x14ac:dyDescent="0.3"/>
    <row r="12719" ht="14.4" customHeight="1" x14ac:dyDescent="0.3"/>
    <row r="12720" ht="14.4" customHeight="1" x14ac:dyDescent="0.3"/>
    <row r="12721" ht="14.4" customHeight="1" x14ac:dyDescent="0.3"/>
    <row r="12722" ht="14.4" customHeight="1" x14ac:dyDescent="0.3"/>
    <row r="12723" ht="14.4" customHeight="1" x14ac:dyDescent="0.3"/>
    <row r="12724" ht="14.4" customHeight="1" x14ac:dyDescent="0.3"/>
    <row r="12725" ht="14.4" customHeight="1" x14ac:dyDescent="0.3"/>
    <row r="12726" ht="14.4" customHeight="1" x14ac:dyDescent="0.3"/>
    <row r="12727" ht="14.4" customHeight="1" x14ac:dyDescent="0.3"/>
    <row r="12728" ht="14.4" customHeight="1" x14ac:dyDescent="0.3"/>
    <row r="12729" ht="14.4" customHeight="1" x14ac:dyDescent="0.3"/>
    <row r="12730" ht="14.4" customHeight="1" x14ac:dyDescent="0.3"/>
    <row r="12731" ht="14.4" customHeight="1" x14ac:dyDescent="0.3"/>
    <row r="12732" ht="14.4" customHeight="1" x14ac:dyDescent="0.3"/>
    <row r="12733" ht="14.4" customHeight="1" x14ac:dyDescent="0.3"/>
    <row r="12734" ht="14.4" customHeight="1" x14ac:dyDescent="0.3"/>
    <row r="12735" ht="14.4" customHeight="1" x14ac:dyDescent="0.3"/>
    <row r="12736" ht="14.4" customHeight="1" x14ac:dyDescent="0.3"/>
    <row r="12737" ht="14.4" customHeight="1" x14ac:dyDescent="0.3"/>
    <row r="12738" ht="14.4" customHeight="1" x14ac:dyDescent="0.3"/>
    <row r="12739" ht="14.4" customHeight="1" x14ac:dyDescent="0.3"/>
    <row r="12740" ht="14.4" customHeight="1" x14ac:dyDescent="0.3"/>
    <row r="12741" ht="14.4" customHeight="1" x14ac:dyDescent="0.3"/>
    <row r="12742" ht="14.4" customHeight="1" x14ac:dyDescent="0.3"/>
    <row r="12743" ht="14.4" customHeight="1" x14ac:dyDescent="0.3"/>
    <row r="12744" ht="14.4" customHeight="1" x14ac:dyDescent="0.3"/>
    <row r="12745" ht="14.4" customHeight="1" x14ac:dyDescent="0.3"/>
    <row r="12746" ht="14.4" customHeight="1" x14ac:dyDescent="0.3"/>
    <row r="12747" ht="14.4" customHeight="1" x14ac:dyDescent="0.3"/>
    <row r="12748" ht="14.4" customHeight="1" x14ac:dyDescent="0.3"/>
    <row r="12749" ht="14.4" customHeight="1" x14ac:dyDescent="0.3"/>
    <row r="12750" ht="14.4" customHeight="1" x14ac:dyDescent="0.3"/>
    <row r="12751" ht="14.4" customHeight="1" x14ac:dyDescent="0.3"/>
    <row r="12752" ht="14.4" customHeight="1" x14ac:dyDescent="0.3"/>
    <row r="12753" ht="14.4" customHeight="1" x14ac:dyDescent="0.3"/>
    <row r="12754" ht="14.4" customHeight="1" x14ac:dyDescent="0.3"/>
    <row r="12755" ht="14.4" customHeight="1" x14ac:dyDescent="0.3"/>
    <row r="12756" ht="14.4" customHeight="1" x14ac:dyDescent="0.3"/>
    <row r="12757" ht="14.4" customHeight="1" x14ac:dyDescent="0.3"/>
    <row r="12758" ht="14.4" customHeight="1" x14ac:dyDescent="0.3"/>
    <row r="12759" ht="14.4" customHeight="1" x14ac:dyDescent="0.3"/>
    <row r="12760" ht="14.4" customHeight="1" x14ac:dyDescent="0.3"/>
    <row r="12761" ht="14.4" customHeight="1" x14ac:dyDescent="0.3"/>
    <row r="12762" ht="14.4" customHeight="1" x14ac:dyDescent="0.3"/>
    <row r="12763" ht="14.4" customHeight="1" x14ac:dyDescent="0.3"/>
    <row r="12764" ht="14.4" customHeight="1" x14ac:dyDescent="0.3"/>
    <row r="12765" ht="14.4" customHeight="1" x14ac:dyDescent="0.3"/>
    <row r="12766" ht="14.4" customHeight="1" x14ac:dyDescent="0.3"/>
    <row r="12767" ht="14.4" customHeight="1" x14ac:dyDescent="0.3"/>
    <row r="12768" ht="14.4" customHeight="1" x14ac:dyDescent="0.3"/>
    <row r="12769" ht="14.4" customHeight="1" x14ac:dyDescent="0.3"/>
    <row r="12770" ht="14.4" customHeight="1" x14ac:dyDescent="0.3"/>
    <row r="12771" ht="14.4" customHeight="1" x14ac:dyDescent="0.3"/>
    <row r="12772" ht="14.4" customHeight="1" x14ac:dyDescent="0.3"/>
    <row r="12773" ht="14.4" customHeight="1" x14ac:dyDescent="0.3"/>
    <row r="12774" ht="14.4" customHeight="1" x14ac:dyDescent="0.3"/>
    <row r="12775" ht="14.4" customHeight="1" x14ac:dyDescent="0.3"/>
    <row r="12776" ht="14.4" customHeight="1" x14ac:dyDescent="0.3"/>
    <row r="12777" ht="14.4" customHeight="1" x14ac:dyDescent="0.3"/>
    <row r="12778" ht="14.4" customHeight="1" x14ac:dyDescent="0.3"/>
    <row r="12779" ht="14.4" customHeight="1" x14ac:dyDescent="0.3"/>
    <row r="12780" ht="14.4" customHeight="1" x14ac:dyDescent="0.3"/>
    <row r="12781" ht="14.4" customHeight="1" x14ac:dyDescent="0.3"/>
    <row r="12782" ht="14.4" customHeight="1" x14ac:dyDescent="0.3"/>
    <row r="12783" ht="14.4" customHeight="1" x14ac:dyDescent="0.3"/>
    <row r="12784" ht="14.4" customHeight="1" x14ac:dyDescent="0.3"/>
    <row r="12785" ht="14.4" customHeight="1" x14ac:dyDescent="0.3"/>
    <row r="12786" ht="14.4" customHeight="1" x14ac:dyDescent="0.3"/>
    <row r="12787" ht="14.4" customHeight="1" x14ac:dyDescent="0.3"/>
    <row r="12788" ht="14.4" customHeight="1" x14ac:dyDescent="0.3"/>
    <row r="12789" ht="14.4" customHeight="1" x14ac:dyDescent="0.3"/>
    <row r="12790" ht="14.4" customHeight="1" x14ac:dyDescent="0.3"/>
    <row r="12791" ht="14.4" customHeight="1" x14ac:dyDescent="0.3"/>
    <row r="12792" ht="14.4" customHeight="1" x14ac:dyDescent="0.3"/>
    <row r="12793" ht="14.4" customHeight="1" x14ac:dyDescent="0.3"/>
    <row r="12794" ht="14.4" customHeight="1" x14ac:dyDescent="0.3"/>
    <row r="12795" ht="14.4" customHeight="1" x14ac:dyDescent="0.3"/>
    <row r="12796" ht="14.4" customHeight="1" x14ac:dyDescent="0.3"/>
    <row r="12797" ht="14.4" customHeight="1" x14ac:dyDescent="0.3"/>
    <row r="12798" ht="14.4" customHeight="1" x14ac:dyDescent="0.3"/>
    <row r="12799" ht="14.4" customHeight="1" x14ac:dyDescent="0.3"/>
    <row r="12800" ht="14.4" customHeight="1" x14ac:dyDescent="0.3"/>
    <row r="12801" ht="14.4" customHeight="1" x14ac:dyDescent="0.3"/>
    <row r="12802" ht="14.4" customHeight="1" x14ac:dyDescent="0.3"/>
    <row r="12803" ht="14.4" customHeight="1" x14ac:dyDescent="0.3"/>
    <row r="12804" ht="14.4" customHeight="1" x14ac:dyDescent="0.3"/>
    <row r="12805" ht="14.4" customHeight="1" x14ac:dyDescent="0.3"/>
    <row r="12806" ht="14.4" customHeight="1" x14ac:dyDescent="0.3"/>
    <row r="12807" ht="14.4" customHeight="1" x14ac:dyDescent="0.3"/>
    <row r="12808" ht="14.4" customHeight="1" x14ac:dyDescent="0.3"/>
    <row r="12809" ht="14.4" customHeight="1" x14ac:dyDescent="0.3"/>
    <row r="12810" ht="14.4" customHeight="1" x14ac:dyDescent="0.3"/>
    <row r="12811" ht="14.4" customHeight="1" x14ac:dyDescent="0.3"/>
    <row r="12812" ht="14.4" customHeight="1" x14ac:dyDescent="0.3"/>
    <row r="12813" ht="14.4" customHeight="1" x14ac:dyDescent="0.3"/>
    <row r="12814" ht="14.4" customHeight="1" x14ac:dyDescent="0.3"/>
    <row r="12815" ht="14.4" customHeight="1" x14ac:dyDescent="0.3"/>
    <row r="12816" ht="14.4" customHeight="1" x14ac:dyDescent="0.3"/>
    <row r="12817" ht="14.4" customHeight="1" x14ac:dyDescent="0.3"/>
    <row r="12818" ht="14.4" customHeight="1" x14ac:dyDescent="0.3"/>
    <row r="12819" ht="14.4" customHeight="1" x14ac:dyDescent="0.3"/>
    <row r="12820" ht="14.4" customHeight="1" x14ac:dyDescent="0.3"/>
    <row r="12821" ht="14.4" customHeight="1" x14ac:dyDescent="0.3"/>
    <row r="12822" ht="14.4" customHeight="1" x14ac:dyDescent="0.3"/>
    <row r="12823" ht="14.4" customHeight="1" x14ac:dyDescent="0.3"/>
    <row r="12824" ht="14.4" customHeight="1" x14ac:dyDescent="0.3"/>
    <row r="12825" ht="14.4" customHeight="1" x14ac:dyDescent="0.3"/>
    <row r="12826" ht="14.4" customHeight="1" x14ac:dyDescent="0.3"/>
    <row r="12827" ht="14.4" customHeight="1" x14ac:dyDescent="0.3"/>
    <row r="12828" ht="14.4" customHeight="1" x14ac:dyDescent="0.3"/>
    <row r="12829" ht="14.4" customHeight="1" x14ac:dyDescent="0.3"/>
    <row r="12830" ht="14.4" customHeight="1" x14ac:dyDescent="0.3"/>
    <row r="12831" ht="14.4" customHeight="1" x14ac:dyDescent="0.3"/>
    <row r="12832" ht="14.4" customHeight="1" x14ac:dyDescent="0.3"/>
    <row r="12833" ht="14.4" customHeight="1" x14ac:dyDescent="0.3"/>
    <row r="12834" ht="14.4" customHeight="1" x14ac:dyDescent="0.3"/>
    <row r="12835" ht="14.4" customHeight="1" x14ac:dyDescent="0.3"/>
    <row r="12836" ht="14.4" customHeight="1" x14ac:dyDescent="0.3"/>
    <row r="12837" ht="14.4" customHeight="1" x14ac:dyDescent="0.3"/>
    <row r="12838" ht="14.4" customHeight="1" x14ac:dyDescent="0.3"/>
    <row r="12839" ht="14.4" customHeight="1" x14ac:dyDescent="0.3"/>
    <row r="12840" ht="14.4" customHeight="1" x14ac:dyDescent="0.3"/>
    <row r="12841" ht="14.4" customHeight="1" x14ac:dyDescent="0.3"/>
    <row r="12842" ht="14.4" customHeight="1" x14ac:dyDescent="0.3"/>
    <row r="12843" ht="14.4" customHeight="1" x14ac:dyDescent="0.3"/>
    <row r="12844" ht="14.4" customHeight="1" x14ac:dyDescent="0.3"/>
    <row r="12845" ht="14.4" customHeight="1" x14ac:dyDescent="0.3"/>
    <row r="12846" ht="14.4" customHeight="1" x14ac:dyDescent="0.3"/>
    <row r="12847" ht="14.4" customHeight="1" x14ac:dyDescent="0.3"/>
    <row r="12848" ht="14.4" customHeight="1" x14ac:dyDescent="0.3"/>
    <row r="12849" ht="14.4" customHeight="1" x14ac:dyDescent="0.3"/>
    <row r="12850" ht="14.4" customHeight="1" x14ac:dyDescent="0.3"/>
    <row r="12851" ht="14.4" customHeight="1" x14ac:dyDescent="0.3"/>
    <row r="12852" ht="14.4" customHeight="1" x14ac:dyDescent="0.3"/>
    <row r="12853" ht="14.4" customHeight="1" x14ac:dyDescent="0.3"/>
    <row r="12854" ht="14.4" customHeight="1" x14ac:dyDescent="0.3"/>
    <row r="12855" ht="14.4" customHeight="1" x14ac:dyDescent="0.3"/>
    <row r="12856" ht="14.4" customHeight="1" x14ac:dyDescent="0.3"/>
    <row r="12857" ht="14.4" customHeight="1" x14ac:dyDescent="0.3"/>
    <row r="12858" ht="14.4" customHeight="1" x14ac:dyDescent="0.3"/>
    <row r="12859" ht="14.4" customHeight="1" x14ac:dyDescent="0.3"/>
    <row r="12860" ht="14.4" customHeight="1" x14ac:dyDescent="0.3"/>
    <row r="12861" ht="14.4" customHeight="1" x14ac:dyDescent="0.3"/>
    <row r="12862" ht="14.4" customHeight="1" x14ac:dyDescent="0.3"/>
    <row r="12863" ht="14.4" customHeight="1" x14ac:dyDescent="0.3"/>
    <row r="12864" ht="14.4" customHeight="1" x14ac:dyDescent="0.3"/>
    <row r="12865" ht="14.4" customHeight="1" x14ac:dyDescent="0.3"/>
    <row r="12866" ht="14.4" customHeight="1" x14ac:dyDescent="0.3"/>
    <row r="12867" ht="14.4" customHeight="1" x14ac:dyDescent="0.3"/>
    <row r="12868" ht="14.4" customHeight="1" x14ac:dyDescent="0.3"/>
    <row r="12869" ht="14.4" customHeight="1" x14ac:dyDescent="0.3"/>
    <row r="12870" ht="14.4" customHeight="1" x14ac:dyDescent="0.3"/>
    <row r="12871" ht="14.4" customHeight="1" x14ac:dyDescent="0.3"/>
    <row r="12872" ht="14.4" customHeight="1" x14ac:dyDescent="0.3"/>
    <row r="12873" ht="14.4" customHeight="1" x14ac:dyDescent="0.3"/>
    <row r="12874" ht="14.4" customHeight="1" x14ac:dyDescent="0.3"/>
    <row r="12875" ht="14.4" customHeight="1" x14ac:dyDescent="0.3"/>
    <row r="12876" ht="14.4" customHeight="1" x14ac:dyDescent="0.3"/>
    <row r="12877" ht="14.4" customHeight="1" x14ac:dyDescent="0.3"/>
    <row r="12878" ht="14.4" customHeight="1" x14ac:dyDescent="0.3"/>
    <row r="12879" ht="14.4" customHeight="1" x14ac:dyDescent="0.3"/>
    <row r="12880" ht="14.4" customHeight="1" x14ac:dyDescent="0.3"/>
    <row r="12881" ht="14.4" customHeight="1" x14ac:dyDescent="0.3"/>
    <row r="12882" ht="14.4" customHeight="1" x14ac:dyDescent="0.3"/>
    <row r="12883" ht="14.4" customHeight="1" x14ac:dyDescent="0.3"/>
    <row r="12884" ht="14.4" customHeight="1" x14ac:dyDescent="0.3"/>
    <row r="12885" ht="14.4" customHeight="1" x14ac:dyDescent="0.3"/>
    <row r="12886" ht="14.4" customHeight="1" x14ac:dyDescent="0.3"/>
    <row r="12887" ht="14.4" customHeight="1" x14ac:dyDescent="0.3"/>
    <row r="12888" ht="14.4" customHeight="1" x14ac:dyDescent="0.3"/>
    <row r="12889" ht="14.4" customHeight="1" x14ac:dyDescent="0.3"/>
    <row r="12890" ht="14.4" customHeight="1" x14ac:dyDescent="0.3"/>
    <row r="12891" ht="14.4" customHeight="1" x14ac:dyDescent="0.3"/>
    <row r="12892" ht="14.4" customHeight="1" x14ac:dyDescent="0.3"/>
    <row r="12893" ht="14.4" customHeight="1" x14ac:dyDescent="0.3"/>
    <row r="12894" ht="14.4" customHeight="1" x14ac:dyDescent="0.3"/>
    <row r="12895" ht="14.4" customHeight="1" x14ac:dyDescent="0.3"/>
    <row r="12896" ht="14.4" customHeight="1" x14ac:dyDescent="0.3"/>
    <row r="12897" ht="14.4" customHeight="1" x14ac:dyDescent="0.3"/>
    <row r="12898" ht="14.4" customHeight="1" x14ac:dyDescent="0.3"/>
    <row r="12899" ht="14.4" customHeight="1" x14ac:dyDescent="0.3"/>
    <row r="12900" ht="14.4" customHeight="1" x14ac:dyDescent="0.3"/>
    <row r="12901" ht="14.4" customHeight="1" x14ac:dyDescent="0.3"/>
    <row r="12902" ht="14.4" customHeight="1" x14ac:dyDescent="0.3"/>
    <row r="12903" ht="14.4" customHeight="1" x14ac:dyDescent="0.3"/>
    <row r="12904" ht="14.4" customHeight="1" x14ac:dyDescent="0.3"/>
    <row r="12905" ht="14.4" customHeight="1" x14ac:dyDescent="0.3"/>
    <row r="12906" ht="14.4" customHeight="1" x14ac:dyDescent="0.3"/>
    <row r="12907" ht="14.4" customHeight="1" x14ac:dyDescent="0.3"/>
    <row r="12908" ht="14.4" customHeight="1" x14ac:dyDescent="0.3"/>
    <row r="12909" ht="14.4" customHeight="1" x14ac:dyDescent="0.3"/>
    <row r="12910" ht="14.4" customHeight="1" x14ac:dyDescent="0.3"/>
    <row r="12911" ht="14.4" customHeight="1" x14ac:dyDescent="0.3"/>
    <row r="12912" ht="14.4" customHeight="1" x14ac:dyDescent="0.3"/>
    <row r="12913" ht="14.4" customHeight="1" x14ac:dyDescent="0.3"/>
    <row r="12914" ht="14.4" customHeight="1" x14ac:dyDescent="0.3"/>
    <row r="12915" ht="14.4" customHeight="1" x14ac:dyDescent="0.3"/>
    <row r="12916" ht="14.4" customHeight="1" x14ac:dyDescent="0.3"/>
    <row r="12917" ht="14.4" customHeight="1" x14ac:dyDescent="0.3"/>
    <row r="12918" ht="14.4" customHeight="1" x14ac:dyDescent="0.3"/>
    <row r="12919" ht="14.4" customHeight="1" x14ac:dyDescent="0.3"/>
    <row r="12920" ht="14.4" customHeight="1" x14ac:dyDescent="0.3"/>
    <row r="12921" ht="14.4" customHeight="1" x14ac:dyDescent="0.3"/>
    <row r="12922" ht="14.4" customHeight="1" x14ac:dyDescent="0.3"/>
    <row r="12923" ht="14.4" customHeight="1" x14ac:dyDescent="0.3"/>
    <row r="12924" ht="14.4" customHeight="1" x14ac:dyDescent="0.3"/>
    <row r="12925" ht="14.4" customHeight="1" x14ac:dyDescent="0.3"/>
    <row r="12926" ht="14.4" customHeight="1" x14ac:dyDescent="0.3"/>
    <row r="12927" ht="14.4" customHeight="1" x14ac:dyDescent="0.3"/>
    <row r="12928" ht="14.4" customHeight="1" x14ac:dyDescent="0.3"/>
    <row r="12929" ht="14.4" customHeight="1" x14ac:dyDescent="0.3"/>
    <row r="12930" ht="14.4" customHeight="1" x14ac:dyDescent="0.3"/>
    <row r="12931" ht="14.4" customHeight="1" x14ac:dyDescent="0.3"/>
    <row r="12932" ht="14.4" customHeight="1" x14ac:dyDescent="0.3"/>
    <row r="12933" ht="14.4" customHeight="1" x14ac:dyDescent="0.3"/>
    <row r="12934" ht="14.4" customHeight="1" x14ac:dyDescent="0.3"/>
    <row r="12935" ht="14.4" customHeight="1" x14ac:dyDescent="0.3"/>
    <row r="12936" ht="14.4" customHeight="1" x14ac:dyDescent="0.3"/>
    <row r="12937" ht="14.4" customHeight="1" x14ac:dyDescent="0.3"/>
    <row r="12938" ht="14.4" customHeight="1" x14ac:dyDescent="0.3"/>
    <row r="12939" ht="14.4" customHeight="1" x14ac:dyDescent="0.3"/>
    <row r="12940" ht="14.4" customHeight="1" x14ac:dyDescent="0.3"/>
    <row r="12941" ht="14.4" customHeight="1" x14ac:dyDescent="0.3"/>
    <row r="12942" ht="14.4" customHeight="1" x14ac:dyDescent="0.3"/>
    <row r="12943" ht="14.4" customHeight="1" x14ac:dyDescent="0.3"/>
    <row r="12944" ht="14.4" customHeight="1" x14ac:dyDescent="0.3"/>
    <row r="12945" ht="14.4" customHeight="1" x14ac:dyDescent="0.3"/>
    <row r="12946" ht="14.4" customHeight="1" x14ac:dyDescent="0.3"/>
    <row r="12947" ht="14.4" customHeight="1" x14ac:dyDescent="0.3"/>
    <row r="12948" ht="14.4" customHeight="1" x14ac:dyDescent="0.3"/>
    <row r="12949" ht="14.4" customHeight="1" x14ac:dyDescent="0.3"/>
    <row r="12950" ht="14.4" customHeight="1" x14ac:dyDescent="0.3"/>
    <row r="12951" ht="14.4" customHeight="1" x14ac:dyDescent="0.3"/>
    <row r="12952" ht="14.4" customHeight="1" x14ac:dyDescent="0.3"/>
    <row r="12953" ht="14.4" customHeight="1" x14ac:dyDescent="0.3"/>
    <row r="12954" ht="14.4" customHeight="1" x14ac:dyDescent="0.3"/>
    <row r="12955" ht="14.4" customHeight="1" x14ac:dyDescent="0.3"/>
    <row r="12956" ht="14.4" customHeight="1" x14ac:dyDescent="0.3"/>
    <row r="12957" ht="14.4" customHeight="1" x14ac:dyDescent="0.3"/>
    <row r="12958" ht="14.4" customHeight="1" x14ac:dyDescent="0.3"/>
    <row r="12959" ht="14.4" customHeight="1" x14ac:dyDescent="0.3"/>
    <row r="12960" ht="14.4" customHeight="1" x14ac:dyDescent="0.3"/>
    <row r="12961" ht="14.4" customHeight="1" x14ac:dyDescent="0.3"/>
    <row r="12962" ht="14.4" customHeight="1" x14ac:dyDescent="0.3"/>
    <row r="12963" ht="14.4" customHeight="1" x14ac:dyDescent="0.3"/>
    <row r="12964" ht="14.4" customHeight="1" x14ac:dyDescent="0.3"/>
    <row r="12965" ht="14.4" customHeight="1" x14ac:dyDescent="0.3"/>
    <row r="12966" ht="14.4" customHeight="1" x14ac:dyDescent="0.3"/>
    <row r="12967" ht="14.4" customHeight="1" x14ac:dyDescent="0.3"/>
    <row r="12968" ht="14.4" customHeight="1" x14ac:dyDescent="0.3"/>
    <row r="12969" ht="14.4" customHeight="1" x14ac:dyDescent="0.3"/>
    <row r="12970" ht="14.4" customHeight="1" x14ac:dyDescent="0.3"/>
    <row r="12971" ht="14.4" customHeight="1" x14ac:dyDescent="0.3"/>
    <row r="12972" ht="14.4" customHeight="1" x14ac:dyDescent="0.3"/>
    <row r="12973" ht="14.4" customHeight="1" x14ac:dyDescent="0.3"/>
    <row r="12974" ht="14.4" customHeight="1" x14ac:dyDescent="0.3"/>
    <row r="12975" ht="14.4" customHeight="1" x14ac:dyDescent="0.3"/>
    <row r="12976" ht="14.4" customHeight="1" x14ac:dyDescent="0.3"/>
    <row r="12977" ht="14.4" customHeight="1" x14ac:dyDescent="0.3"/>
    <row r="12978" ht="14.4" customHeight="1" x14ac:dyDescent="0.3"/>
    <row r="12979" ht="14.4" customHeight="1" x14ac:dyDescent="0.3"/>
    <row r="12980" ht="14.4" customHeight="1" x14ac:dyDescent="0.3"/>
    <row r="12981" ht="14.4" customHeight="1" x14ac:dyDescent="0.3"/>
    <row r="12982" ht="14.4" customHeight="1" x14ac:dyDescent="0.3"/>
    <row r="12983" ht="14.4" customHeight="1" x14ac:dyDescent="0.3"/>
    <row r="12984" ht="14.4" customHeight="1" x14ac:dyDescent="0.3"/>
    <row r="12985" ht="14.4" customHeight="1" x14ac:dyDescent="0.3"/>
    <row r="12986" ht="14.4" customHeight="1" x14ac:dyDescent="0.3"/>
    <row r="12987" ht="14.4" customHeight="1" x14ac:dyDescent="0.3"/>
    <row r="12988" ht="14.4" customHeight="1" x14ac:dyDescent="0.3"/>
    <row r="12989" ht="14.4" customHeight="1" x14ac:dyDescent="0.3"/>
    <row r="12990" ht="14.4" customHeight="1" x14ac:dyDescent="0.3"/>
    <row r="12991" ht="14.4" customHeight="1" x14ac:dyDescent="0.3"/>
    <row r="12992" ht="14.4" customHeight="1" x14ac:dyDescent="0.3"/>
    <row r="12993" ht="14.4" customHeight="1" x14ac:dyDescent="0.3"/>
    <row r="12994" ht="14.4" customHeight="1" x14ac:dyDescent="0.3"/>
    <row r="12995" ht="14.4" customHeight="1" x14ac:dyDescent="0.3"/>
    <row r="12996" ht="14.4" customHeight="1" x14ac:dyDescent="0.3"/>
    <row r="12997" ht="14.4" customHeight="1" x14ac:dyDescent="0.3"/>
    <row r="12998" ht="14.4" customHeight="1" x14ac:dyDescent="0.3"/>
    <row r="12999" ht="14.4" customHeight="1" x14ac:dyDescent="0.3"/>
    <row r="13000" ht="14.4" customHeight="1" x14ac:dyDescent="0.3"/>
    <row r="13001" ht="14.4" customHeight="1" x14ac:dyDescent="0.3"/>
    <row r="13002" ht="14.4" customHeight="1" x14ac:dyDescent="0.3"/>
    <row r="13003" ht="14.4" customHeight="1" x14ac:dyDescent="0.3"/>
    <row r="13004" ht="14.4" customHeight="1" x14ac:dyDescent="0.3"/>
    <row r="13005" ht="14.4" customHeight="1" x14ac:dyDescent="0.3"/>
    <row r="13006" ht="14.4" customHeight="1" x14ac:dyDescent="0.3"/>
    <row r="13007" ht="14.4" customHeight="1" x14ac:dyDescent="0.3"/>
    <row r="13008" ht="14.4" customHeight="1" x14ac:dyDescent="0.3"/>
    <row r="13009" ht="14.4" customHeight="1" x14ac:dyDescent="0.3"/>
    <row r="13010" ht="14.4" customHeight="1" x14ac:dyDescent="0.3"/>
    <row r="13011" ht="14.4" customHeight="1" x14ac:dyDescent="0.3"/>
    <row r="13012" ht="14.4" customHeight="1" x14ac:dyDescent="0.3"/>
    <row r="13013" ht="14.4" customHeight="1" x14ac:dyDescent="0.3"/>
    <row r="13014" ht="14.4" customHeight="1" x14ac:dyDescent="0.3"/>
    <row r="13015" ht="14.4" customHeight="1" x14ac:dyDescent="0.3"/>
    <row r="13016" ht="14.4" customHeight="1" x14ac:dyDescent="0.3"/>
    <row r="13017" ht="14.4" customHeight="1" x14ac:dyDescent="0.3"/>
    <row r="13018" ht="14.4" customHeight="1" x14ac:dyDescent="0.3"/>
    <row r="13019" ht="14.4" customHeight="1" x14ac:dyDescent="0.3"/>
    <row r="13020" ht="14.4" customHeight="1" x14ac:dyDescent="0.3"/>
    <row r="13021" ht="14.4" customHeight="1" x14ac:dyDescent="0.3"/>
    <row r="13022" ht="14.4" customHeight="1" x14ac:dyDescent="0.3"/>
    <row r="13023" ht="14.4" customHeight="1" x14ac:dyDescent="0.3"/>
    <row r="13024" ht="14.4" customHeight="1" x14ac:dyDescent="0.3"/>
    <row r="13025" ht="14.4" customHeight="1" x14ac:dyDescent="0.3"/>
    <row r="13026" ht="14.4" customHeight="1" x14ac:dyDescent="0.3"/>
    <row r="13027" ht="14.4" customHeight="1" x14ac:dyDescent="0.3"/>
    <row r="13028" ht="14.4" customHeight="1" x14ac:dyDescent="0.3"/>
    <row r="13029" ht="14.4" customHeight="1" x14ac:dyDescent="0.3"/>
    <row r="13030" ht="14.4" customHeight="1" x14ac:dyDescent="0.3"/>
    <row r="13031" ht="14.4" customHeight="1" x14ac:dyDescent="0.3"/>
    <row r="13032" ht="14.4" customHeight="1" x14ac:dyDescent="0.3"/>
    <row r="13033" ht="14.4" customHeight="1" x14ac:dyDescent="0.3"/>
    <row r="13034" ht="14.4" customHeight="1" x14ac:dyDescent="0.3"/>
    <row r="13035" ht="14.4" customHeight="1" x14ac:dyDescent="0.3"/>
    <row r="13036" ht="14.4" customHeight="1" x14ac:dyDescent="0.3"/>
    <row r="13037" ht="14.4" customHeight="1" x14ac:dyDescent="0.3"/>
    <row r="13038" ht="14.4" customHeight="1" x14ac:dyDescent="0.3"/>
    <row r="13039" ht="14.4" customHeight="1" x14ac:dyDescent="0.3"/>
    <row r="13040" ht="14.4" customHeight="1" x14ac:dyDescent="0.3"/>
    <row r="13041" ht="14.4" customHeight="1" x14ac:dyDescent="0.3"/>
    <row r="13042" ht="14.4" customHeight="1" x14ac:dyDescent="0.3"/>
    <row r="13043" ht="14.4" customHeight="1" x14ac:dyDescent="0.3"/>
    <row r="13044" ht="14.4" customHeight="1" x14ac:dyDescent="0.3"/>
    <row r="13045" ht="14.4" customHeight="1" x14ac:dyDescent="0.3"/>
    <row r="13046" ht="14.4" customHeight="1" x14ac:dyDescent="0.3"/>
    <row r="13047" ht="14.4" customHeight="1" x14ac:dyDescent="0.3"/>
    <row r="13048" ht="14.4" customHeight="1" x14ac:dyDescent="0.3"/>
    <row r="13049" ht="14.4" customHeight="1" x14ac:dyDescent="0.3"/>
    <row r="13050" ht="14.4" customHeight="1" x14ac:dyDescent="0.3"/>
    <row r="13051" ht="14.4" customHeight="1" x14ac:dyDescent="0.3"/>
    <row r="13052" ht="14.4" customHeight="1" x14ac:dyDescent="0.3"/>
    <row r="13053" ht="14.4" customHeight="1" x14ac:dyDescent="0.3"/>
    <row r="13054" ht="14.4" customHeight="1" x14ac:dyDescent="0.3"/>
    <row r="13055" ht="14.4" customHeight="1" x14ac:dyDescent="0.3"/>
    <row r="13056" ht="14.4" customHeight="1" x14ac:dyDescent="0.3"/>
    <row r="13057" ht="14.4" customHeight="1" x14ac:dyDescent="0.3"/>
    <row r="13058" ht="14.4" customHeight="1" x14ac:dyDescent="0.3"/>
    <row r="13059" ht="14.4" customHeight="1" x14ac:dyDescent="0.3"/>
    <row r="13060" ht="14.4" customHeight="1" x14ac:dyDescent="0.3"/>
    <row r="13061" ht="14.4" customHeight="1" x14ac:dyDescent="0.3"/>
    <row r="13062" ht="14.4" customHeight="1" x14ac:dyDescent="0.3"/>
    <row r="13063" ht="14.4" customHeight="1" x14ac:dyDescent="0.3"/>
    <row r="13064" ht="14.4" customHeight="1" x14ac:dyDescent="0.3"/>
    <row r="13065" ht="14.4" customHeight="1" x14ac:dyDescent="0.3"/>
    <row r="13066" ht="14.4" customHeight="1" x14ac:dyDescent="0.3"/>
    <row r="13067" ht="14.4" customHeight="1" x14ac:dyDescent="0.3"/>
    <row r="13068" ht="14.4" customHeight="1" x14ac:dyDescent="0.3"/>
    <row r="13069" ht="14.4" customHeight="1" x14ac:dyDescent="0.3"/>
    <row r="13070" ht="14.4" customHeight="1" x14ac:dyDescent="0.3"/>
    <row r="13071" ht="14.4" customHeight="1" x14ac:dyDescent="0.3"/>
    <row r="13072" ht="14.4" customHeight="1" x14ac:dyDescent="0.3"/>
    <row r="13073" ht="14.4" customHeight="1" x14ac:dyDescent="0.3"/>
    <row r="13074" ht="14.4" customHeight="1" x14ac:dyDescent="0.3"/>
    <row r="13075" ht="14.4" customHeight="1" x14ac:dyDescent="0.3"/>
    <row r="13076" ht="14.4" customHeight="1" x14ac:dyDescent="0.3"/>
    <row r="13077" ht="14.4" customHeight="1" x14ac:dyDescent="0.3"/>
    <row r="13078" ht="14.4" customHeight="1" x14ac:dyDescent="0.3"/>
    <row r="13079" ht="14.4" customHeight="1" x14ac:dyDescent="0.3"/>
    <row r="13080" ht="14.4" customHeight="1" x14ac:dyDescent="0.3"/>
    <row r="13081" ht="14.4" customHeight="1" x14ac:dyDescent="0.3"/>
    <row r="13082" ht="14.4" customHeight="1" x14ac:dyDescent="0.3"/>
    <row r="13083" ht="14.4" customHeight="1" x14ac:dyDescent="0.3"/>
    <row r="13084" ht="14.4" customHeight="1" x14ac:dyDescent="0.3"/>
    <row r="13085" ht="14.4" customHeight="1" x14ac:dyDescent="0.3"/>
    <row r="13086" ht="14.4" customHeight="1" x14ac:dyDescent="0.3"/>
    <row r="13087" ht="14.4" customHeight="1" x14ac:dyDescent="0.3"/>
    <row r="13088" ht="14.4" customHeight="1" x14ac:dyDescent="0.3"/>
    <row r="13089" ht="14.4" customHeight="1" x14ac:dyDescent="0.3"/>
    <row r="13090" ht="14.4" customHeight="1" x14ac:dyDescent="0.3"/>
    <row r="13091" ht="14.4" customHeight="1" x14ac:dyDescent="0.3"/>
    <row r="13092" ht="14.4" customHeight="1" x14ac:dyDescent="0.3"/>
    <row r="13093" ht="14.4" customHeight="1" x14ac:dyDescent="0.3"/>
    <row r="13094" ht="14.4" customHeight="1" x14ac:dyDescent="0.3"/>
    <row r="13095" ht="14.4" customHeight="1" x14ac:dyDescent="0.3"/>
    <row r="13096" ht="14.4" customHeight="1" x14ac:dyDescent="0.3"/>
    <row r="13097" ht="14.4" customHeight="1" x14ac:dyDescent="0.3"/>
    <row r="13098" ht="14.4" customHeight="1" x14ac:dyDescent="0.3"/>
    <row r="13099" ht="14.4" customHeight="1" x14ac:dyDescent="0.3"/>
    <row r="13100" ht="14.4" customHeight="1" x14ac:dyDescent="0.3"/>
    <row r="13101" ht="14.4" customHeight="1" x14ac:dyDescent="0.3"/>
    <row r="13102" ht="14.4" customHeight="1" x14ac:dyDescent="0.3"/>
    <row r="13103" ht="14.4" customHeight="1" x14ac:dyDescent="0.3"/>
    <row r="13104" ht="14.4" customHeight="1" x14ac:dyDescent="0.3"/>
    <row r="13105" ht="14.4" customHeight="1" x14ac:dyDescent="0.3"/>
    <row r="13106" ht="14.4" customHeight="1" x14ac:dyDescent="0.3"/>
    <row r="13107" ht="14.4" customHeight="1" x14ac:dyDescent="0.3"/>
    <row r="13108" ht="14.4" customHeight="1" x14ac:dyDescent="0.3"/>
    <row r="13109" ht="14.4" customHeight="1" x14ac:dyDescent="0.3"/>
    <row r="13110" ht="14.4" customHeight="1" x14ac:dyDescent="0.3"/>
    <row r="13111" ht="14.4" customHeight="1" x14ac:dyDescent="0.3"/>
    <row r="13112" ht="14.4" customHeight="1" x14ac:dyDescent="0.3"/>
    <row r="13113" ht="14.4" customHeight="1" x14ac:dyDescent="0.3"/>
    <row r="13114" ht="14.4" customHeight="1" x14ac:dyDescent="0.3"/>
    <row r="13115" ht="14.4" customHeight="1" x14ac:dyDescent="0.3"/>
    <row r="13116" ht="14.4" customHeight="1" x14ac:dyDescent="0.3"/>
    <row r="13117" ht="14.4" customHeight="1" x14ac:dyDescent="0.3"/>
    <row r="13118" ht="14.4" customHeight="1" x14ac:dyDescent="0.3"/>
    <row r="13119" ht="14.4" customHeight="1" x14ac:dyDescent="0.3"/>
    <row r="13120" ht="14.4" customHeight="1" x14ac:dyDescent="0.3"/>
    <row r="13121" ht="14.4" customHeight="1" x14ac:dyDescent="0.3"/>
    <row r="13122" ht="14.4" customHeight="1" x14ac:dyDescent="0.3"/>
    <row r="13123" ht="14.4" customHeight="1" x14ac:dyDescent="0.3"/>
    <row r="13124" ht="14.4" customHeight="1" x14ac:dyDescent="0.3"/>
    <row r="13125" ht="14.4" customHeight="1" x14ac:dyDescent="0.3"/>
    <row r="13126" ht="14.4" customHeight="1" x14ac:dyDescent="0.3"/>
    <row r="13127" ht="14.4" customHeight="1" x14ac:dyDescent="0.3"/>
    <row r="13128" ht="14.4" customHeight="1" x14ac:dyDescent="0.3"/>
    <row r="13129" ht="14.4" customHeight="1" x14ac:dyDescent="0.3"/>
    <row r="13130" ht="14.4" customHeight="1" x14ac:dyDescent="0.3"/>
    <row r="13131" ht="14.4" customHeight="1" x14ac:dyDescent="0.3"/>
    <row r="13132" ht="14.4" customHeight="1" x14ac:dyDescent="0.3"/>
    <row r="13133" ht="14.4" customHeight="1" x14ac:dyDescent="0.3"/>
    <row r="13134" ht="14.4" customHeight="1" x14ac:dyDescent="0.3"/>
    <row r="13135" ht="14.4" customHeight="1" x14ac:dyDescent="0.3"/>
    <row r="13136" ht="14.4" customHeight="1" x14ac:dyDescent="0.3"/>
    <row r="13137" ht="14.4" customHeight="1" x14ac:dyDescent="0.3"/>
    <row r="13138" ht="14.4" customHeight="1" x14ac:dyDescent="0.3"/>
    <row r="13139" ht="14.4" customHeight="1" x14ac:dyDescent="0.3"/>
    <row r="13140" ht="14.4" customHeight="1" x14ac:dyDescent="0.3"/>
    <row r="13141" ht="14.4" customHeight="1" x14ac:dyDescent="0.3"/>
    <row r="13142" ht="14.4" customHeight="1" x14ac:dyDescent="0.3"/>
    <row r="13143" ht="14.4" customHeight="1" x14ac:dyDescent="0.3"/>
    <row r="13144" ht="14.4" customHeight="1" x14ac:dyDescent="0.3"/>
    <row r="13145" ht="14.4" customHeight="1" x14ac:dyDescent="0.3"/>
    <row r="13146" ht="14.4" customHeight="1" x14ac:dyDescent="0.3"/>
    <row r="13147" ht="14.4" customHeight="1" x14ac:dyDescent="0.3"/>
    <row r="13148" ht="14.4" customHeight="1" x14ac:dyDescent="0.3"/>
    <row r="13149" ht="14.4" customHeight="1" x14ac:dyDescent="0.3"/>
    <row r="13150" ht="14.4" customHeight="1" x14ac:dyDescent="0.3"/>
    <row r="13151" ht="14.4" customHeight="1" x14ac:dyDescent="0.3"/>
    <row r="13152" ht="14.4" customHeight="1" x14ac:dyDescent="0.3"/>
    <row r="13153" ht="14.4" customHeight="1" x14ac:dyDescent="0.3"/>
    <row r="13154" ht="14.4" customHeight="1" x14ac:dyDescent="0.3"/>
    <row r="13155" ht="14.4" customHeight="1" x14ac:dyDescent="0.3"/>
    <row r="13156" ht="14.4" customHeight="1" x14ac:dyDescent="0.3"/>
    <row r="13157" ht="14.4" customHeight="1" x14ac:dyDescent="0.3"/>
    <row r="13158" ht="14.4" customHeight="1" x14ac:dyDescent="0.3"/>
    <row r="13159" ht="14.4" customHeight="1" x14ac:dyDescent="0.3"/>
    <row r="13160" ht="14.4" customHeight="1" x14ac:dyDescent="0.3"/>
    <row r="13161" ht="14.4" customHeight="1" x14ac:dyDescent="0.3"/>
    <row r="13162" ht="14.4" customHeight="1" x14ac:dyDescent="0.3"/>
    <row r="13163" ht="14.4" customHeight="1" x14ac:dyDescent="0.3"/>
    <row r="13164" ht="14.4" customHeight="1" x14ac:dyDescent="0.3"/>
    <row r="13165" ht="14.4" customHeight="1" x14ac:dyDescent="0.3"/>
    <row r="13166" ht="14.4" customHeight="1" x14ac:dyDescent="0.3"/>
    <row r="13167" ht="14.4" customHeight="1" x14ac:dyDescent="0.3"/>
    <row r="13168" ht="14.4" customHeight="1" x14ac:dyDescent="0.3"/>
    <row r="13169" ht="14.4" customHeight="1" x14ac:dyDescent="0.3"/>
    <row r="13170" ht="14.4" customHeight="1" x14ac:dyDescent="0.3"/>
    <row r="13171" ht="14.4" customHeight="1" x14ac:dyDescent="0.3"/>
    <row r="13172" ht="14.4" customHeight="1" x14ac:dyDescent="0.3"/>
    <row r="13173" ht="14.4" customHeight="1" x14ac:dyDescent="0.3"/>
    <row r="13174" ht="14.4" customHeight="1" x14ac:dyDescent="0.3"/>
    <row r="13175" ht="14.4" customHeight="1" x14ac:dyDescent="0.3"/>
    <row r="13176" ht="14.4" customHeight="1" x14ac:dyDescent="0.3"/>
    <row r="13177" ht="14.4" customHeight="1" x14ac:dyDescent="0.3"/>
    <row r="13178" ht="14.4" customHeight="1" x14ac:dyDescent="0.3"/>
    <row r="13179" ht="14.4" customHeight="1" x14ac:dyDescent="0.3"/>
    <row r="13180" ht="14.4" customHeight="1" x14ac:dyDescent="0.3"/>
    <row r="13181" ht="14.4" customHeight="1" x14ac:dyDescent="0.3"/>
    <row r="13182" ht="14.4" customHeight="1" x14ac:dyDescent="0.3"/>
    <row r="13183" ht="14.4" customHeight="1" x14ac:dyDescent="0.3"/>
    <row r="13184" ht="14.4" customHeight="1" x14ac:dyDescent="0.3"/>
    <row r="13185" ht="14.4" customHeight="1" x14ac:dyDescent="0.3"/>
    <row r="13186" ht="14.4" customHeight="1" x14ac:dyDescent="0.3"/>
    <row r="13187" ht="14.4" customHeight="1" x14ac:dyDescent="0.3"/>
    <row r="13188" ht="14.4" customHeight="1" x14ac:dyDescent="0.3"/>
    <row r="13189" ht="14.4" customHeight="1" x14ac:dyDescent="0.3"/>
    <row r="13190" ht="14.4" customHeight="1" x14ac:dyDescent="0.3"/>
    <row r="13191" ht="14.4" customHeight="1" x14ac:dyDescent="0.3"/>
    <row r="13192" ht="14.4" customHeight="1" x14ac:dyDescent="0.3"/>
    <row r="13193" ht="14.4" customHeight="1" x14ac:dyDescent="0.3"/>
    <row r="13194" ht="14.4" customHeight="1" x14ac:dyDescent="0.3"/>
    <row r="13195" ht="14.4" customHeight="1" x14ac:dyDescent="0.3"/>
    <row r="13196" ht="14.4" customHeight="1" x14ac:dyDescent="0.3"/>
    <row r="13197" ht="14.4" customHeight="1" x14ac:dyDescent="0.3"/>
    <row r="13198" ht="14.4" customHeight="1" x14ac:dyDescent="0.3"/>
    <row r="13199" ht="14.4" customHeight="1" x14ac:dyDescent="0.3"/>
    <row r="13200" ht="14.4" customHeight="1" x14ac:dyDescent="0.3"/>
    <row r="13201" ht="14.4" customHeight="1" x14ac:dyDescent="0.3"/>
    <row r="13202" ht="14.4" customHeight="1" x14ac:dyDescent="0.3"/>
    <row r="13203" ht="14.4" customHeight="1" x14ac:dyDescent="0.3"/>
    <row r="13204" ht="14.4" customHeight="1" x14ac:dyDescent="0.3"/>
    <row r="13205" ht="14.4" customHeight="1" x14ac:dyDescent="0.3"/>
    <row r="13206" ht="14.4" customHeight="1" x14ac:dyDescent="0.3"/>
    <row r="13207" ht="14.4" customHeight="1" x14ac:dyDescent="0.3"/>
    <row r="13208" ht="14.4" customHeight="1" x14ac:dyDescent="0.3"/>
    <row r="13209" ht="14.4" customHeight="1" x14ac:dyDescent="0.3"/>
    <row r="13210" ht="14.4" customHeight="1" x14ac:dyDescent="0.3"/>
    <row r="13211" ht="14.4" customHeight="1" x14ac:dyDescent="0.3"/>
    <row r="13212" ht="14.4" customHeight="1" x14ac:dyDescent="0.3"/>
    <row r="13213" ht="14.4" customHeight="1" x14ac:dyDescent="0.3"/>
    <row r="13214" ht="14.4" customHeight="1" x14ac:dyDescent="0.3"/>
    <row r="13215" ht="14.4" customHeight="1" x14ac:dyDescent="0.3"/>
    <row r="13216" ht="14.4" customHeight="1" x14ac:dyDescent="0.3"/>
    <row r="13217" ht="14.4" customHeight="1" x14ac:dyDescent="0.3"/>
    <row r="13218" ht="14.4" customHeight="1" x14ac:dyDescent="0.3"/>
    <row r="13219" ht="14.4" customHeight="1" x14ac:dyDescent="0.3"/>
    <row r="13220" ht="14.4" customHeight="1" x14ac:dyDescent="0.3"/>
    <row r="13221" ht="14.4" customHeight="1" x14ac:dyDescent="0.3"/>
    <row r="13222" ht="14.4" customHeight="1" x14ac:dyDescent="0.3"/>
    <row r="13223" ht="14.4" customHeight="1" x14ac:dyDescent="0.3"/>
    <row r="13224" ht="14.4" customHeight="1" x14ac:dyDescent="0.3"/>
    <row r="13225" ht="14.4" customHeight="1" x14ac:dyDescent="0.3"/>
    <row r="13226" ht="14.4" customHeight="1" x14ac:dyDescent="0.3"/>
    <row r="13227" ht="14.4" customHeight="1" x14ac:dyDescent="0.3"/>
    <row r="13228" ht="14.4" customHeight="1" x14ac:dyDescent="0.3"/>
    <row r="13229" ht="14.4" customHeight="1" x14ac:dyDescent="0.3"/>
    <row r="13230" ht="14.4" customHeight="1" x14ac:dyDescent="0.3"/>
    <row r="13231" ht="14.4" customHeight="1" x14ac:dyDescent="0.3"/>
    <row r="13232" ht="14.4" customHeight="1" x14ac:dyDescent="0.3"/>
    <row r="13233" ht="14.4" customHeight="1" x14ac:dyDescent="0.3"/>
    <row r="13234" ht="14.4" customHeight="1" x14ac:dyDescent="0.3"/>
    <row r="13235" ht="14.4" customHeight="1" x14ac:dyDescent="0.3"/>
    <row r="13236" ht="14.4" customHeight="1" x14ac:dyDescent="0.3"/>
    <row r="13237" ht="14.4" customHeight="1" x14ac:dyDescent="0.3"/>
    <row r="13238" ht="14.4" customHeight="1" x14ac:dyDescent="0.3"/>
    <row r="13239" ht="14.4" customHeight="1" x14ac:dyDescent="0.3"/>
    <row r="13240" ht="14.4" customHeight="1" x14ac:dyDescent="0.3"/>
    <row r="13241" ht="14.4" customHeight="1" x14ac:dyDescent="0.3"/>
    <row r="13242" ht="14.4" customHeight="1" x14ac:dyDescent="0.3"/>
    <row r="13243" ht="14.4" customHeight="1" x14ac:dyDescent="0.3"/>
    <row r="13244" ht="14.4" customHeight="1" x14ac:dyDescent="0.3"/>
    <row r="13245" ht="14.4" customHeight="1" x14ac:dyDescent="0.3"/>
    <row r="13246" ht="14.4" customHeight="1" x14ac:dyDescent="0.3"/>
    <row r="13247" ht="14.4" customHeight="1" x14ac:dyDescent="0.3"/>
    <row r="13248" ht="14.4" customHeight="1" x14ac:dyDescent="0.3"/>
    <row r="13249" ht="14.4" customHeight="1" x14ac:dyDescent="0.3"/>
    <row r="13250" ht="14.4" customHeight="1" x14ac:dyDescent="0.3"/>
    <row r="13251" ht="14.4" customHeight="1" x14ac:dyDescent="0.3"/>
    <row r="13252" ht="14.4" customHeight="1" x14ac:dyDescent="0.3"/>
    <row r="13253" ht="14.4" customHeight="1" x14ac:dyDescent="0.3"/>
    <row r="13254" ht="14.4" customHeight="1" x14ac:dyDescent="0.3"/>
    <row r="13255" ht="14.4" customHeight="1" x14ac:dyDescent="0.3"/>
    <row r="13256" ht="14.4" customHeight="1" x14ac:dyDescent="0.3"/>
    <row r="13257" ht="14.4" customHeight="1" x14ac:dyDescent="0.3"/>
    <row r="13258" ht="14.4" customHeight="1" x14ac:dyDescent="0.3"/>
    <row r="13259" ht="14.4" customHeight="1" x14ac:dyDescent="0.3"/>
    <row r="13260" ht="14.4" customHeight="1" x14ac:dyDescent="0.3"/>
    <row r="13261" ht="14.4" customHeight="1" x14ac:dyDescent="0.3"/>
    <row r="13262" ht="14.4" customHeight="1" x14ac:dyDescent="0.3"/>
    <row r="13263" ht="14.4" customHeight="1" x14ac:dyDescent="0.3"/>
    <row r="13264" ht="14.4" customHeight="1" x14ac:dyDescent="0.3"/>
    <row r="13265" ht="14.4" customHeight="1" x14ac:dyDescent="0.3"/>
    <row r="13266" ht="14.4" customHeight="1" x14ac:dyDescent="0.3"/>
    <row r="13267" ht="14.4" customHeight="1" x14ac:dyDescent="0.3"/>
    <row r="13268" ht="14.4" customHeight="1" x14ac:dyDescent="0.3"/>
    <row r="13269" ht="14.4" customHeight="1" x14ac:dyDescent="0.3"/>
    <row r="13270" ht="14.4" customHeight="1" x14ac:dyDescent="0.3"/>
    <row r="13271" ht="14.4" customHeight="1" x14ac:dyDescent="0.3"/>
    <row r="13272" ht="14.4" customHeight="1" x14ac:dyDescent="0.3"/>
    <row r="13273" ht="14.4" customHeight="1" x14ac:dyDescent="0.3"/>
    <row r="13274" ht="14.4" customHeight="1" x14ac:dyDescent="0.3"/>
    <row r="13275" ht="14.4" customHeight="1" x14ac:dyDescent="0.3"/>
    <row r="13276" ht="14.4" customHeight="1" x14ac:dyDescent="0.3"/>
    <row r="13277" ht="14.4" customHeight="1" x14ac:dyDescent="0.3"/>
    <row r="13278" ht="14.4" customHeight="1" x14ac:dyDescent="0.3"/>
    <row r="13279" ht="14.4" customHeight="1" x14ac:dyDescent="0.3"/>
    <row r="13280" ht="14.4" customHeight="1" x14ac:dyDescent="0.3"/>
    <row r="13281" ht="14.4" customHeight="1" x14ac:dyDescent="0.3"/>
    <row r="13282" ht="14.4" customHeight="1" x14ac:dyDescent="0.3"/>
    <row r="13283" ht="14.4" customHeight="1" x14ac:dyDescent="0.3"/>
    <row r="13284" ht="14.4" customHeight="1" x14ac:dyDescent="0.3"/>
    <row r="13285" ht="14.4" customHeight="1" x14ac:dyDescent="0.3"/>
    <row r="13286" ht="14.4" customHeight="1" x14ac:dyDescent="0.3"/>
    <row r="13287" ht="14.4" customHeight="1" x14ac:dyDescent="0.3"/>
    <row r="13288" ht="14.4" customHeight="1" x14ac:dyDescent="0.3"/>
    <row r="13289" ht="14.4" customHeight="1" x14ac:dyDescent="0.3"/>
    <row r="13290" ht="14.4" customHeight="1" x14ac:dyDescent="0.3"/>
    <row r="13291" ht="14.4" customHeight="1" x14ac:dyDescent="0.3"/>
    <row r="13292" ht="14.4" customHeight="1" x14ac:dyDescent="0.3"/>
    <row r="13293" ht="14.4" customHeight="1" x14ac:dyDescent="0.3"/>
    <row r="13294" ht="14.4" customHeight="1" x14ac:dyDescent="0.3"/>
    <row r="13295" ht="14.4" customHeight="1" x14ac:dyDescent="0.3"/>
    <row r="13296" ht="14.4" customHeight="1" x14ac:dyDescent="0.3"/>
    <row r="13297" ht="14.4" customHeight="1" x14ac:dyDescent="0.3"/>
    <row r="13298" ht="14.4" customHeight="1" x14ac:dyDescent="0.3"/>
    <row r="13299" ht="14.4" customHeight="1" x14ac:dyDescent="0.3"/>
    <row r="13300" ht="14.4" customHeight="1" x14ac:dyDescent="0.3"/>
    <row r="13301" ht="14.4" customHeight="1" x14ac:dyDescent="0.3"/>
    <row r="13302" ht="14.4" customHeight="1" x14ac:dyDescent="0.3"/>
    <row r="13303" ht="14.4" customHeight="1" x14ac:dyDescent="0.3"/>
    <row r="13304" ht="14.4" customHeight="1" x14ac:dyDescent="0.3"/>
    <row r="13305" ht="14.4" customHeight="1" x14ac:dyDescent="0.3"/>
    <row r="13306" ht="14.4" customHeight="1" x14ac:dyDescent="0.3"/>
    <row r="13307" ht="14.4" customHeight="1" x14ac:dyDescent="0.3"/>
    <row r="13308" ht="14.4" customHeight="1" x14ac:dyDescent="0.3"/>
    <row r="13309" ht="14.4" customHeight="1" x14ac:dyDescent="0.3"/>
    <row r="13310" ht="14.4" customHeight="1" x14ac:dyDescent="0.3"/>
    <row r="13311" ht="14.4" customHeight="1" x14ac:dyDescent="0.3"/>
    <row r="13312" ht="14.4" customHeight="1" x14ac:dyDescent="0.3"/>
    <row r="13313" ht="14.4" customHeight="1" x14ac:dyDescent="0.3"/>
    <row r="13314" ht="14.4" customHeight="1" x14ac:dyDescent="0.3"/>
    <row r="13315" ht="14.4" customHeight="1" x14ac:dyDescent="0.3"/>
    <row r="13316" ht="14.4" customHeight="1" x14ac:dyDescent="0.3"/>
    <row r="13317" ht="14.4" customHeight="1" x14ac:dyDescent="0.3"/>
    <row r="13318" ht="14.4" customHeight="1" x14ac:dyDescent="0.3"/>
    <row r="13319" ht="14.4" customHeight="1" x14ac:dyDescent="0.3"/>
    <row r="13320" ht="14.4" customHeight="1" x14ac:dyDescent="0.3"/>
    <row r="13321" ht="14.4" customHeight="1" x14ac:dyDescent="0.3"/>
    <row r="13322" ht="14.4" customHeight="1" x14ac:dyDescent="0.3"/>
    <row r="13323" ht="14.4" customHeight="1" x14ac:dyDescent="0.3"/>
    <row r="13324" ht="14.4" customHeight="1" x14ac:dyDescent="0.3"/>
    <row r="13325" ht="14.4" customHeight="1" x14ac:dyDescent="0.3"/>
    <row r="13326" ht="14.4" customHeight="1" x14ac:dyDescent="0.3"/>
    <row r="13327" ht="14.4" customHeight="1" x14ac:dyDescent="0.3"/>
    <row r="13328" ht="14.4" customHeight="1" x14ac:dyDescent="0.3"/>
    <row r="13329" ht="14.4" customHeight="1" x14ac:dyDescent="0.3"/>
    <row r="13330" ht="14.4" customHeight="1" x14ac:dyDescent="0.3"/>
    <row r="13331" ht="14.4" customHeight="1" x14ac:dyDescent="0.3"/>
    <row r="13332" ht="14.4" customHeight="1" x14ac:dyDescent="0.3"/>
    <row r="13333" ht="14.4" customHeight="1" x14ac:dyDescent="0.3"/>
    <row r="13334" ht="14.4" customHeight="1" x14ac:dyDescent="0.3"/>
    <row r="13335" ht="14.4" customHeight="1" x14ac:dyDescent="0.3"/>
    <row r="13336" ht="14.4" customHeight="1" x14ac:dyDescent="0.3"/>
    <row r="13337" ht="14.4" customHeight="1" x14ac:dyDescent="0.3"/>
    <row r="13338" ht="14.4" customHeight="1" x14ac:dyDescent="0.3"/>
    <row r="13339" ht="14.4" customHeight="1" x14ac:dyDescent="0.3"/>
    <row r="13340" ht="14.4" customHeight="1" x14ac:dyDescent="0.3"/>
    <row r="13341" ht="14.4" customHeight="1" x14ac:dyDescent="0.3"/>
    <row r="13342" ht="14.4" customHeight="1" x14ac:dyDescent="0.3"/>
    <row r="13343" ht="14.4" customHeight="1" x14ac:dyDescent="0.3"/>
    <row r="13344" ht="14.4" customHeight="1" x14ac:dyDescent="0.3"/>
    <row r="13345" ht="14.4" customHeight="1" x14ac:dyDescent="0.3"/>
    <row r="13346" ht="14.4" customHeight="1" x14ac:dyDescent="0.3"/>
    <row r="13347" ht="14.4" customHeight="1" x14ac:dyDescent="0.3"/>
    <row r="13348" ht="14.4" customHeight="1" x14ac:dyDescent="0.3"/>
    <row r="13349" ht="14.4" customHeight="1" x14ac:dyDescent="0.3"/>
    <row r="13350" ht="14.4" customHeight="1" x14ac:dyDescent="0.3"/>
    <row r="13351" ht="14.4" customHeight="1" x14ac:dyDescent="0.3"/>
    <row r="13352" ht="14.4" customHeight="1" x14ac:dyDescent="0.3"/>
    <row r="13353" ht="14.4" customHeight="1" x14ac:dyDescent="0.3"/>
    <row r="13354" ht="14.4" customHeight="1" x14ac:dyDescent="0.3"/>
    <row r="13355" ht="14.4" customHeight="1" x14ac:dyDescent="0.3"/>
    <row r="13356" ht="14.4" customHeight="1" x14ac:dyDescent="0.3"/>
    <row r="13357" ht="14.4" customHeight="1" x14ac:dyDescent="0.3"/>
    <row r="13358" ht="14.4" customHeight="1" x14ac:dyDescent="0.3"/>
    <row r="13359" ht="14.4" customHeight="1" x14ac:dyDescent="0.3"/>
    <row r="13360" ht="14.4" customHeight="1" x14ac:dyDescent="0.3"/>
    <row r="13361" ht="14.4" customHeight="1" x14ac:dyDescent="0.3"/>
    <row r="13362" ht="14.4" customHeight="1" x14ac:dyDescent="0.3"/>
    <row r="13363" ht="14.4" customHeight="1" x14ac:dyDescent="0.3"/>
    <row r="13364" ht="14.4" customHeight="1" x14ac:dyDescent="0.3"/>
    <row r="13365" ht="14.4" customHeight="1" x14ac:dyDescent="0.3"/>
    <row r="13366" ht="14.4" customHeight="1" x14ac:dyDescent="0.3"/>
    <row r="13367" ht="14.4" customHeight="1" x14ac:dyDescent="0.3"/>
    <row r="13368" ht="14.4" customHeight="1" x14ac:dyDescent="0.3"/>
    <row r="13369" ht="14.4" customHeight="1" x14ac:dyDescent="0.3"/>
    <row r="13370" ht="14.4" customHeight="1" x14ac:dyDescent="0.3"/>
    <row r="13371" ht="14.4" customHeight="1" x14ac:dyDescent="0.3"/>
    <row r="13372" ht="14.4" customHeight="1" x14ac:dyDescent="0.3"/>
    <row r="13373" ht="14.4" customHeight="1" x14ac:dyDescent="0.3"/>
    <row r="13374" ht="14.4" customHeight="1" x14ac:dyDescent="0.3"/>
    <row r="13375" ht="14.4" customHeight="1" x14ac:dyDescent="0.3"/>
    <row r="13376" ht="14.4" customHeight="1" x14ac:dyDescent="0.3"/>
    <row r="13377" ht="14.4" customHeight="1" x14ac:dyDescent="0.3"/>
    <row r="13378" ht="14.4" customHeight="1" x14ac:dyDescent="0.3"/>
    <row r="13379" ht="14.4" customHeight="1" x14ac:dyDescent="0.3"/>
    <row r="13380" ht="14.4" customHeight="1" x14ac:dyDescent="0.3"/>
    <row r="13381" ht="14.4" customHeight="1" x14ac:dyDescent="0.3"/>
    <row r="13382" ht="14.4" customHeight="1" x14ac:dyDescent="0.3"/>
    <row r="13383" ht="14.4" customHeight="1" x14ac:dyDescent="0.3"/>
    <row r="13384" ht="14.4" customHeight="1" x14ac:dyDescent="0.3"/>
    <row r="13385" ht="14.4" customHeight="1" x14ac:dyDescent="0.3"/>
    <row r="13386" ht="14.4" customHeight="1" x14ac:dyDescent="0.3"/>
    <row r="13387" ht="14.4" customHeight="1" x14ac:dyDescent="0.3"/>
    <row r="13388" ht="14.4" customHeight="1" x14ac:dyDescent="0.3"/>
    <row r="13389" ht="14.4" customHeight="1" x14ac:dyDescent="0.3"/>
    <row r="13390" ht="14.4" customHeight="1" x14ac:dyDescent="0.3"/>
    <row r="13391" ht="14.4" customHeight="1" x14ac:dyDescent="0.3"/>
    <row r="13392" ht="14.4" customHeight="1" x14ac:dyDescent="0.3"/>
    <row r="13393" ht="14.4" customHeight="1" x14ac:dyDescent="0.3"/>
    <row r="13394" ht="14.4" customHeight="1" x14ac:dyDescent="0.3"/>
    <row r="13395" ht="14.4" customHeight="1" x14ac:dyDescent="0.3"/>
    <row r="13396" ht="14.4" customHeight="1" x14ac:dyDescent="0.3"/>
    <row r="13397" ht="14.4" customHeight="1" x14ac:dyDescent="0.3"/>
    <row r="13398" ht="14.4" customHeight="1" x14ac:dyDescent="0.3"/>
    <row r="13399" ht="14.4" customHeight="1" x14ac:dyDescent="0.3"/>
    <row r="13400" ht="14.4" customHeight="1" x14ac:dyDescent="0.3"/>
    <row r="13401" ht="14.4" customHeight="1" x14ac:dyDescent="0.3"/>
    <row r="13402" ht="14.4" customHeight="1" x14ac:dyDescent="0.3"/>
    <row r="13403" ht="14.4" customHeight="1" x14ac:dyDescent="0.3"/>
    <row r="13404" ht="14.4" customHeight="1" x14ac:dyDescent="0.3"/>
    <row r="13405" ht="14.4" customHeight="1" x14ac:dyDescent="0.3"/>
    <row r="13406" ht="14.4" customHeight="1" x14ac:dyDescent="0.3"/>
    <row r="13407" ht="14.4" customHeight="1" x14ac:dyDescent="0.3"/>
    <row r="13408" ht="14.4" customHeight="1" x14ac:dyDescent="0.3"/>
    <row r="13409" ht="14.4" customHeight="1" x14ac:dyDescent="0.3"/>
    <row r="13410" ht="14.4" customHeight="1" x14ac:dyDescent="0.3"/>
    <row r="13411" ht="14.4" customHeight="1" x14ac:dyDescent="0.3"/>
    <row r="13412" ht="14.4" customHeight="1" x14ac:dyDescent="0.3"/>
    <row r="13413" ht="14.4" customHeight="1" x14ac:dyDescent="0.3"/>
    <row r="13414" ht="14.4" customHeight="1" x14ac:dyDescent="0.3"/>
    <row r="13415" ht="14.4" customHeight="1" x14ac:dyDescent="0.3"/>
    <row r="13416" ht="14.4" customHeight="1" x14ac:dyDescent="0.3"/>
    <row r="13417" ht="14.4" customHeight="1" x14ac:dyDescent="0.3"/>
    <row r="13418" ht="14.4" customHeight="1" x14ac:dyDescent="0.3"/>
    <row r="13419" ht="14.4" customHeight="1" x14ac:dyDescent="0.3"/>
    <row r="13420" ht="14.4" customHeight="1" x14ac:dyDescent="0.3"/>
    <row r="13421" ht="14.4" customHeight="1" x14ac:dyDescent="0.3"/>
    <row r="13422" ht="14.4" customHeight="1" x14ac:dyDescent="0.3"/>
    <row r="13423" ht="14.4" customHeight="1" x14ac:dyDescent="0.3"/>
    <row r="13424" ht="14.4" customHeight="1" x14ac:dyDescent="0.3"/>
    <row r="13425" ht="14.4" customHeight="1" x14ac:dyDescent="0.3"/>
    <row r="13426" ht="14.4" customHeight="1" x14ac:dyDescent="0.3"/>
    <row r="13427" ht="14.4" customHeight="1" x14ac:dyDescent="0.3"/>
    <row r="13428" ht="14.4" customHeight="1" x14ac:dyDescent="0.3"/>
    <row r="13429" ht="14.4" customHeight="1" x14ac:dyDescent="0.3"/>
    <row r="13430" ht="14.4" customHeight="1" x14ac:dyDescent="0.3"/>
    <row r="13431" ht="14.4" customHeight="1" x14ac:dyDescent="0.3"/>
    <row r="13432" ht="14.4" customHeight="1" x14ac:dyDescent="0.3"/>
    <row r="13433" ht="14.4" customHeight="1" x14ac:dyDescent="0.3"/>
    <row r="13434" ht="14.4" customHeight="1" x14ac:dyDescent="0.3"/>
    <row r="13435" ht="14.4" customHeight="1" x14ac:dyDescent="0.3"/>
    <row r="13436" ht="14.4" customHeight="1" x14ac:dyDescent="0.3"/>
    <row r="13437" ht="14.4" customHeight="1" x14ac:dyDescent="0.3"/>
    <row r="13438" ht="14.4" customHeight="1" x14ac:dyDescent="0.3"/>
    <row r="13439" ht="14.4" customHeight="1" x14ac:dyDescent="0.3"/>
    <row r="13440" ht="14.4" customHeight="1" x14ac:dyDescent="0.3"/>
    <row r="13441" ht="14.4" customHeight="1" x14ac:dyDescent="0.3"/>
    <row r="13442" ht="14.4" customHeight="1" x14ac:dyDescent="0.3"/>
    <row r="13443" ht="14.4" customHeight="1" x14ac:dyDescent="0.3"/>
    <row r="13444" ht="14.4" customHeight="1" x14ac:dyDescent="0.3"/>
    <row r="13445" ht="14.4" customHeight="1" x14ac:dyDescent="0.3"/>
    <row r="13446" ht="14.4" customHeight="1" x14ac:dyDescent="0.3"/>
    <row r="13447" ht="14.4" customHeight="1" x14ac:dyDescent="0.3"/>
    <row r="13448" ht="14.4" customHeight="1" x14ac:dyDescent="0.3"/>
    <row r="13449" ht="14.4" customHeight="1" x14ac:dyDescent="0.3"/>
    <row r="13450" ht="14.4" customHeight="1" x14ac:dyDescent="0.3"/>
    <row r="13451" ht="14.4" customHeight="1" x14ac:dyDescent="0.3"/>
    <row r="13452" ht="14.4" customHeight="1" x14ac:dyDescent="0.3"/>
    <row r="13453" ht="14.4" customHeight="1" x14ac:dyDescent="0.3"/>
    <row r="13454" ht="14.4" customHeight="1" x14ac:dyDescent="0.3"/>
    <row r="13455" ht="14.4" customHeight="1" x14ac:dyDescent="0.3"/>
    <row r="13456" ht="14.4" customHeight="1" x14ac:dyDescent="0.3"/>
    <row r="13457" ht="14.4" customHeight="1" x14ac:dyDescent="0.3"/>
    <row r="13458" ht="14.4" customHeight="1" x14ac:dyDescent="0.3"/>
    <row r="13459" ht="14.4" customHeight="1" x14ac:dyDescent="0.3"/>
    <row r="13460" ht="14.4" customHeight="1" x14ac:dyDescent="0.3"/>
    <row r="13461" ht="14.4" customHeight="1" x14ac:dyDescent="0.3"/>
    <row r="13462" ht="14.4" customHeight="1" x14ac:dyDescent="0.3"/>
    <row r="13463" ht="14.4" customHeight="1" x14ac:dyDescent="0.3"/>
    <row r="13464" ht="14.4" customHeight="1" x14ac:dyDescent="0.3"/>
    <row r="13465" ht="14.4" customHeight="1" x14ac:dyDescent="0.3"/>
    <row r="13466" ht="14.4" customHeight="1" x14ac:dyDescent="0.3"/>
    <row r="13467" ht="14.4" customHeight="1" x14ac:dyDescent="0.3"/>
    <row r="13468" ht="14.4" customHeight="1" x14ac:dyDescent="0.3"/>
    <row r="13469" ht="14.4" customHeight="1" x14ac:dyDescent="0.3"/>
    <row r="13470" ht="14.4" customHeight="1" x14ac:dyDescent="0.3"/>
    <row r="13471" ht="14.4" customHeight="1" x14ac:dyDescent="0.3"/>
    <row r="13472" ht="14.4" customHeight="1" x14ac:dyDescent="0.3"/>
    <row r="13473" ht="14.4" customHeight="1" x14ac:dyDescent="0.3"/>
    <row r="13474" ht="14.4" customHeight="1" x14ac:dyDescent="0.3"/>
    <row r="13475" ht="14.4" customHeight="1" x14ac:dyDescent="0.3"/>
    <row r="13476" ht="14.4" customHeight="1" x14ac:dyDescent="0.3"/>
    <row r="13477" ht="14.4" customHeight="1" x14ac:dyDescent="0.3"/>
    <row r="13478" ht="14.4" customHeight="1" x14ac:dyDescent="0.3"/>
    <row r="13479" ht="14.4" customHeight="1" x14ac:dyDescent="0.3"/>
    <row r="13480" ht="14.4" customHeight="1" x14ac:dyDescent="0.3"/>
    <row r="13481" ht="14.4" customHeight="1" x14ac:dyDescent="0.3"/>
    <row r="13482" ht="14.4" customHeight="1" x14ac:dyDescent="0.3"/>
    <row r="13483" ht="14.4" customHeight="1" x14ac:dyDescent="0.3"/>
    <row r="13484" ht="14.4" customHeight="1" x14ac:dyDescent="0.3"/>
    <row r="13485" ht="14.4" customHeight="1" x14ac:dyDescent="0.3"/>
    <row r="13486" ht="14.4" customHeight="1" x14ac:dyDescent="0.3"/>
    <row r="13487" ht="14.4" customHeight="1" x14ac:dyDescent="0.3"/>
    <row r="13488" ht="14.4" customHeight="1" x14ac:dyDescent="0.3"/>
    <row r="13489" ht="14.4" customHeight="1" x14ac:dyDescent="0.3"/>
    <row r="13490" ht="14.4" customHeight="1" x14ac:dyDescent="0.3"/>
    <row r="13491" ht="14.4" customHeight="1" x14ac:dyDescent="0.3"/>
    <row r="13492" ht="14.4" customHeight="1" x14ac:dyDescent="0.3"/>
    <row r="13493" ht="14.4" customHeight="1" x14ac:dyDescent="0.3"/>
    <row r="13494" ht="14.4" customHeight="1" x14ac:dyDescent="0.3"/>
    <row r="13495" ht="14.4" customHeight="1" x14ac:dyDescent="0.3"/>
    <row r="13496" ht="14.4" customHeight="1" x14ac:dyDescent="0.3"/>
    <row r="13497" ht="14.4" customHeight="1" x14ac:dyDescent="0.3"/>
    <row r="13498" ht="14.4" customHeight="1" x14ac:dyDescent="0.3"/>
    <row r="13499" ht="14.4" customHeight="1" x14ac:dyDescent="0.3"/>
    <row r="13500" ht="14.4" customHeight="1" x14ac:dyDescent="0.3"/>
    <row r="13501" ht="14.4" customHeight="1" x14ac:dyDescent="0.3"/>
    <row r="13502" ht="14.4" customHeight="1" x14ac:dyDescent="0.3"/>
    <row r="13503" ht="14.4" customHeight="1" x14ac:dyDescent="0.3"/>
    <row r="13504" ht="14.4" customHeight="1" x14ac:dyDescent="0.3"/>
    <row r="13505" ht="14.4" customHeight="1" x14ac:dyDescent="0.3"/>
    <row r="13506" ht="14.4" customHeight="1" x14ac:dyDescent="0.3"/>
    <row r="13507" ht="14.4" customHeight="1" x14ac:dyDescent="0.3"/>
    <row r="13508" ht="14.4" customHeight="1" x14ac:dyDescent="0.3"/>
    <row r="13509" ht="14.4" customHeight="1" x14ac:dyDescent="0.3"/>
    <row r="13510" ht="14.4" customHeight="1" x14ac:dyDescent="0.3"/>
    <row r="13511" ht="14.4" customHeight="1" x14ac:dyDescent="0.3"/>
    <row r="13512" ht="14.4" customHeight="1" x14ac:dyDescent="0.3"/>
    <row r="13513" ht="14.4" customHeight="1" x14ac:dyDescent="0.3"/>
    <row r="13514" ht="14.4" customHeight="1" x14ac:dyDescent="0.3"/>
    <row r="13515" ht="14.4" customHeight="1" x14ac:dyDescent="0.3"/>
    <row r="13516" ht="14.4" customHeight="1" x14ac:dyDescent="0.3"/>
    <row r="13517" ht="14.4" customHeight="1" x14ac:dyDescent="0.3"/>
    <row r="13518" ht="14.4" customHeight="1" x14ac:dyDescent="0.3"/>
    <row r="13519" ht="14.4" customHeight="1" x14ac:dyDescent="0.3"/>
    <row r="13520" ht="14.4" customHeight="1" x14ac:dyDescent="0.3"/>
    <row r="13521" ht="14.4" customHeight="1" x14ac:dyDescent="0.3"/>
    <row r="13522" ht="14.4" customHeight="1" x14ac:dyDescent="0.3"/>
    <row r="13523" ht="14.4" customHeight="1" x14ac:dyDescent="0.3"/>
    <row r="13524" ht="14.4" customHeight="1" x14ac:dyDescent="0.3"/>
    <row r="13525" ht="14.4" customHeight="1" x14ac:dyDescent="0.3"/>
    <row r="13526" ht="14.4" customHeight="1" x14ac:dyDescent="0.3"/>
    <row r="13527" ht="14.4" customHeight="1" x14ac:dyDescent="0.3"/>
    <row r="13528" ht="14.4" customHeight="1" x14ac:dyDescent="0.3"/>
    <row r="13529" ht="14.4" customHeight="1" x14ac:dyDescent="0.3"/>
    <row r="13530" ht="14.4" customHeight="1" x14ac:dyDescent="0.3"/>
    <row r="13531" ht="14.4" customHeight="1" x14ac:dyDescent="0.3"/>
    <row r="13532" ht="14.4" customHeight="1" x14ac:dyDescent="0.3"/>
    <row r="13533" ht="14.4" customHeight="1" x14ac:dyDescent="0.3"/>
    <row r="13534" ht="14.4" customHeight="1" x14ac:dyDescent="0.3"/>
    <row r="13535" ht="14.4" customHeight="1" x14ac:dyDescent="0.3"/>
    <row r="13536" ht="14.4" customHeight="1" x14ac:dyDescent="0.3"/>
    <row r="13537" ht="14.4" customHeight="1" x14ac:dyDescent="0.3"/>
    <row r="13538" ht="14.4" customHeight="1" x14ac:dyDescent="0.3"/>
    <row r="13539" ht="14.4" customHeight="1" x14ac:dyDescent="0.3"/>
    <row r="13540" ht="14.4" customHeight="1" x14ac:dyDescent="0.3"/>
    <row r="13541" ht="14.4" customHeight="1" x14ac:dyDescent="0.3"/>
    <row r="13542" ht="14.4" customHeight="1" x14ac:dyDescent="0.3"/>
    <row r="13543" ht="14.4" customHeight="1" x14ac:dyDescent="0.3"/>
    <row r="13544" ht="14.4" customHeight="1" x14ac:dyDescent="0.3"/>
    <row r="13545" ht="14.4" customHeight="1" x14ac:dyDescent="0.3"/>
    <row r="13546" ht="14.4" customHeight="1" x14ac:dyDescent="0.3"/>
    <row r="13547" ht="14.4" customHeight="1" x14ac:dyDescent="0.3"/>
    <row r="13548" ht="14.4" customHeight="1" x14ac:dyDescent="0.3"/>
    <row r="13549" ht="14.4" customHeight="1" x14ac:dyDescent="0.3"/>
    <row r="13550" ht="14.4" customHeight="1" x14ac:dyDescent="0.3"/>
    <row r="13551" ht="14.4" customHeight="1" x14ac:dyDescent="0.3"/>
    <row r="13552" ht="14.4" customHeight="1" x14ac:dyDescent="0.3"/>
    <row r="13553" ht="14.4" customHeight="1" x14ac:dyDescent="0.3"/>
    <row r="13554" ht="14.4" customHeight="1" x14ac:dyDescent="0.3"/>
    <row r="13555" ht="14.4" customHeight="1" x14ac:dyDescent="0.3"/>
    <row r="13556" ht="14.4" customHeight="1" x14ac:dyDescent="0.3"/>
    <row r="13557" ht="14.4" customHeight="1" x14ac:dyDescent="0.3"/>
    <row r="13558" ht="14.4" customHeight="1" x14ac:dyDescent="0.3"/>
    <row r="13559" ht="14.4" customHeight="1" x14ac:dyDescent="0.3"/>
    <row r="13560" ht="14.4" customHeight="1" x14ac:dyDescent="0.3"/>
    <row r="13561" ht="14.4" customHeight="1" x14ac:dyDescent="0.3"/>
    <row r="13562" ht="14.4" customHeight="1" x14ac:dyDescent="0.3"/>
    <row r="13563" ht="14.4" customHeight="1" x14ac:dyDescent="0.3"/>
    <row r="13564" ht="14.4" customHeight="1" x14ac:dyDescent="0.3"/>
    <row r="13565" ht="14.4" customHeight="1" x14ac:dyDescent="0.3"/>
    <row r="13566" ht="14.4" customHeight="1" x14ac:dyDescent="0.3"/>
    <row r="13567" ht="14.4" customHeight="1" x14ac:dyDescent="0.3"/>
    <row r="13568" ht="14.4" customHeight="1" x14ac:dyDescent="0.3"/>
    <row r="13569" ht="14.4" customHeight="1" x14ac:dyDescent="0.3"/>
    <row r="13570" ht="14.4" customHeight="1" x14ac:dyDescent="0.3"/>
    <row r="13571" ht="14.4" customHeight="1" x14ac:dyDescent="0.3"/>
    <row r="13572" ht="14.4" customHeight="1" x14ac:dyDescent="0.3"/>
    <row r="13573" ht="14.4" customHeight="1" x14ac:dyDescent="0.3"/>
    <row r="13574" ht="14.4" customHeight="1" x14ac:dyDescent="0.3"/>
    <row r="13575" ht="14.4" customHeight="1" x14ac:dyDescent="0.3"/>
    <row r="13576" ht="14.4" customHeight="1" x14ac:dyDescent="0.3"/>
    <row r="13577" ht="14.4" customHeight="1" x14ac:dyDescent="0.3"/>
    <row r="13578" ht="14.4" customHeight="1" x14ac:dyDescent="0.3"/>
    <row r="13579" ht="14.4" customHeight="1" x14ac:dyDescent="0.3"/>
    <row r="13580" ht="14.4" customHeight="1" x14ac:dyDescent="0.3"/>
    <row r="13581" ht="14.4" customHeight="1" x14ac:dyDescent="0.3"/>
    <row r="13582" ht="14.4" customHeight="1" x14ac:dyDescent="0.3"/>
    <row r="13583" ht="14.4" customHeight="1" x14ac:dyDescent="0.3"/>
    <row r="13584" ht="14.4" customHeight="1" x14ac:dyDescent="0.3"/>
    <row r="13585" ht="14.4" customHeight="1" x14ac:dyDescent="0.3"/>
    <row r="13586" ht="14.4" customHeight="1" x14ac:dyDescent="0.3"/>
    <row r="13587" ht="14.4" customHeight="1" x14ac:dyDescent="0.3"/>
    <row r="13588" ht="14.4" customHeight="1" x14ac:dyDescent="0.3"/>
    <row r="13589" ht="14.4" customHeight="1" x14ac:dyDescent="0.3"/>
    <row r="13590" ht="14.4" customHeight="1" x14ac:dyDescent="0.3"/>
    <row r="13591" ht="14.4" customHeight="1" x14ac:dyDescent="0.3"/>
    <row r="13592" ht="14.4" customHeight="1" x14ac:dyDescent="0.3"/>
    <row r="13593" ht="14.4" customHeight="1" x14ac:dyDescent="0.3"/>
    <row r="13594" ht="14.4" customHeight="1" x14ac:dyDescent="0.3"/>
    <row r="13595" ht="14.4" customHeight="1" x14ac:dyDescent="0.3"/>
    <row r="13596" ht="14.4" customHeight="1" x14ac:dyDescent="0.3"/>
    <row r="13597" ht="14.4" customHeight="1" x14ac:dyDescent="0.3"/>
    <row r="13598" ht="14.4" customHeight="1" x14ac:dyDescent="0.3"/>
    <row r="13599" ht="14.4" customHeight="1" x14ac:dyDescent="0.3"/>
    <row r="13600" ht="14.4" customHeight="1" x14ac:dyDescent="0.3"/>
    <row r="13601" ht="14.4" customHeight="1" x14ac:dyDescent="0.3"/>
    <row r="13602" ht="14.4" customHeight="1" x14ac:dyDescent="0.3"/>
    <row r="13603" ht="14.4" customHeight="1" x14ac:dyDescent="0.3"/>
    <row r="13604" ht="14.4" customHeight="1" x14ac:dyDescent="0.3"/>
    <row r="13605" ht="14.4" customHeight="1" x14ac:dyDescent="0.3"/>
    <row r="13606" ht="14.4" customHeight="1" x14ac:dyDescent="0.3"/>
    <row r="13607" ht="14.4" customHeight="1" x14ac:dyDescent="0.3"/>
    <row r="13608" ht="14.4" customHeight="1" x14ac:dyDescent="0.3"/>
    <row r="13609" ht="14.4" customHeight="1" x14ac:dyDescent="0.3"/>
    <row r="13610" ht="14.4" customHeight="1" x14ac:dyDescent="0.3"/>
    <row r="13611" ht="14.4" customHeight="1" x14ac:dyDescent="0.3"/>
    <row r="13612" ht="14.4" customHeight="1" x14ac:dyDescent="0.3"/>
    <row r="13613" ht="14.4" customHeight="1" x14ac:dyDescent="0.3"/>
    <row r="13614" ht="14.4" customHeight="1" x14ac:dyDescent="0.3"/>
    <row r="13615" ht="14.4" customHeight="1" x14ac:dyDescent="0.3"/>
    <row r="13616" ht="14.4" customHeight="1" x14ac:dyDescent="0.3"/>
    <row r="13617" ht="14.4" customHeight="1" x14ac:dyDescent="0.3"/>
    <row r="13618" ht="14.4" customHeight="1" x14ac:dyDescent="0.3"/>
    <row r="13619" ht="14.4" customHeight="1" x14ac:dyDescent="0.3"/>
    <row r="13620" ht="14.4" customHeight="1" x14ac:dyDescent="0.3"/>
    <row r="13621" ht="14.4" customHeight="1" x14ac:dyDescent="0.3"/>
    <row r="13622" ht="14.4" customHeight="1" x14ac:dyDescent="0.3"/>
    <row r="13623" ht="14.4" customHeight="1" x14ac:dyDescent="0.3"/>
    <row r="13624" ht="14.4" customHeight="1" x14ac:dyDescent="0.3"/>
    <row r="13625" ht="14.4" customHeight="1" x14ac:dyDescent="0.3"/>
    <row r="13626" ht="14.4" customHeight="1" x14ac:dyDescent="0.3"/>
    <row r="13627" ht="14.4" customHeight="1" x14ac:dyDescent="0.3"/>
    <row r="13628" ht="14.4" customHeight="1" x14ac:dyDescent="0.3"/>
    <row r="13629" ht="14.4" customHeight="1" x14ac:dyDescent="0.3"/>
    <row r="13630" ht="14.4" customHeight="1" x14ac:dyDescent="0.3"/>
    <row r="13631" ht="14.4" customHeight="1" x14ac:dyDescent="0.3"/>
    <row r="13632" ht="14.4" customHeight="1" x14ac:dyDescent="0.3"/>
    <row r="13633" ht="14.4" customHeight="1" x14ac:dyDescent="0.3"/>
    <row r="13634" ht="14.4" customHeight="1" x14ac:dyDescent="0.3"/>
    <row r="13635" ht="14.4" customHeight="1" x14ac:dyDescent="0.3"/>
    <row r="13636" ht="14.4" customHeight="1" x14ac:dyDescent="0.3"/>
    <row r="13637" ht="14.4" customHeight="1" x14ac:dyDescent="0.3"/>
    <row r="13638" ht="14.4" customHeight="1" x14ac:dyDescent="0.3"/>
    <row r="13639" ht="14.4" customHeight="1" x14ac:dyDescent="0.3"/>
    <row r="13640" ht="14.4" customHeight="1" x14ac:dyDescent="0.3"/>
    <row r="13641" ht="14.4" customHeight="1" x14ac:dyDescent="0.3"/>
    <row r="13642" ht="14.4" customHeight="1" x14ac:dyDescent="0.3"/>
    <row r="13643" ht="14.4" customHeight="1" x14ac:dyDescent="0.3"/>
    <row r="13644" ht="14.4" customHeight="1" x14ac:dyDescent="0.3"/>
    <row r="13645" ht="14.4" customHeight="1" x14ac:dyDescent="0.3"/>
    <row r="13646" ht="14.4" customHeight="1" x14ac:dyDescent="0.3"/>
    <row r="13647" ht="14.4" customHeight="1" x14ac:dyDescent="0.3"/>
    <row r="13648" ht="14.4" customHeight="1" x14ac:dyDescent="0.3"/>
    <row r="13649" ht="14.4" customHeight="1" x14ac:dyDescent="0.3"/>
    <row r="13650" ht="14.4" customHeight="1" x14ac:dyDescent="0.3"/>
    <row r="13651" ht="14.4" customHeight="1" x14ac:dyDescent="0.3"/>
    <row r="13652" ht="14.4" customHeight="1" x14ac:dyDescent="0.3"/>
    <row r="13653" ht="14.4" customHeight="1" x14ac:dyDescent="0.3"/>
    <row r="13654" ht="14.4" customHeight="1" x14ac:dyDescent="0.3"/>
    <row r="13655" ht="14.4" customHeight="1" x14ac:dyDescent="0.3"/>
    <row r="13656" ht="14.4" customHeight="1" x14ac:dyDescent="0.3"/>
    <row r="13657" ht="14.4" customHeight="1" x14ac:dyDescent="0.3"/>
    <row r="13658" ht="14.4" customHeight="1" x14ac:dyDescent="0.3"/>
    <row r="13659" ht="14.4" customHeight="1" x14ac:dyDescent="0.3"/>
    <row r="13660" ht="14.4" customHeight="1" x14ac:dyDescent="0.3"/>
    <row r="13661" ht="14.4" customHeight="1" x14ac:dyDescent="0.3"/>
    <row r="13662" ht="14.4" customHeight="1" x14ac:dyDescent="0.3"/>
    <row r="13663" ht="14.4" customHeight="1" x14ac:dyDescent="0.3"/>
    <row r="13664" ht="14.4" customHeight="1" x14ac:dyDescent="0.3"/>
    <row r="13665" ht="14.4" customHeight="1" x14ac:dyDescent="0.3"/>
    <row r="13666" ht="14.4" customHeight="1" x14ac:dyDescent="0.3"/>
    <row r="13667" ht="14.4" customHeight="1" x14ac:dyDescent="0.3"/>
    <row r="13668" ht="14.4" customHeight="1" x14ac:dyDescent="0.3"/>
    <row r="13669" ht="14.4" customHeight="1" x14ac:dyDescent="0.3"/>
    <row r="13670" ht="14.4" customHeight="1" x14ac:dyDescent="0.3"/>
    <row r="13671" ht="14.4" customHeight="1" x14ac:dyDescent="0.3"/>
    <row r="13672" ht="14.4" customHeight="1" x14ac:dyDescent="0.3"/>
    <row r="13673" ht="14.4" customHeight="1" x14ac:dyDescent="0.3"/>
    <row r="13674" ht="14.4" customHeight="1" x14ac:dyDescent="0.3"/>
    <row r="13675" ht="14.4" customHeight="1" x14ac:dyDescent="0.3"/>
    <row r="13676" ht="14.4" customHeight="1" x14ac:dyDescent="0.3"/>
    <row r="13677" ht="14.4" customHeight="1" x14ac:dyDescent="0.3"/>
    <row r="13678" ht="14.4" customHeight="1" x14ac:dyDescent="0.3"/>
    <row r="13679" ht="14.4" customHeight="1" x14ac:dyDescent="0.3"/>
    <row r="13680" ht="14.4" customHeight="1" x14ac:dyDescent="0.3"/>
    <row r="13681" ht="14.4" customHeight="1" x14ac:dyDescent="0.3"/>
    <row r="13682" ht="14.4" customHeight="1" x14ac:dyDescent="0.3"/>
    <row r="13683" ht="14.4" customHeight="1" x14ac:dyDescent="0.3"/>
    <row r="13684" ht="14.4" customHeight="1" x14ac:dyDescent="0.3"/>
    <row r="13685" ht="14.4" customHeight="1" x14ac:dyDescent="0.3"/>
    <row r="13686" ht="14.4" customHeight="1" x14ac:dyDescent="0.3"/>
    <row r="13687" ht="14.4" customHeight="1" x14ac:dyDescent="0.3"/>
    <row r="13688" ht="14.4" customHeight="1" x14ac:dyDescent="0.3"/>
    <row r="13689" ht="14.4" customHeight="1" x14ac:dyDescent="0.3"/>
    <row r="13690" ht="14.4" customHeight="1" x14ac:dyDescent="0.3"/>
    <row r="13691" ht="14.4" customHeight="1" x14ac:dyDescent="0.3"/>
    <row r="13692" ht="14.4" customHeight="1" x14ac:dyDescent="0.3"/>
    <row r="13693" ht="14.4" customHeight="1" x14ac:dyDescent="0.3"/>
    <row r="13694" ht="14.4" customHeight="1" x14ac:dyDescent="0.3"/>
    <row r="13695" ht="14.4" customHeight="1" x14ac:dyDescent="0.3"/>
    <row r="13696" ht="14.4" customHeight="1" x14ac:dyDescent="0.3"/>
    <row r="13697" ht="14.4" customHeight="1" x14ac:dyDescent="0.3"/>
    <row r="13698" ht="14.4" customHeight="1" x14ac:dyDescent="0.3"/>
    <row r="13699" ht="14.4" customHeight="1" x14ac:dyDescent="0.3"/>
    <row r="13700" ht="14.4" customHeight="1" x14ac:dyDescent="0.3"/>
    <row r="13701" ht="14.4" customHeight="1" x14ac:dyDescent="0.3"/>
    <row r="13702" ht="14.4" customHeight="1" x14ac:dyDescent="0.3"/>
    <row r="13703" ht="14.4" customHeight="1" x14ac:dyDescent="0.3"/>
    <row r="13704" ht="14.4" customHeight="1" x14ac:dyDescent="0.3"/>
    <row r="13705" ht="14.4" customHeight="1" x14ac:dyDescent="0.3"/>
    <row r="13706" ht="14.4" customHeight="1" x14ac:dyDescent="0.3"/>
    <row r="13707" ht="14.4" customHeight="1" x14ac:dyDescent="0.3"/>
    <row r="13708" ht="14.4" customHeight="1" x14ac:dyDescent="0.3"/>
    <row r="13709" ht="14.4" customHeight="1" x14ac:dyDescent="0.3"/>
    <row r="13710" ht="14.4" customHeight="1" x14ac:dyDescent="0.3"/>
    <row r="13711" ht="14.4" customHeight="1" x14ac:dyDescent="0.3"/>
    <row r="13712" ht="14.4" customHeight="1" x14ac:dyDescent="0.3"/>
    <row r="13713" ht="14.4" customHeight="1" x14ac:dyDescent="0.3"/>
    <row r="13714" ht="14.4" customHeight="1" x14ac:dyDescent="0.3"/>
    <row r="13715" ht="14.4" customHeight="1" x14ac:dyDescent="0.3"/>
    <row r="13716" ht="14.4" customHeight="1" x14ac:dyDescent="0.3"/>
    <row r="13717" ht="14.4" customHeight="1" x14ac:dyDescent="0.3"/>
    <row r="13718" ht="14.4" customHeight="1" x14ac:dyDescent="0.3"/>
    <row r="13719" ht="14.4" customHeight="1" x14ac:dyDescent="0.3"/>
    <row r="13720" ht="14.4" customHeight="1" x14ac:dyDescent="0.3"/>
    <row r="13721" ht="14.4" customHeight="1" x14ac:dyDescent="0.3"/>
    <row r="13722" ht="14.4" customHeight="1" x14ac:dyDescent="0.3"/>
    <row r="13723" ht="14.4" customHeight="1" x14ac:dyDescent="0.3"/>
    <row r="13724" ht="14.4" customHeight="1" x14ac:dyDescent="0.3"/>
    <row r="13725" ht="14.4" customHeight="1" x14ac:dyDescent="0.3"/>
    <row r="13726" ht="14.4" customHeight="1" x14ac:dyDescent="0.3"/>
    <row r="13727" ht="14.4" customHeight="1" x14ac:dyDescent="0.3"/>
    <row r="13728" ht="14.4" customHeight="1" x14ac:dyDescent="0.3"/>
    <row r="13729" ht="14.4" customHeight="1" x14ac:dyDescent="0.3"/>
    <row r="13730" ht="14.4" customHeight="1" x14ac:dyDescent="0.3"/>
    <row r="13731" ht="14.4" customHeight="1" x14ac:dyDescent="0.3"/>
    <row r="13732" ht="14.4" customHeight="1" x14ac:dyDescent="0.3"/>
    <row r="13733" ht="14.4" customHeight="1" x14ac:dyDescent="0.3"/>
    <row r="13734" ht="14.4" customHeight="1" x14ac:dyDescent="0.3"/>
    <row r="13735" ht="14.4" customHeight="1" x14ac:dyDescent="0.3"/>
    <row r="13736" ht="14.4" customHeight="1" x14ac:dyDescent="0.3"/>
    <row r="13737" ht="14.4" customHeight="1" x14ac:dyDescent="0.3"/>
    <row r="13738" ht="14.4" customHeight="1" x14ac:dyDescent="0.3"/>
    <row r="13739" ht="14.4" customHeight="1" x14ac:dyDescent="0.3"/>
    <row r="13740" ht="14.4" customHeight="1" x14ac:dyDescent="0.3"/>
    <row r="13741" ht="14.4" customHeight="1" x14ac:dyDescent="0.3"/>
    <row r="13742" ht="14.4" customHeight="1" x14ac:dyDescent="0.3"/>
    <row r="13743" ht="14.4" customHeight="1" x14ac:dyDescent="0.3"/>
    <row r="13744" ht="14.4" customHeight="1" x14ac:dyDescent="0.3"/>
    <row r="13745" ht="14.4" customHeight="1" x14ac:dyDescent="0.3"/>
    <row r="13746" ht="14.4" customHeight="1" x14ac:dyDescent="0.3"/>
    <row r="13747" ht="14.4" customHeight="1" x14ac:dyDescent="0.3"/>
    <row r="13748" ht="14.4" customHeight="1" x14ac:dyDescent="0.3"/>
    <row r="13749" ht="14.4" customHeight="1" x14ac:dyDescent="0.3"/>
    <row r="13750" ht="14.4" customHeight="1" x14ac:dyDescent="0.3"/>
    <row r="13751" ht="14.4" customHeight="1" x14ac:dyDescent="0.3"/>
    <row r="13752" ht="14.4" customHeight="1" x14ac:dyDescent="0.3"/>
    <row r="13753" ht="14.4" customHeight="1" x14ac:dyDescent="0.3"/>
    <row r="13754" ht="14.4" customHeight="1" x14ac:dyDescent="0.3"/>
    <row r="13755" ht="14.4" customHeight="1" x14ac:dyDescent="0.3"/>
    <row r="13756" ht="14.4" customHeight="1" x14ac:dyDescent="0.3"/>
    <row r="13757" ht="14.4" customHeight="1" x14ac:dyDescent="0.3"/>
    <row r="13758" ht="14.4" customHeight="1" x14ac:dyDescent="0.3"/>
    <row r="13759" ht="14.4" customHeight="1" x14ac:dyDescent="0.3"/>
    <row r="13760" ht="14.4" customHeight="1" x14ac:dyDescent="0.3"/>
    <row r="13761" ht="14.4" customHeight="1" x14ac:dyDescent="0.3"/>
    <row r="13762" ht="14.4" customHeight="1" x14ac:dyDescent="0.3"/>
    <row r="13763" ht="14.4" customHeight="1" x14ac:dyDescent="0.3"/>
    <row r="13764" ht="14.4" customHeight="1" x14ac:dyDescent="0.3"/>
    <row r="13765" ht="14.4" customHeight="1" x14ac:dyDescent="0.3"/>
    <row r="13766" ht="14.4" customHeight="1" x14ac:dyDescent="0.3"/>
    <row r="13767" ht="14.4" customHeight="1" x14ac:dyDescent="0.3"/>
    <row r="13768" ht="14.4" customHeight="1" x14ac:dyDescent="0.3"/>
    <row r="13769" ht="14.4" customHeight="1" x14ac:dyDescent="0.3"/>
    <row r="13770" ht="14.4" customHeight="1" x14ac:dyDescent="0.3"/>
    <row r="13771" ht="14.4" customHeight="1" x14ac:dyDescent="0.3"/>
    <row r="13772" ht="14.4" customHeight="1" x14ac:dyDescent="0.3"/>
    <row r="13773" ht="14.4" customHeight="1" x14ac:dyDescent="0.3"/>
    <row r="13774" ht="14.4" customHeight="1" x14ac:dyDescent="0.3"/>
    <row r="13775" ht="14.4" customHeight="1" x14ac:dyDescent="0.3"/>
    <row r="13776" ht="14.4" customHeight="1" x14ac:dyDescent="0.3"/>
    <row r="13777" ht="14.4" customHeight="1" x14ac:dyDescent="0.3"/>
    <row r="13778" ht="14.4" customHeight="1" x14ac:dyDescent="0.3"/>
    <row r="13779" ht="14.4" customHeight="1" x14ac:dyDescent="0.3"/>
    <row r="13780" ht="14.4" customHeight="1" x14ac:dyDescent="0.3"/>
    <row r="13781" ht="14.4" customHeight="1" x14ac:dyDescent="0.3"/>
    <row r="13782" ht="14.4" customHeight="1" x14ac:dyDescent="0.3"/>
    <row r="13783" ht="14.4" customHeight="1" x14ac:dyDescent="0.3"/>
    <row r="13784" ht="14.4" customHeight="1" x14ac:dyDescent="0.3"/>
    <row r="13785" ht="14.4" customHeight="1" x14ac:dyDescent="0.3"/>
    <row r="13786" ht="14.4" customHeight="1" x14ac:dyDescent="0.3"/>
    <row r="13787" ht="14.4" customHeight="1" x14ac:dyDescent="0.3"/>
    <row r="13788" ht="14.4" customHeight="1" x14ac:dyDescent="0.3"/>
    <row r="13789" ht="14.4" customHeight="1" x14ac:dyDescent="0.3"/>
    <row r="13790" ht="14.4" customHeight="1" x14ac:dyDescent="0.3"/>
    <row r="13791" ht="14.4" customHeight="1" x14ac:dyDescent="0.3"/>
    <row r="13792" ht="14.4" customHeight="1" x14ac:dyDescent="0.3"/>
    <row r="13793" ht="14.4" customHeight="1" x14ac:dyDescent="0.3"/>
    <row r="13794" ht="14.4" customHeight="1" x14ac:dyDescent="0.3"/>
    <row r="13795" ht="14.4" customHeight="1" x14ac:dyDescent="0.3"/>
    <row r="13796" ht="14.4" customHeight="1" x14ac:dyDescent="0.3"/>
    <row r="13797" ht="14.4" customHeight="1" x14ac:dyDescent="0.3"/>
    <row r="13798" ht="14.4" customHeight="1" x14ac:dyDescent="0.3"/>
    <row r="13799" ht="14.4" customHeight="1" x14ac:dyDescent="0.3"/>
    <row r="13800" ht="14.4" customHeight="1" x14ac:dyDescent="0.3"/>
    <row r="13801" ht="14.4" customHeight="1" x14ac:dyDescent="0.3"/>
    <row r="13802" ht="14.4" customHeight="1" x14ac:dyDescent="0.3"/>
    <row r="13803" ht="14.4" customHeight="1" x14ac:dyDescent="0.3"/>
    <row r="13804" ht="14.4" customHeight="1" x14ac:dyDescent="0.3"/>
    <row r="13805" ht="14.4" customHeight="1" x14ac:dyDescent="0.3"/>
    <row r="13806" ht="14.4" customHeight="1" x14ac:dyDescent="0.3"/>
    <row r="13807" ht="14.4" customHeight="1" x14ac:dyDescent="0.3"/>
    <row r="13808" ht="14.4" customHeight="1" x14ac:dyDescent="0.3"/>
    <row r="13809" ht="14.4" customHeight="1" x14ac:dyDescent="0.3"/>
    <row r="13810" ht="14.4" customHeight="1" x14ac:dyDescent="0.3"/>
    <row r="13811" ht="14.4" customHeight="1" x14ac:dyDescent="0.3"/>
    <row r="13812" ht="14.4" customHeight="1" x14ac:dyDescent="0.3"/>
    <row r="13813" ht="14.4" customHeight="1" x14ac:dyDescent="0.3"/>
    <row r="13814" ht="14.4" customHeight="1" x14ac:dyDescent="0.3"/>
    <row r="13815" ht="14.4" customHeight="1" x14ac:dyDescent="0.3"/>
    <row r="13816" ht="14.4" customHeight="1" x14ac:dyDescent="0.3"/>
    <row r="13817" ht="14.4" customHeight="1" x14ac:dyDescent="0.3"/>
    <row r="13818" ht="14.4" customHeight="1" x14ac:dyDescent="0.3"/>
    <row r="13819" ht="14.4" customHeight="1" x14ac:dyDescent="0.3"/>
    <row r="13820" ht="14.4" customHeight="1" x14ac:dyDescent="0.3"/>
    <row r="13821" ht="14.4" customHeight="1" x14ac:dyDescent="0.3"/>
    <row r="13822" ht="14.4" customHeight="1" x14ac:dyDescent="0.3"/>
    <row r="13823" ht="14.4" customHeight="1" x14ac:dyDescent="0.3"/>
    <row r="13824" ht="14.4" customHeight="1" x14ac:dyDescent="0.3"/>
    <row r="13825" ht="14.4" customHeight="1" x14ac:dyDescent="0.3"/>
    <row r="13826" ht="14.4" customHeight="1" x14ac:dyDescent="0.3"/>
    <row r="13827" ht="14.4" customHeight="1" x14ac:dyDescent="0.3"/>
    <row r="13828" ht="14.4" customHeight="1" x14ac:dyDescent="0.3"/>
    <row r="13829" ht="14.4" customHeight="1" x14ac:dyDescent="0.3"/>
    <row r="13830" ht="14.4" customHeight="1" x14ac:dyDescent="0.3"/>
    <row r="13831" ht="14.4" customHeight="1" x14ac:dyDescent="0.3"/>
    <row r="13832" ht="14.4" customHeight="1" x14ac:dyDescent="0.3"/>
    <row r="13833" ht="14.4" customHeight="1" x14ac:dyDescent="0.3"/>
    <row r="13834" ht="14.4" customHeight="1" x14ac:dyDescent="0.3"/>
    <row r="13835" ht="14.4" customHeight="1" x14ac:dyDescent="0.3"/>
    <row r="13836" ht="14.4" customHeight="1" x14ac:dyDescent="0.3"/>
    <row r="13837" ht="14.4" customHeight="1" x14ac:dyDescent="0.3"/>
    <row r="13838" ht="14.4" customHeight="1" x14ac:dyDescent="0.3"/>
    <row r="13839" ht="14.4" customHeight="1" x14ac:dyDescent="0.3"/>
    <row r="13840" ht="14.4" customHeight="1" x14ac:dyDescent="0.3"/>
    <row r="13841" ht="14.4" customHeight="1" x14ac:dyDescent="0.3"/>
    <row r="13842" ht="14.4" customHeight="1" x14ac:dyDescent="0.3"/>
    <row r="13843" ht="14.4" customHeight="1" x14ac:dyDescent="0.3"/>
    <row r="13844" ht="14.4" customHeight="1" x14ac:dyDescent="0.3"/>
    <row r="13845" ht="14.4" customHeight="1" x14ac:dyDescent="0.3"/>
    <row r="13846" ht="14.4" customHeight="1" x14ac:dyDescent="0.3"/>
    <row r="13847" ht="14.4" customHeight="1" x14ac:dyDescent="0.3"/>
    <row r="13848" ht="14.4" customHeight="1" x14ac:dyDescent="0.3"/>
    <row r="13849" ht="14.4" customHeight="1" x14ac:dyDescent="0.3"/>
    <row r="13850" ht="14.4" customHeight="1" x14ac:dyDescent="0.3"/>
    <row r="13851" ht="14.4" customHeight="1" x14ac:dyDescent="0.3"/>
    <row r="13852" ht="14.4" customHeight="1" x14ac:dyDescent="0.3"/>
    <row r="13853" ht="14.4" customHeight="1" x14ac:dyDescent="0.3"/>
    <row r="13854" ht="14.4" customHeight="1" x14ac:dyDescent="0.3"/>
    <row r="13855" ht="14.4" customHeight="1" x14ac:dyDescent="0.3"/>
    <row r="13856" ht="14.4" customHeight="1" x14ac:dyDescent="0.3"/>
    <row r="13857" ht="14.4" customHeight="1" x14ac:dyDescent="0.3"/>
    <row r="13858" ht="14.4" customHeight="1" x14ac:dyDescent="0.3"/>
    <row r="13859" ht="14.4" customHeight="1" x14ac:dyDescent="0.3"/>
    <row r="13860" ht="14.4" customHeight="1" x14ac:dyDescent="0.3"/>
    <row r="13861" ht="14.4" customHeight="1" x14ac:dyDescent="0.3"/>
    <row r="13862" ht="14.4" customHeight="1" x14ac:dyDescent="0.3"/>
    <row r="13863" ht="14.4" customHeight="1" x14ac:dyDescent="0.3"/>
    <row r="13864" ht="14.4" customHeight="1" x14ac:dyDescent="0.3"/>
    <row r="13865" ht="14.4" customHeight="1" x14ac:dyDescent="0.3"/>
    <row r="13866" ht="14.4" customHeight="1" x14ac:dyDescent="0.3"/>
    <row r="13867" ht="14.4" customHeight="1" x14ac:dyDescent="0.3"/>
    <row r="13868" ht="14.4" customHeight="1" x14ac:dyDescent="0.3"/>
    <row r="13869" ht="14.4" customHeight="1" x14ac:dyDescent="0.3"/>
    <row r="13870" ht="14.4" customHeight="1" x14ac:dyDescent="0.3"/>
    <row r="13871" ht="14.4" customHeight="1" x14ac:dyDescent="0.3"/>
    <row r="13872" ht="14.4" customHeight="1" x14ac:dyDescent="0.3"/>
    <row r="13873" ht="14.4" customHeight="1" x14ac:dyDescent="0.3"/>
    <row r="13874" ht="14.4" customHeight="1" x14ac:dyDescent="0.3"/>
    <row r="13875" ht="14.4" customHeight="1" x14ac:dyDescent="0.3"/>
    <row r="13876" ht="14.4" customHeight="1" x14ac:dyDescent="0.3"/>
    <row r="13877" ht="14.4" customHeight="1" x14ac:dyDescent="0.3"/>
    <row r="13878" ht="14.4" customHeight="1" x14ac:dyDescent="0.3"/>
    <row r="13879" ht="14.4" customHeight="1" x14ac:dyDescent="0.3"/>
    <row r="13880" ht="14.4" customHeight="1" x14ac:dyDescent="0.3"/>
    <row r="13881" ht="14.4" customHeight="1" x14ac:dyDescent="0.3"/>
    <row r="13882" ht="14.4" customHeight="1" x14ac:dyDescent="0.3"/>
    <row r="13883" ht="14.4" customHeight="1" x14ac:dyDescent="0.3"/>
    <row r="13884" ht="14.4" customHeight="1" x14ac:dyDescent="0.3"/>
    <row r="13885" ht="14.4" customHeight="1" x14ac:dyDescent="0.3"/>
    <row r="13886" ht="14.4" customHeight="1" x14ac:dyDescent="0.3"/>
    <row r="13887" ht="14.4" customHeight="1" x14ac:dyDescent="0.3"/>
    <row r="13888" ht="14.4" customHeight="1" x14ac:dyDescent="0.3"/>
    <row r="13889" ht="14.4" customHeight="1" x14ac:dyDescent="0.3"/>
    <row r="13890" ht="14.4" customHeight="1" x14ac:dyDescent="0.3"/>
    <row r="13891" ht="14.4" customHeight="1" x14ac:dyDescent="0.3"/>
    <row r="13892" ht="14.4" customHeight="1" x14ac:dyDescent="0.3"/>
    <row r="13893" ht="14.4" customHeight="1" x14ac:dyDescent="0.3"/>
    <row r="13894" ht="14.4" customHeight="1" x14ac:dyDescent="0.3"/>
    <row r="13895" ht="14.4" customHeight="1" x14ac:dyDescent="0.3"/>
    <row r="13896" ht="14.4" customHeight="1" x14ac:dyDescent="0.3"/>
    <row r="13897" ht="14.4" customHeight="1" x14ac:dyDescent="0.3"/>
    <row r="13898" ht="14.4" customHeight="1" x14ac:dyDescent="0.3"/>
    <row r="13899" ht="14.4" customHeight="1" x14ac:dyDescent="0.3"/>
    <row r="13900" ht="14.4" customHeight="1" x14ac:dyDescent="0.3"/>
    <row r="13901" ht="14.4" customHeight="1" x14ac:dyDescent="0.3"/>
    <row r="13902" ht="14.4" customHeight="1" x14ac:dyDescent="0.3"/>
    <row r="13903" ht="14.4" customHeight="1" x14ac:dyDescent="0.3"/>
    <row r="13904" ht="14.4" customHeight="1" x14ac:dyDescent="0.3"/>
    <row r="13905" ht="14.4" customHeight="1" x14ac:dyDescent="0.3"/>
    <row r="13906" ht="14.4" customHeight="1" x14ac:dyDescent="0.3"/>
    <row r="13907" ht="14.4" customHeight="1" x14ac:dyDescent="0.3"/>
    <row r="13908" ht="14.4" customHeight="1" x14ac:dyDescent="0.3"/>
    <row r="13909" ht="14.4" customHeight="1" x14ac:dyDescent="0.3"/>
    <row r="13910" ht="14.4" customHeight="1" x14ac:dyDescent="0.3"/>
    <row r="13911" ht="14.4" customHeight="1" x14ac:dyDescent="0.3"/>
    <row r="13912" ht="14.4" customHeight="1" x14ac:dyDescent="0.3"/>
    <row r="13913" ht="14.4" customHeight="1" x14ac:dyDescent="0.3"/>
    <row r="13914" ht="14.4" customHeight="1" x14ac:dyDescent="0.3"/>
    <row r="13915" ht="14.4" customHeight="1" x14ac:dyDescent="0.3"/>
    <row r="13916" ht="14.4" customHeight="1" x14ac:dyDescent="0.3"/>
    <row r="13917" ht="14.4" customHeight="1" x14ac:dyDescent="0.3"/>
    <row r="13918" ht="14.4" customHeight="1" x14ac:dyDescent="0.3"/>
    <row r="13919" ht="14.4" customHeight="1" x14ac:dyDescent="0.3"/>
    <row r="13920" ht="14.4" customHeight="1" x14ac:dyDescent="0.3"/>
    <row r="13921" ht="14.4" customHeight="1" x14ac:dyDescent="0.3"/>
    <row r="13922" ht="14.4" customHeight="1" x14ac:dyDescent="0.3"/>
    <row r="13923" ht="14.4" customHeight="1" x14ac:dyDescent="0.3"/>
    <row r="13924" ht="14.4" customHeight="1" x14ac:dyDescent="0.3"/>
    <row r="13925" ht="14.4" customHeight="1" x14ac:dyDescent="0.3"/>
    <row r="13926" ht="14.4" customHeight="1" x14ac:dyDescent="0.3"/>
    <row r="13927" ht="14.4" customHeight="1" x14ac:dyDescent="0.3"/>
    <row r="13928" ht="14.4" customHeight="1" x14ac:dyDescent="0.3"/>
    <row r="13929" ht="14.4" customHeight="1" x14ac:dyDescent="0.3"/>
    <row r="13930" ht="14.4" customHeight="1" x14ac:dyDescent="0.3"/>
    <row r="13931" ht="14.4" customHeight="1" x14ac:dyDescent="0.3"/>
    <row r="13932" ht="14.4" customHeight="1" x14ac:dyDescent="0.3"/>
    <row r="13933" ht="14.4" customHeight="1" x14ac:dyDescent="0.3"/>
    <row r="13934" ht="14.4" customHeight="1" x14ac:dyDescent="0.3"/>
    <row r="13935" ht="14.4" customHeight="1" x14ac:dyDescent="0.3"/>
    <row r="13936" ht="14.4" customHeight="1" x14ac:dyDescent="0.3"/>
    <row r="13937" ht="14.4" customHeight="1" x14ac:dyDescent="0.3"/>
    <row r="13938" ht="14.4" customHeight="1" x14ac:dyDescent="0.3"/>
    <row r="13939" ht="14.4" customHeight="1" x14ac:dyDescent="0.3"/>
    <row r="13940" ht="14.4" customHeight="1" x14ac:dyDescent="0.3"/>
    <row r="13941" ht="14.4" customHeight="1" x14ac:dyDescent="0.3"/>
    <row r="13942" ht="14.4" customHeight="1" x14ac:dyDescent="0.3"/>
    <row r="13943" ht="14.4" customHeight="1" x14ac:dyDescent="0.3"/>
    <row r="13944" ht="14.4" customHeight="1" x14ac:dyDescent="0.3"/>
    <row r="13945" ht="14.4" customHeight="1" x14ac:dyDescent="0.3"/>
    <row r="13946" ht="14.4" customHeight="1" x14ac:dyDescent="0.3"/>
    <row r="13947" ht="14.4" customHeight="1" x14ac:dyDescent="0.3"/>
    <row r="13948" ht="14.4" customHeight="1" x14ac:dyDescent="0.3"/>
    <row r="13949" ht="14.4" customHeight="1" x14ac:dyDescent="0.3"/>
    <row r="13950" ht="14.4" customHeight="1" x14ac:dyDescent="0.3"/>
    <row r="13951" ht="14.4" customHeight="1" x14ac:dyDescent="0.3"/>
    <row r="13952" ht="14.4" customHeight="1" x14ac:dyDescent="0.3"/>
    <row r="13953" ht="14.4" customHeight="1" x14ac:dyDescent="0.3"/>
    <row r="13954" ht="14.4" customHeight="1" x14ac:dyDescent="0.3"/>
    <row r="13955" ht="14.4" customHeight="1" x14ac:dyDescent="0.3"/>
    <row r="13956" ht="14.4" customHeight="1" x14ac:dyDescent="0.3"/>
    <row r="13957" ht="14.4" customHeight="1" x14ac:dyDescent="0.3"/>
    <row r="13958" ht="14.4" customHeight="1" x14ac:dyDescent="0.3"/>
    <row r="13959" ht="14.4" customHeight="1" x14ac:dyDescent="0.3"/>
    <row r="13960" ht="14.4" customHeight="1" x14ac:dyDescent="0.3"/>
    <row r="13961" ht="14.4" customHeight="1" x14ac:dyDescent="0.3"/>
    <row r="13962" ht="14.4" customHeight="1" x14ac:dyDescent="0.3"/>
    <row r="13963" ht="14.4" customHeight="1" x14ac:dyDescent="0.3"/>
    <row r="13964" ht="14.4" customHeight="1" x14ac:dyDescent="0.3"/>
    <row r="13965" ht="14.4" customHeight="1" x14ac:dyDescent="0.3"/>
    <row r="13966" ht="14.4" customHeight="1" x14ac:dyDescent="0.3"/>
    <row r="13967" ht="14.4" customHeight="1" x14ac:dyDescent="0.3"/>
    <row r="13968" ht="14.4" customHeight="1" x14ac:dyDescent="0.3"/>
    <row r="13969" ht="14.4" customHeight="1" x14ac:dyDescent="0.3"/>
    <row r="13970" ht="14.4" customHeight="1" x14ac:dyDescent="0.3"/>
    <row r="13971" ht="14.4" customHeight="1" x14ac:dyDescent="0.3"/>
    <row r="13972" ht="14.4" customHeight="1" x14ac:dyDescent="0.3"/>
    <row r="13973" ht="14.4" customHeight="1" x14ac:dyDescent="0.3"/>
    <row r="13974" ht="14.4" customHeight="1" x14ac:dyDescent="0.3"/>
    <row r="13975" ht="14.4" customHeight="1" x14ac:dyDescent="0.3"/>
    <row r="13976" ht="14.4" customHeight="1" x14ac:dyDescent="0.3"/>
    <row r="13977" ht="14.4" customHeight="1" x14ac:dyDescent="0.3"/>
    <row r="13978" ht="14.4" customHeight="1" x14ac:dyDescent="0.3"/>
    <row r="13979" ht="14.4" customHeight="1" x14ac:dyDescent="0.3"/>
    <row r="13980" ht="14.4" customHeight="1" x14ac:dyDescent="0.3"/>
    <row r="13981" ht="14.4" customHeight="1" x14ac:dyDescent="0.3"/>
    <row r="13982" ht="14.4" customHeight="1" x14ac:dyDescent="0.3"/>
    <row r="13983" ht="14.4" customHeight="1" x14ac:dyDescent="0.3"/>
    <row r="13984" ht="14.4" customHeight="1" x14ac:dyDescent="0.3"/>
    <row r="13985" ht="14.4" customHeight="1" x14ac:dyDescent="0.3"/>
    <row r="13986" ht="14.4" customHeight="1" x14ac:dyDescent="0.3"/>
    <row r="13987" ht="14.4" customHeight="1" x14ac:dyDescent="0.3"/>
    <row r="13988" ht="14.4" customHeight="1" x14ac:dyDescent="0.3"/>
    <row r="13989" ht="14.4" customHeight="1" x14ac:dyDescent="0.3"/>
    <row r="13990" ht="14.4" customHeight="1" x14ac:dyDescent="0.3"/>
    <row r="13991" ht="14.4" customHeight="1" x14ac:dyDescent="0.3"/>
    <row r="13992" ht="14.4" customHeight="1" x14ac:dyDescent="0.3"/>
    <row r="13993" ht="14.4" customHeight="1" x14ac:dyDescent="0.3"/>
    <row r="13994" ht="14.4" customHeight="1" x14ac:dyDescent="0.3"/>
    <row r="13995" ht="14.4" customHeight="1" x14ac:dyDescent="0.3"/>
    <row r="13996" ht="14.4" customHeight="1" x14ac:dyDescent="0.3"/>
    <row r="13997" ht="14.4" customHeight="1" x14ac:dyDescent="0.3"/>
    <row r="13998" ht="14.4" customHeight="1" x14ac:dyDescent="0.3"/>
    <row r="13999" ht="14.4" customHeight="1" x14ac:dyDescent="0.3"/>
    <row r="14000" ht="14.4" customHeight="1" x14ac:dyDescent="0.3"/>
    <row r="14001" ht="14.4" customHeight="1" x14ac:dyDescent="0.3"/>
    <row r="14002" ht="14.4" customHeight="1" x14ac:dyDescent="0.3"/>
    <row r="14003" ht="14.4" customHeight="1" x14ac:dyDescent="0.3"/>
    <row r="14004" ht="14.4" customHeight="1" x14ac:dyDescent="0.3"/>
    <row r="14005" ht="14.4" customHeight="1" x14ac:dyDescent="0.3"/>
    <row r="14006" ht="14.4" customHeight="1" x14ac:dyDescent="0.3"/>
    <row r="14007" ht="14.4" customHeight="1" x14ac:dyDescent="0.3"/>
    <row r="14008" ht="14.4" customHeight="1" x14ac:dyDescent="0.3"/>
    <row r="14009" ht="14.4" customHeight="1" x14ac:dyDescent="0.3"/>
    <row r="14010" ht="14.4" customHeight="1" x14ac:dyDescent="0.3"/>
    <row r="14011" ht="14.4" customHeight="1" x14ac:dyDescent="0.3"/>
    <row r="14012" ht="14.4" customHeight="1" x14ac:dyDescent="0.3"/>
    <row r="14013" ht="14.4" customHeight="1" x14ac:dyDescent="0.3"/>
    <row r="14014" ht="14.4" customHeight="1" x14ac:dyDescent="0.3"/>
    <row r="14015" ht="14.4" customHeight="1" x14ac:dyDescent="0.3"/>
    <row r="14016" ht="14.4" customHeight="1" x14ac:dyDescent="0.3"/>
    <row r="14017" ht="14.4" customHeight="1" x14ac:dyDescent="0.3"/>
    <row r="14018" ht="14.4" customHeight="1" x14ac:dyDescent="0.3"/>
    <row r="14019" ht="14.4" customHeight="1" x14ac:dyDescent="0.3"/>
    <row r="14020" ht="14.4" customHeight="1" x14ac:dyDescent="0.3"/>
    <row r="14021" ht="14.4" customHeight="1" x14ac:dyDescent="0.3"/>
    <row r="14022" ht="14.4" customHeight="1" x14ac:dyDescent="0.3"/>
    <row r="14023" ht="14.4" customHeight="1" x14ac:dyDescent="0.3"/>
    <row r="14024" ht="14.4" customHeight="1" x14ac:dyDescent="0.3"/>
    <row r="14025" ht="14.4" customHeight="1" x14ac:dyDescent="0.3"/>
    <row r="14026" ht="14.4" customHeight="1" x14ac:dyDescent="0.3"/>
    <row r="14027" ht="14.4" customHeight="1" x14ac:dyDescent="0.3"/>
    <row r="14028" ht="14.4" customHeight="1" x14ac:dyDescent="0.3"/>
    <row r="14029" ht="14.4" customHeight="1" x14ac:dyDescent="0.3"/>
    <row r="14030" ht="14.4" customHeight="1" x14ac:dyDescent="0.3"/>
    <row r="14031" ht="14.4" customHeight="1" x14ac:dyDescent="0.3"/>
    <row r="14032" ht="14.4" customHeight="1" x14ac:dyDescent="0.3"/>
    <row r="14033" ht="14.4" customHeight="1" x14ac:dyDescent="0.3"/>
    <row r="14034" ht="14.4" customHeight="1" x14ac:dyDescent="0.3"/>
    <row r="14035" ht="14.4" customHeight="1" x14ac:dyDescent="0.3"/>
    <row r="14036" ht="14.4" customHeight="1" x14ac:dyDescent="0.3"/>
    <row r="14037" ht="14.4" customHeight="1" x14ac:dyDescent="0.3"/>
    <row r="14038" ht="14.4" customHeight="1" x14ac:dyDescent="0.3"/>
    <row r="14039" ht="14.4" customHeight="1" x14ac:dyDescent="0.3"/>
    <row r="14040" ht="14.4" customHeight="1" x14ac:dyDescent="0.3"/>
    <row r="14041" ht="14.4" customHeight="1" x14ac:dyDescent="0.3"/>
    <row r="14042" ht="14.4" customHeight="1" x14ac:dyDescent="0.3"/>
    <row r="14043" ht="14.4" customHeight="1" x14ac:dyDescent="0.3"/>
    <row r="14044" ht="14.4" customHeight="1" x14ac:dyDescent="0.3"/>
    <row r="14045" ht="14.4" customHeight="1" x14ac:dyDescent="0.3"/>
    <row r="14046" ht="14.4" customHeight="1" x14ac:dyDescent="0.3"/>
    <row r="14047" ht="14.4" customHeight="1" x14ac:dyDescent="0.3"/>
    <row r="14048" ht="14.4" customHeight="1" x14ac:dyDescent="0.3"/>
    <row r="14049" ht="14.4" customHeight="1" x14ac:dyDescent="0.3"/>
    <row r="14050" ht="14.4" customHeight="1" x14ac:dyDescent="0.3"/>
    <row r="14051" ht="14.4" customHeight="1" x14ac:dyDescent="0.3"/>
    <row r="14052" ht="14.4" customHeight="1" x14ac:dyDescent="0.3"/>
    <row r="14053" ht="14.4" customHeight="1" x14ac:dyDescent="0.3"/>
    <row r="14054" ht="14.4" customHeight="1" x14ac:dyDescent="0.3"/>
    <row r="14055" ht="14.4" customHeight="1" x14ac:dyDescent="0.3"/>
    <row r="14056" ht="14.4" customHeight="1" x14ac:dyDescent="0.3"/>
    <row r="14057" ht="14.4" customHeight="1" x14ac:dyDescent="0.3"/>
    <row r="14058" ht="14.4" customHeight="1" x14ac:dyDescent="0.3"/>
    <row r="14059" ht="14.4" customHeight="1" x14ac:dyDescent="0.3"/>
    <row r="14060" ht="14.4" customHeight="1" x14ac:dyDescent="0.3"/>
    <row r="14061" ht="14.4" customHeight="1" x14ac:dyDescent="0.3"/>
    <row r="14062" ht="14.4" customHeight="1" x14ac:dyDescent="0.3"/>
    <row r="14063" ht="14.4" customHeight="1" x14ac:dyDescent="0.3"/>
    <row r="14064" ht="14.4" customHeight="1" x14ac:dyDescent="0.3"/>
    <row r="14065" ht="14.4" customHeight="1" x14ac:dyDescent="0.3"/>
    <row r="14066" ht="14.4" customHeight="1" x14ac:dyDescent="0.3"/>
    <row r="14067" ht="14.4" customHeight="1" x14ac:dyDescent="0.3"/>
    <row r="14068" ht="14.4" customHeight="1" x14ac:dyDescent="0.3"/>
    <row r="14069" ht="14.4" customHeight="1" x14ac:dyDescent="0.3"/>
    <row r="14070" ht="14.4" customHeight="1" x14ac:dyDescent="0.3"/>
    <row r="14071" ht="14.4" customHeight="1" x14ac:dyDescent="0.3"/>
    <row r="14072" ht="14.4" customHeight="1" x14ac:dyDescent="0.3"/>
    <row r="14073" ht="14.4" customHeight="1" x14ac:dyDescent="0.3"/>
    <row r="14074" ht="14.4" customHeight="1" x14ac:dyDescent="0.3"/>
    <row r="14075" ht="14.4" customHeight="1" x14ac:dyDescent="0.3"/>
    <row r="14076" ht="14.4" customHeight="1" x14ac:dyDescent="0.3"/>
    <row r="14077" ht="14.4" customHeight="1" x14ac:dyDescent="0.3"/>
    <row r="14078" ht="14.4" customHeight="1" x14ac:dyDescent="0.3"/>
    <row r="14079" ht="14.4" customHeight="1" x14ac:dyDescent="0.3"/>
    <row r="14080" ht="14.4" customHeight="1" x14ac:dyDescent="0.3"/>
    <row r="14081" ht="14.4" customHeight="1" x14ac:dyDescent="0.3"/>
    <row r="14082" ht="14.4" customHeight="1" x14ac:dyDescent="0.3"/>
    <row r="14083" ht="14.4" customHeight="1" x14ac:dyDescent="0.3"/>
    <row r="14084" ht="14.4" customHeight="1" x14ac:dyDescent="0.3"/>
    <row r="14085" ht="14.4" customHeight="1" x14ac:dyDescent="0.3"/>
    <row r="14086" ht="14.4" customHeight="1" x14ac:dyDescent="0.3"/>
    <row r="14087" ht="14.4" customHeight="1" x14ac:dyDescent="0.3"/>
    <row r="14088" ht="14.4" customHeight="1" x14ac:dyDescent="0.3"/>
    <row r="14089" ht="14.4" customHeight="1" x14ac:dyDescent="0.3"/>
    <row r="14090" ht="14.4" customHeight="1" x14ac:dyDescent="0.3"/>
    <row r="14091" ht="14.4" customHeight="1" x14ac:dyDescent="0.3"/>
    <row r="14092" ht="14.4" customHeight="1" x14ac:dyDescent="0.3"/>
    <row r="14093" ht="14.4" customHeight="1" x14ac:dyDescent="0.3"/>
    <row r="14094" ht="14.4" customHeight="1" x14ac:dyDescent="0.3"/>
    <row r="14095" ht="14.4" customHeight="1" x14ac:dyDescent="0.3"/>
    <row r="14096" ht="14.4" customHeight="1" x14ac:dyDescent="0.3"/>
    <row r="14097" ht="14.4" customHeight="1" x14ac:dyDescent="0.3"/>
    <row r="14098" ht="14.4" customHeight="1" x14ac:dyDescent="0.3"/>
    <row r="14099" ht="14.4" customHeight="1" x14ac:dyDescent="0.3"/>
    <row r="14100" ht="14.4" customHeight="1" x14ac:dyDescent="0.3"/>
    <row r="14101" ht="14.4" customHeight="1" x14ac:dyDescent="0.3"/>
    <row r="14102" ht="14.4" customHeight="1" x14ac:dyDescent="0.3"/>
    <row r="14103" ht="14.4" customHeight="1" x14ac:dyDescent="0.3"/>
    <row r="14104" ht="14.4" customHeight="1" x14ac:dyDescent="0.3"/>
    <row r="14105" ht="14.4" customHeight="1" x14ac:dyDescent="0.3"/>
    <row r="14106" ht="14.4" customHeight="1" x14ac:dyDescent="0.3"/>
    <row r="14107" ht="14.4" customHeight="1" x14ac:dyDescent="0.3"/>
    <row r="14108" ht="14.4" customHeight="1" x14ac:dyDescent="0.3"/>
    <row r="14109" ht="14.4" customHeight="1" x14ac:dyDescent="0.3"/>
    <row r="14110" ht="14.4" customHeight="1" x14ac:dyDescent="0.3"/>
    <row r="14111" ht="14.4" customHeight="1" x14ac:dyDescent="0.3"/>
    <row r="14112" ht="14.4" customHeight="1" x14ac:dyDescent="0.3"/>
    <row r="14113" ht="14.4" customHeight="1" x14ac:dyDescent="0.3"/>
    <row r="14114" ht="14.4" customHeight="1" x14ac:dyDescent="0.3"/>
    <row r="14115" ht="14.4" customHeight="1" x14ac:dyDescent="0.3"/>
    <row r="14116" ht="14.4" customHeight="1" x14ac:dyDescent="0.3"/>
    <row r="14117" ht="14.4" customHeight="1" x14ac:dyDescent="0.3"/>
    <row r="14118" ht="14.4" customHeight="1" x14ac:dyDescent="0.3"/>
    <row r="14119" ht="14.4" customHeight="1" x14ac:dyDescent="0.3"/>
    <row r="14120" ht="14.4" customHeight="1" x14ac:dyDescent="0.3"/>
    <row r="14121" ht="14.4" customHeight="1" x14ac:dyDescent="0.3"/>
    <row r="14122" ht="14.4" customHeight="1" x14ac:dyDescent="0.3"/>
    <row r="14123" ht="14.4" customHeight="1" x14ac:dyDescent="0.3"/>
    <row r="14124" ht="14.4" customHeight="1" x14ac:dyDescent="0.3"/>
    <row r="14125" ht="14.4" customHeight="1" x14ac:dyDescent="0.3"/>
    <row r="14126" ht="14.4" customHeight="1" x14ac:dyDescent="0.3"/>
    <row r="14127" ht="14.4" customHeight="1" x14ac:dyDescent="0.3"/>
    <row r="14128" ht="14.4" customHeight="1" x14ac:dyDescent="0.3"/>
    <row r="14129" ht="14.4" customHeight="1" x14ac:dyDescent="0.3"/>
    <row r="14130" ht="14.4" customHeight="1" x14ac:dyDescent="0.3"/>
    <row r="14131" ht="14.4" customHeight="1" x14ac:dyDescent="0.3"/>
    <row r="14132" ht="14.4" customHeight="1" x14ac:dyDescent="0.3"/>
    <row r="14133" ht="14.4" customHeight="1" x14ac:dyDescent="0.3"/>
    <row r="14134" ht="14.4" customHeight="1" x14ac:dyDescent="0.3"/>
    <row r="14135" ht="14.4" customHeight="1" x14ac:dyDescent="0.3"/>
    <row r="14136" ht="14.4" customHeight="1" x14ac:dyDescent="0.3"/>
    <row r="14137" ht="14.4" customHeight="1" x14ac:dyDescent="0.3"/>
    <row r="14138" ht="14.4" customHeight="1" x14ac:dyDescent="0.3"/>
    <row r="14139" ht="14.4" customHeight="1" x14ac:dyDescent="0.3"/>
    <row r="14140" ht="14.4" customHeight="1" x14ac:dyDescent="0.3"/>
    <row r="14141" ht="14.4" customHeight="1" x14ac:dyDescent="0.3"/>
    <row r="14142" ht="14.4" customHeight="1" x14ac:dyDescent="0.3"/>
    <row r="14143" ht="14.4" customHeight="1" x14ac:dyDescent="0.3"/>
    <row r="14144" ht="14.4" customHeight="1" x14ac:dyDescent="0.3"/>
    <row r="14145" ht="14.4" customHeight="1" x14ac:dyDescent="0.3"/>
    <row r="14146" ht="14.4" customHeight="1" x14ac:dyDescent="0.3"/>
    <row r="14147" ht="14.4" customHeight="1" x14ac:dyDescent="0.3"/>
    <row r="14148" ht="14.4" customHeight="1" x14ac:dyDescent="0.3"/>
    <row r="14149" ht="14.4" customHeight="1" x14ac:dyDescent="0.3"/>
    <row r="14150" ht="14.4" customHeight="1" x14ac:dyDescent="0.3"/>
    <row r="14151" ht="14.4" customHeight="1" x14ac:dyDescent="0.3"/>
    <row r="14152" ht="14.4" customHeight="1" x14ac:dyDescent="0.3"/>
    <row r="14153" ht="14.4" customHeight="1" x14ac:dyDescent="0.3"/>
    <row r="14154" ht="14.4" customHeight="1" x14ac:dyDescent="0.3"/>
    <row r="14155" ht="14.4" customHeight="1" x14ac:dyDescent="0.3"/>
    <row r="14156" ht="14.4" customHeight="1" x14ac:dyDescent="0.3"/>
    <row r="14157" ht="14.4" customHeight="1" x14ac:dyDescent="0.3"/>
    <row r="14158" ht="14.4" customHeight="1" x14ac:dyDescent="0.3"/>
    <row r="14159" ht="14.4" customHeight="1" x14ac:dyDescent="0.3"/>
    <row r="14160" ht="14.4" customHeight="1" x14ac:dyDescent="0.3"/>
    <row r="14161" ht="14.4" customHeight="1" x14ac:dyDescent="0.3"/>
    <row r="14162" ht="14.4" customHeight="1" x14ac:dyDescent="0.3"/>
    <row r="14163" ht="14.4" customHeight="1" x14ac:dyDescent="0.3"/>
    <row r="14164" ht="14.4" customHeight="1" x14ac:dyDescent="0.3"/>
    <row r="14165" ht="14.4" customHeight="1" x14ac:dyDescent="0.3"/>
    <row r="14166" ht="14.4" customHeight="1" x14ac:dyDescent="0.3"/>
    <row r="14167" ht="14.4" customHeight="1" x14ac:dyDescent="0.3"/>
    <row r="14168" ht="14.4" customHeight="1" x14ac:dyDescent="0.3"/>
    <row r="14169" ht="14.4" customHeight="1" x14ac:dyDescent="0.3"/>
    <row r="14170" ht="14.4" customHeight="1" x14ac:dyDescent="0.3"/>
    <row r="14171" ht="14.4" customHeight="1" x14ac:dyDescent="0.3"/>
    <row r="14172" ht="14.4" customHeight="1" x14ac:dyDescent="0.3"/>
    <row r="14173" ht="14.4" customHeight="1" x14ac:dyDescent="0.3"/>
    <row r="14174" ht="14.4" customHeight="1" x14ac:dyDescent="0.3"/>
    <row r="14175" ht="14.4" customHeight="1" x14ac:dyDescent="0.3"/>
    <row r="14176" ht="14.4" customHeight="1" x14ac:dyDescent="0.3"/>
    <row r="14177" ht="14.4" customHeight="1" x14ac:dyDescent="0.3"/>
    <row r="14178" ht="14.4" customHeight="1" x14ac:dyDescent="0.3"/>
    <row r="14179" ht="14.4" customHeight="1" x14ac:dyDescent="0.3"/>
    <row r="14180" ht="14.4" customHeight="1" x14ac:dyDescent="0.3"/>
    <row r="14181" ht="14.4" customHeight="1" x14ac:dyDescent="0.3"/>
    <row r="14182" ht="14.4" customHeight="1" x14ac:dyDescent="0.3"/>
    <row r="14183" ht="14.4" customHeight="1" x14ac:dyDescent="0.3"/>
    <row r="14184" ht="14.4" customHeight="1" x14ac:dyDescent="0.3"/>
    <row r="14185" ht="14.4" customHeight="1" x14ac:dyDescent="0.3"/>
    <row r="14186" ht="14.4" customHeight="1" x14ac:dyDescent="0.3"/>
    <row r="14187" ht="14.4" customHeight="1" x14ac:dyDescent="0.3"/>
    <row r="14188" ht="14.4" customHeight="1" x14ac:dyDescent="0.3"/>
    <row r="14189" ht="14.4" customHeight="1" x14ac:dyDescent="0.3"/>
    <row r="14190" ht="14.4" customHeight="1" x14ac:dyDescent="0.3"/>
    <row r="14191" ht="14.4" customHeight="1" x14ac:dyDescent="0.3"/>
    <row r="14192" ht="14.4" customHeight="1" x14ac:dyDescent="0.3"/>
    <row r="14193" ht="14.4" customHeight="1" x14ac:dyDescent="0.3"/>
    <row r="14194" ht="14.4" customHeight="1" x14ac:dyDescent="0.3"/>
    <row r="14195" ht="14.4" customHeight="1" x14ac:dyDescent="0.3"/>
    <row r="14196" ht="14.4" customHeight="1" x14ac:dyDescent="0.3"/>
    <row r="14197" ht="14.4" customHeight="1" x14ac:dyDescent="0.3"/>
    <row r="14198" ht="14.4" customHeight="1" x14ac:dyDescent="0.3"/>
    <row r="14199" ht="14.4" customHeight="1" x14ac:dyDescent="0.3"/>
    <row r="14200" ht="14.4" customHeight="1" x14ac:dyDescent="0.3"/>
    <row r="14201" ht="14.4" customHeight="1" x14ac:dyDescent="0.3"/>
    <row r="14202" ht="14.4" customHeight="1" x14ac:dyDescent="0.3"/>
    <row r="14203" ht="14.4" customHeight="1" x14ac:dyDescent="0.3"/>
    <row r="14204" ht="14.4" customHeight="1" x14ac:dyDescent="0.3"/>
    <row r="14205" ht="14.4" customHeight="1" x14ac:dyDescent="0.3"/>
    <row r="14206" ht="14.4" customHeight="1" x14ac:dyDescent="0.3"/>
    <row r="14207" ht="14.4" customHeight="1" x14ac:dyDescent="0.3"/>
    <row r="14208" ht="14.4" customHeight="1" x14ac:dyDescent="0.3"/>
    <row r="14209" ht="14.4" customHeight="1" x14ac:dyDescent="0.3"/>
    <row r="14210" ht="14.4" customHeight="1" x14ac:dyDescent="0.3"/>
    <row r="14211" ht="14.4" customHeight="1" x14ac:dyDescent="0.3"/>
    <row r="14212" ht="14.4" customHeight="1" x14ac:dyDescent="0.3"/>
    <row r="14213" ht="14.4" customHeight="1" x14ac:dyDescent="0.3"/>
    <row r="14214" ht="14.4" customHeight="1" x14ac:dyDescent="0.3"/>
    <row r="14215" ht="14.4" customHeight="1" x14ac:dyDescent="0.3"/>
    <row r="14216" ht="14.4" customHeight="1" x14ac:dyDescent="0.3"/>
    <row r="14217" ht="14.4" customHeight="1" x14ac:dyDescent="0.3"/>
    <row r="14218" ht="14.4" customHeight="1" x14ac:dyDescent="0.3"/>
    <row r="14219" ht="14.4" customHeight="1" x14ac:dyDescent="0.3"/>
    <row r="14220" ht="14.4" customHeight="1" x14ac:dyDescent="0.3"/>
    <row r="14221" ht="14.4" customHeight="1" x14ac:dyDescent="0.3"/>
    <row r="14222" ht="14.4" customHeight="1" x14ac:dyDescent="0.3"/>
    <row r="14223" ht="14.4" customHeight="1" x14ac:dyDescent="0.3"/>
    <row r="14224" ht="14.4" customHeight="1" x14ac:dyDescent="0.3"/>
    <row r="14225" ht="14.4" customHeight="1" x14ac:dyDescent="0.3"/>
    <row r="14226" ht="14.4" customHeight="1" x14ac:dyDescent="0.3"/>
    <row r="14227" ht="14.4" customHeight="1" x14ac:dyDescent="0.3"/>
    <row r="14228" ht="14.4" customHeight="1" x14ac:dyDescent="0.3"/>
    <row r="14229" ht="14.4" customHeight="1" x14ac:dyDescent="0.3"/>
    <row r="14230" ht="14.4" customHeight="1" x14ac:dyDescent="0.3"/>
    <row r="14231" ht="14.4" customHeight="1" x14ac:dyDescent="0.3"/>
    <row r="14232" ht="14.4" customHeight="1" x14ac:dyDescent="0.3"/>
    <row r="14233" ht="14.4" customHeight="1" x14ac:dyDescent="0.3"/>
    <row r="14234" ht="14.4" customHeight="1" x14ac:dyDescent="0.3"/>
    <row r="14235" ht="14.4" customHeight="1" x14ac:dyDescent="0.3"/>
    <row r="14236" ht="14.4" customHeight="1" x14ac:dyDescent="0.3"/>
    <row r="14237" ht="14.4" customHeight="1" x14ac:dyDescent="0.3"/>
    <row r="14238" ht="14.4" customHeight="1" x14ac:dyDescent="0.3"/>
    <row r="14239" ht="14.4" customHeight="1" x14ac:dyDescent="0.3"/>
    <row r="14240" ht="14.4" customHeight="1" x14ac:dyDescent="0.3"/>
    <row r="14241" ht="14.4" customHeight="1" x14ac:dyDescent="0.3"/>
    <row r="14242" ht="14.4" customHeight="1" x14ac:dyDescent="0.3"/>
    <row r="14243" ht="14.4" customHeight="1" x14ac:dyDescent="0.3"/>
    <row r="14244" ht="14.4" customHeight="1" x14ac:dyDescent="0.3"/>
    <row r="14245" ht="14.4" customHeight="1" x14ac:dyDescent="0.3"/>
    <row r="14246" ht="14.4" customHeight="1" x14ac:dyDescent="0.3"/>
    <row r="14247" ht="14.4" customHeight="1" x14ac:dyDescent="0.3"/>
    <row r="14248" ht="14.4" customHeight="1" x14ac:dyDescent="0.3"/>
    <row r="14249" ht="14.4" customHeight="1" x14ac:dyDescent="0.3"/>
    <row r="14250" ht="14.4" customHeight="1" x14ac:dyDescent="0.3"/>
    <row r="14251" ht="14.4" customHeight="1" x14ac:dyDescent="0.3"/>
    <row r="14252" ht="14.4" customHeight="1" x14ac:dyDescent="0.3"/>
    <row r="14253" ht="14.4" customHeight="1" x14ac:dyDescent="0.3"/>
    <row r="14254" ht="14.4" customHeight="1" x14ac:dyDescent="0.3"/>
    <row r="14255" ht="14.4" customHeight="1" x14ac:dyDescent="0.3"/>
    <row r="14256" ht="14.4" customHeight="1" x14ac:dyDescent="0.3"/>
    <row r="14257" ht="14.4" customHeight="1" x14ac:dyDescent="0.3"/>
    <row r="14258" ht="14.4" customHeight="1" x14ac:dyDescent="0.3"/>
    <row r="14259" ht="14.4" customHeight="1" x14ac:dyDescent="0.3"/>
    <row r="14260" ht="14.4" customHeight="1" x14ac:dyDescent="0.3"/>
    <row r="14261" ht="14.4" customHeight="1" x14ac:dyDescent="0.3"/>
    <row r="14262" ht="14.4" customHeight="1" x14ac:dyDescent="0.3"/>
    <row r="14263" ht="14.4" customHeight="1" x14ac:dyDescent="0.3"/>
    <row r="14264" ht="14.4" customHeight="1" x14ac:dyDescent="0.3"/>
    <row r="14265" ht="14.4" customHeight="1" x14ac:dyDescent="0.3"/>
    <row r="14266" ht="14.4" customHeight="1" x14ac:dyDescent="0.3"/>
    <row r="14267" ht="14.4" customHeight="1" x14ac:dyDescent="0.3"/>
    <row r="14268" ht="14.4" customHeight="1" x14ac:dyDescent="0.3"/>
    <row r="14269" ht="14.4" customHeight="1" x14ac:dyDescent="0.3"/>
    <row r="14270" ht="14.4" customHeight="1" x14ac:dyDescent="0.3"/>
    <row r="14271" ht="14.4" customHeight="1" x14ac:dyDescent="0.3"/>
    <row r="14272" ht="14.4" customHeight="1" x14ac:dyDescent="0.3"/>
    <row r="14273" ht="14.4" customHeight="1" x14ac:dyDescent="0.3"/>
    <row r="14274" ht="14.4" customHeight="1" x14ac:dyDescent="0.3"/>
    <row r="14275" ht="14.4" customHeight="1" x14ac:dyDescent="0.3"/>
    <row r="14276" ht="14.4" customHeight="1" x14ac:dyDescent="0.3"/>
    <row r="14277" ht="14.4" customHeight="1" x14ac:dyDescent="0.3"/>
    <row r="14278" ht="14.4" customHeight="1" x14ac:dyDescent="0.3"/>
    <row r="14279" ht="14.4" customHeight="1" x14ac:dyDescent="0.3"/>
    <row r="14280" ht="14.4" customHeight="1" x14ac:dyDescent="0.3"/>
    <row r="14281" ht="14.4" customHeight="1" x14ac:dyDescent="0.3"/>
    <row r="14282" ht="14.4" customHeight="1" x14ac:dyDescent="0.3"/>
    <row r="14283" ht="14.4" customHeight="1" x14ac:dyDescent="0.3"/>
    <row r="14284" ht="14.4" customHeight="1" x14ac:dyDescent="0.3"/>
    <row r="14285" ht="14.4" customHeight="1" x14ac:dyDescent="0.3"/>
    <row r="14286" ht="14.4" customHeight="1" x14ac:dyDescent="0.3"/>
    <row r="14287" ht="14.4" customHeight="1" x14ac:dyDescent="0.3"/>
    <row r="14288" ht="14.4" customHeight="1" x14ac:dyDescent="0.3"/>
    <row r="14289" ht="14.4" customHeight="1" x14ac:dyDescent="0.3"/>
    <row r="14290" ht="14.4" customHeight="1" x14ac:dyDescent="0.3"/>
    <row r="14291" ht="14.4" customHeight="1" x14ac:dyDescent="0.3"/>
    <row r="14292" ht="14.4" customHeight="1" x14ac:dyDescent="0.3"/>
    <row r="14293" ht="14.4" customHeight="1" x14ac:dyDescent="0.3"/>
    <row r="14294" ht="14.4" customHeight="1" x14ac:dyDescent="0.3"/>
    <row r="14295" ht="14.4" customHeight="1" x14ac:dyDescent="0.3"/>
    <row r="14296" ht="14.4" customHeight="1" x14ac:dyDescent="0.3"/>
    <row r="14297" ht="14.4" customHeight="1" x14ac:dyDescent="0.3"/>
    <row r="14298" ht="14.4" customHeight="1" x14ac:dyDescent="0.3"/>
    <row r="14299" ht="14.4" customHeight="1" x14ac:dyDescent="0.3"/>
    <row r="14300" ht="14.4" customHeight="1" x14ac:dyDescent="0.3"/>
    <row r="14301" ht="14.4" customHeight="1" x14ac:dyDescent="0.3"/>
    <row r="14302" ht="14.4" customHeight="1" x14ac:dyDescent="0.3"/>
    <row r="14303" ht="14.4" customHeight="1" x14ac:dyDescent="0.3"/>
    <row r="14304" ht="14.4" customHeight="1" x14ac:dyDescent="0.3"/>
    <row r="14305" ht="14.4" customHeight="1" x14ac:dyDescent="0.3"/>
    <row r="14306" ht="14.4" customHeight="1" x14ac:dyDescent="0.3"/>
    <row r="14307" ht="14.4" customHeight="1" x14ac:dyDescent="0.3"/>
    <row r="14308" ht="14.4" customHeight="1" x14ac:dyDescent="0.3"/>
    <row r="14309" ht="14.4" customHeight="1" x14ac:dyDescent="0.3"/>
    <row r="14310" ht="14.4" customHeight="1" x14ac:dyDescent="0.3"/>
    <row r="14311" ht="14.4" customHeight="1" x14ac:dyDescent="0.3"/>
    <row r="14312" ht="14.4" customHeight="1" x14ac:dyDescent="0.3"/>
    <row r="14313" ht="14.4" customHeight="1" x14ac:dyDescent="0.3"/>
    <row r="14314" ht="14.4" customHeight="1" x14ac:dyDescent="0.3"/>
    <row r="14315" ht="14.4" customHeight="1" x14ac:dyDescent="0.3"/>
    <row r="14316" ht="14.4" customHeight="1" x14ac:dyDescent="0.3"/>
    <row r="14317" ht="14.4" customHeight="1" x14ac:dyDescent="0.3"/>
    <row r="14318" ht="14.4" customHeight="1" x14ac:dyDescent="0.3"/>
    <row r="14319" ht="14.4" customHeight="1" x14ac:dyDescent="0.3"/>
    <row r="14320" ht="14.4" customHeight="1" x14ac:dyDescent="0.3"/>
    <row r="14321" ht="14.4" customHeight="1" x14ac:dyDescent="0.3"/>
    <row r="14322" ht="14.4" customHeight="1" x14ac:dyDescent="0.3"/>
    <row r="14323" ht="14.4" customHeight="1" x14ac:dyDescent="0.3"/>
    <row r="14324" ht="14.4" customHeight="1" x14ac:dyDescent="0.3"/>
    <row r="14325" ht="14.4" customHeight="1" x14ac:dyDescent="0.3"/>
    <row r="14326" ht="14.4" customHeight="1" x14ac:dyDescent="0.3"/>
    <row r="14327" ht="14.4" customHeight="1" x14ac:dyDescent="0.3"/>
    <row r="14328" ht="14.4" customHeight="1" x14ac:dyDescent="0.3"/>
    <row r="14329" ht="14.4" customHeight="1" x14ac:dyDescent="0.3"/>
    <row r="14330" ht="14.4" customHeight="1" x14ac:dyDescent="0.3"/>
    <row r="14331" ht="14.4" customHeight="1" x14ac:dyDescent="0.3"/>
    <row r="14332" ht="14.4" customHeight="1" x14ac:dyDescent="0.3"/>
    <row r="14333" ht="14.4" customHeight="1" x14ac:dyDescent="0.3"/>
    <row r="14334" ht="14.4" customHeight="1" x14ac:dyDescent="0.3"/>
    <row r="14335" ht="14.4" customHeight="1" x14ac:dyDescent="0.3"/>
    <row r="14336" ht="14.4" customHeight="1" x14ac:dyDescent="0.3"/>
    <row r="14337" ht="14.4" customHeight="1" x14ac:dyDescent="0.3"/>
    <row r="14338" ht="14.4" customHeight="1" x14ac:dyDescent="0.3"/>
    <row r="14339" ht="14.4" customHeight="1" x14ac:dyDescent="0.3"/>
    <row r="14340" ht="14.4" customHeight="1" x14ac:dyDescent="0.3"/>
    <row r="14341" ht="14.4" customHeight="1" x14ac:dyDescent="0.3"/>
    <row r="14342" ht="14.4" customHeight="1" x14ac:dyDescent="0.3"/>
    <row r="14343" ht="14.4" customHeight="1" x14ac:dyDescent="0.3"/>
    <row r="14344" ht="14.4" customHeight="1" x14ac:dyDescent="0.3"/>
    <row r="14345" ht="14.4" customHeight="1" x14ac:dyDescent="0.3"/>
    <row r="14346" ht="14.4" customHeight="1" x14ac:dyDescent="0.3"/>
    <row r="14347" ht="14.4" customHeight="1" x14ac:dyDescent="0.3"/>
    <row r="14348" ht="14.4" customHeight="1" x14ac:dyDescent="0.3"/>
    <row r="14349" ht="14.4" customHeight="1" x14ac:dyDescent="0.3"/>
    <row r="14350" ht="14.4" customHeight="1" x14ac:dyDescent="0.3"/>
    <row r="14351" ht="14.4" customHeight="1" x14ac:dyDescent="0.3"/>
    <row r="14352" ht="14.4" customHeight="1" x14ac:dyDescent="0.3"/>
    <row r="14353" ht="14.4" customHeight="1" x14ac:dyDescent="0.3"/>
    <row r="14354" ht="14.4" customHeight="1" x14ac:dyDescent="0.3"/>
    <row r="14355" ht="14.4" customHeight="1" x14ac:dyDescent="0.3"/>
    <row r="14356" ht="14.4" customHeight="1" x14ac:dyDescent="0.3"/>
    <row r="14357" ht="14.4" customHeight="1" x14ac:dyDescent="0.3"/>
    <row r="14358" ht="14.4" customHeight="1" x14ac:dyDescent="0.3"/>
    <row r="14359" ht="14.4" customHeight="1" x14ac:dyDescent="0.3"/>
    <row r="14360" ht="14.4" customHeight="1" x14ac:dyDescent="0.3"/>
    <row r="14361" ht="14.4" customHeight="1" x14ac:dyDescent="0.3"/>
    <row r="14362" ht="14.4" customHeight="1" x14ac:dyDescent="0.3"/>
    <row r="14363" ht="14.4" customHeight="1" x14ac:dyDescent="0.3"/>
    <row r="14364" ht="14.4" customHeight="1" x14ac:dyDescent="0.3"/>
    <row r="14365" ht="14.4" customHeight="1" x14ac:dyDescent="0.3"/>
    <row r="14366" ht="14.4" customHeight="1" x14ac:dyDescent="0.3"/>
    <row r="14367" ht="14.4" customHeight="1" x14ac:dyDescent="0.3"/>
    <row r="14368" ht="14.4" customHeight="1" x14ac:dyDescent="0.3"/>
    <row r="14369" ht="14.4" customHeight="1" x14ac:dyDescent="0.3"/>
    <row r="14370" ht="14.4" customHeight="1" x14ac:dyDescent="0.3"/>
    <row r="14371" ht="14.4" customHeight="1" x14ac:dyDescent="0.3"/>
    <row r="14372" ht="14.4" customHeight="1" x14ac:dyDescent="0.3"/>
    <row r="14373" ht="14.4" customHeight="1" x14ac:dyDescent="0.3"/>
    <row r="14374" ht="14.4" customHeight="1" x14ac:dyDescent="0.3"/>
    <row r="14375" ht="14.4" customHeight="1" x14ac:dyDescent="0.3"/>
    <row r="14376" ht="14.4" customHeight="1" x14ac:dyDescent="0.3"/>
    <row r="14377" ht="14.4" customHeight="1" x14ac:dyDescent="0.3"/>
    <row r="14378" ht="14.4" customHeight="1" x14ac:dyDescent="0.3"/>
    <row r="14379" ht="14.4" customHeight="1" x14ac:dyDescent="0.3"/>
    <row r="14380" ht="14.4" customHeight="1" x14ac:dyDescent="0.3"/>
    <row r="14381" ht="14.4" customHeight="1" x14ac:dyDescent="0.3"/>
    <row r="14382" ht="14.4" customHeight="1" x14ac:dyDescent="0.3"/>
    <row r="14383" ht="14.4" customHeight="1" x14ac:dyDescent="0.3"/>
    <row r="14384" ht="14.4" customHeight="1" x14ac:dyDescent="0.3"/>
    <row r="14385" ht="14.4" customHeight="1" x14ac:dyDescent="0.3"/>
    <row r="14386" ht="14.4" customHeight="1" x14ac:dyDescent="0.3"/>
    <row r="14387" ht="14.4" customHeight="1" x14ac:dyDescent="0.3"/>
    <row r="14388" ht="14.4" customHeight="1" x14ac:dyDescent="0.3"/>
    <row r="14389" ht="14.4" customHeight="1" x14ac:dyDescent="0.3"/>
    <row r="14390" ht="14.4" customHeight="1" x14ac:dyDescent="0.3"/>
    <row r="14391" ht="14.4" customHeight="1" x14ac:dyDescent="0.3"/>
    <row r="14392" ht="14.4" customHeight="1" x14ac:dyDescent="0.3"/>
    <row r="14393" ht="14.4" customHeight="1" x14ac:dyDescent="0.3"/>
    <row r="14394" ht="14.4" customHeight="1" x14ac:dyDescent="0.3"/>
    <row r="14395" ht="14.4" customHeight="1" x14ac:dyDescent="0.3"/>
    <row r="14396" ht="14.4" customHeight="1" x14ac:dyDescent="0.3"/>
    <row r="14397" ht="14.4" customHeight="1" x14ac:dyDescent="0.3"/>
    <row r="14398" ht="14.4" customHeight="1" x14ac:dyDescent="0.3"/>
    <row r="14399" ht="14.4" customHeight="1" x14ac:dyDescent="0.3"/>
    <row r="14400" ht="14.4" customHeight="1" x14ac:dyDescent="0.3"/>
    <row r="14401" ht="14.4" customHeight="1" x14ac:dyDescent="0.3"/>
    <row r="14402" ht="14.4" customHeight="1" x14ac:dyDescent="0.3"/>
    <row r="14403" ht="14.4" customHeight="1" x14ac:dyDescent="0.3"/>
    <row r="14404" ht="14.4" customHeight="1" x14ac:dyDescent="0.3"/>
    <row r="14405" ht="14.4" customHeight="1" x14ac:dyDescent="0.3"/>
    <row r="14406" ht="14.4" customHeight="1" x14ac:dyDescent="0.3"/>
    <row r="14407" ht="14.4" customHeight="1" x14ac:dyDescent="0.3"/>
    <row r="14408" ht="14.4" customHeight="1" x14ac:dyDescent="0.3"/>
    <row r="14409" ht="14.4" customHeight="1" x14ac:dyDescent="0.3"/>
    <row r="14410" ht="14.4" customHeight="1" x14ac:dyDescent="0.3"/>
    <row r="14411" ht="14.4" customHeight="1" x14ac:dyDescent="0.3"/>
    <row r="14412" ht="14.4" customHeight="1" x14ac:dyDescent="0.3"/>
    <row r="14413" ht="14.4" customHeight="1" x14ac:dyDescent="0.3"/>
    <row r="14414" ht="14.4" customHeight="1" x14ac:dyDescent="0.3"/>
    <row r="14415" ht="14.4" customHeight="1" x14ac:dyDescent="0.3"/>
    <row r="14416" ht="14.4" customHeight="1" x14ac:dyDescent="0.3"/>
    <row r="14417" ht="14.4" customHeight="1" x14ac:dyDescent="0.3"/>
    <row r="14418" ht="14.4" customHeight="1" x14ac:dyDescent="0.3"/>
    <row r="14419" ht="14.4" customHeight="1" x14ac:dyDescent="0.3"/>
    <row r="14420" ht="14.4" customHeight="1" x14ac:dyDescent="0.3"/>
    <row r="14421" ht="14.4" customHeight="1" x14ac:dyDescent="0.3"/>
    <row r="14422" ht="14.4" customHeight="1" x14ac:dyDescent="0.3"/>
    <row r="14423" ht="14.4" customHeight="1" x14ac:dyDescent="0.3"/>
    <row r="14424" ht="14.4" customHeight="1" x14ac:dyDescent="0.3"/>
    <row r="14425" ht="14.4" customHeight="1" x14ac:dyDescent="0.3"/>
    <row r="14426" ht="14.4" customHeight="1" x14ac:dyDescent="0.3"/>
    <row r="14427" ht="14.4" customHeight="1" x14ac:dyDescent="0.3"/>
    <row r="14428" ht="14.4" customHeight="1" x14ac:dyDescent="0.3"/>
    <row r="14429" ht="14.4" customHeight="1" x14ac:dyDescent="0.3"/>
    <row r="14430" ht="14.4" customHeight="1" x14ac:dyDescent="0.3"/>
    <row r="14431" ht="14.4" customHeight="1" x14ac:dyDescent="0.3"/>
    <row r="14432" ht="14.4" customHeight="1" x14ac:dyDescent="0.3"/>
    <row r="14433" ht="14.4" customHeight="1" x14ac:dyDescent="0.3"/>
    <row r="14434" ht="14.4" customHeight="1" x14ac:dyDescent="0.3"/>
    <row r="14435" ht="14.4" customHeight="1" x14ac:dyDescent="0.3"/>
    <row r="14436" ht="14.4" customHeight="1" x14ac:dyDescent="0.3"/>
    <row r="14437" ht="14.4" customHeight="1" x14ac:dyDescent="0.3"/>
    <row r="14438" ht="14.4" customHeight="1" x14ac:dyDescent="0.3"/>
    <row r="14439" ht="14.4" customHeight="1" x14ac:dyDescent="0.3"/>
    <row r="14440" ht="14.4" customHeight="1" x14ac:dyDescent="0.3"/>
    <row r="14441" ht="14.4" customHeight="1" x14ac:dyDescent="0.3"/>
    <row r="14442" ht="14.4" customHeight="1" x14ac:dyDescent="0.3"/>
    <row r="14443" ht="14.4" customHeight="1" x14ac:dyDescent="0.3"/>
    <row r="14444" ht="14.4" customHeight="1" x14ac:dyDescent="0.3"/>
    <row r="14445" ht="14.4" customHeight="1" x14ac:dyDescent="0.3"/>
    <row r="14446" ht="14.4" customHeight="1" x14ac:dyDescent="0.3"/>
    <row r="14447" ht="14.4" customHeight="1" x14ac:dyDescent="0.3"/>
    <row r="14448" ht="14.4" customHeight="1" x14ac:dyDescent="0.3"/>
    <row r="14449" ht="14.4" customHeight="1" x14ac:dyDescent="0.3"/>
    <row r="14450" ht="14.4" customHeight="1" x14ac:dyDescent="0.3"/>
    <row r="14451" ht="14.4" customHeight="1" x14ac:dyDescent="0.3"/>
    <row r="14452" ht="14.4" customHeight="1" x14ac:dyDescent="0.3"/>
    <row r="14453" ht="14.4" customHeight="1" x14ac:dyDescent="0.3"/>
    <row r="14454" ht="14.4" customHeight="1" x14ac:dyDescent="0.3"/>
    <row r="14455" ht="14.4" customHeight="1" x14ac:dyDescent="0.3"/>
    <row r="14456" ht="14.4" customHeight="1" x14ac:dyDescent="0.3"/>
    <row r="14457" ht="14.4" customHeight="1" x14ac:dyDescent="0.3"/>
    <row r="14458" ht="14.4" customHeight="1" x14ac:dyDescent="0.3"/>
    <row r="14459" ht="14.4" customHeight="1" x14ac:dyDescent="0.3"/>
    <row r="14460" ht="14.4" customHeight="1" x14ac:dyDescent="0.3"/>
    <row r="14461" ht="14.4" customHeight="1" x14ac:dyDescent="0.3"/>
    <row r="14462" ht="14.4" customHeight="1" x14ac:dyDescent="0.3"/>
    <row r="14463" ht="14.4" customHeight="1" x14ac:dyDescent="0.3"/>
    <row r="14464" ht="14.4" customHeight="1" x14ac:dyDescent="0.3"/>
    <row r="14465" ht="14.4" customHeight="1" x14ac:dyDescent="0.3"/>
    <row r="14466" ht="14.4" customHeight="1" x14ac:dyDescent="0.3"/>
    <row r="14467" ht="14.4" customHeight="1" x14ac:dyDescent="0.3"/>
    <row r="14468" ht="14.4" customHeight="1" x14ac:dyDescent="0.3"/>
    <row r="14469" ht="14.4" customHeight="1" x14ac:dyDescent="0.3"/>
    <row r="14470" ht="14.4" customHeight="1" x14ac:dyDescent="0.3"/>
    <row r="14471" ht="14.4" customHeight="1" x14ac:dyDescent="0.3"/>
    <row r="14472" ht="14.4" customHeight="1" x14ac:dyDescent="0.3"/>
    <row r="14473" ht="14.4" customHeight="1" x14ac:dyDescent="0.3"/>
    <row r="14474" ht="14.4" customHeight="1" x14ac:dyDescent="0.3"/>
    <row r="14475" ht="14.4" customHeight="1" x14ac:dyDescent="0.3"/>
    <row r="14476" ht="14.4" customHeight="1" x14ac:dyDescent="0.3"/>
    <row r="14477" ht="14.4" customHeight="1" x14ac:dyDescent="0.3"/>
    <row r="14478" ht="14.4" customHeight="1" x14ac:dyDescent="0.3"/>
    <row r="14479" ht="14.4" customHeight="1" x14ac:dyDescent="0.3"/>
    <row r="14480" ht="14.4" customHeight="1" x14ac:dyDescent="0.3"/>
    <row r="14481" ht="14.4" customHeight="1" x14ac:dyDescent="0.3"/>
    <row r="14482" ht="14.4" customHeight="1" x14ac:dyDescent="0.3"/>
    <row r="14483" ht="14.4" customHeight="1" x14ac:dyDescent="0.3"/>
    <row r="14484" ht="14.4" customHeight="1" x14ac:dyDescent="0.3"/>
    <row r="14485" ht="14.4" customHeight="1" x14ac:dyDescent="0.3"/>
    <row r="14486" ht="14.4" customHeight="1" x14ac:dyDescent="0.3"/>
    <row r="14487" ht="14.4" customHeight="1" x14ac:dyDescent="0.3"/>
    <row r="14488" ht="14.4" customHeight="1" x14ac:dyDescent="0.3"/>
    <row r="14489" ht="14.4" customHeight="1" x14ac:dyDescent="0.3"/>
    <row r="14490" ht="14.4" customHeight="1" x14ac:dyDescent="0.3"/>
    <row r="14491" ht="14.4" customHeight="1" x14ac:dyDescent="0.3"/>
    <row r="14492" ht="14.4" customHeight="1" x14ac:dyDescent="0.3"/>
    <row r="14493" ht="14.4" customHeight="1" x14ac:dyDescent="0.3"/>
    <row r="14494" ht="14.4" customHeight="1" x14ac:dyDescent="0.3"/>
    <row r="14495" ht="14.4" customHeight="1" x14ac:dyDescent="0.3"/>
    <row r="14496" ht="14.4" customHeight="1" x14ac:dyDescent="0.3"/>
    <row r="14497" ht="14.4" customHeight="1" x14ac:dyDescent="0.3"/>
    <row r="14498" ht="14.4" customHeight="1" x14ac:dyDescent="0.3"/>
    <row r="14499" ht="14.4" customHeight="1" x14ac:dyDescent="0.3"/>
    <row r="14500" ht="14.4" customHeight="1" x14ac:dyDescent="0.3"/>
    <row r="14501" ht="14.4" customHeight="1" x14ac:dyDescent="0.3"/>
    <row r="14502" ht="14.4" customHeight="1" x14ac:dyDescent="0.3"/>
    <row r="14503" ht="14.4" customHeight="1" x14ac:dyDescent="0.3"/>
    <row r="14504" ht="14.4" customHeight="1" x14ac:dyDescent="0.3"/>
    <row r="14505" ht="14.4" customHeight="1" x14ac:dyDescent="0.3"/>
    <row r="14506" ht="14.4" customHeight="1" x14ac:dyDescent="0.3"/>
    <row r="14507" ht="14.4" customHeight="1" x14ac:dyDescent="0.3"/>
    <row r="14508" ht="14.4" customHeight="1" x14ac:dyDescent="0.3"/>
    <row r="14509" ht="14.4" customHeight="1" x14ac:dyDescent="0.3"/>
    <row r="14510" ht="14.4" customHeight="1" x14ac:dyDescent="0.3"/>
    <row r="14511" ht="14.4" customHeight="1" x14ac:dyDescent="0.3"/>
    <row r="14512" ht="14.4" customHeight="1" x14ac:dyDescent="0.3"/>
    <row r="14513" ht="14.4" customHeight="1" x14ac:dyDescent="0.3"/>
    <row r="14514" ht="14.4" customHeight="1" x14ac:dyDescent="0.3"/>
    <row r="14515" ht="14.4" customHeight="1" x14ac:dyDescent="0.3"/>
    <row r="14516" ht="14.4" customHeight="1" x14ac:dyDescent="0.3"/>
    <row r="14517" ht="14.4" customHeight="1" x14ac:dyDescent="0.3"/>
    <row r="14518" ht="14.4" customHeight="1" x14ac:dyDescent="0.3"/>
    <row r="14519" ht="14.4" customHeight="1" x14ac:dyDescent="0.3"/>
    <row r="14520" ht="14.4" customHeight="1" x14ac:dyDescent="0.3"/>
    <row r="14521" ht="14.4" customHeight="1" x14ac:dyDescent="0.3"/>
    <row r="14522" ht="14.4" customHeight="1" x14ac:dyDescent="0.3"/>
    <row r="14523" ht="14.4" customHeight="1" x14ac:dyDescent="0.3"/>
    <row r="14524" ht="14.4" customHeight="1" x14ac:dyDescent="0.3"/>
    <row r="14525" ht="14.4" customHeight="1" x14ac:dyDescent="0.3"/>
    <row r="14526" ht="14.4" customHeight="1" x14ac:dyDescent="0.3"/>
    <row r="14527" ht="14.4" customHeight="1" x14ac:dyDescent="0.3"/>
    <row r="14528" ht="14.4" customHeight="1" x14ac:dyDescent="0.3"/>
    <row r="14529" ht="14.4" customHeight="1" x14ac:dyDescent="0.3"/>
    <row r="14530" ht="14.4" customHeight="1" x14ac:dyDescent="0.3"/>
    <row r="14531" ht="14.4" customHeight="1" x14ac:dyDescent="0.3"/>
    <row r="14532" ht="14.4" customHeight="1" x14ac:dyDescent="0.3"/>
    <row r="14533" ht="14.4" customHeight="1" x14ac:dyDescent="0.3"/>
    <row r="14534" ht="14.4" customHeight="1" x14ac:dyDescent="0.3"/>
    <row r="14535" ht="14.4" customHeight="1" x14ac:dyDescent="0.3"/>
    <row r="14536" ht="14.4" customHeight="1" x14ac:dyDescent="0.3"/>
    <row r="14537" ht="14.4" customHeight="1" x14ac:dyDescent="0.3"/>
    <row r="14538" ht="14.4" customHeight="1" x14ac:dyDescent="0.3"/>
    <row r="14539" ht="14.4" customHeight="1" x14ac:dyDescent="0.3"/>
    <row r="14540" ht="14.4" customHeight="1" x14ac:dyDescent="0.3"/>
    <row r="14541" ht="14.4" customHeight="1" x14ac:dyDescent="0.3"/>
    <row r="14542" ht="14.4" customHeight="1" x14ac:dyDescent="0.3"/>
    <row r="14543" ht="14.4" customHeight="1" x14ac:dyDescent="0.3"/>
    <row r="14544" ht="14.4" customHeight="1" x14ac:dyDescent="0.3"/>
    <row r="14545" ht="14.4" customHeight="1" x14ac:dyDescent="0.3"/>
    <row r="14546" ht="14.4" customHeight="1" x14ac:dyDescent="0.3"/>
    <row r="14547" ht="14.4" customHeight="1" x14ac:dyDescent="0.3"/>
    <row r="14548" ht="14.4" customHeight="1" x14ac:dyDescent="0.3"/>
    <row r="14549" ht="14.4" customHeight="1" x14ac:dyDescent="0.3"/>
    <row r="14550" ht="14.4" customHeight="1" x14ac:dyDescent="0.3"/>
    <row r="14551" ht="14.4" customHeight="1" x14ac:dyDescent="0.3"/>
    <row r="14552" ht="14.4" customHeight="1" x14ac:dyDescent="0.3"/>
    <row r="14553" ht="14.4" customHeight="1" x14ac:dyDescent="0.3"/>
    <row r="14554" ht="14.4" customHeight="1" x14ac:dyDescent="0.3"/>
    <row r="14555" ht="14.4" customHeight="1" x14ac:dyDescent="0.3"/>
    <row r="14556" ht="14.4" customHeight="1" x14ac:dyDescent="0.3"/>
    <row r="14557" ht="14.4" customHeight="1" x14ac:dyDescent="0.3"/>
    <row r="14558" ht="14.4" customHeight="1" x14ac:dyDescent="0.3"/>
    <row r="14559" ht="14.4" customHeight="1" x14ac:dyDescent="0.3"/>
    <row r="14560" ht="14.4" customHeight="1" x14ac:dyDescent="0.3"/>
    <row r="14561" ht="14.4" customHeight="1" x14ac:dyDescent="0.3"/>
    <row r="14562" ht="14.4" customHeight="1" x14ac:dyDescent="0.3"/>
    <row r="14563" ht="14.4" customHeight="1" x14ac:dyDescent="0.3"/>
    <row r="14564" ht="14.4" customHeight="1" x14ac:dyDescent="0.3"/>
    <row r="14565" ht="14.4" customHeight="1" x14ac:dyDescent="0.3"/>
    <row r="14566" ht="14.4" customHeight="1" x14ac:dyDescent="0.3"/>
    <row r="14567" ht="14.4" customHeight="1" x14ac:dyDescent="0.3"/>
    <row r="14568" ht="14.4" customHeight="1" x14ac:dyDescent="0.3"/>
    <row r="14569" ht="14.4" customHeight="1" x14ac:dyDescent="0.3"/>
    <row r="14570" ht="14.4" customHeight="1" x14ac:dyDescent="0.3"/>
    <row r="14571" ht="14.4" customHeight="1" x14ac:dyDescent="0.3"/>
    <row r="14572" ht="14.4" customHeight="1" x14ac:dyDescent="0.3"/>
    <row r="14573" ht="14.4" customHeight="1" x14ac:dyDescent="0.3"/>
    <row r="14574" ht="14.4" customHeight="1" x14ac:dyDescent="0.3"/>
    <row r="14575" ht="14.4" customHeight="1" x14ac:dyDescent="0.3"/>
    <row r="14576" ht="14.4" customHeight="1" x14ac:dyDescent="0.3"/>
    <row r="14577" ht="14.4" customHeight="1" x14ac:dyDescent="0.3"/>
    <row r="14578" ht="14.4" customHeight="1" x14ac:dyDescent="0.3"/>
    <row r="14579" ht="14.4" customHeight="1" x14ac:dyDescent="0.3"/>
    <row r="14580" ht="14.4" customHeight="1" x14ac:dyDescent="0.3"/>
    <row r="14581" ht="14.4" customHeight="1" x14ac:dyDescent="0.3"/>
    <row r="14582" ht="14.4" customHeight="1" x14ac:dyDescent="0.3"/>
    <row r="14583" ht="14.4" customHeight="1" x14ac:dyDescent="0.3"/>
    <row r="14584" ht="14.4" customHeight="1" x14ac:dyDescent="0.3"/>
    <row r="14585" ht="14.4" customHeight="1" x14ac:dyDescent="0.3"/>
    <row r="14586" ht="14.4" customHeight="1" x14ac:dyDescent="0.3"/>
    <row r="14587" ht="14.4" customHeight="1" x14ac:dyDescent="0.3"/>
    <row r="14588" ht="14.4" customHeight="1" x14ac:dyDescent="0.3"/>
    <row r="14589" ht="14.4" customHeight="1" x14ac:dyDescent="0.3"/>
    <row r="14590" ht="14.4" customHeight="1" x14ac:dyDescent="0.3"/>
    <row r="14591" ht="14.4" customHeight="1" x14ac:dyDescent="0.3"/>
    <row r="14592" ht="14.4" customHeight="1" x14ac:dyDescent="0.3"/>
    <row r="14593" ht="14.4" customHeight="1" x14ac:dyDescent="0.3"/>
    <row r="14594" ht="14.4" customHeight="1" x14ac:dyDescent="0.3"/>
    <row r="14595" ht="14.4" customHeight="1" x14ac:dyDescent="0.3"/>
    <row r="14596" ht="14.4" customHeight="1" x14ac:dyDescent="0.3"/>
    <row r="14597" ht="14.4" customHeight="1" x14ac:dyDescent="0.3"/>
    <row r="14598" ht="14.4" customHeight="1" x14ac:dyDescent="0.3"/>
    <row r="14599" ht="14.4" customHeight="1" x14ac:dyDescent="0.3"/>
    <row r="14600" ht="14.4" customHeight="1" x14ac:dyDescent="0.3"/>
    <row r="14601" ht="14.4" customHeight="1" x14ac:dyDescent="0.3"/>
    <row r="14602" ht="14.4" customHeight="1" x14ac:dyDescent="0.3"/>
    <row r="14603" ht="14.4" customHeight="1" x14ac:dyDescent="0.3"/>
    <row r="14604" ht="14.4" customHeight="1" x14ac:dyDescent="0.3"/>
    <row r="14605" ht="14.4" customHeight="1" x14ac:dyDescent="0.3"/>
    <row r="14606" ht="14.4" customHeight="1" x14ac:dyDescent="0.3"/>
    <row r="14607" ht="14.4" customHeight="1" x14ac:dyDescent="0.3"/>
    <row r="14608" ht="14.4" customHeight="1" x14ac:dyDescent="0.3"/>
    <row r="14609" ht="14.4" customHeight="1" x14ac:dyDescent="0.3"/>
    <row r="14610" ht="14.4" customHeight="1" x14ac:dyDescent="0.3"/>
    <row r="14611" ht="14.4" customHeight="1" x14ac:dyDescent="0.3"/>
    <row r="14612" ht="14.4" customHeight="1" x14ac:dyDescent="0.3"/>
    <row r="14613" ht="14.4" customHeight="1" x14ac:dyDescent="0.3"/>
    <row r="14614" ht="14.4" customHeight="1" x14ac:dyDescent="0.3"/>
    <row r="14615" ht="14.4" customHeight="1" x14ac:dyDescent="0.3"/>
    <row r="14616" ht="14.4" customHeight="1" x14ac:dyDescent="0.3"/>
    <row r="14617" ht="14.4" customHeight="1" x14ac:dyDescent="0.3"/>
    <row r="14618" ht="14.4" customHeight="1" x14ac:dyDescent="0.3"/>
    <row r="14619" ht="14.4" customHeight="1" x14ac:dyDescent="0.3"/>
    <row r="14620" ht="14.4" customHeight="1" x14ac:dyDescent="0.3"/>
    <row r="14621" ht="14.4" customHeight="1" x14ac:dyDescent="0.3"/>
    <row r="14622" ht="14.4" customHeight="1" x14ac:dyDescent="0.3"/>
    <row r="14623" ht="14.4" customHeight="1" x14ac:dyDescent="0.3"/>
    <row r="14624" ht="14.4" customHeight="1" x14ac:dyDescent="0.3"/>
    <row r="14625" ht="14.4" customHeight="1" x14ac:dyDescent="0.3"/>
    <row r="14626" ht="14.4" customHeight="1" x14ac:dyDescent="0.3"/>
    <row r="14627" ht="14.4" customHeight="1" x14ac:dyDescent="0.3"/>
    <row r="14628" ht="14.4" customHeight="1" x14ac:dyDescent="0.3"/>
    <row r="14629" ht="14.4" customHeight="1" x14ac:dyDescent="0.3"/>
    <row r="14630" ht="14.4" customHeight="1" x14ac:dyDescent="0.3"/>
    <row r="14631" ht="14.4" customHeight="1" x14ac:dyDescent="0.3"/>
    <row r="14632" ht="14.4" customHeight="1" x14ac:dyDescent="0.3"/>
    <row r="14633" ht="14.4" customHeight="1" x14ac:dyDescent="0.3"/>
    <row r="14634" ht="14.4" customHeight="1" x14ac:dyDescent="0.3"/>
    <row r="14635" ht="14.4" customHeight="1" x14ac:dyDescent="0.3"/>
    <row r="14636" ht="14.4" customHeight="1" x14ac:dyDescent="0.3"/>
    <row r="14637" ht="14.4" customHeight="1" x14ac:dyDescent="0.3"/>
    <row r="14638" ht="14.4" customHeight="1" x14ac:dyDescent="0.3"/>
    <row r="14639" ht="14.4" customHeight="1" x14ac:dyDescent="0.3"/>
    <row r="14640" ht="14.4" customHeight="1" x14ac:dyDescent="0.3"/>
    <row r="14641" ht="14.4" customHeight="1" x14ac:dyDescent="0.3"/>
    <row r="14642" ht="14.4" customHeight="1" x14ac:dyDescent="0.3"/>
    <row r="14643" ht="14.4" customHeight="1" x14ac:dyDescent="0.3"/>
    <row r="14644" ht="14.4" customHeight="1" x14ac:dyDescent="0.3"/>
    <row r="14645" ht="14.4" customHeight="1" x14ac:dyDescent="0.3"/>
    <row r="14646" ht="14.4" customHeight="1" x14ac:dyDescent="0.3"/>
    <row r="14647" ht="14.4" customHeight="1" x14ac:dyDescent="0.3"/>
    <row r="14648" ht="14.4" customHeight="1" x14ac:dyDescent="0.3"/>
    <row r="14649" ht="14.4" customHeight="1" x14ac:dyDescent="0.3"/>
    <row r="14650" ht="14.4" customHeight="1" x14ac:dyDescent="0.3"/>
    <row r="14651" ht="14.4" customHeight="1" x14ac:dyDescent="0.3"/>
    <row r="14652" ht="14.4" customHeight="1" x14ac:dyDescent="0.3"/>
    <row r="14653" ht="14.4" customHeight="1" x14ac:dyDescent="0.3"/>
    <row r="14654" ht="14.4" customHeight="1" x14ac:dyDescent="0.3"/>
    <row r="14655" ht="14.4" customHeight="1" x14ac:dyDescent="0.3"/>
    <row r="14656" ht="14.4" customHeight="1" x14ac:dyDescent="0.3"/>
    <row r="14657" ht="14.4" customHeight="1" x14ac:dyDescent="0.3"/>
    <row r="14658" ht="14.4" customHeight="1" x14ac:dyDescent="0.3"/>
    <row r="14659" ht="14.4" customHeight="1" x14ac:dyDescent="0.3"/>
    <row r="14660" ht="14.4" customHeight="1" x14ac:dyDescent="0.3"/>
    <row r="14661" ht="14.4" customHeight="1" x14ac:dyDescent="0.3"/>
    <row r="14662" ht="14.4" customHeight="1" x14ac:dyDescent="0.3"/>
    <row r="14663" ht="14.4" customHeight="1" x14ac:dyDescent="0.3"/>
    <row r="14664" ht="14.4" customHeight="1" x14ac:dyDescent="0.3"/>
    <row r="14665" ht="14.4" customHeight="1" x14ac:dyDescent="0.3"/>
    <row r="14666" ht="14.4" customHeight="1" x14ac:dyDescent="0.3"/>
    <row r="14667" ht="14.4" customHeight="1" x14ac:dyDescent="0.3"/>
    <row r="14668" ht="14.4" customHeight="1" x14ac:dyDescent="0.3"/>
    <row r="14669" ht="14.4" customHeight="1" x14ac:dyDescent="0.3"/>
    <row r="14670" ht="14.4" customHeight="1" x14ac:dyDescent="0.3"/>
    <row r="14671" ht="14.4" customHeight="1" x14ac:dyDescent="0.3"/>
    <row r="14672" ht="14.4" customHeight="1" x14ac:dyDescent="0.3"/>
    <row r="14673" ht="14.4" customHeight="1" x14ac:dyDescent="0.3"/>
    <row r="14674" ht="14.4" customHeight="1" x14ac:dyDescent="0.3"/>
    <row r="14675" ht="14.4" customHeight="1" x14ac:dyDescent="0.3"/>
    <row r="14676" ht="14.4" customHeight="1" x14ac:dyDescent="0.3"/>
    <row r="14677" ht="14.4" customHeight="1" x14ac:dyDescent="0.3"/>
    <row r="14678" ht="14.4" customHeight="1" x14ac:dyDescent="0.3"/>
    <row r="14679" ht="14.4" customHeight="1" x14ac:dyDescent="0.3"/>
    <row r="14680" ht="14.4" customHeight="1" x14ac:dyDescent="0.3"/>
    <row r="14681" ht="14.4" customHeight="1" x14ac:dyDescent="0.3"/>
    <row r="14682" ht="14.4" customHeight="1" x14ac:dyDescent="0.3"/>
    <row r="14683" ht="14.4" customHeight="1" x14ac:dyDescent="0.3"/>
    <row r="14684" ht="14.4" customHeight="1" x14ac:dyDescent="0.3"/>
    <row r="14685" ht="14.4" customHeight="1" x14ac:dyDescent="0.3"/>
    <row r="14686" ht="14.4" customHeight="1" x14ac:dyDescent="0.3"/>
    <row r="14687" ht="14.4" customHeight="1" x14ac:dyDescent="0.3"/>
    <row r="14688" ht="14.4" customHeight="1" x14ac:dyDescent="0.3"/>
    <row r="14689" ht="14.4" customHeight="1" x14ac:dyDescent="0.3"/>
    <row r="14690" ht="14.4" customHeight="1" x14ac:dyDescent="0.3"/>
    <row r="14691" ht="14.4" customHeight="1" x14ac:dyDescent="0.3"/>
    <row r="14692" ht="14.4" customHeight="1" x14ac:dyDescent="0.3"/>
    <row r="14693" ht="14.4" customHeight="1" x14ac:dyDescent="0.3"/>
    <row r="14694" ht="14.4" customHeight="1" x14ac:dyDescent="0.3"/>
    <row r="14695" ht="14.4" customHeight="1" x14ac:dyDescent="0.3"/>
    <row r="14696" ht="14.4" customHeight="1" x14ac:dyDescent="0.3"/>
    <row r="14697" ht="14.4" customHeight="1" x14ac:dyDescent="0.3"/>
    <row r="14698" ht="14.4" customHeight="1" x14ac:dyDescent="0.3"/>
    <row r="14699" ht="14.4" customHeight="1" x14ac:dyDescent="0.3"/>
    <row r="14700" ht="14.4" customHeight="1" x14ac:dyDescent="0.3"/>
    <row r="14701" ht="14.4" customHeight="1" x14ac:dyDescent="0.3"/>
    <row r="14702" ht="14.4" customHeight="1" x14ac:dyDescent="0.3"/>
    <row r="14703" ht="14.4" customHeight="1" x14ac:dyDescent="0.3"/>
    <row r="14704" ht="14.4" customHeight="1" x14ac:dyDescent="0.3"/>
    <row r="14705" ht="14.4" customHeight="1" x14ac:dyDescent="0.3"/>
    <row r="14706" ht="14.4" customHeight="1" x14ac:dyDescent="0.3"/>
    <row r="14707" ht="14.4" customHeight="1" x14ac:dyDescent="0.3"/>
    <row r="14708" ht="14.4" customHeight="1" x14ac:dyDescent="0.3"/>
    <row r="14709" ht="14.4" customHeight="1" x14ac:dyDescent="0.3"/>
    <row r="14710" ht="14.4" customHeight="1" x14ac:dyDescent="0.3"/>
    <row r="14711" ht="14.4" customHeight="1" x14ac:dyDescent="0.3"/>
    <row r="14712" ht="14.4" customHeight="1" x14ac:dyDescent="0.3"/>
    <row r="14713" ht="14.4" customHeight="1" x14ac:dyDescent="0.3"/>
    <row r="14714" ht="14.4" customHeight="1" x14ac:dyDescent="0.3"/>
    <row r="14715" ht="14.4" customHeight="1" x14ac:dyDescent="0.3"/>
    <row r="14716" ht="14.4" customHeight="1" x14ac:dyDescent="0.3"/>
    <row r="14717" ht="14.4" customHeight="1" x14ac:dyDescent="0.3"/>
    <row r="14718" ht="14.4" customHeight="1" x14ac:dyDescent="0.3"/>
    <row r="14719" ht="14.4" customHeight="1" x14ac:dyDescent="0.3"/>
    <row r="14720" ht="14.4" customHeight="1" x14ac:dyDescent="0.3"/>
    <row r="14721" ht="14.4" customHeight="1" x14ac:dyDescent="0.3"/>
    <row r="14722" ht="14.4" customHeight="1" x14ac:dyDescent="0.3"/>
    <row r="14723" ht="14.4" customHeight="1" x14ac:dyDescent="0.3"/>
    <row r="14724" ht="14.4" customHeight="1" x14ac:dyDescent="0.3"/>
    <row r="14725" ht="14.4" customHeight="1" x14ac:dyDescent="0.3"/>
    <row r="14726" ht="14.4" customHeight="1" x14ac:dyDescent="0.3"/>
    <row r="14727" ht="14.4" customHeight="1" x14ac:dyDescent="0.3"/>
    <row r="14728" ht="14.4" customHeight="1" x14ac:dyDescent="0.3"/>
    <row r="14729" ht="14.4" customHeight="1" x14ac:dyDescent="0.3"/>
    <row r="14730" ht="14.4" customHeight="1" x14ac:dyDescent="0.3"/>
    <row r="14731" ht="14.4" customHeight="1" x14ac:dyDescent="0.3"/>
    <row r="14732" ht="14.4" customHeight="1" x14ac:dyDescent="0.3"/>
    <row r="14733" ht="14.4" customHeight="1" x14ac:dyDescent="0.3"/>
    <row r="14734" ht="14.4" customHeight="1" x14ac:dyDescent="0.3"/>
    <row r="14735" ht="14.4" customHeight="1" x14ac:dyDescent="0.3"/>
    <row r="14736" ht="14.4" customHeight="1" x14ac:dyDescent="0.3"/>
    <row r="14737" ht="14.4" customHeight="1" x14ac:dyDescent="0.3"/>
    <row r="14738" ht="14.4" customHeight="1" x14ac:dyDescent="0.3"/>
    <row r="14739" ht="14.4" customHeight="1" x14ac:dyDescent="0.3"/>
    <row r="14740" ht="14.4" customHeight="1" x14ac:dyDescent="0.3"/>
    <row r="14741" ht="14.4" customHeight="1" x14ac:dyDescent="0.3"/>
    <row r="14742" ht="14.4" customHeight="1" x14ac:dyDescent="0.3"/>
    <row r="14743" ht="14.4" customHeight="1" x14ac:dyDescent="0.3"/>
    <row r="14744" ht="14.4" customHeight="1" x14ac:dyDescent="0.3"/>
    <row r="14745" ht="14.4" customHeight="1" x14ac:dyDescent="0.3"/>
    <row r="14746" ht="14.4" customHeight="1" x14ac:dyDescent="0.3"/>
    <row r="14747" ht="14.4" customHeight="1" x14ac:dyDescent="0.3"/>
    <row r="14748" ht="14.4" customHeight="1" x14ac:dyDescent="0.3"/>
    <row r="14749" ht="14.4" customHeight="1" x14ac:dyDescent="0.3"/>
    <row r="14750" ht="14.4" customHeight="1" x14ac:dyDescent="0.3"/>
    <row r="14751" ht="14.4" customHeight="1" x14ac:dyDescent="0.3"/>
    <row r="14752" ht="14.4" customHeight="1" x14ac:dyDescent="0.3"/>
    <row r="14753" ht="14.4" customHeight="1" x14ac:dyDescent="0.3"/>
    <row r="14754" ht="14.4" customHeight="1" x14ac:dyDescent="0.3"/>
    <row r="14755" ht="14.4" customHeight="1" x14ac:dyDescent="0.3"/>
    <row r="14756" ht="14.4" customHeight="1" x14ac:dyDescent="0.3"/>
    <row r="14757" ht="14.4" customHeight="1" x14ac:dyDescent="0.3"/>
    <row r="14758" ht="14.4" customHeight="1" x14ac:dyDescent="0.3"/>
    <row r="14759" ht="14.4" customHeight="1" x14ac:dyDescent="0.3"/>
    <row r="14760" ht="14.4" customHeight="1" x14ac:dyDescent="0.3"/>
    <row r="14761" ht="14.4" customHeight="1" x14ac:dyDescent="0.3"/>
    <row r="14762" ht="14.4" customHeight="1" x14ac:dyDescent="0.3"/>
    <row r="14763" ht="14.4" customHeight="1" x14ac:dyDescent="0.3"/>
    <row r="14764" ht="14.4" customHeight="1" x14ac:dyDescent="0.3"/>
    <row r="14765" ht="14.4" customHeight="1" x14ac:dyDescent="0.3"/>
    <row r="14766" ht="14.4" customHeight="1" x14ac:dyDescent="0.3"/>
    <row r="14767" ht="14.4" customHeight="1" x14ac:dyDescent="0.3"/>
    <row r="14768" ht="14.4" customHeight="1" x14ac:dyDescent="0.3"/>
    <row r="14769" ht="14.4" customHeight="1" x14ac:dyDescent="0.3"/>
    <row r="14770" ht="14.4" customHeight="1" x14ac:dyDescent="0.3"/>
    <row r="14771" ht="14.4" customHeight="1" x14ac:dyDescent="0.3"/>
    <row r="14772" ht="14.4" customHeight="1" x14ac:dyDescent="0.3"/>
    <row r="14773" ht="14.4" customHeight="1" x14ac:dyDescent="0.3"/>
    <row r="14774" ht="14.4" customHeight="1" x14ac:dyDescent="0.3"/>
    <row r="14775" ht="14.4" customHeight="1" x14ac:dyDescent="0.3"/>
    <row r="14776" ht="14.4" customHeight="1" x14ac:dyDescent="0.3"/>
    <row r="14777" ht="14.4" customHeight="1" x14ac:dyDescent="0.3"/>
    <row r="14778" ht="14.4" customHeight="1" x14ac:dyDescent="0.3"/>
    <row r="14779" ht="14.4" customHeight="1" x14ac:dyDescent="0.3"/>
    <row r="14780" ht="14.4" customHeight="1" x14ac:dyDescent="0.3"/>
    <row r="14781" ht="14.4" customHeight="1" x14ac:dyDescent="0.3"/>
    <row r="14782" ht="14.4" customHeight="1" x14ac:dyDescent="0.3"/>
    <row r="14783" ht="14.4" customHeight="1" x14ac:dyDescent="0.3"/>
    <row r="14784" ht="14.4" customHeight="1" x14ac:dyDescent="0.3"/>
    <row r="14785" ht="14.4" customHeight="1" x14ac:dyDescent="0.3"/>
    <row r="14786" ht="14.4" customHeight="1" x14ac:dyDescent="0.3"/>
    <row r="14787" ht="14.4" customHeight="1" x14ac:dyDescent="0.3"/>
    <row r="14788" ht="14.4" customHeight="1" x14ac:dyDescent="0.3"/>
    <row r="14789" ht="14.4" customHeight="1" x14ac:dyDescent="0.3"/>
    <row r="14790" ht="14.4" customHeight="1" x14ac:dyDescent="0.3"/>
    <row r="14791" ht="14.4" customHeight="1" x14ac:dyDescent="0.3"/>
    <row r="14792" ht="14.4" customHeight="1" x14ac:dyDescent="0.3"/>
    <row r="14793" ht="14.4" customHeight="1" x14ac:dyDescent="0.3"/>
    <row r="14794" ht="14.4" customHeight="1" x14ac:dyDescent="0.3"/>
    <row r="14795" ht="14.4" customHeight="1" x14ac:dyDescent="0.3"/>
    <row r="14796" ht="14.4" customHeight="1" x14ac:dyDescent="0.3"/>
    <row r="14797" ht="14.4" customHeight="1" x14ac:dyDescent="0.3"/>
    <row r="14798" ht="14.4" customHeight="1" x14ac:dyDescent="0.3"/>
    <row r="14799" ht="14.4" customHeight="1" x14ac:dyDescent="0.3"/>
    <row r="14800" ht="14.4" customHeight="1" x14ac:dyDescent="0.3"/>
    <row r="14801" ht="14.4" customHeight="1" x14ac:dyDescent="0.3"/>
    <row r="14802" ht="14.4" customHeight="1" x14ac:dyDescent="0.3"/>
    <row r="14803" ht="14.4" customHeight="1" x14ac:dyDescent="0.3"/>
    <row r="14804" ht="14.4" customHeight="1" x14ac:dyDescent="0.3"/>
    <row r="14805" ht="14.4" customHeight="1" x14ac:dyDescent="0.3"/>
    <row r="14806" ht="14.4" customHeight="1" x14ac:dyDescent="0.3"/>
    <row r="14807" ht="14.4" customHeight="1" x14ac:dyDescent="0.3"/>
    <row r="14808" ht="14.4" customHeight="1" x14ac:dyDescent="0.3"/>
    <row r="14809" ht="14.4" customHeight="1" x14ac:dyDescent="0.3"/>
    <row r="14810" ht="14.4" customHeight="1" x14ac:dyDescent="0.3"/>
    <row r="14811" ht="14.4" customHeight="1" x14ac:dyDescent="0.3"/>
    <row r="14812" ht="14.4" customHeight="1" x14ac:dyDescent="0.3"/>
    <row r="14813" ht="14.4" customHeight="1" x14ac:dyDescent="0.3"/>
    <row r="14814" ht="14.4" customHeight="1" x14ac:dyDescent="0.3"/>
    <row r="14815" ht="14.4" customHeight="1" x14ac:dyDescent="0.3"/>
    <row r="14816" ht="14.4" customHeight="1" x14ac:dyDescent="0.3"/>
    <row r="14817" ht="14.4" customHeight="1" x14ac:dyDescent="0.3"/>
    <row r="14818" ht="14.4" customHeight="1" x14ac:dyDescent="0.3"/>
    <row r="14819" ht="14.4" customHeight="1" x14ac:dyDescent="0.3"/>
    <row r="14820" ht="14.4" customHeight="1" x14ac:dyDescent="0.3"/>
    <row r="14821" ht="14.4" customHeight="1" x14ac:dyDescent="0.3"/>
    <row r="14822" ht="14.4" customHeight="1" x14ac:dyDescent="0.3"/>
    <row r="14823" ht="14.4" customHeight="1" x14ac:dyDescent="0.3"/>
    <row r="14824" ht="14.4" customHeight="1" x14ac:dyDescent="0.3"/>
    <row r="14825" ht="14.4" customHeight="1" x14ac:dyDescent="0.3"/>
    <row r="14826" ht="14.4" customHeight="1" x14ac:dyDescent="0.3"/>
    <row r="14827" ht="14.4" customHeight="1" x14ac:dyDescent="0.3"/>
    <row r="14828" ht="14.4" customHeight="1" x14ac:dyDescent="0.3"/>
    <row r="14829" ht="14.4" customHeight="1" x14ac:dyDescent="0.3"/>
    <row r="14830" ht="14.4" customHeight="1" x14ac:dyDescent="0.3"/>
    <row r="14831" ht="14.4" customHeight="1" x14ac:dyDescent="0.3"/>
    <row r="14832" ht="14.4" customHeight="1" x14ac:dyDescent="0.3"/>
    <row r="14833" ht="14.4" customHeight="1" x14ac:dyDescent="0.3"/>
    <row r="14834" ht="14.4" customHeight="1" x14ac:dyDescent="0.3"/>
    <row r="14835" ht="14.4" customHeight="1" x14ac:dyDescent="0.3"/>
    <row r="14836" ht="14.4" customHeight="1" x14ac:dyDescent="0.3"/>
    <row r="14837" ht="14.4" customHeight="1" x14ac:dyDescent="0.3"/>
    <row r="14838" ht="14.4" customHeight="1" x14ac:dyDescent="0.3"/>
    <row r="14839" ht="14.4" customHeight="1" x14ac:dyDescent="0.3"/>
    <row r="14840" ht="14.4" customHeight="1" x14ac:dyDescent="0.3"/>
    <row r="14841" ht="14.4" customHeight="1" x14ac:dyDescent="0.3"/>
    <row r="14842" ht="14.4" customHeight="1" x14ac:dyDescent="0.3"/>
    <row r="14843" ht="14.4" customHeight="1" x14ac:dyDescent="0.3"/>
    <row r="14844" ht="14.4" customHeight="1" x14ac:dyDescent="0.3"/>
    <row r="14845" ht="14.4" customHeight="1" x14ac:dyDescent="0.3"/>
    <row r="14846" ht="14.4" customHeight="1" x14ac:dyDescent="0.3"/>
    <row r="14847" ht="14.4" customHeight="1" x14ac:dyDescent="0.3"/>
    <row r="14848" ht="14.4" customHeight="1" x14ac:dyDescent="0.3"/>
    <row r="14849" ht="14.4" customHeight="1" x14ac:dyDescent="0.3"/>
    <row r="14850" ht="14.4" customHeight="1" x14ac:dyDescent="0.3"/>
    <row r="14851" ht="14.4" customHeight="1" x14ac:dyDescent="0.3"/>
    <row r="14852" ht="14.4" customHeight="1" x14ac:dyDescent="0.3"/>
    <row r="14853" ht="14.4" customHeight="1" x14ac:dyDescent="0.3"/>
    <row r="14854" ht="14.4" customHeight="1" x14ac:dyDescent="0.3"/>
    <row r="14855" ht="14.4" customHeight="1" x14ac:dyDescent="0.3"/>
    <row r="14856" ht="14.4" customHeight="1" x14ac:dyDescent="0.3"/>
    <row r="14857" ht="14.4" customHeight="1" x14ac:dyDescent="0.3"/>
    <row r="14858" ht="14.4" customHeight="1" x14ac:dyDescent="0.3"/>
    <row r="14859" ht="14.4" customHeight="1" x14ac:dyDescent="0.3"/>
    <row r="14860" ht="14.4" customHeight="1" x14ac:dyDescent="0.3"/>
    <row r="14861" ht="14.4" customHeight="1" x14ac:dyDescent="0.3"/>
    <row r="14862" ht="14.4" customHeight="1" x14ac:dyDescent="0.3"/>
    <row r="14863" ht="14.4" customHeight="1" x14ac:dyDescent="0.3"/>
    <row r="14864" ht="14.4" customHeight="1" x14ac:dyDescent="0.3"/>
    <row r="14865" ht="14.4" customHeight="1" x14ac:dyDescent="0.3"/>
    <row r="14866" ht="14.4" customHeight="1" x14ac:dyDescent="0.3"/>
    <row r="14867" ht="14.4" customHeight="1" x14ac:dyDescent="0.3"/>
    <row r="14868" ht="14.4" customHeight="1" x14ac:dyDescent="0.3"/>
    <row r="14869" ht="14.4" customHeight="1" x14ac:dyDescent="0.3"/>
    <row r="14870" ht="14.4" customHeight="1" x14ac:dyDescent="0.3"/>
    <row r="14871" ht="14.4" customHeight="1" x14ac:dyDescent="0.3"/>
    <row r="14872" ht="14.4" customHeight="1" x14ac:dyDescent="0.3"/>
    <row r="14873" ht="14.4" customHeight="1" x14ac:dyDescent="0.3"/>
    <row r="14874" ht="14.4" customHeight="1" x14ac:dyDescent="0.3"/>
    <row r="14875" ht="14.4" customHeight="1" x14ac:dyDescent="0.3"/>
    <row r="14876" ht="14.4" customHeight="1" x14ac:dyDescent="0.3"/>
    <row r="14877" ht="14.4" customHeight="1" x14ac:dyDescent="0.3"/>
    <row r="14878" ht="14.4" customHeight="1" x14ac:dyDescent="0.3"/>
    <row r="14879" ht="14.4" customHeight="1" x14ac:dyDescent="0.3"/>
    <row r="14880" ht="14.4" customHeight="1" x14ac:dyDescent="0.3"/>
    <row r="14881" ht="14.4" customHeight="1" x14ac:dyDescent="0.3"/>
    <row r="14882" ht="14.4" customHeight="1" x14ac:dyDescent="0.3"/>
    <row r="14883" ht="14.4" customHeight="1" x14ac:dyDescent="0.3"/>
    <row r="14884" ht="14.4" customHeight="1" x14ac:dyDescent="0.3"/>
    <row r="14885" ht="14.4" customHeight="1" x14ac:dyDescent="0.3"/>
    <row r="14886" ht="14.4" customHeight="1" x14ac:dyDescent="0.3"/>
    <row r="14887" ht="14.4" customHeight="1" x14ac:dyDescent="0.3"/>
    <row r="14888" ht="14.4" customHeight="1" x14ac:dyDescent="0.3"/>
    <row r="14889" ht="14.4" customHeight="1" x14ac:dyDescent="0.3"/>
    <row r="14890" ht="14.4" customHeight="1" x14ac:dyDescent="0.3"/>
    <row r="14891" ht="14.4" customHeight="1" x14ac:dyDescent="0.3"/>
    <row r="14892" ht="14.4" customHeight="1" x14ac:dyDescent="0.3"/>
    <row r="14893" ht="14.4" customHeight="1" x14ac:dyDescent="0.3"/>
    <row r="14894" ht="14.4" customHeight="1" x14ac:dyDescent="0.3"/>
    <row r="14895" ht="14.4" customHeight="1" x14ac:dyDescent="0.3"/>
    <row r="14896" ht="14.4" customHeight="1" x14ac:dyDescent="0.3"/>
    <row r="14897" ht="14.4" customHeight="1" x14ac:dyDescent="0.3"/>
    <row r="14898" ht="14.4" customHeight="1" x14ac:dyDescent="0.3"/>
    <row r="14899" ht="14.4" customHeight="1" x14ac:dyDescent="0.3"/>
    <row r="14900" ht="14.4" customHeight="1" x14ac:dyDescent="0.3"/>
    <row r="14901" ht="14.4" customHeight="1" x14ac:dyDescent="0.3"/>
    <row r="14902" ht="14.4" customHeight="1" x14ac:dyDescent="0.3"/>
    <row r="14903" ht="14.4" customHeight="1" x14ac:dyDescent="0.3"/>
    <row r="14904" ht="14.4" customHeight="1" x14ac:dyDescent="0.3"/>
    <row r="14905" ht="14.4" customHeight="1" x14ac:dyDescent="0.3"/>
    <row r="14906" ht="14.4" customHeight="1" x14ac:dyDescent="0.3"/>
    <row r="14907" ht="14.4" customHeight="1" x14ac:dyDescent="0.3"/>
    <row r="14908" ht="14.4" customHeight="1" x14ac:dyDescent="0.3"/>
    <row r="14909" ht="14.4" customHeight="1" x14ac:dyDescent="0.3"/>
    <row r="14910" ht="14.4" customHeight="1" x14ac:dyDescent="0.3"/>
    <row r="14911" ht="14.4" customHeight="1" x14ac:dyDescent="0.3"/>
    <row r="14912" ht="14.4" customHeight="1" x14ac:dyDescent="0.3"/>
    <row r="14913" ht="14.4" customHeight="1" x14ac:dyDescent="0.3"/>
    <row r="14914" ht="14.4" customHeight="1" x14ac:dyDescent="0.3"/>
    <row r="14915" ht="14.4" customHeight="1" x14ac:dyDescent="0.3"/>
    <row r="14916" ht="14.4" customHeight="1" x14ac:dyDescent="0.3"/>
    <row r="14917" ht="14.4" customHeight="1" x14ac:dyDescent="0.3"/>
    <row r="14918" ht="14.4" customHeight="1" x14ac:dyDescent="0.3"/>
    <row r="14919" ht="14.4" customHeight="1" x14ac:dyDescent="0.3"/>
    <row r="14920" ht="14.4" customHeight="1" x14ac:dyDescent="0.3"/>
    <row r="14921" ht="14.4" customHeight="1" x14ac:dyDescent="0.3"/>
    <row r="14922" ht="14.4" customHeight="1" x14ac:dyDescent="0.3"/>
    <row r="14923" ht="14.4" customHeight="1" x14ac:dyDescent="0.3"/>
    <row r="14924" ht="14.4" customHeight="1" x14ac:dyDescent="0.3"/>
    <row r="14925" ht="14.4" customHeight="1" x14ac:dyDescent="0.3"/>
    <row r="14926" ht="14.4" customHeight="1" x14ac:dyDescent="0.3"/>
    <row r="14927" ht="14.4" customHeight="1" x14ac:dyDescent="0.3"/>
    <row r="14928" ht="14.4" customHeight="1" x14ac:dyDescent="0.3"/>
    <row r="14929" ht="14.4" customHeight="1" x14ac:dyDescent="0.3"/>
    <row r="14930" ht="14.4" customHeight="1" x14ac:dyDescent="0.3"/>
    <row r="14931" ht="14.4" customHeight="1" x14ac:dyDescent="0.3"/>
    <row r="14932" ht="14.4" customHeight="1" x14ac:dyDescent="0.3"/>
    <row r="14933" ht="14.4" customHeight="1" x14ac:dyDescent="0.3"/>
    <row r="14934" ht="14.4" customHeight="1" x14ac:dyDescent="0.3"/>
    <row r="14935" ht="14.4" customHeight="1" x14ac:dyDescent="0.3"/>
    <row r="14936" ht="14.4" customHeight="1" x14ac:dyDescent="0.3"/>
    <row r="14937" ht="14.4" customHeight="1" x14ac:dyDescent="0.3"/>
    <row r="14938" ht="14.4" customHeight="1" x14ac:dyDescent="0.3"/>
    <row r="14939" ht="14.4" customHeight="1" x14ac:dyDescent="0.3"/>
    <row r="14940" ht="14.4" customHeight="1" x14ac:dyDescent="0.3"/>
    <row r="14941" ht="14.4" customHeight="1" x14ac:dyDescent="0.3"/>
    <row r="14942" ht="14.4" customHeight="1" x14ac:dyDescent="0.3"/>
    <row r="14943" ht="14.4" customHeight="1" x14ac:dyDescent="0.3"/>
    <row r="14944" ht="14.4" customHeight="1" x14ac:dyDescent="0.3"/>
    <row r="14945" ht="14.4" customHeight="1" x14ac:dyDescent="0.3"/>
    <row r="14946" ht="14.4" customHeight="1" x14ac:dyDescent="0.3"/>
    <row r="14947" ht="14.4" customHeight="1" x14ac:dyDescent="0.3"/>
    <row r="14948" ht="14.4" customHeight="1" x14ac:dyDescent="0.3"/>
    <row r="14949" ht="14.4" customHeight="1" x14ac:dyDescent="0.3"/>
    <row r="14950" ht="14.4" customHeight="1" x14ac:dyDescent="0.3"/>
    <row r="14951" ht="14.4" customHeight="1" x14ac:dyDescent="0.3"/>
    <row r="14952" ht="14.4" customHeight="1" x14ac:dyDescent="0.3"/>
    <row r="14953" ht="14.4" customHeight="1" x14ac:dyDescent="0.3"/>
    <row r="14954" ht="14.4" customHeight="1" x14ac:dyDescent="0.3"/>
    <row r="14955" ht="14.4" customHeight="1" x14ac:dyDescent="0.3"/>
    <row r="14956" ht="14.4" customHeight="1" x14ac:dyDescent="0.3"/>
    <row r="14957" ht="14.4" customHeight="1" x14ac:dyDescent="0.3"/>
    <row r="14958" ht="14.4" customHeight="1" x14ac:dyDescent="0.3"/>
    <row r="14959" ht="14.4" customHeight="1" x14ac:dyDescent="0.3"/>
    <row r="14960" ht="14.4" customHeight="1" x14ac:dyDescent="0.3"/>
    <row r="14961" ht="14.4" customHeight="1" x14ac:dyDescent="0.3"/>
    <row r="14962" ht="14.4" customHeight="1" x14ac:dyDescent="0.3"/>
    <row r="14963" ht="14.4" customHeight="1" x14ac:dyDescent="0.3"/>
    <row r="14964" ht="14.4" customHeight="1" x14ac:dyDescent="0.3"/>
    <row r="14965" ht="14.4" customHeight="1" x14ac:dyDescent="0.3"/>
    <row r="14966" ht="14.4" customHeight="1" x14ac:dyDescent="0.3"/>
    <row r="14967" ht="14.4" customHeight="1" x14ac:dyDescent="0.3"/>
    <row r="14968" ht="14.4" customHeight="1" x14ac:dyDescent="0.3"/>
    <row r="14969" ht="14.4" customHeight="1" x14ac:dyDescent="0.3"/>
    <row r="14970" ht="14.4" customHeight="1" x14ac:dyDescent="0.3"/>
    <row r="14971" ht="14.4" customHeight="1" x14ac:dyDescent="0.3"/>
    <row r="14972" ht="14.4" customHeight="1" x14ac:dyDescent="0.3"/>
    <row r="14973" ht="14.4" customHeight="1" x14ac:dyDescent="0.3"/>
    <row r="14974" ht="14.4" customHeight="1" x14ac:dyDescent="0.3"/>
    <row r="14975" ht="14.4" customHeight="1" x14ac:dyDescent="0.3"/>
    <row r="14976" ht="14.4" customHeight="1" x14ac:dyDescent="0.3"/>
    <row r="14977" ht="14.4" customHeight="1" x14ac:dyDescent="0.3"/>
    <row r="14978" ht="14.4" customHeight="1" x14ac:dyDescent="0.3"/>
    <row r="14979" ht="14.4" customHeight="1" x14ac:dyDescent="0.3"/>
    <row r="14980" ht="14.4" customHeight="1" x14ac:dyDescent="0.3"/>
    <row r="14981" ht="14.4" customHeight="1" x14ac:dyDescent="0.3"/>
    <row r="14982" ht="14.4" customHeight="1" x14ac:dyDescent="0.3"/>
    <row r="14983" ht="14.4" customHeight="1" x14ac:dyDescent="0.3"/>
    <row r="14984" ht="14.4" customHeight="1" x14ac:dyDescent="0.3"/>
    <row r="14985" ht="14.4" customHeight="1" x14ac:dyDescent="0.3"/>
    <row r="14986" ht="14.4" customHeight="1" x14ac:dyDescent="0.3"/>
    <row r="14987" ht="14.4" customHeight="1" x14ac:dyDescent="0.3"/>
    <row r="14988" ht="14.4" customHeight="1" x14ac:dyDescent="0.3"/>
    <row r="14989" ht="14.4" customHeight="1" x14ac:dyDescent="0.3"/>
    <row r="14990" ht="14.4" customHeight="1" x14ac:dyDescent="0.3"/>
    <row r="14991" ht="14.4" customHeight="1" x14ac:dyDescent="0.3"/>
    <row r="14992" ht="14.4" customHeight="1" x14ac:dyDescent="0.3"/>
    <row r="14993" ht="14.4" customHeight="1" x14ac:dyDescent="0.3"/>
    <row r="14994" ht="14.4" customHeight="1" x14ac:dyDescent="0.3"/>
    <row r="14995" ht="14.4" customHeight="1" x14ac:dyDescent="0.3"/>
    <row r="14996" ht="14.4" customHeight="1" x14ac:dyDescent="0.3"/>
    <row r="14997" ht="14.4" customHeight="1" x14ac:dyDescent="0.3"/>
    <row r="14998" ht="14.4" customHeight="1" x14ac:dyDescent="0.3"/>
    <row r="14999" ht="14.4" customHeight="1" x14ac:dyDescent="0.3"/>
    <row r="15000" ht="14.4" customHeight="1" x14ac:dyDescent="0.3"/>
    <row r="15001" ht="14.4" customHeight="1" x14ac:dyDescent="0.3"/>
    <row r="15002" ht="14.4" customHeight="1" x14ac:dyDescent="0.3"/>
    <row r="15003" ht="14.4" customHeight="1" x14ac:dyDescent="0.3"/>
    <row r="15004" ht="14.4" customHeight="1" x14ac:dyDescent="0.3"/>
    <row r="15005" ht="14.4" customHeight="1" x14ac:dyDescent="0.3"/>
    <row r="15006" ht="14.4" customHeight="1" x14ac:dyDescent="0.3"/>
    <row r="15007" ht="14.4" customHeight="1" x14ac:dyDescent="0.3"/>
    <row r="15008" ht="14.4" customHeight="1" x14ac:dyDescent="0.3"/>
    <row r="15009" ht="14.4" customHeight="1" x14ac:dyDescent="0.3"/>
    <row r="15010" ht="14.4" customHeight="1" x14ac:dyDescent="0.3"/>
    <row r="15011" ht="14.4" customHeight="1" x14ac:dyDescent="0.3"/>
    <row r="15012" ht="14.4" customHeight="1" x14ac:dyDescent="0.3"/>
    <row r="15013" ht="14.4" customHeight="1" x14ac:dyDescent="0.3"/>
    <row r="15014" ht="14.4" customHeight="1" x14ac:dyDescent="0.3"/>
    <row r="15015" ht="14.4" customHeight="1" x14ac:dyDescent="0.3"/>
    <row r="15016" ht="14.4" customHeight="1" x14ac:dyDescent="0.3"/>
    <row r="15017" ht="14.4" customHeight="1" x14ac:dyDescent="0.3"/>
    <row r="15018" ht="14.4" customHeight="1" x14ac:dyDescent="0.3"/>
    <row r="15019" ht="14.4" customHeight="1" x14ac:dyDescent="0.3"/>
    <row r="15020" ht="14.4" customHeight="1" x14ac:dyDescent="0.3"/>
    <row r="15021" ht="14.4" customHeight="1" x14ac:dyDescent="0.3"/>
    <row r="15022" ht="14.4" customHeight="1" x14ac:dyDescent="0.3"/>
    <row r="15023" ht="14.4" customHeight="1" x14ac:dyDescent="0.3"/>
    <row r="15024" ht="14.4" customHeight="1" x14ac:dyDescent="0.3"/>
    <row r="15025" ht="14.4" customHeight="1" x14ac:dyDescent="0.3"/>
    <row r="15026" ht="14.4" customHeight="1" x14ac:dyDescent="0.3"/>
    <row r="15027" ht="14.4" customHeight="1" x14ac:dyDescent="0.3"/>
    <row r="15028" ht="14.4" customHeight="1" x14ac:dyDescent="0.3"/>
    <row r="15029" ht="14.4" customHeight="1" x14ac:dyDescent="0.3"/>
    <row r="15030" ht="14.4" customHeight="1" x14ac:dyDescent="0.3"/>
    <row r="15031" ht="14.4" customHeight="1" x14ac:dyDescent="0.3"/>
    <row r="15032" ht="14.4" customHeight="1" x14ac:dyDescent="0.3"/>
    <row r="15033" ht="14.4" customHeight="1" x14ac:dyDescent="0.3"/>
    <row r="15034" ht="14.4" customHeight="1" x14ac:dyDescent="0.3"/>
    <row r="15035" ht="14.4" customHeight="1" x14ac:dyDescent="0.3"/>
    <row r="15036" ht="14.4" customHeight="1" x14ac:dyDescent="0.3"/>
    <row r="15037" ht="14.4" customHeight="1" x14ac:dyDescent="0.3"/>
    <row r="15038" ht="14.4" customHeight="1" x14ac:dyDescent="0.3"/>
    <row r="15039" ht="14.4" customHeight="1" x14ac:dyDescent="0.3"/>
    <row r="15040" ht="14.4" customHeight="1" x14ac:dyDescent="0.3"/>
    <row r="15041" ht="14.4" customHeight="1" x14ac:dyDescent="0.3"/>
    <row r="15042" ht="14.4" customHeight="1" x14ac:dyDescent="0.3"/>
    <row r="15043" ht="14.4" customHeight="1" x14ac:dyDescent="0.3"/>
    <row r="15044" ht="14.4" customHeight="1" x14ac:dyDescent="0.3"/>
    <row r="15045" ht="14.4" customHeight="1" x14ac:dyDescent="0.3"/>
    <row r="15046" ht="14.4" customHeight="1" x14ac:dyDescent="0.3"/>
    <row r="15047" ht="14.4" customHeight="1" x14ac:dyDescent="0.3"/>
    <row r="15048" ht="14.4" customHeight="1" x14ac:dyDescent="0.3"/>
    <row r="15049" ht="14.4" customHeight="1" x14ac:dyDescent="0.3"/>
    <row r="15050" ht="14.4" customHeight="1" x14ac:dyDescent="0.3"/>
    <row r="15051" ht="14.4" customHeight="1" x14ac:dyDescent="0.3"/>
    <row r="15052" ht="14.4" customHeight="1" x14ac:dyDescent="0.3"/>
    <row r="15053" ht="14.4" customHeight="1" x14ac:dyDescent="0.3"/>
    <row r="15054" ht="14.4" customHeight="1" x14ac:dyDescent="0.3"/>
    <row r="15055" ht="14.4" customHeight="1" x14ac:dyDescent="0.3"/>
    <row r="15056" ht="14.4" customHeight="1" x14ac:dyDescent="0.3"/>
    <row r="15057" ht="14.4" customHeight="1" x14ac:dyDescent="0.3"/>
    <row r="15058" ht="14.4" customHeight="1" x14ac:dyDescent="0.3"/>
    <row r="15059" ht="14.4" customHeight="1" x14ac:dyDescent="0.3"/>
    <row r="15060" ht="14.4" customHeight="1" x14ac:dyDescent="0.3"/>
    <row r="15061" ht="14.4" customHeight="1" x14ac:dyDescent="0.3"/>
    <row r="15062" ht="14.4" customHeight="1" x14ac:dyDescent="0.3"/>
    <row r="15063" ht="14.4" customHeight="1" x14ac:dyDescent="0.3"/>
    <row r="15064" ht="14.4" customHeight="1" x14ac:dyDescent="0.3"/>
    <row r="15065" ht="14.4" customHeight="1" x14ac:dyDescent="0.3"/>
    <row r="15066" ht="14.4" customHeight="1" x14ac:dyDescent="0.3"/>
    <row r="15067" ht="14.4" customHeight="1" x14ac:dyDescent="0.3"/>
    <row r="15068" ht="14.4" customHeight="1" x14ac:dyDescent="0.3"/>
    <row r="15069" ht="14.4" customHeight="1" x14ac:dyDescent="0.3"/>
    <row r="15070" ht="14.4" customHeight="1" x14ac:dyDescent="0.3"/>
    <row r="15071" ht="14.4" customHeight="1" x14ac:dyDescent="0.3"/>
    <row r="15072" ht="14.4" customHeight="1" x14ac:dyDescent="0.3"/>
    <row r="15073" ht="14.4" customHeight="1" x14ac:dyDescent="0.3"/>
    <row r="15074" ht="14.4" customHeight="1" x14ac:dyDescent="0.3"/>
    <row r="15075" ht="14.4" customHeight="1" x14ac:dyDescent="0.3"/>
    <row r="15076" ht="14.4" customHeight="1" x14ac:dyDescent="0.3"/>
    <row r="15077" ht="14.4" customHeight="1" x14ac:dyDescent="0.3"/>
    <row r="15078" ht="14.4" customHeight="1" x14ac:dyDescent="0.3"/>
    <row r="15079" ht="14.4" customHeight="1" x14ac:dyDescent="0.3"/>
    <row r="15080" ht="14.4" customHeight="1" x14ac:dyDescent="0.3"/>
    <row r="15081" ht="14.4" customHeight="1" x14ac:dyDescent="0.3"/>
    <row r="15082" ht="14.4" customHeight="1" x14ac:dyDescent="0.3"/>
    <row r="15083" ht="14.4" customHeight="1" x14ac:dyDescent="0.3"/>
    <row r="15084" ht="14.4" customHeight="1" x14ac:dyDescent="0.3"/>
    <row r="15085" ht="14.4" customHeight="1" x14ac:dyDescent="0.3"/>
    <row r="15086" ht="14.4" customHeight="1" x14ac:dyDescent="0.3"/>
    <row r="15087" ht="14.4" customHeight="1" x14ac:dyDescent="0.3"/>
    <row r="15088" ht="14.4" customHeight="1" x14ac:dyDescent="0.3"/>
    <row r="15089" ht="14.4" customHeight="1" x14ac:dyDescent="0.3"/>
    <row r="15090" ht="14.4" customHeight="1" x14ac:dyDescent="0.3"/>
    <row r="15091" ht="14.4" customHeight="1" x14ac:dyDescent="0.3"/>
    <row r="15092" ht="14.4" customHeight="1" x14ac:dyDescent="0.3"/>
    <row r="15093" ht="14.4" customHeight="1" x14ac:dyDescent="0.3"/>
    <row r="15094" ht="14.4" customHeight="1" x14ac:dyDescent="0.3"/>
    <row r="15095" ht="14.4" customHeight="1" x14ac:dyDescent="0.3"/>
    <row r="15096" ht="14.4" customHeight="1" x14ac:dyDescent="0.3"/>
    <row r="15097" ht="14.4" customHeight="1" x14ac:dyDescent="0.3"/>
    <row r="15098" ht="14.4" customHeight="1" x14ac:dyDescent="0.3"/>
    <row r="15099" ht="14.4" customHeight="1" x14ac:dyDescent="0.3"/>
    <row r="15100" ht="14.4" customHeight="1" x14ac:dyDescent="0.3"/>
    <row r="15101" ht="14.4" customHeight="1" x14ac:dyDescent="0.3"/>
    <row r="15102" ht="14.4" customHeight="1" x14ac:dyDescent="0.3"/>
    <row r="15103" ht="14.4" customHeight="1" x14ac:dyDescent="0.3"/>
    <row r="15104" ht="14.4" customHeight="1" x14ac:dyDescent="0.3"/>
    <row r="15105" ht="14.4" customHeight="1" x14ac:dyDescent="0.3"/>
    <row r="15106" ht="14.4" customHeight="1" x14ac:dyDescent="0.3"/>
    <row r="15107" ht="14.4" customHeight="1" x14ac:dyDescent="0.3"/>
    <row r="15108" ht="14.4" customHeight="1" x14ac:dyDescent="0.3"/>
    <row r="15109" ht="14.4" customHeight="1" x14ac:dyDescent="0.3"/>
    <row r="15110" ht="14.4" customHeight="1" x14ac:dyDescent="0.3"/>
    <row r="15111" ht="14.4" customHeight="1" x14ac:dyDescent="0.3"/>
    <row r="15112" ht="14.4" customHeight="1" x14ac:dyDescent="0.3"/>
    <row r="15113" ht="14.4" customHeight="1" x14ac:dyDescent="0.3"/>
    <row r="15114" ht="14.4" customHeight="1" x14ac:dyDescent="0.3"/>
    <row r="15115" ht="14.4" customHeight="1" x14ac:dyDescent="0.3"/>
    <row r="15116" ht="14.4" customHeight="1" x14ac:dyDescent="0.3"/>
    <row r="15117" ht="14.4" customHeight="1" x14ac:dyDescent="0.3"/>
    <row r="15118" ht="14.4" customHeight="1" x14ac:dyDescent="0.3"/>
    <row r="15119" ht="14.4" customHeight="1" x14ac:dyDescent="0.3"/>
    <row r="15120" ht="14.4" customHeight="1" x14ac:dyDescent="0.3"/>
    <row r="15121" ht="14.4" customHeight="1" x14ac:dyDescent="0.3"/>
    <row r="15122" ht="14.4" customHeight="1" x14ac:dyDescent="0.3"/>
    <row r="15123" ht="14.4" customHeight="1" x14ac:dyDescent="0.3"/>
    <row r="15124" ht="14.4" customHeight="1" x14ac:dyDescent="0.3"/>
    <row r="15125" ht="14.4" customHeight="1" x14ac:dyDescent="0.3"/>
    <row r="15126" ht="14.4" customHeight="1" x14ac:dyDescent="0.3"/>
    <row r="15127" ht="14.4" customHeight="1" x14ac:dyDescent="0.3"/>
    <row r="15128" ht="14.4" customHeight="1" x14ac:dyDescent="0.3"/>
    <row r="15129" ht="14.4" customHeight="1" x14ac:dyDescent="0.3"/>
    <row r="15130" ht="14.4" customHeight="1" x14ac:dyDescent="0.3"/>
    <row r="15131" ht="14.4" customHeight="1" x14ac:dyDescent="0.3"/>
    <row r="15132" ht="14.4" customHeight="1" x14ac:dyDescent="0.3"/>
    <row r="15133" ht="14.4" customHeight="1" x14ac:dyDescent="0.3"/>
    <row r="15134" ht="14.4" customHeight="1" x14ac:dyDescent="0.3"/>
    <row r="15135" ht="14.4" customHeight="1" x14ac:dyDescent="0.3"/>
    <row r="15136" ht="14.4" customHeight="1" x14ac:dyDescent="0.3"/>
    <row r="15137" ht="14.4" customHeight="1" x14ac:dyDescent="0.3"/>
    <row r="15138" ht="14.4" customHeight="1" x14ac:dyDescent="0.3"/>
    <row r="15139" ht="14.4" customHeight="1" x14ac:dyDescent="0.3"/>
    <row r="15140" ht="14.4" customHeight="1" x14ac:dyDescent="0.3"/>
    <row r="15141" ht="14.4" customHeight="1" x14ac:dyDescent="0.3"/>
    <row r="15142" ht="14.4" customHeight="1" x14ac:dyDescent="0.3"/>
    <row r="15143" ht="14.4" customHeight="1" x14ac:dyDescent="0.3"/>
    <row r="15144" ht="14.4" customHeight="1" x14ac:dyDescent="0.3"/>
    <row r="15145" ht="14.4" customHeight="1" x14ac:dyDescent="0.3"/>
    <row r="15146" ht="14.4" customHeight="1" x14ac:dyDescent="0.3"/>
    <row r="15147" ht="14.4" customHeight="1" x14ac:dyDescent="0.3"/>
    <row r="15148" ht="14.4" customHeight="1" x14ac:dyDescent="0.3"/>
    <row r="15149" ht="14.4" customHeight="1" x14ac:dyDescent="0.3"/>
    <row r="15150" ht="14.4" customHeight="1" x14ac:dyDescent="0.3"/>
    <row r="15151" ht="14.4" customHeight="1" x14ac:dyDescent="0.3"/>
    <row r="15152" ht="14.4" customHeight="1" x14ac:dyDescent="0.3"/>
    <row r="15153" ht="14.4" customHeight="1" x14ac:dyDescent="0.3"/>
    <row r="15154" ht="14.4" customHeight="1" x14ac:dyDescent="0.3"/>
    <row r="15155" ht="14.4" customHeight="1" x14ac:dyDescent="0.3"/>
    <row r="15156" ht="14.4" customHeight="1" x14ac:dyDescent="0.3"/>
    <row r="15157" ht="14.4" customHeight="1" x14ac:dyDescent="0.3"/>
    <row r="15158" ht="14.4" customHeight="1" x14ac:dyDescent="0.3"/>
    <row r="15159" ht="14.4" customHeight="1" x14ac:dyDescent="0.3"/>
    <row r="15160" ht="14.4" customHeight="1" x14ac:dyDescent="0.3"/>
    <row r="15161" ht="14.4" customHeight="1" x14ac:dyDescent="0.3"/>
    <row r="15162" ht="14.4" customHeight="1" x14ac:dyDescent="0.3"/>
    <row r="15163" ht="14.4" customHeight="1" x14ac:dyDescent="0.3"/>
    <row r="15164" ht="14.4" customHeight="1" x14ac:dyDescent="0.3"/>
    <row r="15165" ht="14.4" customHeight="1" x14ac:dyDescent="0.3"/>
    <row r="15166" ht="14.4" customHeight="1" x14ac:dyDescent="0.3"/>
    <row r="15167" ht="14.4" customHeight="1" x14ac:dyDescent="0.3"/>
    <row r="15168" ht="14.4" customHeight="1" x14ac:dyDescent="0.3"/>
    <row r="15169" ht="14.4" customHeight="1" x14ac:dyDescent="0.3"/>
    <row r="15170" ht="14.4" customHeight="1" x14ac:dyDescent="0.3"/>
    <row r="15171" ht="14.4" customHeight="1" x14ac:dyDescent="0.3"/>
    <row r="15172" ht="14.4" customHeight="1" x14ac:dyDescent="0.3"/>
    <row r="15173" ht="14.4" customHeight="1" x14ac:dyDescent="0.3"/>
    <row r="15174" ht="14.4" customHeight="1" x14ac:dyDescent="0.3"/>
    <row r="15175" ht="14.4" customHeight="1" x14ac:dyDescent="0.3"/>
    <row r="15176" ht="14.4" customHeight="1" x14ac:dyDescent="0.3"/>
    <row r="15177" ht="14.4" customHeight="1" x14ac:dyDescent="0.3"/>
    <row r="15178" ht="14.4" customHeight="1" x14ac:dyDescent="0.3"/>
    <row r="15179" ht="14.4" customHeight="1" x14ac:dyDescent="0.3"/>
    <row r="15180" ht="14.4" customHeight="1" x14ac:dyDescent="0.3"/>
    <row r="15181" ht="14.4" customHeight="1" x14ac:dyDescent="0.3"/>
    <row r="15182" ht="14.4" customHeight="1" x14ac:dyDescent="0.3"/>
    <row r="15183" ht="14.4" customHeight="1" x14ac:dyDescent="0.3"/>
    <row r="15184" ht="14.4" customHeight="1" x14ac:dyDescent="0.3"/>
    <row r="15185" ht="14.4" customHeight="1" x14ac:dyDescent="0.3"/>
    <row r="15186" ht="14.4" customHeight="1" x14ac:dyDescent="0.3"/>
    <row r="15187" ht="14.4" customHeight="1" x14ac:dyDescent="0.3"/>
    <row r="15188" ht="14.4" customHeight="1" x14ac:dyDescent="0.3"/>
    <row r="15189" ht="14.4" customHeight="1" x14ac:dyDescent="0.3"/>
    <row r="15190" ht="14.4" customHeight="1" x14ac:dyDescent="0.3"/>
    <row r="15191" ht="14.4" customHeight="1" x14ac:dyDescent="0.3"/>
    <row r="15192" ht="14.4" customHeight="1" x14ac:dyDescent="0.3"/>
    <row r="15193" ht="14.4" customHeight="1" x14ac:dyDescent="0.3"/>
    <row r="15194" ht="14.4" customHeight="1" x14ac:dyDescent="0.3"/>
    <row r="15195" ht="14.4" customHeight="1" x14ac:dyDescent="0.3"/>
    <row r="15196" ht="14.4" customHeight="1" x14ac:dyDescent="0.3"/>
    <row r="15197" ht="14.4" customHeight="1" x14ac:dyDescent="0.3"/>
    <row r="15198" ht="14.4" customHeight="1" x14ac:dyDescent="0.3"/>
    <row r="15199" ht="14.4" customHeight="1" x14ac:dyDescent="0.3"/>
    <row r="15200" ht="14.4" customHeight="1" x14ac:dyDescent="0.3"/>
    <row r="15201" ht="14.4" customHeight="1" x14ac:dyDescent="0.3"/>
    <row r="15202" ht="14.4" customHeight="1" x14ac:dyDescent="0.3"/>
    <row r="15203" ht="14.4" customHeight="1" x14ac:dyDescent="0.3"/>
    <row r="15204" ht="14.4" customHeight="1" x14ac:dyDescent="0.3"/>
    <row r="15205" ht="14.4" customHeight="1" x14ac:dyDescent="0.3"/>
    <row r="15206" ht="14.4" customHeight="1" x14ac:dyDescent="0.3"/>
    <row r="15207" ht="14.4" customHeight="1" x14ac:dyDescent="0.3"/>
    <row r="15208" ht="14.4" customHeight="1" x14ac:dyDescent="0.3"/>
    <row r="15209" ht="14.4" customHeight="1" x14ac:dyDescent="0.3"/>
    <row r="15210" ht="14.4" customHeight="1" x14ac:dyDescent="0.3"/>
    <row r="15211" ht="14.4" customHeight="1" x14ac:dyDescent="0.3"/>
    <row r="15212" ht="14.4" customHeight="1" x14ac:dyDescent="0.3"/>
    <row r="15213" ht="14.4" customHeight="1" x14ac:dyDescent="0.3"/>
    <row r="15214" ht="14.4" customHeight="1" x14ac:dyDescent="0.3"/>
    <row r="15215" ht="14.4" customHeight="1" x14ac:dyDescent="0.3"/>
    <row r="15216" ht="14.4" customHeight="1" x14ac:dyDescent="0.3"/>
    <row r="15217" ht="14.4" customHeight="1" x14ac:dyDescent="0.3"/>
    <row r="15218" ht="14.4" customHeight="1" x14ac:dyDescent="0.3"/>
    <row r="15219" ht="14.4" customHeight="1" x14ac:dyDescent="0.3"/>
    <row r="15220" ht="14.4" customHeight="1" x14ac:dyDescent="0.3"/>
    <row r="15221" ht="14.4" customHeight="1" x14ac:dyDescent="0.3"/>
    <row r="15222" ht="14.4" customHeight="1" x14ac:dyDescent="0.3"/>
    <row r="15223" ht="14.4" customHeight="1" x14ac:dyDescent="0.3"/>
    <row r="15224" ht="14.4" customHeight="1" x14ac:dyDescent="0.3"/>
    <row r="15225" ht="14.4" customHeight="1" x14ac:dyDescent="0.3"/>
    <row r="15226" ht="14.4" customHeight="1" x14ac:dyDescent="0.3"/>
    <row r="15227" ht="14.4" customHeight="1" x14ac:dyDescent="0.3"/>
    <row r="15228" ht="14.4" customHeight="1" x14ac:dyDescent="0.3"/>
    <row r="15229" ht="14.4" customHeight="1" x14ac:dyDescent="0.3"/>
    <row r="15230" ht="14.4" customHeight="1" x14ac:dyDescent="0.3"/>
    <row r="15231" ht="14.4" customHeight="1" x14ac:dyDescent="0.3"/>
    <row r="15232" ht="14.4" customHeight="1" x14ac:dyDescent="0.3"/>
    <row r="15233" ht="14.4" customHeight="1" x14ac:dyDescent="0.3"/>
    <row r="15234" ht="14.4" customHeight="1" x14ac:dyDescent="0.3"/>
    <row r="15235" ht="14.4" customHeight="1" x14ac:dyDescent="0.3"/>
    <row r="15236" ht="14.4" customHeight="1" x14ac:dyDescent="0.3"/>
    <row r="15237" ht="14.4" customHeight="1" x14ac:dyDescent="0.3"/>
    <row r="15238" ht="14.4" customHeight="1" x14ac:dyDescent="0.3"/>
    <row r="15239" ht="14.4" customHeight="1" x14ac:dyDescent="0.3"/>
    <row r="15240" ht="14.4" customHeight="1" x14ac:dyDescent="0.3"/>
    <row r="15241" ht="14.4" customHeight="1" x14ac:dyDescent="0.3"/>
    <row r="15242" ht="14.4" customHeight="1" x14ac:dyDescent="0.3"/>
    <row r="15243" ht="14.4" customHeight="1" x14ac:dyDescent="0.3"/>
    <row r="15244" ht="14.4" customHeight="1" x14ac:dyDescent="0.3"/>
    <row r="15245" ht="14.4" customHeight="1" x14ac:dyDescent="0.3"/>
    <row r="15246" ht="14.4" customHeight="1" x14ac:dyDescent="0.3"/>
    <row r="15247" ht="14.4" customHeight="1" x14ac:dyDescent="0.3"/>
    <row r="15248" ht="14.4" customHeight="1" x14ac:dyDescent="0.3"/>
    <row r="15249" ht="14.4" customHeight="1" x14ac:dyDescent="0.3"/>
    <row r="15250" ht="14.4" customHeight="1" x14ac:dyDescent="0.3"/>
    <row r="15251" ht="14.4" customHeight="1" x14ac:dyDescent="0.3"/>
    <row r="15252" ht="14.4" customHeight="1" x14ac:dyDescent="0.3"/>
    <row r="15253" ht="14.4" customHeight="1" x14ac:dyDescent="0.3"/>
    <row r="15254" ht="14.4" customHeight="1" x14ac:dyDescent="0.3"/>
    <row r="15255" ht="14.4" customHeight="1" x14ac:dyDescent="0.3"/>
    <row r="15256" ht="14.4" customHeight="1" x14ac:dyDescent="0.3"/>
    <row r="15257" ht="14.4" customHeight="1" x14ac:dyDescent="0.3"/>
    <row r="15258" ht="14.4" customHeight="1" x14ac:dyDescent="0.3"/>
    <row r="15259" ht="14.4" customHeight="1" x14ac:dyDescent="0.3"/>
    <row r="15260" ht="14.4" customHeight="1" x14ac:dyDescent="0.3"/>
    <row r="15261" ht="14.4" customHeight="1" x14ac:dyDescent="0.3"/>
    <row r="15262" ht="14.4" customHeight="1" x14ac:dyDescent="0.3"/>
    <row r="15263" ht="14.4" customHeight="1" x14ac:dyDescent="0.3"/>
    <row r="15264" ht="14.4" customHeight="1" x14ac:dyDescent="0.3"/>
    <row r="15265" ht="14.4" customHeight="1" x14ac:dyDescent="0.3"/>
    <row r="15266" ht="14.4" customHeight="1" x14ac:dyDescent="0.3"/>
    <row r="15267" ht="14.4" customHeight="1" x14ac:dyDescent="0.3"/>
    <row r="15268" ht="14.4" customHeight="1" x14ac:dyDescent="0.3"/>
    <row r="15269" ht="14.4" customHeight="1" x14ac:dyDescent="0.3"/>
    <row r="15270" ht="14.4" customHeight="1" x14ac:dyDescent="0.3"/>
    <row r="15271" ht="14.4" customHeight="1" x14ac:dyDescent="0.3"/>
    <row r="15272" ht="14.4" customHeight="1" x14ac:dyDescent="0.3"/>
    <row r="15273" ht="14.4" customHeight="1" x14ac:dyDescent="0.3"/>
    <row r="15274" ht="14.4" customHeight="1" x14ac:dyDescent="0.3"/>
    <row r="15275" ht="14.4" customHeight="1" x14ac:dyDescent="0.3"/>
    <row r="15276" ht="14.4" customHeight="1" x14ac:dyDescent="0.3"/>
    <row r="15277" ht="14.4" customHeight="1" x14ac:dyDescent="0.3"/>
    <row r="15278" ht="14.4" customHeight="1" x14ac:dyDescent="0.3"/>
    <row r="15279" ht="14.4" customHeight="1" x14ac:dyDescent="0.3"/>
    <row r="15280" ht="14.4" customHeight="1" x14ac:dyDescent="0.3"/>
    <row r="15281" ht="14.4" customHeight="1" x14ac:dyDescent="0.3"/>
    <row r="15282" ht="14.4" customHeight="1" x14ac:dyDescent="0.3"/>
    <row r="15283" ht="14.4" customHeight="1" x14ac:dyDescent="0.3"/>
    <row r="15284" ht="14.4" customHeight="1" x14ac:dyDescent="0.3"/>
    <row r="15285" ht="14.4" customHeight="1" x14ac:dyDescent="0.3"/>
    <row r="15286" ht="14.4" customHeight="1" x14ac:dyDescent="0.3"/>
    <row r="15287" ht="14.4" customHeight="1" x14ac:dyDescent="0.3"/>
    <row r="15288" ht="14.4" customHeight="1" x14ac:dyDescent="0.3"/>
    <row r="15289" ht="14.4" customHeight="1" x14ac:dyDescent="0.3"/>
    <row r="15290" ht="14.4" customHeight="1" x14ac:dyDescent="0.3"/>
    <row r="15291" ht="14.4" customHeight="1" x14ac:dyDescent="0.3"/>
    <row r="15292" ht="14.4" customHeight="1" x14ac:dyDescent="0.3"/>
    <row r="15293" ht="14.4" customHeight="1" x14ac:dyDescent="0.3"/>
    <row r="15294" ht="14.4" customHeight="1" x14ac:dyDescent="0.3"/>
    <row r="15295" ht="14.4" customHeight="1" x14ac:dyDescent="0.3"/>
    <row r="15296" ht="14.4" customHeight="1" x14ac:dyDescent="0.3"/>
    <row r="15297" ht="14.4" customHeight="1" x14ac:dyDescent="0.3"/>
    <row r="15298" ht="14.4" customHeight="1" x14ac:dyDescent="0.3"/>
    <row r="15299" ht="14.4" customHeight="1" x14ac:dyDescent="0.3"/>
    <row r="15300" ht="14.4" customHeight="1" x14ac:dyDescent="0.3"/>
    <row r="15301" ht="14.4" customHeight="1" x14ac:dyDescent="0.3"/>
    <row r="15302" ht="14.4" customHeight="1" x14ac:dyDescent="0.3"/>
    <row r="15303" ht="14.4" customHeight="1" x14ac:dyDescent="0.3"/>
    <row r="15304" ht="14.4" customHeight="1" x14ac:dyDescent="0.3"/>
    <row r="15305" ht="14.4" customHeight="1" x14ac:dyDescent="0.3"/>
    <row r="15306" ht="14.4" customHeight="1" x14ac:dyDescent="0.3"/>
    <row r="15307" ht="14.4" customHeight="1" x14ac:dyDescent="0.3"/>
    <row r="15308" ht="14.4" customHeight="1" x14ac:dyDescent="0.3"/>
    <row r="15309" ht="14.4" customHeight="1" x14ac:dyDescent="0.3"/>
    <row r="15310" ht="14.4" customHeight="1" x14ac:dyDescent="0.3"/>
    <row r="15311" ht="14.4" customHeight="1" x14ac:dyDescent="0.3"/>
    <row r="15312" ht="14.4" customHeight="1" x14ac:dyDescent="0.3"/>
    <row r="15313" ht="14.4" customHeight="1" x14ac:dyDescent="0.3"/>
    <row r="15314" ht="14.4" customHeight="1" x14ac:dyDescent="0.3"/>
    <row r="15315" ht="14.4" customHeight="1" x14ac:dyDescent="0.3"/>
    <row r="15316" ht="14.4" customHeight="1" x14ac:dyDescent="0.3"/>
    <row r="15317" ht="14.4" customHeight="1" x14ac:dyDescent="0.3"/>
    <row r="15318" ht="14.4" customHeight="1" x14ac:dyDescent="0.3"/>
    <row r="15319" ht="14.4" customHeight="1" x14ac:dyDescent="0.3"/>
    <row r="15320" ht="14.4" customHeight="1" x14ac:dyDescent="0.3"/>
    <row r="15321" ht="14.4" customHeight="1" x14ac:dyDescent="0.3"/>
    <row r="15322" ht="14.4" customHeight="1" x14ac:dyDescent="0.3"/>
    <row r="15323" ht="14.4" customHeight="1" x14ac:dyDescent="0.3"/>
    <row r="15324" ht="14.4" customHeight="1" x14ac:dyDescent="0.3"/>
    <row r="15325" ht="14.4" customHeight="1" x14ac:dyDescent="0.3"/>
    <row r="15326" ht="14.4" customHeight="1" x14ac:dyDescent="0.3"/>
    <row r="15327" ht="14.4" customHeight="1" x14ac:dyDescent="0.3"/>
    <row r="15328" ht="14.4" customHeight="1" x14ac:dyDescent="0.3"/>
    <row r="15329" ht="14.4" customHeight="1" x14ac:dyDescent="0.3"/>
    <row r="15330" ht="14.4" customHeight="1" x14ac:dyDescent="0.3"/>
    <row r="15331" ht="14.4" customHeight="1" x14ac:dyDescent="0.3"/>
    <row r="15332" ht="14.4" customHeight="1" x14ac:dyDescent="0.3"/>
    <row r="15333" ht="14.4" customHeight="1" x14ac:dyDescent="0.3"/>
    <row r="15334" ht="14.4" customHeight="1" x14ac:dyDescent="0.3"/>
    <row r="15335" ht="14.4" customHeight="1" x14ac:dyDescent="0.3"/>
    <row r="15336" ht="14.4" customHeight="1" x14ac:dyDescent="0.3"/>
    <row r="15337" ht="14.4" customHeight="1" x14ac:dyDescent="0.3"/>
    <row r="15338" ht="14.4" customHeight="1" x14ac:dyDescent="0.3"/>
    <row r="15339" ht="14.4" customHeight="1" x14ac:dyDescent="0.3"/>
    <row r="15340" ht="14.4" customHeight="1" x14ac:dyDescent="0.3"/>
    <row r="15341" ht="14.4" customHeight="1" x14ac:dyDescent="0.3"/>
    <row r="15342" ht="14.4" customHeight="1" x14ac:dyDescent="0.3"/>
    <row r="15343" ht="14.4" customHeight="1" x14ac:dyDescent="0.3"/>
    <row r="15344" ht="14.4" customHeight="1" x14ac:dyDescent="0.3"/>
    <row r="15345" ht="14.4" customHeight="1" x14ac:dyDescent="0.3"/>
    <row r="15346" ht="14.4" customHeight="1" x14ac:dyDescent="0.3"/>
    <row r="15347" ht="14.4" customHeight="1" x14ac:dyDescent="0.3"/>
    <row r="15348" ht="14.4" customHeight="1" x14ac:dyDescent="0.3"/>
    <row r="15349" ht="14.4" customHeight="1" x14ac:dyDescent="0.3"/>
    <row r="15350" ht="14.4" customHeight="1" x14ac:dyDescent="0.3"/>
    <row r="15351" ht="14.4" customHeight="1" x14ac:dyDescent="0.3"/>
    <row r="15352" ht="14.4" customHeight="1" x14ac:dyDescent="0.3"/>
    <row r="15353" ht="14.4" customHeight="1" x14ac:dyDescent="0.3"/>
    <row r="15354" ht="14.4" customHeight="1" x14ac:dyDescent="0.3"/>
    <row r="15355" ht="14.4" customHeight="1" x14ac:dyDescent="0.3"/>
    <row r="15356" ht="14.4" customHeight="1" x14ac:dyDescent="0.3"/>
    <row r="15357" ht="14.4" customHeight="1" x14ac:dyDescent="0.3"/>
    <row r="15358" ht="14.4" customHeight="1" x14ac:dyDescent="0.3"/>
    <row r="15359" ht="14.4" customHeight="1" x14ac:dyDescent="0.3"/>
    <row r="15360" ht="14.4" customHeight="1" x14ac:dyDescent="0.3"/>
    <row r="15361" ht="14.4" customHeight="1" x14ac:dyDescent="0.3"/>
    <row r="15362" ht="14.4" customHeight="1" x14ac:dyDescent="0.3"/>
    <row r="15363" ht="14.4" customHeight="1" x14ac:dyDescent="0.3"/>
    <row r="15364" ht="14.4" customHeight="1" x14ac:dyDescent="0.3"/>
    <row r="15365" ht="14.4" customHeight="1" x14ac:dyDescent="0.3"/>
    <row r="15366" ht="14.4" customHeight="1" x14ac:dyDescent="0.3"/>
    <row r="15367" ht="14.4" customHeight="1" x14ac:dyDescent="0.3"/>
    <row r="15368" ht="14.4" customHeight="1" x14ac:dyDescent="0.3"/>
    <row r="15369" ht="14.4" customHeight="1" x14ac:dyDescent="0.3"/>
    <row r="15370" ht="14.4" customHeight="1" x14ac:dyDescent="0.3"/>
    <row r="15371" ht="14.4" customHeight="1" x14ac:dyDescent="0.3"/>
    <row r="15372" ht="14.4" customHeight="1" x14ac:dyDescent="0.3"/>
    <row r="15373" ht="14.4" customHeight="1" x14ac:dyDescent="0.3"/>
    <row r="15374" ht="14.4" customHeight="1" x14ac:dyDescent="0.3"/>
    <row r="15375" ht="14.4" customHeight="1" x14ac:dyDescent="0.3"/>
    <row r="15376" ht="14.4" customHeight="1" x14ac:dyDescent="0.3"/>
    <row r="15377" ht="14.4" customHeight="1" x14ac:dyDescent="0.3"/>
    <row r="15378" ht="14.4" customHeight="1" x14ac:dyDescent="0.3"/>
    <row r="15379" ht="14.4" customHeight="1" x14ac:dyDescent="0.3"/>
    <row r="15380" ht="14.4" customHeight="1" x14ac:dyDescent="0.3"/>
    <row r="15381" ht="14.4" customHeight="1" x14ac:dyDescent="0.3"/>
    <row r="15382" ht="14.4" customHeight="1" x14ac:dyDescent="0.3"/>
    <row r="15383" ht="14.4" customHeight="1" x14ac:dyDescent="0.3"/>
    <row r="15384" ht="14.4" customHeight="1" x14ac:dyDescent="0.3"/>
    <row r="15385" ht="14.4" customHeight="1" x14ac:dyDescent="0.3"/>
    <row r="15386" ht="14.4" customHeight="1" x14ac:dyDescent="0.3"/>
    <row r="15387" ht="14.4" customHeight="1" x14ac:dyDescent="0.3"/>
    <row r="15388" ht="14.4" customHeight="1" x14ac:dyDescent="0.3"/>
    <row r="15389" ht="14.4" customHeight="1" x14ac:dyDescent="0.3"/>
    <row r="15390" ht="14.4" customHeight="1" x14ac:dyDescent="0.3"/>
    <row r="15391" ht="14.4" customHeight="1" x14ac:dyDescent="0.3"/>
    <row r="15392" ht="14.4" customHeight="1" x14ac:dyDescent="0.3"/>
    <row r="15393" ht="14.4" customHeight="1" x14ac:dyDescent="0.3"/>
    <row r="15394" ht="14.4" customHeight="1" x14ac:dyDescent="0.3"/>
    <row r="15395" ht="14.4" customHeight="1" x14ac:dyDescent="0.3"/>
    <row r="15396" ht="14.4" customHeight="1" x14ac:dyDescent="0.3"/>
    <row r="15397" ht="14.4" customHeight="1" x14ac:dyDescent="0.3"/>
    <row r="15398" ht="14.4" customHeight="1" x14ac:dyDescent="0.3"/>
    <row r="15399" ht="14.4" customHeight="1" x14ac:dyDescent="0.3"/>
    <row r="15400" ht="14.4" customHeight="1" x14ac:dyDescent="0.3"/>
    <row r="15401" ht="14.4" customHeight="1" x14ac:dyDescent="0.3"/>
    <row r="15402" ht="14.4" customHeight="1" x14ac:dyDescent="0.3"/>
    <row r="15403" ht="14.4" customHeight="1" x14ac:dyDescent="0.3"/>
    <row r="15404" ht="14.4" customHeight="1" x14ac:dyDescent="0.3"/>
    <row r="15405" ht="14.4" customHeight="1" x14ac:dyDescent="0.3"/>
    <row r="15406" ht="14.4" customHeight="1" x14ac:dyDescent="0.3"/>
    <row r="15407" ht="14.4" customHeight="1" x14ac:dyDescent="0.3"/>
    <row r="15408" ht="14.4" customHeight="1" x14ac:dyDescent="0.3"/>
    <row r="15409" ht="14.4" customHeight="1" x14ac:dyDescent="0.3"/>
    <row r="15410" ht="14.4" customHeight="1" x14ac:dyDescent="0.3"/>
    <row r="15411" ht="14.4" customHeight="1" x14ac:dyDescent="0.3"/>
    <row r="15412" ht="14.4" customHeight="1" x14ac:dyDescent="0.3"/>
    <row r="15413" ht="14.4" customHeight="1" x14ac:dyDescent="0.3"/>
    <row r="15414" ht="14.4" customHeight="1" x14ac:dyDescent="0.3"/>
    <row r="15415" ht="14.4" customHeight="1" x14ac:dyDescent="0.3"/>
    <row r="15416" ht="14.4" customHeight="1" x14ac:dyDescent="0.3"/>
    <row r="15417" ht="14.4" customHeight="1" x14ac:dyDescent="0.3"/>
    <row r="15418" ht="14.4" customHeight="1" x14ac:dyDescent="0.3"/>
    <row r="15419" ht="14.4" customHeight="1" x14ac:dyDescent="0.3"/>
    <row r="15420" ht="14.4" customHeight="1" x14ac:dyDescent="0.3"/>
    <row r="15421" ht="14.4" customHeight="1" x14ac:dyDescent="0.3"/>
    <row r="15422" ht="14.4" customHeight="1" x14ac:dyDescent="0.3"/>
    <row r="15423" ht="14.4" customHeight="1" x14ac:dyDescent="0.3"/>
    <row r="15424" ht="14.4" customHeight="1" x14ac:dyDescent="0.3"/>
    <row r="15425" ht="14.4" customHeight="1" x14ac:dyDescent="0.3"/>
    <row r="15426" ht="14.4" customHeight="1" x14ac:dyDescent="0.3"/>
    <row r="15427" ht="14.4" customHeight="1" x14ac:dyDescent="0.3"/>
    <row r="15428" ht="14.4" customHeight="1" x14ac:dyDescent="0.3"/>
    <row r="15429" ht="14.4" customHeight="1" x14ac:dyDescent="0.3"/>
    <row r="15430" ht="14.4" customHeight="1" x14ac:dyDescent="0.3"/>
    <row r="15431" ht="14.4" customHeight="1" x14ac:dyDescent="0.3"/>
    <row r="15432" ht="14.4" customHeight="1" x14ac:dyDescent="0.3"/>
    <row r="15433" ht="14.4" customHeight="1" x14ac:dyDescent="0.3"/>
    <row r="15434" ht="14.4" customHeight="1" x14ac:dyDescent="0.3"/>
    <row r="15435" ht="14.4" customHeight="1" x14ac:dyDescent="0.3"/>
    <row r="15436" ht="14.4" customHeight="1" x14ac:dyDescent="0.3"/>
    <row r="15437" ht="14.4" customHeight="1" x14ac:dyDescent="0.3"/>
    <row r="15438" ht="14.4" customHeight="1" x14ac:dyDescent="0.3"/>
    <row r="15439" ht="14.4" customHeight="1" x14ac:dyDescent="0.3"/>
    <row r="15440" ht="14.4" customHeight="1" x14ac:dyDescent="0.3"/>
    <row r="15441" ht="14.4" customHeight="1" x14ac:dyDescent="0.3"/>
    <row r="15442" ht="14.4" customHeight="1" x14ac:dyDescent="0.3"/>
    <row r="15443" ht="14.4" customHeight="1" x14ac:dyDescent="0.3"/>
    <row r="15444" ht="14.4" customHeight="1" x14ac:dyDescent="0.3"/>
    <row r="15445" ht="14.4" customHeight="1" x14ac:dyDescent="0.3"/>
    <row r="15446" ht="14.4" customHeight="1" x14ac:dyDescent="0.3"/>
    <row r="15447" ht="14.4" customHeight="1" x14ac:dyDescent="0.3"/>
    <row r="15448" ht="14.4" customHeight="1" x14ac:dyDescent="0.3"/>
    <row r="15449" ht="14.4" customHeight="1" x14ac:dyDescent="0.3"/>
    <row r="15450" ht="14.4" customHeight="1" x14ac:dyDescent="0.3"/>
    <row r="15451" ht="14.4" customHeight="1" x14ac:dyDescent="0.3"/>
    <row r="15452" ht="14.4" customHeight="1" x14ac:dyDescent="0.3"/>
    <row r="15453" ht="14.4" customHeight="1" x14ac:dyDescent="0.3"/>
    <row r="15454" ht="14.4" customHeight="1" x14ac:dyDescent="0.3"/>
    <row r="15455" ht="14.4" customHeight="1" x14ac:dyDescent="0.3"/>
    <row r="15456" ht="14.4" customHeight="1" x14ac:dyDescent="0.3"/>
    <row r="15457" ht="14.4" customHeight="1" x14ac:dyDescent="0.3"/>
    <row r="15458" ht="14.4" customHeight="1" x14ac:dyDescent="0.3"/>
    <row r="15459" ht="14.4" customHeight="1" x14ac:dyDescent="0.3"/>
    <row r="15460" ht="14.4" customHeight="1" x14ac:dyDescent="0.3"/>
    <row r="15461" ht="14.4" customHeight="1" x14ac:dyDescent="0.3"/>
    <row r="15462" ht="14.4" customHeight="1" x14ac:dyDescent="0.3"/>
    <row r="15463" ht="14.4" customHeight="1" x14ac:dyDescent="0.3"/>
    <row r="15464" ht="14.4" customHeight="1" x14ac:dyDescent="0.3"/>
    <row r="15465" ht="14.4" customHeight="1" x14ac:dyDescent="0.3"/>
    <row r="15466" ht="14.4" customHeight="1" x14ac:dyDescent="0.3"/>
    <row r="15467" ht="14.4" customHeight="1" x14ac:dyDescent="0.3"/>
    <row r="15468" ht="14.4" customHeight="1" x14ac:dyDescent="0.3"/>
    <row r="15469" ht="14.4" customHeight="1" x14ac:dyDescent="0.3"/>
    <row r="15470" ht="14.4" customHeight="1" x14ac:dyDescent="0.3"/>
    <row r="15471" ht="14.4" customHeight="1" x14ac:dyDescent="0.3"/>
    <row r="15472" ht="14.4" customHeight="1" x14ac:dyDescent="0.3"/>
    <row r="15473" ht="14.4" customHeight="1" x14ac:dyDescent="0.3"/>
    <row r="15474" ht="14.4" customHeight="1" x14ac:dyDescent="0.3"/>
    <row r="15475" ht="14.4" customHeight="1" x14ac:dyDescent="0.3"/>
    <row r="15476" ht="14.4" customHeight="1" x14ac:dyDescent="0.3"/>
    <row r="15477" ht="14.4" customHeight="1" x14ac:dyDescent="0.3"/>
    <row r="15478" ht="14.4" customHeight="1" x14ac:dyDescent="0.3"/>
    <row r="15479" ht="14.4" customHeight="1" x14ac:dyDescent="0.3"/>
    <row r="15480" ht="14.4" customHeight="1" x14ac:dyDescent="0.3"/>
    <row r="15481" ht="14.4" customHeight="1" x14ac:dyDescent="0.3"/>
    <row r="15482" ht="14.4" customHeight="1" x14ac:dyDescent="0.3"/>
    <row r="15483" ht="14.4" customHeight="1" x14ac:dyDescent="0.3"/>
    <row r="15484" ht="14.4" customHeight="1" x14ac:dyDescent="0.3"/>
    <row r="15485" ht="14.4" customHeight="1" x14ac:dyDescent="0.3"/>
    <row r="15486" ht="14.4" customHeight="1" x14ac:dyDescent="0.3"/>
    <row r="15487" ht="14.4" customHeight="1" x14ac:dyDescent="0.3"/>
    <row r="15488" ht="14.4" customHeight="1" x14ac:dyDescent="0.3"/>
    <row r="15489" ht="14.4" customHeight="1" x14ac:dyDescent="0.3"/>
    <row r="15490" ht="14.4" customHeight="1" x14ac:dyDescent="0.3"/>
    <row r="15491" ht="14.4" customHeight="1" x14ac:dyDescent="0.3"/>
    <row r="15492" ht="14.4" customHeight="1" x14ac:dyDescent="0.3"/>
    <row r="15493" ht="14.4" customHeight="1" x14ac:dyDescent="0.3"/>
    <row r="15494" ht="14.4" customHeight="1" x14ac:dyDescent="0.3"/>
    <row r="15495" ht="14.4" customHeight="1" x14ac:dyDescent="0.3"/>
    <row r="15496" ht="14.4" customHeight="1" x14ac:dyDescent="0.3"/>
    <row r="15497" ht="14.4" customHeight="1" x14ac:dyDescent="0.3"/>
    <row r="15498" ht="14.4" customHeight="1" x14ac:dyDescent="0.3"/>
    <row r="15499" ht="14.4" customHeight="1" x14ac:dyDescent="0.3"/>
    <row r="15500" ht="14.4" customHeight="1" x14ac:dyDescent="0.3"/>
    <row r="15501" ht="14.4" customHeight="1" x14ac:dyDescent="0.3"/>
    <row r="15502" ht="14.4" customHeight="1" x14ac:dyDescent="0.3"/>
    <row r="15503" ht="14.4" customHeight="1" x14ac:dyDescent="0.3"/>
    <row r="15504" ht="14.4" customHeight="1" x14ac:dyDescent="0.3"/>
    <row r="15505" ht="14.4" customHeight="1" x14ac:dyDescent="0.3"/>
    <row r="15506" ht="14.4" customHeight="1" x14ac:dyDescent="0.3"/>
    <row r="15507" ht="14.4" customHeight="1" x14ac:dyDescent="0.3"/>
    <row r="15508" ht="14.4" customHeight="1" x14ac:dyDescent="0.3"/>
    <row r="15509" ht="14.4" customHeight="1" x14ac:dyDescent="0.3"/>
    <row r="15510" ht="14.4" customHeight="1" x14ac:dyDescent="0.3"/>
    <row r="15511" ht="14.4" customHeight="1" x14ac:dyDescent="0.3"/>
    <row r="15512" ht="14.4" customHeight="1" x14ac:dyDescent="0.3"/>
    <row r="15513" ht="14.4" customHeight="1" x14ac:dyDescent="0.3"/>
    <row r="15514" ht="14.4" customHeight="1" x14ac:dyDescent="0.3"/>
    <row r="15515" ht="14.4" customHeight="1" x14ac:dyDescent="0.3"/>
    <row r="15516" ht="14.4" customHeight="1" x14ac:dyDescent="0.3"/>
    <row r="15517" ht="14.4" customHeight="1" x14ac:dyDescent="0.3"/>
    <row r="15518" ht="14.4" customHeight="1" x14ac:dyDescent="0.3"/>
    <row r="15519" ht="14.4" customHeight="1" x14ac:dyDescent="0.3"/>
    <row r="15520" ht="14.4" customHeight="1" x14ac:dyDescent="0.3"/>
    <row r="15521" ht="14.4" customHeight="1" x14ac:dyDescent="0.3"/>
    <row r="15522" ht="14.4" customHeight="1" x14ac:dyDescent="0.3"/>
    <row r="15523" ht="14.4" customHeight="1" x14ac:dyDescent="0.3"/>
    <row r="15524" ht="14.4" customHeight="1" x14ac:dyDescent="0.3"/>
    <row r="15525" ht="14.4" customHeight="1" x14ac:dyDescent="0.3"/>
    <row r="15526" ht="14.4" customHeight="1" x14ac:dyDescent="0.3"/>
    <row r="15527" ht="14.4" customHeight="1" x14ac:dyDescent="0.3"/>
    <row r="15528" ht="14.4" customHeight="1" x14ac:dyDescent="0.3"/>
    <row r="15529" ht="14.4" customHeight="1" x14ac:dyDescent="0.3"/>
    <row r="15530" ht="14.4" customHeight="1" x14ac:dyDescent="0.3"/>
    <row r="15531" ht="14.4" customHeight="1" x14ac:dyDescent="0.3"/>
    <row r="15532" ht="14.4" customHeight="1" x14ac:dyDescent="0.3"/>
    <row r="15533" ht="14.4" customHeight="1" x14ac:dyDescent="0.3"/>
    <row r="15534" ht="14.4" customHeight="1" x14ac:dyDescent="0.3"/>
    <row r="15535" ht="14.4" customHeight="1" x14ac:dyDescent="0.3"/>
    <row r="15536" ht="14.4" customHeight="1" x14ac:dyDescent="0.3"/>
    <row r="15537" ht="14.4" customHeight="1" x14ac:dyDescent="0.3"/>
    <row r="15538" ht="14.4" customHeight="1" x14ac:dyDescent="0.3"/>
    <row r="15539" ht="14.4" customHeight="1" x14ac:dyDescent="0.3"/>
    <row r="15540" ht="14.4" customHeight="1" x14ac:dyDescent="0.3"/>
    <row r="15541" ht="14.4" customHeight="1" x14ac:dyDescent="0.3"/>
    <row r="15542" ht="14.4" customHeight="1" x14ac:dyDescent="0.3"/>
    <row r="15543" ht="14.4" customHeight="1" x14ac:dyDescent="0.3"/>
    <row r="15544" ht="14.4" customHeight="1" x14ac:dyDescent="0.3"/>
    <row r="15545" ht="14.4" customHeight="1" x14ac:dyDescent="0.3"/>
    <row r="15546" ht="14.4" customHeight="1" x14ac:dyDescent="0.3"/>
    <row r="15547" ht="14.4" customHeight="1" x14ac:dyDescent="0.3"/>
    <row r="15548" ht="14.4" customHeight="1" x14ac:dyDescent="0.3"/>
    <row r="15549" ht="14.4" customHeight="1" x14ac:dyDescent="0.3"/>
    <row r="15550" ht="14.4" customHeight="1" x14ac:dyDescent="0.3"/>
    <row r="15551" ht="14.4" customHeight="1" x14ac:dyDescent="0.3"/>
    <row r="15552" ht="14.4" customHeight="1" x14ac:dyDescent="0.3"/>
    <row r="15553" ht="14.4" customHeight="1" x14ac:dyDescent="0.3"/>
    <row r="15554" ht="14.4" customHeight="1" x14ac:dyDescent="0.3"/>
    <row r="15555" ht="14.4" customHeight="1" x14ac:dyDescent="0.3"/>
    <row r="15556" ht="14.4" customHeight="1" x14ac:dyDescent="0.3"/>
    <row r="15557" ht="14.4" customHeight="1" x14ac:dyDescent="0.3"/>
    <row r="15558" ht="14.4" customHeight="1" x14ac:dyDescent="0.3"/>
    <row r="15559" ht="14.4" customHeight="1" x14ac:dyDescent="0.3"/>
    <row r="15560" ht="14.4" customHeight="1" x14ac:dyDescent="0.3"/>
    <row r="15561" ht="14.4" customHeight="1" x14ac:dyDescent="0.3"/>
    <row r="15562" ht="14.4" customHeight="1" x14ac:dyDescent="0.3"/>
    <row r="15563" ht="14.4" customHeight="1" x14ac:dyDescent="0.3"/>
    <row r="15564" ht="14.4" customHeight="1" x14ac:dyDescent="0.3"/>
    <row r="15565" ht="14.4" customHeight="1" x14ac:dyDescent="0.3"/>
    <row r="15566" ht="14.4" customHeight="1" x14ac:dyDescent="0.3"/>
    <row r="15567" ht="14.4" customHeight="1" x14ac:dyDescent="0.3"/>
    <row r="15568" ht="14.4" customHeight="1" x14ac:dyDescent="0.3"/>
    <row r="15569" ht="14.4" customHeight="1" x14ac:dyDescent="0.3"/>
    <row r="15570" ht="14.4" customHeight="1" x14ac:dyDescent="0.3"/>
    <row r="15571" ht="14.4" customHeight="1" x14ac:dyDescent="0.3"/>
    <row r="15572" ht="14.4" customHeight="1" x14ac:dyDescent="0.3"/>
    <row r="15573" ht="14.4" customHeight="1" x14ac:dyDescent="0.3"/>
    <row r="15574" ht="14.4" customHeight="1" x14ac:dyDescent="0.3"/>
    <row r="15575" ht="14.4" customHeight="1" x14ac:dyDescent="0.3"/>
    <row r="15576" ht="14.4" customHeight="1" x14ac:dyDescent="0.3"/>
    <row r="15577" ht="14.4" customHeight="1" x14ac:dyDescent="0.3"/>
    <row r="15578" ht="14.4" customHeight="1" x14ac:dyDescent="0.3"/>
    <row r="15579" ht="14.4" customHeight="1" x14ac:dyDescent="0.3"/>
    <row r="15580" ht="14.4" customHeight="1" x14ac:dyDescent="0.3"/>
    <row r="15581" ht="14.4" customHeight="1" x14ac:dyDescent="0.3"/>
    <row r="15582" ht="14.4" customHeight="1" x14ac:dyDescent="0.3"/>
    <row r="15583" ht="14.4" customHeight="1" x14ac:dyDescent="0.3"/>
    <row r="15584" ht="14.4" customHeight="1" x14ac:dyDescent="0.3"/>
    <row r="15585" ht="14.4" customHeight="1" x14ac:dyDescent="0.3"/>
    <row r="15586" ht="14.4" customHeight="1" x14ac:dyDescent="0.3"/>
    <row r="15587" ht="14.4" customHeight="1" x14ac:dyDescent="0.3"/>
    <row r="15588" ht="14.4" customHeight="1" x14ac:dyDescent="0.3"/>
    <row r="15589" ht="14.4" customHeight="1" x14ac:dyDescent="0.3"/>
    <row r="15590" ht="14.4" customHeight="1" x14ac:dyDescent="0.3"/>
    <row r="15591" ht="14.4" customHeight="1" x14ac:dyDescent="0.3"/>
    <row r="15592" ht="14.4" customHeight="1" x14ac:dyDescent="0.3"/>
    <row r="15593" ht="14.4" customHeight="1" x14ac:dyDescent="0.3"/>
    <row r="15594" ht="14.4" customHeight="1" x14ac:dyDescent="0.3"/>
    <row r="15595" ht="14.4" customHeight="1" x14ac:dyDescent="0.3"/>
    <row r="15596" ht="14.4" customHeight="1" x14ac:dyDescent="0.3"/>
    <row r="15597" ht="14.4" customHeight="1" x14ac:dyDescent="0.3"/>
    <row r="15598" ht="14.4" customHeight="1" x14ac:dyDescent="0.3"/>
    <row r="15599" ht="14.4" customHeight="1" x14ac:dyDescent="0.3"/>
    <row r="15600" ht="14.4" customHeight="1" x14ac:dyDescent="0.3"/>
    <row r="15601" ht="14.4" customHeight="1" x14ac:dyDescent="0.3"/>
    <row r="15602" ht="14.4" customHeight="1" x14ac:dyDescent="0.3"/>
    <row r="15603" ht="14.4" customHeight="1" x14ac:dyDescent="0.3"/>
    <row r="15604" ht="14.4" customHeight="1" x14ac:dyDescent="0.3"/>
    <row r="15605" ht="14.4" customHeight="1" x14ac:dyDescent="0.3"/>
    <row r="15606" ht="14.4" customHeight="1" x14ac:dyDescent="0.3"/>
    <row r="15607" ht="14.4" customHeight="1" x14ac:dyDescent="0.3"/>
    <row r="15608" ht="14.4" customHeight="1" x14ac:dyDescent="0.3"/>
    <row r="15609" ht="14.4" customHeight="1" x14ac:dyDescent="0.3"/>
    <row r="15610" ht="14.4" customHeight="1" x14ac:dyDescent="0.3"/>
    <row r="15611" ht="14.4" customHeight="1" x14ac:dyDescent="0.3"/>
    <row r="15612" ht="14.4" customHeight="1" x14ac:dyDescent="0.3"/>
    <row r="15613" ht="14.4" customHeight="1" x14ac:dyDescent="0.3"/>
    <row r="15614" ht="14.4" customHeight="1" x14ac:dyDescent="0.3"/>
    <row r="15615" ht="14.4" customHeight="1" x14ac:dyDescent="0.3"/>
    <row r="15616" ht="14.4" customHeight="1" x14ac:dyDescent="0.3"/>
    <row r="15617" ht="14.4" customHeight="1" x14ac:dyDescent="0.3"/>
    <row r="15618" ht="14.4" customHeight="1" x14ac:dyDescent="0.3"/>
    <row r="15619" ht="14.4" customHeight="1" x14ac:dyDescent="0.3"/>
    <row r="15620" ht="14.4" customHeight="1" x14ac:dyDescent="0.3"/>
    <row r="15621" ht="14.4" customHeight="1" x14ac:dyDescent="0.3"/>
    <row r="15622" ht="14.4" customHeight="1" x14ac:dyDescent="0.3"/>
    <row r="15623" ht="14.4" customHeight="1" x14ac:dyDescent="0.3"/>
    <row r="15624" ht="14.4" customHeight="1" x14ac:dyDescent="0.3"/>
    <row r="15625" ht="14.4" customHeight="1" x14ac:dyDescent="0.3"/>
    <row r="15626" ht="14.4" customHeight="1" x14ac:dyDescent="0.3"/>
    <row r="15627" ht="14.4" customHeight="1" x14ac:dyDescent="0.3"/>
    <row r="15628" ht="14.4" customHeight="1" x14ac:dyDescent="0.3"/>
    <row r="15629" ht="14.4" customHeight="1" x14ac:dyDescent="0.3"/>
    <row r="15630" ht="14.4" customHeight="1" x14ac:dyDescent="0.3"/>
    <row r="15631" ht="14.4" customHeight="1" x14ac:dyDescent="0.3"/>
    <row r="15632" ht="14.4" customHeight="1" x14ac:dyDescent="0.3"/>
    <row r="15633" ht="14.4" customHeight="1" x14ac:dyDescent="0.3"/>
    <row r="15634" ht="14.4" customHeight="1" x14ac:dyDescent="0.3"/>
    <row r="15635" ht="14.4" customHeight="1" x14ac:dyDescent="0.3"/>
    <row r="15636" ht="14.4" customHeight="1" x14ac:dyDescent="0.3"/>
    <row r="15637" ht="14.4" customHeight="1" x14ac:dyDescent="0.3"/>
    <row r="15638" ht="14.4" customHeight="1" x14ac:dyDescent="0.3"/>
    <row r="15639" ht="14.4" customHeight="1" x14ac:dyDescent="0.3"/>
    <row r="15640" ht="14.4" customHeight="1" x14ac:dyDescent="0.3"/>
    <row r="15641" ht="14.4" customHeight="1" x14ac:dyDescent="0.3"/>
    <row r="15642" ht="14.4" customHeight="1" x14ac:dyDescent="0.3"/>
    <row r="15643" ht="14.4" customHeight="1" x14ac:dyDescent="0.3"/>
    <row r="15644" ht="14.4" customHeight="1" x14ac:dyDescent="0.3"/>
    <row r="15645" ht="14.4" customHeight="1" x14ac:dyDescent="0.3"/>
    <row r="15646" ht="14.4" customHeight="1" x14ac:dyDescent="0.3"/>
    <row r="15647" ht="14.4" customHeight="1" x14ac:dyDescent="0.3"/>
    <row r="15648" ht="14.4" customHeight="1" x14ac:dyDescent="0.3"/>
    <row r="15649" ht="14.4" customHeight="1" x14ac:dyDescent="0.3"/>
    <row r="15650" ht="14.4" customHeight="1" x14ac:dyDescent="0.3"/>
    <row r="15651" ht="14.4" customHeight="1" x14ac:dyDescent="0.3"/>
    <row r="15652" ht="14.4" customHeight="1" x14ac:dyDescent="0.3"/>
    <row r="15653" ht="14.4" customHeight="1" x14ac:dyDescent="0.3"/>
    <row r="15654" ht="14.4" customHeight="1" x14ac:dyDescent="0.3"/>
    <row r="15655" ht="14.4" customHeight="1" x14ac:dyDescent="0.3"/>
    <row r="15656" ht="14.4" customHeight="1" x14ac:dyDescent="0.3"/>
    <row r="15657" ht="14.4" customHeight="1" x14ac:dyDescent="0.3"/>
    <row r="15658" ht="14.4" customHeight="1" x14ac:dyDescent="0.3"/>
    <row r="15659" ht="14.4" customHeight="1" x14ac:dyDescent="0.3"/>
    <row r="15660" ht="14.4" customHeight="1" x14ac:dyDescent="0.3"/>
    <row r="15661" ht="14.4" customHeight="1" x14ac:dyDescent="0.3"/>
    <row r="15662" ht="14.4" customHeight="1" x14ac:dyDescent="0.3"/>
    <row r="15663" ht="14.4" customHeight="1" x14ac:dyDescent="0.3"/>
    <row r="15664" ht="14.4" customHeight="1" x14ac:dyDescent="0.3"/>
    <row r="15665" ht="14.4" customHeight="1" x14ac:dyDescent="0.3"/>
    <row r="15666" ht="14.4" customHeight="1" x14ac:dyDescent="0.3"/>
    <row r="15667" ht="14.4" customHeight="1" x14ac:dyDescent="0.3"/>
    <row r="15668" ht="14.4" customHeight="1" x14ac:dyDescent="0.3"/>
    <row r="15669" ht="14.4" customHeight="1" x14ac:dyDescent="0.3"/>
    <row r="15670" ht="14.4" customHeight="1" x14ac:dyDescent="0.3"/>
    <row r="15671" ht="14.4" customHeight="1" x14ac:dyDescent="0.3"/>
    <row r="15672" ht="14.4" customHeight="1" x14ac:dyDescent="0.3"/>
    <row r="15673" ht="14.4" customHeight="1" x14ac:dyDescent="0.3"/>
    <row r="15674" ht="14.4" customHeight="1" x14ac:dyDescent="0.3"/>
    <row r="15675" ht="14.4" customHeight="1" x14ac:dyDescent="0.3"/>
    <row r="15676" ht="14.4" customHeight="1" x14ac:dyDescent="0.3"/>
    <row r="15677" ht="14.4" customHeight="1" x14ac:dyDescent="0.3"/>
    <row r="15678" ht="14.4" customHeight="1" x14ac:dyDescent="0.3"/>
    <row r="15679" ht="14.4" customHeight="1" x14ac:dyDescent="0.3"/>
    <row r="15680" ht="14.4" customHeight="1" x14ac:dyDescent="0.3"/>
    <row r="15681" ht="14.4" customHeight="1" x14ac:dyDescent="0.3"/>
    <row r="15682" ht="14.4" customHeight="1" x14ac:dyDescent="0.3"/>
    <row r="15683" ht="14.4" customHeight="1" x14ac:dyDescent="0.3"/>
    <row r="15684" ht="14.4" customHeight="1" x14ac:dyDescent="0.3"/>
    <row r="15685" ht="14.4" customHeight="1" x14ac:dyDescent="0.3"/>
    <row r="15686" ht="14.4" customHeight="1" x14ac:dyDescent="0.3"/>
    <row r="15687" ht="14.4" customHeight="1" x14ac:dyDescent="0.3"/>
    <row r="15688" ht="14.4" customHeight="1" x14ac:dyDescent="0.3"/>
    <row r="15689" ht="14.4" customHeight="1" x14ac:dyDescent="0.3"/>
    <row r="15690" ht="14.4" customHeight="1" x14ac:dyDescent="0.3"/>
    <row r="15691" ht="14.4" customHeight="1" x14ac:dyDescent="0.3"/>
    <row r="15692" ht="14.4" customHeight="1" x14ac:dyDescent="0.3"/>
    <row r="15693" ht="14.4" customHeight="1" x14ac:dyDescent="0.3"/>
    <row r="15694" ht="14.4" customHeight="1" x14ac:dyDescent="0.3"/>
    <row r="15695" ht="14.4" customHeight="1" x14ac:dyDescent="0.3"/>
    <row r="15696" ht="14.4" customHeight="1" x14ac:dyDescent="0.3"/>
    <row r="15697" ht="14.4" customHeight="1" x14ac:dyDescent="0.3"/>
    <row r="15698" ht="14.4" customHeight="1" x14ac:dyDescent="0.3"/>
    <row r="15699" ht="14.4" customHeight="1" x14ac:dyDescent="0.3"/>
    <row r="15700" ht="14.4" customHeight="1" x14ac:dyDescent="0.3"/>
    <row r="15701" ht="14.4" customHeight="1" x14ac:dyDescent="0.3"/>
    <row r="15702" ht="14.4" customHeight="1" x14ac:dyDescent="0.3"/>
    <row r="15703" ht="14.4" customHeight="1" x14ac:dyDescent="0.3"/>
    <row r="15704" ht="14.4" customHeight="1" x14ac:dyDescent="0.3"/>
    <row r="15705" ht="14.4" customHeight="1" x14ac:dyDescent="0.3"/>
    <row r="15706" ht="14.4" customHeight="1" x14ac:dyDescent="0.3"/>
    <row r="15707" ht="14.4" customHeight="1" x14ac:dyDescent="0.3"/>
    <row r="15708" ht="14.4" customHeight="1" x14ac:dyDescent="0.3"/>
    <row r="15709" ht="14.4" customHeight="1" x14ac:dyDescent="0.3"/>
    <row r="15710" ht="14.4" customHeight="1" x14ac:dyDescent="0.3"/>
    <row r="15711" ht="14.4" customHeight="1" x14ac:dyDescent="0.3"/>
    <row r="15712" ht="14.4" customHeight="1" x14ac:dyDescent="0.3"/>
    <row r="15713" ht="14.4" customHeight="1" x14ac:dyDescent="0.3"/>
    <row r="15714" ht="14.4" customHeight="1" x14ac:dyDescent="0.3"/>
    <row r="15715" ht="14.4" customHeight="1" x14ac:dyDescent="0.3"/>
    <row r="15716" ht="14.4" customHeight="1" x14ac:dyDescent="0.3"/>
    <row r="15717" ht="14.4" customHeight="1" x14ac:dyDescent="0.3"/>
    <row r="15718" ht="14.4" customHeight="1" x14ac:dyDescent="0.3"/>
    <row r="15719" ht="14.4" customHeight="1" x14ac:dyDescent="0.3"/>
    <row r="15720" ht="14.4" customHeight="1" x14ac:dyDescent="0.3"/>
    <row r="15721" ht="14.4" customHeight="1" x14ac:dyDescent="0.3"/>
    <row r="15722" ht="14.4" customHeight="1" x14ac:dyDescent="0.3"/>
    <row r="15723" ht="14.4" customHeight="1" x14ac:dyDescent="0.3"/>
    <row r="15724" ht="14.4" customHeight="1" x14ac:dyDescent="0.3"/>
    <row r="15725" ht="14.4" customHeight="1" x14ac:dyDescent="0.3"/>
    <row r="15726" ht="14.4" customHeight="1" x14ac:dyDescent="0.3"/>
    <row r="15727" ht="14.4" customHeight="1" x14ac:dyDescent="0.3"/>
    <row r="15728" ht="14.4" customHeight="1" x14ac:dyDescent="0.3"/>
    <row r="15729" ht="14.4" customHeight="1" x14ac:dyDescent="0.3"/>
    <row r="15730" ht="14.4" customHeight="1" x14ac:dyDescent="0.3"/>
    <row r="15731" ht="14.4" customHeight="1" x14ac:dyDescent="0.3"/>
    <row r="15732" ht="14.4" customHeight="1" x14ac:dyDescent="0.3"/>
    <row r="15733" ht="14.4" customHeight="1" x14ac:dyDescent="0.3"/>
    <row r="15734" ht="14.4" customHeight="1" x14ac:dyDescent="0.3"/>
    <row r="15735" ht="14.4" customHeight="1" x14ac:dyDescent="0.3"/>
    <row r="15736" ht="14.4" customHeight="1" x14ac:dyDescent="0.3"/>
    <row r="15737" ht="14.4" customHeight="1" x14ac:dyDescent="0.3"/>
    <row r="15738" ht="14.4" customHeight="1" x14ac:dyDescent="0.3"/>
    <row r="15739" ht="14.4" customHeight="1" x14ac:dyDescent="0.3"/>
    <row r="15740" ht="14.4" customHeight="1" x14ac:dyDescent="0.3"/>
    <row r="15741" ht="14.4" customHeight="1" x14ac:dyDescent="0.3"/>
    <row r="15742" ht="14.4" customHeight="1" x14ac:dyDescent="0.3"/>
    <row r="15743" ht="14.4" customHeight="1" x14ac:dyDescent="0.3"/>
    <row r="15744" ht="14.4" customHeight="1" x14ac:dyDescent="0.3"/>
    <row r="15745" ht="14.4" customHeight="1" x14ac:dyDescent="0.3"/>
    <row r="15746" ht="14.4" customHeight="1" x14ac:dyDescent="0.3"/>
    <row r="15747" ht="14.4" customHeight="1" x14ac:dyDescent="0.3"/>
    <row r="15748" ht="14.4" customHeight="1" x14ac:dyDescent="0.3"/>
    <row r="15749" ht="14.4" customHeight="1" x14ac:dyDescent="0.3"/>
    <row r="15750" ht="14.4" customHeight="1" x14ac:dyDescent="0.3"/>
    <row r="15751" ht="14.4" customHeight="1" x14ac:dyDescent="0.3"/>
    <row r="15752" ht="14.4" customHeight="1" x14ac:dyDescent="0.3"/>
    <row r="15753" ht="14.4" customHeight="1" x14ac:dyDescent="0.3"/>
    <row r="15754" ht="14.4" customHeight="1" x14ac:dyDescent="0.3"/>
    <row r="15755" ht="14.4" customHeight="1" x14ac:dyDescent="0.3"/>
    <row r="15756" ht="14.4" customHeight="1" x14ac:dyDescent="0.3"/>
    <row r="15757" ht="14.4" customHeight="1" x14ac:dyDescent="0.3"/>
    <row r="15758" ht="14.4" customHeight="1" x14ac:dyDescent="0.3"/>
    <row r="15759" ht="14.4" customHeight="1" x14ac:dyDescent="0.3"/>
    <row r="15760" ht="14.4" customHeight="1" x14ac:dyDescent="0.3"/>
    <row r="15761" ht="14.4" customHeight="1" x14ac:dyDescent="0.3"/>
    <row r="15762" ht="14.4" customHeight="1" x14ac:dyDescent="0.3"/>
    <row r="15763" ht="14.4" customHeight="1" x14ac:dyDescent="0.3"/>
    <row r="15764" ht="14.4" customHeight="1" x14ac:dyDescent="0.3"/>
    <row r="15765" ht="14.4" customHeight="1" x14ac:dyDescent="0.3"/>
    <row r="15766" ht="14.4" customHeight="1" x14ac:dyDescent="0.3"/>
    <row r="15767" ht="14.4" customHeight="1" x14ac:dyDescent="0.3"/>
    <row r="15768" ht="14.4" customHeight="1" x14ac:dyDescent="0.3"/>
    <row r="15769" ht="14.4" customHeight="1" x14ac:dyDescent="0.3"/>
    <row r="15770" ht="14.4" customHeight="1" x14ac:dyDescent="0.3"/>
    <row r="15771" ht="14.4" customHeight="1" x14ac:dyDescent="0.3"/>
    <row r="15772" ht="14.4" customHeight="1" x14ac:dyDescent="0.3"/>
    <row r="15773" ht="14.4" customHeight="1" x14ac:dyDescent="0.3"/>
    <row r="15774" ht="14.4" customHeight="1" x14ac:dyDescent="0.3"/>
    <row r="15775" ht="14.4" customHeight="1" x14ac:dyDescent="0.3"/>
    <row r="15776" ht="14.4" customHeight="1" x14ac:dyDescent="0.3"/>
    <row r="15777" ht="14.4" customHeight="1" x14ac:dyDescent="0.3"/>
    <row r="15778" ht="14.4" customHeight="1" x14ac:dyDescent="0.3"/>
    <row r="15779" ht="14.4" customHeight="1" x14ac:dyDescent="0.3"/>
    <row r="15780" ht="14.4" customHeight="1" x14ac:dyDescent="0.3"/>
    <row r="15781" ht="14.4" customHeight="1" x14ac:dyDescent="0.3"/>
    <row r="15782" ht="14.4" customHeight="1" x14ac:dyDescent="0.3"/>
    <row r="15783" ht="14.4" customHeight="1" x14ac:dyDescent="0.3"/>
    <row r="15784" ht="14.4" customHeight="1" x14ac:dyDescent="0.3"/>
    <row r="15785" ht="14.4" customHeight="1" x14ac:dyDescent="0.3"/>
    <row r="15786" ht="14.4" customHeight="1" x14ac:dyDescent="0.3"/>
    <row r="15787" ht="14.4" customHeight="1" x14ac:dyDescent="0.3"/>
    <row r="15788" ht="14.4" customHeight="1" x14ac:dyDescent="0.3"/>
    <row r="15789" ht="14.4" customHeight="1" x14ac:dyDescent="0.3"/>
    <row r="15790" ht="14.4" customHeight="1" x14ac:dyDescent="0.3"/>
    <row r="15791" ht="14.4" customHeight="1" x14ac:dyDescent="0.3"/>
    <row r="15792" ht="14.4" customHeight="1" x14ac:dyDescent="0.3"/>
    <row r="15793" ht="14.4" customHeight="1" x14ac:dyDescent="0.3"/>
    <row r="15794" ht="14.4" customHeight="1" x14ac:dyDescent="0.3"/>
    <row r="15795" ht="14.4" customHeight="1" x14ac:dyDescent="0.3"/>
    <row r="15796" ht="14.4" customHeight="1" x14ac:dyDescent="0.3"/>
    <row r="15797" ht="14.4" customHeight="1" x14ac:dyDescent="0.3"/>
    <row r="15798" ht="14.4" customHeight="1" x14ac:dyDescent="0.3"/>
    <row r="15799" ht="14.4" customHeight="1" x14ac:dyDescent="0.3"/>
    <row r="15800" ht="14.4" customHeight="1" x14ac:dyDescent="0.3"/>
    <row r="15801" ht="14.4" customHeight="1" x14ac:dyDescent="0.3"/>
    <row r="15802" ht="14.4" customHeight="1" x14ac:dyDescent="0.3"/>
    <row r="15803" ht="14.4" customHeight="1" x14ac:dyDescent="0.3"/>
    <row r="15804" ht="14.4" customHeight="1" x14ac:dyDescent="0.3"/>
    <row r="15805" ht="14.4" customHeight="1" x14ac:dyDescent="0.3"/>
    <row r="15806" ht="14.4" customHeight="1" x14ac:dyDescent="0.3"/>
    <row r="15807" ht="14.4" customHeight="1" x14ac:dyDescent="0.3"/>
    <row r="15808" ht="14.4" customHeight="1" x14ac:dyDescent="0.3"/>
    <row r="15809" ht="14.4" customHeight="1" x14ac:dyDescent="0.3"/>
    <row r="15810" ht="14.4" customHeight="1" x14ac:dyDescent="0.3"/>
    <row r="15811" ht="14.4" customHeight="1" x14ac:dyDescent="0.3"/>
    <row r="15812" ht="14.4" customHeight="1" x14ac:dyDescent="0.3"/>
    <row r="15813" ht="14.4" customHeight="1" x14ac:dyDescent="0.3"/>
    <row r="15814" ht="14.4" customHeight="1" x14ac:dyDescent="0.3"/>
    <row r="15815" ht="14.4" customHeight="1" x14ac:dyDescent="0.3"/>
    <row r="15816" ht="14.4" customHeight="1" x14ac:dyDescent="0.3"/>
    <row r="15817" ht="14.4" customHeight="1" x14ac:dyDescent="0.3"/>
    <row r="15818" ht="14.4" customHeight="1" x14ac:dyDescent="0.3"/>
    <row r="15819" ht="14.4" customHeight="1" x14ac:dyDescent="0.3"/>
    <row r="15820" ht="14.4" customHeight="1" x14ac:dyDescent="0.3"/>
    <row r="15821" ht="14.4" customHeight="1" x14ac:dyDescent="0.3"/>
    <row r="15822" ht="14.4" customHeight="1" x14ac:dyDescent="0.3"/>
    <row r="15823" ht="14.4" customHeight="1" x14ac:dyDescent="0.3"/>
    <row r="15824" ht="14.4" customHeight="1" x14ac:dyDescent="0.3"/>
    <row r="15825" ht="14.4" customHeight="1" x14ac:dyDescent="0.3"/>
    <row r="15826" ht="14.4" customHeight="1" x14ac:dyDescent="0.3"/>
    <row r="15827" ht="14.4" customHeight="1" x14ac:dyDescent="0.3"/>
    <row r="15828" ht="14.4" customHeight="1" x14ac:dyDescent="0.3"/>
    <row r="15829" ht="14.4" customHeight="1" x14ac:dyDescent="0.3"/>
    <row r="15830" ht="14.4" customHeight="1" x14ac:dyDescent="0.3"/>
    <row r="15831" ht="14.4" customHeight="1" x14ac:dyDescent="0.3"/>
    <row r="15832" ht="14.4" customHeight="1" x14ac:dyDescent="0.3"/>
    <row r="15833" ht="14.4" customHeight="1" x14ac:dyDescent="0.3"/>
    <row r="15834" ht="14.4" customHeight="1" x14ac:dyDescent="0.3"/>
    <row r="15835" ht="14.4" customHeight="1" x14ac:dyDescent="0.3"/>
    <row r="15836" ht="14.4" customHeight="1" x14ac:dyDescent="0.3"/>
    <row r="15837" ht="14.4" customHeight="1" x14ac:dyDescent="0.3"/>
    <row r="15838" ht="14.4" customHeight="1" x14ac:dyDescent="0.3"/>
    <row r="15839" ht="14.4" customHeight="1" x14ac:dyDescent="0.3"/>
    <row r="15840" ht="14.4" customHeight="1" x14ac:dyDescent="0.3"/>
    <row r="15841" ht="14.4" customHeight="1" x14ac:dyDescent="0.3"/>
    <row r="15842" ht="14.4" customHeight="1" x14ac:dyDescent="0.3"/>
    <row r="15843" ht="14.4" customHeight="1" x14ac:dyDescent="0.3"/>
    <row r="15844" ht="14.4" customHeight="1" x14ac:dyDescent="0.3"/>
    <row r="15845" ht="14.4" customHeight="1" x14ac:dyDescent="0.3"/>
    <row r="15846" ht="14.4" customHeight="1" x14ac:dyDescent="0.3"/>
    <row r="15847" ht="14.4" customHeight="1" x14ac:dyDescent="0.3"/>
    <row r="15848" ht="14.4" customHeight="1" x14ac:dyDescent="0.3"/>
    <row r="15849" ht="14.4" customHeight="1" x14ac:dyDescent="0.3"/>
    <row r="15850" ht="14.4" customHeight="1" x14ac:dyDescent="0.3"/>
    <row r="15851" ht="14.4" customHeight="1" x14ac:dyDescent="0.3"/>
    <row r="15852" ht="14.4" customHeight="1" x14ac:dyDescent="0.3"/>
    <row r="15853" ht="14.4" customHeight="1" x14ac:dyDescent="0.3"/>
    <row r="15854" ht="14.4" customHeight="1" x14ac:dyDescent="0.3"/>
    <row r="15855" ht="14.4" customHeight="1" x14ac:dyDescent="0.3"/>
    <row r="15856" ht="14.4" customHeight="1" x14ac:dyDescent="0.3"/>
    <row r="15857" ht="14.4" customHeight="1" x14ac:dyDescent="0.3"/>
    <row r="15858" ht="14.4" customHeight="1" x14ac:dyDescent="0.3"/>
    <row r="15859" ht="14.4" customHeight="1" x14ac:dyDescent="0.3"/>
    <row r="15860" ht="14.4" customHeight="1" x14ac:dyDescent="0.3"/>
    <row r="15861" ht="14.4" customHeight="1" x14ac:dyDescent="0.3"/>
    <row r="15862" ht="14.4" customHeight="1" x14ac:dyDescent="0.3"/>
    <row r="15863" ht="14.4" customHeight="1" x14ac:dyDescent="0.3"/>
    <row r="15864" ht="14.4" customHeight="1" x14ac:dyDescent="0.3"/>
    <row r="15865" ht="14.4" customHeight="1" x14ac:dyDescent="0.3"/>
    <row r="15866" ht="14.4" customHeight="1" x14ac:dyDescent="0.3"/>
    <row r="15867" ht="14.4" customHeight="1" x14ac:dyDescent="0.3"/>
    <row r="15868" ht="14.4" customHeight="1" x14ac:dyDescent="0.3"/>
    <row r="15869" ht="14.4" customHeight="1" x14ac:dyDescent="0.3"/>
    <row r="15870" ht="14.4" customHeight="1" x14ac:dyDescent="0.3"/>
    <row r="15871" ht="14.4" customHeight="1" x14ac:dyDescent="0.3"/>
    <row r="15872" ht="14.4" customHeight="1" x14ac:dyDescent="0.3"/>
    <row r="15873" ht="14.4" customHeight="1" x14ac:dyDescent="0.3"/>
    <row r="15874" ht="14.4" customHeight="1" x14ac:dyDescent="0.3"/>
    <row r="15875" ht="14.4" customHeight="1" x14ac:dyDescent="0.3"/>
    <row r="15876" ht="14.4" customHeight="1" x14ac:dyDescent="0.3"/>
    <row r="15877" ht="14.4" customHeight="1" x14ac:dyDescent="0.3"/>
    <row r="15878" ht="14.4" customHeight="1" x14ac:dyDescent="0.3"/>
    <row r="15879" ht="14.4" customHeight="1" x14ac:dyDescent="0.3"/>
    <row r="15880" ht="14.4" customHeight="1" x14ac:dyDescent="0.3"/>
    <row r="15881" ht="14.4" customHeight="1" x14ac:dyDescent="0.3"/>
    <row r="15882" ht="14.4" customHeight="1" x14ac:dyDescent="0.3"/>
    <row r="15883" ht="14.4" customHeight="1" x14ac:dyDescent="0.3"/>
    <row r="15884" ht="14.4" customHeight="1" x14ac:dyDescent="0.3"/>
    <row r="15885" ht="14.4" customHeight="1" x14ac:dyDescent="0.3"/>
    <row r="15886" ht="14.4" customHeight="1" x14ac:dyDescent="0.3"/>
    <row r="15887" ht="14.4" customHeight="1" x14ac:dyDescent="0.3"/>
    <row r="15888" ht="14.4" customHeight="1" x14ac:dyDescent="0.3"/>
    <row r="15889" ht="14.4" customHeight="1" x14ac:dyDescent="0.3"/>
    <row r="15890" ht="14.4" customHeight="1" x14ac:dyDescent="0.3"/>
    <row r="15891" ht="14.4" customHeight="1" x14ac:dyDescent="0.3"/>
    <row r="15892" ht="14.4" customHeight="1" x14ac:dyDescent="0.3"/>
    <row r="15893" ht="14.4" customHeight="1" x14ac:dyDescent="0.3"/>
    <row r="15894" ht="14.4" customHeight="1" x14ac:dyDescent="0.3"/>
    <row r="15895" ht="14.4" customHeight="1" x14ac:dyDescent="0.3"/>
    <row r="15896" ht="14.4" customHeight="1" x14ac:dyDescent="0.3"/>
    <row r="15897" ht="14.4" customHeight="1" x14ac:dyDescent="0.3"/>
    <row r="15898" ht="14.4" customHeight="1" x14ac:dyDescent="0.3"/>
    <row r="15899" ht="14.4" customHeight="1" x14ac:dyDescent="0.3"/>
    <row r="15900" ht="14.4" customHeight="1" x14ac:dyDescent="0.3"/>
    <row r="15901" ht="14.4" customHeight="1" x14ac:dyDescent="0.3"/>
    <row r="15902" ht="14.4" customHeight="1" x14ac:dyDescent="0.3"/>
    <row r="15903" ht="14.4" customHeight="1" x14ac:dyDescent="0.3"/>
    <row r="15904" ht="14.4" customHeight="1" x14ac:dyDescent="0.3"/>
    <row r="15905" ht="14.4" customHeight="1" x14ac:dyDescent="0.3"/>
    <row r="15906" ht="14.4" customHeight="1" x14ac:dyDescent="0.3"/>
    <row r="15907" ht="14.4" customHeight="1" x14ac:dyDescent="0.3"/>
    <row r="15908" ht="14.4" customHeight="1" x14ac:dyDescent="0.3"/>
    <row r="15909" ht="14.4" customHeight="1" x14ac:dyDescent="0.3"/>
    <row r="15910" ht="14.4" customHeight="1" x14ac:dyDescent="0.3"/>
    <row r="15911" ht="14.4" customHeight="1" x14ac:dyDescent="0.3"/>
    <row r="15912" ht="14.4" customHeight="1" x14ac:dyDescent="0.3"/>
    <row r="15913" ht="14.4" customHeight="1" x14ac:dyDescent="0.3"/>
    <row r="15914" ht="14.4" customHeight="1" x14ac:dyDescent="0.3"/>
    <row r="15915" ht="14.4" customHeight="1" x14ac:dyDescent="0.3"/>
    <row r="15916" ht="14.4" customHeight="1" x14ac:dyDescent="0.3"/>
    <row r="15917" ht="14.4" customHeight="1" x14ac:dyDescent="0.3"/>
    <row r="15918" ht="14.4" customHeight="1" x14ac:dyDescent="0.3"/>
    <row r="15919" ht="14.4" customHeight="1" x14ac:dyDescent="0.3"/>
    <row r="15920" ht="14.4" customHeight="1" x14ac:dyDescent="0.3"/>
    <row r="15921" ht="14.4" customHeight="1" x14ac:dyDescent="0.3"/>
    <row r="15922" ht="14.4" customHeight="1" x14ac:dyDescent="0.3"/>
    <row r="15923" ht="14.4" customHeight="1" x14ac:dyDescent="0.3"/>
    <row r="15924" ht="14.4" customHeight="1" x14ac:dyDescent="0.3"/>
    <row r="15925" ht="14.4" customHeight="1" x14ac:dyDescent="0.3"/>
    <row r="15926" ht="14.4" customHeight="1" x14ac:dyDescent="0.3"/>
    <row r="15927" ht="14.4" customHeight="1" x14ac:dyDescent="0.3"/>
    <row r="15928" ht="14.4" customHeight="1" x14ac:dyDescent="0.3"/>
    <row r="15929" ht="14.4" customHeight="1" x14ac:dyDescent="0.3"/>
    <row r="15930" ht="14.4" customHeight="1" x14ac:dyDescent="0.3"/>
    <row r="15931" ht="14.4" customHeight="1" x14ac:dyDescent="0.3"/>
    <row r="15932" ht="14.4" customHeight="1" x14ac:dyDescent="0.3"/>
    <row r="15933" ht="14.4" customHeight="1" x14ac:dyDescent="0.3"/>
    <row r="15934" ht="14.4" customHeight="1" x14ac:dyDescent="0.3"/>
    <row r="15935" ht="14.4" customHeight="1" x14ac:dyDescent="0.3"/>
    <row r="15936" ht="14.4" customHeight="1" x14ac:dyDescent="0.3"/>
    <row r="15937" ht="14.4" customHeight="1" x14ac:dyDescent="0.3"/>
    <row r="15938" ht="14.4" customHeight="1" x14ac:dyDescent="0.3"/>
    <row r="15939" ht="14.4" customHeight="1" x14ac:dyDescent="0.3"/>
    <row r="15940" ht="14.4" customHeight="1" x14ac:dyDescent="0.3"/>
    <row r="15941" ht="14.4" customHeight="1" x14ac:dyDescent="0.3"/>
    <row r="15942" ht="14.4" customHeight="1" x14ac:dyDescent="0.3"/>
    <row r="15943" ht="14.4" customHeight="1" x14ac:dyDescent="0.3"/>
    <row r="15944" ht="14.4" customHeight="1" x14ac:dyDescent="0.3"/>
    <row r="15945" ht="14.4" customHeight="1" x14ac:dyDescent="0.3"/>
    <row r="15946" ht="14.4" customHeight="1" x14ac:dyDescent="0.3"/>
    <row r="15947" ht="14.4" customHeight="1" x14ac:dyDescent="0.3"/>
    <row r="15948" ht="14.4" customHeight="1" x14ac:dyDescent="0.3"/>
    <row r="15949" ht="14.4" customHeight="1" x14ac:dyDescent="0.3"/>
    <row r="15950" ht="14.4" customHeight="1" x14ac:dyDescent="0.3"/>
    <row r="15951" ht="14.4" customHeight="1" x14ac:dyDescent="0.3"/>
    <row r="15952" ht="14.4" customHeight="1" x14ac:dyDescent="0.3"/>
    <row r="15953" ht="14.4" customHeight="1" x14ac:dyDescent="0.3"/>
    <row r="15954" ht="14.4" customHeight="1" x14ac:dyDescent="0.3"/>
    <row r="15955" ht="14.4" customHeight="1" x14ac:dyDescent="0.3"/>
    <row r="15956" ht="14.4" customHeight="1" x14ac:dyDescent="0.3"/>
    <row r="15957" ht="14.4" customHeight="1" x14ac:dyDescent="0.3"/>
    <row r="15958" ht="14.4" customHeight="1" x14ac:dyDescent="0.3"/>
    <row r="15959" ht="14.4" customHeight="1" x14ac:dyDescent="0.3"/>
    <row r="15960" ht="14.4" customHeight="1" x14ac:dyDescent="0.3"/>
    <row r="15961" ht="14.4" customHeight="1" x14ac:dyDescent="0.3"/>
    <row r="15962" ht="14.4" customHeight="1" x14ac:dyDescent="0.3"/>
    <row r="15963" ht="14.4" customHeight="1" x14ac:dyDescent="0.3"/>
    <row r="15964" ht="14.4" customHeight="1" x14ac:dyDescent="0.3"/>
    <row r="15965" ht="14.4" customHeight="1" x14ac:dyDescent="0.3"/>
    <row r="15966" ht="14.4" customHeight="1" x14ac:dyDescent="0.3"/>
    <row r="15967" ht="14.4" customHeight="1" x14ac:dyDescent="0.3"/>
    <row r="15968" ht="14.4" customHeight="1" x14ac:dyDescent="0.3"/>
    <row r="15969" ht="14.4" customHeight="1" x14ac:dyDescent="0.3"/>
    <row r="15970" ht="14.4" customHeight="1" x14ac:dyDescent="0.3"/>
    <row r="15971" ht="14.4" customHeight="1" x14ac:dyDescent="0.3"/>
    <row r="15972" ht="14.4" customHeight="1" x14ac:dyDescent="0.3"/>
    <row r="15973" ht="14.4" customHeight="1" x14ac:dyDescent="0.3"/>
    <row r="15974" ht="14.4" customHeight="1" x14ac:dyDescent="0.3"/>
    <row r="15975" ht="14.4" customHeight="1" x14ac:dyDescent="0.3"/>
    <row r="15976" ht="14.4" customHeight="1" x14ac:dyDescent="0.3"/>
    <row r="15977" ht="14.4" customHeight="1" x14ac:dyDescent="0.3"/>
    <row r="15978" ht="14.4" customHeight="1" x14ac:dyDescent="0.3"/>
    <row r="15979" ht="14.4" customHeight="1" x14ac:dyDescent="0.3"/>
    <row r="15980" ht="14.4" customHeight="1" x14ac:dyDescent="0.3"/>
    <row r="15981" ht="14.4" customHeight="1" x14ac:dyDescent="0.3"/>
    <row r="15982" ht="14.4" customHeight="1" x14ac:dyDescent="0.3"/>
    <row r="15983" ht="14.4" customHeight="1" x14ac:dyDescent="0.3"/>
    <row r="15984" ht="14.4" customHeight="1" x14ac:dyDescent="0.3"/>
    <row r="15985" ht="14.4" customHeight="1" x14ac:dyDescent="0.3"/>
    <row r="15986" ht="14.4" customHeight="1" x14ac:dyDescent="0.3"/>
    <row r="15987" ht="14.4" customHeight="1" x14ac:dyDescent="0.3"/>
    <row r="15988" ht="14.4" customHeight="1" x14ac:dyDescent="0.3"/>
    <row r="15989" ht="14.4" customHeight="1" x14ac:dyDescent="0.3"/>
    <row r="15990" ht="14.4" customHeight="1" x14ac:dyDescent="0.3"/>
    <row r="15991" ht="14.4" customHeight="1" x14ac:dyDescent="0.3"/>
    <row r="15992" ht="14.4" customHeight="1" x14ac:dyDescent="0.3"/>
    <row r="15993" ht="14.4" customHeight="1" x14ac:dyDescent="0.3"/>
    <row r="15994" ht="14.4" customHeight="1" x14ac:dyDescent="0.3"/>
    <row r="15995" ht="14.4" customHeight="1" x14ac:dyDescent="0.3"/>
    <row r="15996" ht="14.4" customHeight="1" x14ac:dyDescent="0.3"/>
    <row r="15997" ht="14.4" customHeight="1" x14ac:dyDescent="0.3"/>
    <row r="15998" ht="14.4" customHeight="1" x14ac:dyDescent="0.3"/>
    <row r="15999" ht="14.4" customHeight="1" x14ac:dyDescent="0.3"/>
    <row r="16000" ht="14.4" customHeight="1" x14ac:dyDescent="0.3"/>
    <row r="16001" ht="14.4" customHeight="1" x14ac:dyDescent="0.3"/>
    <row r="16002" ht="14.4" customHeight="1" x14ac:dyDescent="0.3"/>
    <row r="16003" ht="14.4" customHeight="1" x14ac:dyDescent="0.3"/>
    <row r="16004" ht="14.4" customHeight="1" x14ac:dyDescent="0.3"/>
    <row r="16005" ht="14.4" customHeight="1" x14ac:dyDescent="0.3"/>
    <row r="16006" ht="14.4" customHeight="1" x14ac:dyDescent="0.3"/>
    <row r="16007" ht="14.4" customHeight="1" x14ac:dyDescent="0.3"/>
    <row r="16008" ht="14.4" customHeight="1" x14ac:dyDescent="0.3"/>
    <row r="16009" ht="14.4" customHeight="1" x14ac:dyDescent="0.3"/>
    <row r="16010" ht="14.4" customHeight="1" x14ac:dyDescent="0.3"/>
    <row r="16011" ht="14.4" customHeight="1" x14ac:dyDescent="0.3"/>
    <row r="16012" ht="14.4" customHeight="1" x14ac:dyDescent="0.3"/>
    <row r="16013" ht="14.4" customHeight="1" x14ac:dyDescent="0.3"/>
    <row r="16014" ht="14.4" customHeight="1" x14ac:dyDescent="0.3"/>
    <row r="16015" ht="14.4" customHeight="1" x14ac:dyDescent="0.3"/>
    <row r="16016" ht="14.4" customHeight="1" x14ac:dyDescent="0.3"/>
    <row r="16017" ht="14.4" customHeight="1" x14ac:dyDescent="0.3"/>
    <row r="16018" ht="14.4" customHeight="1" x14ac:dyDescent="0.3"/>
    <row r="16019" ht="14.4" customHeight="1" x14ac:dyDescent="0.3"/>
    <row r="16020" ht="14.4" customHeight="1" x14ac:dyDescent="0.3"/>
    <row r="16021" ht="14.4" customHeight="1" x14ac:dyDescent="0.3"/>
    <row r="16022" ht="14.4" customHeight="1" x14ac:dyDescent="0.3"/>
    <row r="16023" ht="14.4" customHeight="1" x14ac:dyDescent="0.3"/>
    <row r="16024" ht="14.4" customHeight="1" x14ac:dyDescent="0.3"/>
    <row r="16025" ht="14.4" customHeight="1" x14ac:dyDescent="0.3"/>
    <row r="16026" ht="14.4" customHeight="1" x14ac:dyDescent="0.3"/>
    <row r="16027" ht="14.4" customHeight="1" x14ac:dyDescent="0.3"/>
    <row r="16028" ht="14.4" customHeight="1" x14ac:dyDescent="0.3"/>
    <row r="16029" ht="14.4" customHeight="1" x14ac:dyDescent="0.3"/>
    <row r="16030" ht="14.4" customHeight="1" x14ac:dyDescent="0.3"/>
    <row r="16031" ht="14.4" customHeight="1" x14ac:dyDescent="0.3"/>
    <row r="16032" ht="14.4" customHeight="1" x14ac:dyDescent="0.3"/>
    <row r="16033" ht="14.4" customHeight="1" x14ac:dyDescent="0.3"/>
    <row r="16034" ht="14.4" customHeight="1" x14ac:dyDescent="0.3"/>
    <row r="16035" ht="14.4" customHeight="1" x14ac:dyDescent="0.3"/>
    <row r="16036" ht="14.4" customHeight="1" x14ac:dyDescent="0.3"/>
    <row r="16037" ht="14.4" customHeight="1" x14ac:dyDescent="0.3"/>
    <row r="16038" ht="14.4" customHeight="1" x14ac:dyDescent="0.3"/>
    <row r="16039" ht="14.4" customHeight="1" x14ac:dyDescent="0.3"/>
    <row r="16040" ht="14.4" customHeight="1" x14ac:dyDescent="0.3"/>
    <row r="16041" ht="14.4" customHeight="1" x14ac:dyDescent="0.3"/>
    <row r="16042" ht="14.4" customHeight="1" x14ac:dyDescent="0.3"/>
    <row r="16043" ht="14.4" customHeight="1" x14ac:dyDescent="0.3"/>
    <row r="16044" ht="14.4" customHeight="1" x14ac:dyDescent="0.3"/>
    <row r="16045" ht="14.4" customHeight="1" x14ac:dyDescent="0.3"/>
    <row r="16046" ht="14.4" customHeight="1" x14ac:dyDescent="0.3"/>
    <row r="16047" ht="14.4" customHeight="1" x14ac:dyDescent="0.3"/>
    <row r="16048" ht="14.4" customHeight="1" x14ac:dyDescent="0.3"/>
    <row r="16049" ht="14.4" customHeight="1" x14ac:dyDescent="0.3"/>
    <row r="16050" ht="14.4" customHeight="1" x14ac:dyDescent="0.3"/>
    <row r="16051" ht="14.4" customHeight="1" x14ac:dyDescent="0.3"/>
    <row r="16052" ht="14.4" customHeight="1" x14ac:dyDescent="0.3"/>
    <row r="16053" ht="14.4" customHeight="1" x14ac:dyDescent="0.3"/>
    <row r="16054" ht="14.4" customHeight="1" x14ac:dyDescent="0.3"/>
    <row r="16055" ht="14.4" customHeight="1" x14ac:dyDescent="0.3"/>
    <row r="16056" ht="14.4" customHeight="1" x14ac:dyDescent="0.3"/>
    <row r="16057" ht="14.4" customHeight="1" x14ac:dyDescent="0.3"/>
    <row r="16058" ht="14.4" customHeight="1" x14ac:dyDescent="0.3"/>
    <row r="16059" ht="14.4" customHeight="1" x14ac:dyDescent="0.3"/>
    <row r="16060" ht="14.4" customHeight="1" x14ac:dyDescent="0.3"/>
    <row r="16061" ht="14.4" customHeight="1" x14ac:dyDescent="0.3"/>
    <row r="16062" ht="14.4" customHeight="1" x14ac:dyDescent="0.3"/>
    <row r="16063" ht="14.4" customHeight="1" x14ac:dyDescent="0.3"/>
    <row r="16064" ht="14.4" customHeight="1" x14ac:dyDescent="0.3"/>
    <row r="16065" ht="14.4" customHeight="1" x14ac:dyDescent="0.3"/>
    <row r="16066" ht="14.4" customHeight="1" x14ac:dyDescent="0.3"/>
    <row r="16067" ht="14.4" customHeight="1" x14ac:dyDescent="0.3"/>
    <row r="16068" ht="14.4" customHeight="1" x14ac:dyDescent="0.3"/>
    <row r="16069" ht="14.4" customHeight="1" x14ac:dyDescent="0.3"/>
    <row r="16070" ht="14.4" customHeight="1" x14ac:dyDescent="0.3"/>
    <row r="16071" ht="14.4" customHeight="1" x14ac:dyDescent="0.3"/>
    <row r="16072" ht="14.4" customHeight="1" x14ac:dyDescent="0.3"/>
    <row r="16073" ht="14.4" customHeight="1" x14ac:dyDescent="0.3"/>
    <row r="16074" ht="14.4" customHeight="1" x14ac:dyDescent="0.3"/>
    <row r="16075" ht="14.4" customHeight="1" x14ac:dyDescent="0.3"/>
    <row r="16076" ht="14.4" customHeight="1" x14ac:dyDescent="0.3"/>
    <row r="16077" ht="14.4" customHeight="1" x14ac:dyDescent="0.3"/>
    <row r="16078" ht="14.4" customHeight="1" x14ac:dyDescent="0.3"/>
    <row r="16079" ht="14.4" customHeight="1" x14ac:dyDescent="0.3"/>
    <row r="16080" ht="14.4" customHeight="1" x14ac:dyDescent="0.3"/>
    <row r="16081" ht="14.4" customHeight="1" x14ac:dyDescent="0.3"/>
    <row r="16082" ht="14.4" customHeight="1" x14ac:dyDescent="0.3"/>
    <row r="16083" ht="14.4" customHeight="1" x14ac:dyDescent="0.3"/>
    <row r="16084" ht="14.4" customHeight="1" x14ac:dyDescent="0.3"/>
    <row r="16085" ht="14.4" customHeight="1" x14ac:dyDescent="0.3"/>
    <row r="16086" ht="14.4" customHeight="1" x14ac:dyDescent="0.3"/>
    <row r="16087" ht="14.4" customHeight="1" x14ac:dyDescent="0.3"/>
    <row r="16088" ht="14.4" customHeight="1" x14ac:dyDescent="0.3"/>
    <row r="16089" ht="14.4" customHeight="1" x14ac:dyDescent="0.3"/>
    <row r="16090" ht="14.4" customHeight="1" x14ac:dyDescent="0.3"/>
    <row r="16091" ht="14.4" customHeight="1" x14ac:dyDescent="0.3"/>
    <row r="16092" ht="14.4" customHeight="1" x14ac:dyDescent="0.3"/>
    <row r="16093" ht="14.4" customHeight="1" x14ac:dyDescent="0.3"/>
    <row r="16094" ht="14.4" customHeight="1" x14ac:dyDescent="0.3"/>
    <row r="16095" ht="14.4" customHeight="1" x14ac:dyDescent="0.3"/>
    <row r="16096" ht="14.4" customHeight="1" x14ac:dyDescent="0.3"/>
    <row r="16097" ht="14.4" customHeight="1" x14ac:dyDescent="0.3"/>
    <row r="16098" ht="14.4" customHeight="1" x14ac:dyDescent="0.3"/>
    <row r="16099" ht="14.4" customHeight="1" x14ac:dyDescent="0.3"/>
    <row r="16100" ht="14.4" customHeight="1" x14ac:dyDescent="0.3"/>
    <row r="16101" ht="14.4" customHeight="1" x14ac:dyDescent="0.3"/>
    <row r="16102" ht="14.4" customHeight="1" x14ac:dyDescent="0.3"/>
    <row r="16103" ht="14.4" customHeight="1" x14ac:dyDescent="0.3"/>
    <row r="16104" ht="14.4" customHeight="1" x14ac:dyDescent="0.3"/>
    <row r="16105" ht="14.4" customHeight="1" x14ac:dyDescent="0.3"/>
    <row r="16106" ht="14.4" customHeight="1" x14ac:dyDescent="0.3"/>
    <row r="16107" ht="14.4" customHeight="1" x14ac:dyDescent="0.3"/>
    <row r="16108" ht="14.4" customHeight="1" x14ac:dyDescent="0.3"/>
    <row r="16109" ht="14.4" customHeight="1" x14ac:dyDescent="0.3"/>
    <row r="16110" ht="14.4" customHeight="1" x14ac:dyDescent="0.3"/>
    <row r="16111" ht="14.4" customHeight="1" x14ac:dyDescent="0.3"/>
    <row r="16112" ht="14.4" customHeight="1" x14ac:dyDescent="0.3"/>
    <row r="16113" ht="14.4" customHeight="1" x14ac:dyDescent="0.3"/>
    <row r="16114" ht="14.4" customHeight="1" x14ac:dyDescent="0.3"/>
    <row r="16115" ht="14.4" customHeight="1" x14ac:dyDescent="0.3"/>
    <row r="16116" ht="14.4" customHeight="1" x14ac:dyDescent="0.3"/>
    <row r="16117" ht="14.4" customHeight="1" x14ac:dyDescent="0.3"/>
    <row r="16118" ht="14.4" customHeight="1" x14ac:dyDescent="0.3"/>
    <row r="16119" ht="14.4" customHeight="1" x14ac:dyDescent="0.3"/>
    <row r="16120" ht="14.4" customHeight="1" x14ac:dyDescent="0.3"/>
    <row r="16121" ht="14.4" customHeight="1" x14ac:dyDescent="0.3"/>
    <row r="16122" ht="14.4" customHeight="1" x14ac:dyDescent="0.3"/>
    <row r="16123" ht="14.4" customHeight="1" x14ac:dyDescent="0.3"/>
    <row r="16124" ht="14.4" customHeight="1" x14ac:dyDescent="0.3"/>
    <row r="16125" ht="14.4" customHeight="1" x14ac:dyDescent="0.3"/>
    <row r="16126" ht="14.4" customHeight="1" x14ac:dyDescent="0.3"/>
    <row r="16127" ht="14.4" customHeight="1" x14ac:dyDescent="0.3"/>
    <row r="16128" ht="14.4" customHeight="1" x14ac:dyDescent="0.3"/>
    <row r="16129" ht="14.4" customHeight="1" x14ac:dyDescent="0.3"/>
    <row r="16130" ht="14.4" customHeight="1" x14ac:dyDescent="0.3"/>
    <row r="16131" ht="14.4" customHeight="1" x14ac:dyDescent="0.3"/>
    <row r="16132" ht="14.4" customHeight="1" x14ac:dyDescent="0.3"/>
    <row r="16133" ht="14.4" customHeight="1" x14ac:dyDescent="0.3"/>
    <row r="16134" ht="14.4" customHeight="1" x14ac:dyDescent="0.3"/>
    <row r="16135" ht="14.4" customHeight="1" x14ac:dyDescent="0.3"/>
    <row r="16136" ht="14.4" customHeight="1" x14ac:dyDescent="0.3"/>
    <row r="16137" ht="14.4" customHeight="1" x14ac:dyDescent="0.3"/>
    <row r="16138" ht="14.4" customHeight="1" x14ac:dyDescent="0.3"/>
    <row r="16139" ht="14.4" customHeight="1" x14ac:dyDescent="0.3"/>
    <row r="16140" ht="14.4" customHeight="1" x14ac:dyDescent="0.3"/>
    <row r="16141" ht="14.4" customHeight="1" x14ac:dyDescent="0.3"/>
    <row r="16142" ht="14.4" customHeight="1" x14ac:dyDescent="0.3"/>
    <row r="16143" ht="14.4" customHeight="1" x14ac:dyDescent="0.3"/>
    <row r="16144" ht="14.4" customHeight="1" x14ac:dyDescent="0.3"/>
    <row r="16145" ht="14.4" customHeight="1" x14ac:dyDescent="0.3"/>
    <row r="16146" ht="14.4" customHeight="1" x14ac:dyDescent="0.3"/>
    <row r="16147" ht="14.4" customHeight="1" x14ac:dyDescent="0.3"/>
    <row r="16148" ht="14.4" customHeight="1" x14ac:dyDescent="0.3"/>
    <row r="16149" ht="14.4" customHeight="1" x14ac:dyDescent="0.3"/>
    <row r="16150" ht="14.4" customHeight="1" x14ac:dyDescent="0.3"/>
    <row r="16151" ht="14.4" customHeight="1" x14ac:dyDescent="0.3"/>
    <row r="16152" ht="14.4" customHeight="1" x14ac:dyDescent="0.3"/>
    <row r="16153" ht="14.4" customHeight="1" x14ac:dyDescent="0.3"/>
    <row r="16154" ht="14.4" customHeight="1" x14ac:dyDescent="0.3"/>
    <row r="16155" ht="14.4" customHeight="1" x14ac:dyDescent="0.3"/>
    <row r="16156" ht="14.4" customHeight="1" x14ac:dyDescent="0.3"/>
    <row r="16157" ht="14.4" customHeight="1" x14ac:dyDescent="0.3"/>
    <row r="16158" ht="14.4" customHeight="1" x14ac:dyDescent="0.3"/>
    <row r="16159" ht="14.4" customHeight="1" x14ac:dyDescent="0.3"/>
    <row r="16160" ht="14.4" customHeight="1" x14ac:dyDescent="0.3"/>
    <row r="16161" ht="14.4" customHeight="1" x14ac:dyDescent="0.3"/>
    <row r="16162" ht="14.4" customHeight="1" x14ac:dyDescent="0.3"/>
    <row r="16163" ht="14.4" customHeight="1" x14ac:dyDescent="0.3"/>
    <row r="16164" ht="14.4" customHeight="1" x14ac:dyDescent="0.3"/>
    <row r="16165" ht="14.4" customHeight="1" x14ac:dyDescent="0.3"/>
    <row r="16166" ht="14.4" customHeight="1" x14ac:dyDescent="0.3"/>
    <row r="16167" ht="14.4" customHeight="1" x14ac:dyDescent="0.3"/>
    <row r="16168" ht="14.4" customHeight="1" x14ac:dyDescent="0.3"/>
    <row r="16169" ht="14.4" customHeight="1" x14ac:dyDescent="0.3"/>
    <row r="16170" ht="14.4" customHeight="1" x14ac:dyDescent="0.3"/>
    <row r="16171" ht="14.4" customHeight="1" x14ac:dyDescent="0.3"/>
    <row r="16172" ht="14.4" customHeight="1" x14ac:dyDescent="0.3"/>
    <row r="16173" ht="14.4" customHeight="1" x14ac:dyDescent="0.3"/>
    <row r="16174" ht="14.4" customHeight="1" x14ac:dyDescent="0.3"/>
    <row r="16175" ht="14.4" customHeight="1" x14ac:dyDescent="0.3"/>
    <row r="16176" ht="14.4" customHeight="1" x14ac:dyDescent="0.3"/>
    <row r="16177" ht="14.4" customHeight="1" x14ac:dyDescent="0.3"/>
    <row r="16178" ht="14.4" customHeight="1" x14ac:dyDescent="0.3"/>
    <row r="16179" ht="14.4" customHeight="1" x14ac:dyDescent="0.3"/>
    <row r="16180" ht="14.4" customHeight="1" x14ac:dyDescent="0.3"/>
    <row r="16181" ht="14.4" customHeight="1" x14ac:dyDescent="0.3"/>
    <row r="16182" ht="14.4" customHeight="1" x14ac:dyDescent="0.3"/>
    <row r="16183" ht="14.4" customHeight="1" x14ac:dyDescent="0.3"/>
    <row r="16184" ht="14.4" customHeight="1" x14ac:dyDescent="0.3"/>
    <row r="16185" ht="14.4" customHeight="1" x14ac:dyDescent="0.3"/>
    <row r="16186" ht="14.4" customHeight="1" x14ac:dyDescent="0.3"/>
    <row r="16187" ht="14.4" customHeight="1" x14ac:dyDescent="0.3"/>
    <row r="16188" ht="14.4" customHeight="1" x14ac:dyDescent="0.3"/>
    <row r="16189" ht="14.4" customHeight="1" x14ac:dyDescent="0.3"/>
    <row r="16190" ht="14.4" customHeight="1" x14ac:dyDescent="0.3"/>
    <row r="16191" ht="14.4" customHeight="1" x14ac:dyDescent="0.3"/>
    <row r="16192" ht="14.4" customHeight="1" x14ac:dyDescent="0.3"/>
    <row r="16193" ht="14.4" customHeight="1" x14ac:dyDescent="0.3"/>
    <row r="16194" ht="14.4" customHeight="1" x14ac:dyDescent="0.3"/>
    <row r="16195" ht="14.4" customHeight="1" x14ac:dyDescent="0.3"/>
    <row r="16196" ht="14.4" customHeight="1" x14ac:dyDescent="0.3"/>
    <row r="16197" ht="14.4" customHeight="1" x14ac:dyDescent="0.3"/>
    <row r="16198" ht="14.4" customHeight="1" x14ac:dyDescent="0.3"/>
    <row r="16199" ht="14.4" customHeight="1" x14ac:dyDescent="0.3"/>
    <row r="16200" ht="14.4" customHeight="1" x14ac:dyDescent="0.3"/>
    <row r="16201" ht="14.4" customHeight="1" x14ac:dyDescent="0.3"/>
    <row r="16202" ht="14.4" customHeight="1" x14ac:dyDescent="0.3"/>
    <row r="16203" ht="14.4" customHeight="1" x14ac:dyDescent="0.3"/>
    <row r="16204" ht="14.4" customHeight="1" x14ac:dyDescent="0.3"/>
    <row r="16205" ht="14.4" customHeight="1" x14ac:dyDescent="0.3"/>
    <row r="16206" ht="14.4" customHeight="1" x14ac:dyDescent="0.3"/>
    <row r="16207" ht="14.4" customHeight="1" x14ac:dyDescent="0.3"/>
    <row r="16208" ht="14.4" customHeight="1" x14ac:dyDescent="0.3"/>
    <row r="16209" ht="14.4" customHeight="1" x14ac:dyDescent="0.3"/>
    <row r="16210" ht="14.4" customHeight="1" x14ac:dyDescent="0.3"/>
    <row r="16211" ht="14.4" customHeight="1" x14ac:dyDescent="0.3"/>
    <row r="16212" ht="14.4" customHeight="1" x14ac:dyDescent="0.3"/>
    <row r="16213" ht="14.4" customHeight="1" x14ac:dyDescent="0.3"/>
    <row r="16214" ht="14.4" customHeight="1" x14ac:dyDescent="0.3"/>
    <row r="16215" ht="14.4" customHeight="1" x14ac:dyDescent="0.3"/>
    <row r="16216" ht="14.4" customHeight="1" x14ac:dyDescent="0.3"/>
    <row r="16217" ht="14.4" customHeight="1" x14ac:dyDescent="0.3"/>
    <row r="16218" ht="14.4" customHeight="1" x14ac:dyDescent="0.3"/>
    <row r="16219" ht="14.4" customHeight="1" x14ac:dyDescent="0.3"/>
    <row r="16220" ht="14.4" customHeight="1" x14ac:dyDescent="0.3"/>
    <row r="16221" ht="14.4" customHeight="1" x14ac:dyDescent="0.3"/>
    <row r="16222" ht="14.4" customHeight="1" x14ac:dyDescent="0.3"/>
    <row r="16223" ht="14.4" customHeight="1" x14ac:dyDescent="0.3"/>
    <row r="16224" ht="14.4" customHeight="1" x14ac:dyDescent="0.3"/>
    <row r="16225" ht="14.4" customHeight="1" x14ac:dyDescent="0.3"/>
    <row r="16226" ht="14.4" customHeight="1" x14ac:dyDescent="0.3"/>
    <row r="16227" ht="14.4" customHeight="1" x14ac:dyDescent="0.3"/>
    <row r="16228" ht="14.4" customHeight="1" x14ac:dyDescent="0.3"/>
    <row r="16229" ht="14.4" customHeight="1" x14ac:dyDescent="0.3"/>
    <row r="16230" ht="14.4" customHeight="1" x14ac:dyDescent="0.3"/>
    <row r="16231" ht="14.4" customHeight="1" x14ac:dyDescent="0.3"/>
    <row r="16232" ht="14.4" customHeight="1" x14ac:dyDescent="0.3"/>
    <row r="16233" ht="14.4" customHeight="1" x14ac:dyDescent="0.3"/>
    <row r="16234" ht="14.4" customHeight="1" x14ac:dyDescent="0.3"/>
    <row r="16235" ht="14.4" customHeight="1" x14ac:dyDescent="0.3"/>
    <row r="16236" ht="14.4" customHeight="1" x14ac:dyDescent="0.3"/>
    <row r="16237" ht="14.4" customHeight="1" x14ac:dyDescent="0.3"/>
    <row r="16238" ht="14.4" customHeight="1" x14ac:dyDescent="0.3"/>
    <row r="16239" ht="14.4" customHeight="1" x14ac:dyDescent="0.3"/>
    <row r="16240" ht="14.4" customHeight="1" x14ac:dyDescent="0.3"/>
    <row r="16241" ht="14.4" customHeight="1" x14ac:dyDescent="0.3"/>
    <row r="16242" ht="14.4" customHeight="1" x14ac:dyDescent="0.3"/>
    <row r="16243" ht="14.4" customHeight="1" x14ac:dyDescent="0.3"/>
    <row r="16244" ht="14.4" customHeight="1" x14ac:dyDescent="0.3"/>
    <row r="16245" ht="14.4" customHeight="1" x14ac:dyDescent="0.3"/>
    <row r="16246" ht="14.4" customHeight="1" x14ac:dyDescent="0.3"/>
    <row r="16247" ht="14.4" customHeight="1" x14ac:dyDescent="0.3"/>
    <row r="16248" ht="14.4" customHeight="1" x14ac:dyDescent="0.3"/>
    <row r="16249" ht="14.4" customHeight="1" x14ac:dyDescent="0.3"/>
    <row r="16250" ht="14.4" customHeight="1" x14ac:dyDescent="0.3"/>
    <row r="16251" ht="14.4" customHeight="1" x14ac:dyDescent="0.3"/>
    <row r="16252" ht="14.4" customHeight="1" x14ac:dyDescent="0.3"/>
    <row r="16253" ht="14.4" customHeight="1" x14ac:dyDescent="0.3"/>
    <row r="16254" ht="14.4" customHeight="1" x14ac:dyDescent="0.3"/>
    <row r="16255" ht="14.4" customHeight="1" x14ac:dyDescent="0.3"/>
    <row r="16256" ht="14.4" customHeight="1" x14ac:dyDescent="0.3"/>
    <row r="16257" ht="14.4" customHeight="1" x14ac:dyDescent="0.3"/>
    <row r="16258" ht="14.4" customHeight="1" x14ac:dyDescent="0.3"/>
    <row r="16259" ht="14.4" customHeight="1" x14ac:dyDescent="0.3"/>
    <row r="16260" ht="14.4" customHeight="1" x14ac:dyDescent="0.3"/>
    <row r="16261" ht="14.4" customHeight="1" x14ac:dyDescent="0.3"/>
    <row r="16262" ht="14.4" customHeight="1" x14ac:dyDescent="0.3"/>
    <row r="16263" ht="14.4" customHeight="1" x14ac:dyDescent="0.3"/>
    <row r="16264" ht="14.4" customHeight="1" x14ac:dyDescent="0.3"/>
    <row r="16265" ht="14.4" customHeight="1" x14ac:dyDescent="0.3"/>
    <row r="16266" ht="14.4" customHeight="1" x14ac:dyDescent="0.3"/>
    <row r="16267" ht="14.4" customHeight="1" x14ac:dyDescent="0.3"/>
    <row r="16268" ht="14.4" customHeight="1" x14ac:dyDescent="0.3"/>
    <row r="16269" ht="14.4" customHeight="1" x14ac:dyDescent="0.3"/>
    <row r="16270" ht="14.4" customHeight="1" x14ac:dyDescent="0.3"/>
    <row r="16271" ht="14.4" customHeight="1" x14ac:dyDescent="0.3"/>
    <row r="16272" ht="14.4" customHeight="1" x14ac:dyDescent="0.3"/>
    <row r="16273" ht="14.4" customHeight="1" x14ac:dyDescent="0.3"/>
    <row r="16274" ht="14.4" customHeight="1" x14ac:dyDescent="0.3"/>
    <row r="16275" ht="14.4" customHeight="1" x14ac:dyDescent="0.3"/>
    <row r="16276" ht="14.4" customHeight="1" x14ac:dyDescent="0.3"/>
    <row r="16277" ht="14.4" customHeight="1" x14ac:dyDescent="0.3"/>
    <row r="16278" ht="14.4" customHeight="1" x14ac:dyDescent="0.3"/>
    <row r="16279" ht="14.4" customHeight="1" x14ac:dyDescent="0.3"/>
    <row r="16280" ht="14.4" customHeight="1" x14ac:dyDescent="0.3"/>
    <row r="16281" ht="14.4" customHeight="1" x14ac:dyDescent="0.3"/>
    <row r="16282" ht="14.4" customHeight="1" x14ac:dyDescent="0.3"/>
    <row r="16283" ht="14.4" customHeight="1" x14ac:dyDescent="0.3"/>
    <row r="16284" ht="14.4" customHeight="1" x14ac:dyDescent="0.3"/>
    <row r="16285" ht="14.4" customHeight="1" x14ac:dyDescent="0.3"/>
    <row r="16286" ht="14.4" customHeight="1" x14ac:dyDescent="0.3"/>
    <row r="16287" ht="14.4" customHeight="1" x14ac:dyDescent="0.3"/>
    <row r="16288" ht="14.4" customHeight="1" x14ac:dyDescent="0.3"/>
    <row r="16289" ht="14.4" customHeight="1" x14ac:dyDescent="0.3"/>
    <row r="16290" ht="14.4" customHeight="1" x14ac:dyDescent="0.3"/>
    <row r="16291" ht="14.4" customHeight="1" x14ac:dyDescent="0.3"/>
    <row r="16292" ht="14.4" customHeight="1" x14ac:dyDescent="0.3"/>
    <row r="16293" ht="14.4" customHeight="1" x14ac:dyDescent="0.3"/>
    <row r="16294" ht="14.4" customHeight="1" x14ac:dyDescent="0.3"/>
    <row r="16295" ht="14.4" customHeight="1" x14ac:dyDescent="0.3"/>
    <row r="16296" ht="14.4" customHeight="1" x14ac:dyDescent="0.3"/>
    <row r="16297" ht="14.4" customHeight="1" x14ac:dyDescent="0.3"/>
    <row r="16298" ht="14.4" customHeight="1" x14ac:dyDescent="0.3"/>
    <row r="16299" ht="14.4" customHeight="1" x14ac:dyDescent="0.3"/>
    <row r="16300" ht="14.4" customHeight="1" x14ac:dyDescent="0.3"/>
    <row r="16301" ht="14.4" customHeight="1" x14ac:dyDescent="0.3"/>
    <row r="16302" ht="14.4" customHeight="1" x14ac:dyDescent="0.3"/>
    <row r="16303" ht="14.4" customHeight="1" x14ac:dyDescent="0.3"/>
    <row r="16304" ht="14.4" customHeight="1" x14ac:dyDescent="0.3"/>
    <row r="16305" ht="14.4" customHeight="1" x14ac:dyDescent="0.3"/>
    <row r="16306" ht="14.4" customHeight="1" x14ac:dyDescent="0.3"/>
    <row r="16307" ht="14.4" customHeight="1" x14ac:dyDescent="0.3"/>
    <row r="16308" ht="14.4" customHeight="1" x14ac:dyDescent="0.3"/>
    <row r="16309" ht="14.4" customHeight="1" x14ac:dyDescent="0.3"/>
    <row r="16310" ht="14.4" customHeight="1" x14ac:dyDescent="0.3"/>
    <row r="16311" ht="14.4" customHeight="1" x14ac:dyDescent="0.3"/>
    <row r="16312" ht="14.4" customHeight="1" x14ac:dyDescent="0.3"/>
    <row r="16313" ht="14.4" customHeight="1" x14ac:dyDescent="0.3"/>
    <row r="16314" ht="14.4" customHeight="1" x14ac:dyDescent="0.3"/>
    <row r="16315" ht="14.4" customHeight="1" x14ac:dyDescent="0.3"/>
    <row r="16316" ht="14.4" customHeight="1" x14ac:dyDescent="0.3"/>
    <row r="16317" ht="14.4" customHeight="1" x14ac:dyDescent="0.3"/>
    <row r="16318" ht="14.4" customHeight="1" x14ac:dyDescent="0.3"/>
    <row r="16319" ht="14.4" customHeight="1" x14ac:dyDescent="0.3"/>
    <row r="16320" ht="14.4" customHeight="1" x14ac:dyDescent="0.3"/>
    <row r="16321" ht="14.4" customHeight="1" x14ac:dyDescent="0.3"/>
    <row r="16322" ht="14.4" customHeight="1" x14ac:dyDescent="0.3"/>
    <row r="16323" ht="14.4" customHeight="1" x14ac:dyDescent="0.3"/>
    <row r="16324" ht="14.4" customHeight="1" x14ac:dyDescent="0.3"/>
    <row r="16325" ht="14.4" customHeight="1" x14ac:dyDescent="0.3"/>
    <row r="16326" ht="14.4" customHeight="1" x14ac:dyDescent="0.3"/>
    <row r="16327" ht="14.4" customHeight="1" x14ac:dyDescent="0.3"/>
    <row r="16328" ht="14.4" customHeight="1" x14ac:dyDescent="0.3"/>
    <row r="16329" ht="14.4" customHeight="1" x14ac:dyDescent="0.3"/>
    <row r="16330" ht="14.4" customHeight="1" x14ac:dyDescent="0.3"/>
    <row r="16331" ht="14.4" customHeight="1" x14ac:dyDescent="0.3"/>
    <row r="16332" ht="14.4" customHeight="1" x14ac:dyDescent="0.3"/>
    <row r="16333" ht="14.4" customHeight="1" x14ac:dyDescent="0.3"/>
    <row r="16334" ht="14.4" customHeight="1" x14ac:dyDescent="0.3"/>
    <row r="16335" ht="14.4" customHeight="1" x14ac:dyDescent="0.3"/>
    <row r="16336" ht="14.4" customHeight="1" x14ac:dyDescent="0.3"/>
    <row r="16337" ht="14.4" customHeight="1" x14ac:dyDescent="0.3"/>
    <row r="16338" ht="14.4" customHeight="1" x14ac:dyDescent="0.3"/>
    <row r="16339" ht="14.4" customHeight="1" x14ac:dyDescent="0.3"/>
    <row r="16340" ht="14.4" customHeight="1" x14ac:dyDescent="0.3"/>
    <row r="16341" ht="14.4" customHeight="1" x14ac:dyDescent="0.3"/>
    <row r="16342" ht="14.4" customHeight="1" x14ac:dyDescent="0.3"/>
    <row r="16343" ht="14.4" customHeight="1" x14ac:dyDescent="0.3"/>
    <row r="16344" ht="14.4" customHeight="1" x14ac:dyDescent="0.3"/>
    <row r="16345" ht="14.4" customHeight="1" x14ac:dyDescent="0.3"/>
    <row r="16346" ht="14.4" customHeight="1" x14ac:dyDescent="0.3"/>
    <row r="16347" ht="14.4" customHeight="1" x14ac:dyDescent="0.3"/>
    <row r="16348" ht="14.4" customHeight="1" x14ac:dyDescent="0.3"/>
    <row r="16349" ht="14.4" customHeight="1" x14ac:dyDescent="0.3"/>
    <row r="16350" ht="14.4" customHeight="1" x14ac:dyDescent="0.3"/>
    <row r="16351" ht="14.4" customHeight="1" x14ac:dyDescent="0.3"/>
    <row r="16352" ht="14.4" customHeight="1" x14ac:dyDescent="0.3"/>
    <row r="16353" ht="14.4" customHeight="1" x14ac:dyDescent="0.3"/>
    <row r="16354" ht="14.4" customHeight="1" x14ac:dyDescent="0.3"/>
    <row r="16355" ht="14.4" customHeight="1" x14ac:dyDescent="0.3"/>
    <row r="16356" ht="14.4" customHeight="1" x14ac:dyDescent="0.3"/>
    <row r="16357" ht="14.4" customHeight="1" x14ac:dyDescent="0.3"/>
    <row r="16358" ht="14.4" customHeight="1" x14ac:dyDescent="0.3"/>
    <row r="16359" ht="14.4" customHeight="1" x14ac:dyDescent="0.3"/>
    <row r="16360" ht="14.4" customHeight="1" x14ac:dyDescent="0.3"/>
    <row r="16361" ht="14.4" customHeight="1" x14ac:dyDescent="0.3"/>
    <row r="16362" ht="14.4" customHeight="1" x14ac:dyDescent="0.3"/>
    <row r="16363" ht="14.4" customHeight="1" x14ac:dyDescent="0.3"/>
    <row r="16364" ht="14.4" customHeight="1" x14ac:dyDescent="0.3"/>
    <row r="16365" ht="14.4" customHeight="1" x14ac:dyDescent="0.3"/>
    <row r="16366" ht="14.4" customHeight="1" x14ac:dyDescent="0.3"/>
    <row r="16367" ht="14.4" customHeight="1" x14ac:dyDescent="0.3"/>
    <row r="16368" ht="14.4" customHeight="1" x14ac:dyDescent="0.3"/>
    <row r="16369" ht="14.4" customHeight="1" x14ac:dyDescent="0.3"/>
    <row r="16370" ht="14.4" customHeight="1" x14ac:dyDescent="0.3"/>
    <row r="16371" ht="14.4" customHeight="1" x14ac:dyDescent="0.3"/>
    <row r="16372" ht="14.4" customHeight="1" x14ac:dyDescent="0.3"/>
    <row r="16373" ht="14.4" customHeight="1" x14ac:dyDescent="0.3"/>
    <row r="16374" ht="14.4" customHeight="1" x14ac:dyDescent="0.3"/>
    <row r="16375" ht="14.4" customHeight="1" x14ac:dyDescent="0.3"/>
    <row r="16376" ht="14.4" customHeight="1" x14ac:dyDescent="0.3"/>
    <row r="16377" ht="14.4" customHeight="1" x14ac:dyDescent="0.3"/>
    <row r="16378" ht="14.4" customHeight="1" x14ac:dyDescent="0.3"/>
    <row r="16379" ht="14.4" customHeight="1" x14ac:dyDescent="0.3"/>
    <row r="16380" ht="14.4" customHeight="1" x14ac:dyDescent="0.3"/>
    <row r="16381" ht="14.4" customHeight="1" x14ac:dyDescent="0.3"/>
    <row r="16382" ht="14.4" customHeight="1" x14ac:dyDescent="0.3"/>
    <row r="16383" ht="14.4" customHeight="1" x14ac:dyDescent="0.3"/>
    <row r="16384" ht="14.4" customHeight="1" x14ac:dyDescent="0.3"/>
    <row r="16385" ht="14.4" customHeight="1" x14ac:dyDescent="0.3"/>
    <row r="16386" ht="14.4" customHeight="1" x14ac:dyDescent="0.3"/>
    <row r="16387" ht="14.4" customHeight="1" x14ac:dyDescent="0.3"/>
    <row r="16388" ht="14.4" customHeight="1" x14ac:dyDescent="0.3"/>
    <row r="16389" ht="14.4" customHeight="1" x14ac:dyDescent="0.3"/>
    <row r="16390" ht="14.4" customHeight="1" x14ac:dyDescent="0.3"/>
    <row r="16391" ht="14.4" customHeight="1" x14ac:dyDescent="0.3"/>
    <row r="16392" ht="14.4" customHeight="1" x14ac:dyDescent="0.3"/>
    <row r="16393" ht="14.4" customHeight="1" x14ac:dyDescent="0.3"/>
    <row r="16394" ht="14.4" customHeight="1" x14ac:dyDescent="0.3"/>
    <row r="16395" ht="14.4" customHeight="1" x14ac:dyDescent="0.3"/>
    <row r="16396" ht="14.4" customHeight="1" x14ac:dyDescent="0.3"/>
    <row r="16397" ht="14.4" customHeight="1" x14ac:dyDescent="0.3"/>
    <row r="16398" ht="14.4" customHeight="1" x14ac:dyDescent="0.3"/>
    <row r="16399" ht="14.4" customHeight="1" x14ac:dyDescent="0.3"/>
    <row r="16400" ht="14.4" customHeight="1" x14ac:dyDescent="0.3"/>
    <row r="16401" ht="14.4" customHeight="1" x14ac:dyDescent="0.3"/>
    <row r="16402" ht="14.4" customHeight="1" x14ac:dyDescent="0.3"/>
    <row r="16403" ht="14.4" customHeight="1" x14ac:dyDescent="0.3"/>
    <row r="16404" ht="14.4" customHeight="1" x14ac:dyDescent="0.3"/>
    <row r="16405" ht="14.4" customHeight="1" x14ac:dyDescent="0.3"/>
    <row r="16406" ht="14.4" customHeight="1" x14ac:dyDescent="0.3"/>
    <row r="16407" ht="14.4" customHeight="1" x14ac:dyDescent="0.3"/>
    <row r="16408" ht="14.4" customHeight="1" x14ac:dyDescent="0.3"/>
    <row r="16409" ht="14.4" customHeight="1" x14ac:dyDescent="0.3"/>
    <row r="16410" ht="14.4" customHeight="1" x14ac:dyDescent="0.3"/>
    <row r="16411" ht="14.4" customHeight="1" x14ac:dyDescent="0.3"/>
    <row r="16412" ht="14.4" customHeight="1" x14ac:dyDescent="0.3"/>
    <row r="16413" ht="14.4" customHeight="1" x14ac:dyDescent="0.3"/>
    <row r="16414" ht="14.4" customHeight="1" x14ac:dyDescent="0.3"/>
    <row r="16415" ht="14.4" customHeight="1" x14ac:dyDescent="0.3"/>
    <row r="16416" ht="14.4" customHeight="1" x14ac:dyDescent="0.3"/>
    <row r="16417" ht="14.4" customHeight="1" x14ac:dyDescent="0.3"/>
    <row r="16418" ht="14.4" customHeight="1" x14ac:dyDescent="0.3"/>
    <row r="16419" ht="14.4" customHeight="1" x14ac:dyDescent="0.3"/>
    <row r="16420" ht="14.4" customHeight="1" x14ac:dyDescent="0.3"/>
    <row r="16421" ht="14.4" customHeight="1" x14ac:dyDescent="0.3"/>
    <row r="16422" ht="14.4" customHeight="1" x14ac:dyDescent="0.3"/>
    <row r="16423" ht="14.4" customHeight="1" x14ac:dyDescent="0.3"/>
    <row r="16424" ht="14.4" customHeight="1" x14ac:dyDescent="0.3"/>
    <row r="16425" ht="14.4" customHeight="1" x14ac:dyDescent="0.3"/>
    <row r="16426" ht="14.4" customHeight="1" x14ac:dyDescent="0.3"/>
    <row r="16427" ht="14.4" customHeight="1" x14ac:dyDescent="0.3"/>
    <row r="16428" ht="14.4" customHeight="1" x14ac:dyDescent="0.3"/>
    <row r="16429" ht="14.4" customHeight="1" x14ac:dyDescent="0.3"/>
    <row r="16430" ht="14.4" customHeight="1" x14ac:dyDescent="0.3"/>
    <row r="16431" ht="14.4" customHeight="1" x14ac:dyDescent="0.3"/>
    <row r="16432" ht="14.4" customHeight="1" x14ac:dyDescent="0.3"/>
    <row r="16433" ht="14.4" customHeight="1" x14ac:dyDescent="0.3"/>
    <row r="16434" ht="14.4" customHeight="1" x14ac:dyDescent="0.3"/>
    <row r="16435" ht="14.4" customHeight="1" x14ac:dyDescent="0.3"/>
    <row r="16436" ht="14.4" customHeight="1" x14ac:dyDescent="0.3"/>
    <row r="16437" ht="14.4" customHeight="1" x14ac:dyDescent="0.3"/>
    <row r="16438" ht="14.4" customHeight="1" x14ac:dyDescent="0.3"/>
    <row r="16439" ht="14.4" customHeight="1" x14ac:dyDescent="0.3"/>
    <row r="16440" ht="14.4" customHeight="1" x14ac:dyDescent="0.3"/>
    <row r="16441" ht="14.4" customHeight="1" x14ac:dyDescent="0.3"/>
    <row r="16442" ht="14.4" customHeight="1" x14ac:dyDescent="0.3"/>
    <row r="16443" ht="14.4" customHeight="1" x14ac:dyDescent="0.3"/>
    <row r="16444" ht="14.4" customHeight="1" x14ac:dyDescent="0.3"/>
    <row r="16445" ht="14.4" customHeight="1" x14ac:dyDescent="0.3"/>
    <row r="16446" ht="14.4" customHeight="1" x14ac:dyDescent="0.3"/>
    <row r="16447" ht="14.4" customHeight="1" x14ac:dyDescent="0.3"/>
    <row r="16448" ht="14.4" customHeight="1" x14ac:dyDescent="0.3"/>
    <row r="16449" ht="14.4" customHeight="1" x14ac:dyDescent="0.3"/>
    <row r="16450" ht="14.4" customHeight="1" x14ac:dyDescent="0.3"/>
    <row r="16451" ht="14.4" customHeight="1" x14ac:dyDescent="0.3"/>
    <row r="16452" ht="14.4" customHeight="1" x14ac:dyDescent="0.3"/>
    <row r="16453" ht="14.4" customHeight="1" x14ac:dyDescent="0.3"/>
    <row r="16454" ht="14.4" customHeight="1" x14ac:dyDescent="0.3"/>
    <row r="16455" ht="14.4" customHeight="1" x14ac:dyDescent="0.3"/>
    <row r="16456" ht="14.4" customHeight="1" x14ac:dyDescent="0.3"/>
    <row r="16457" ht="14.4" customHeight="1" x14ac:dyDescent="0.3"/>
    <row r="16458" ht="14.4" customHeight="1" x14ac:dyDescent="0.3"/>
    <row r="16459" ht="14.4" customHeight="1" x14ac:dyDescent="0.3"/>
    <row r="16460" ht="14.4" customHeight="1" x14ac:dyDescent="0.3"/>
    <row r="16461" ht="14.4" customHeight="1" x14ac:dyDescent="0.3"/>
    <row r="16462" ht="14.4" customHeight="1" x14ac:dyDescent="0.3"/>
    <row r="16463" ht="14.4" customHeight="1" x14ac:dyDescent="0.3"/>
    <row r="16464" ht="14.4" customHeight="1" x14ac:dyDescent="0.3"/>
    <row r="16465" ht="14.4" customHeight="1" x14ac:dyDescent="0.3"/>
    <row r="16466" ht="14.4" customHeight="1" x14ac:dyDescent="0.3"/>
    <row r="16467" ht="14.4" customHeight="1" x14ac:dyDescent="0.3"/>
    <row r="16468" ht="14.4" customHeight="1" x14ac:dyDescent="0.3"/>
    <row r="16469" ht="14.4" customHeight="1" x14ac:dyDescent="0.3"/>
    <row r="16470" ht="14.4" customHeight="1" x14ac:dyDescent="0.3"/>
    <row r="16471" ht="14.4" customHeight="1" x14ac:dyDescent="0.3"/>
    <row r="16472" ht="14.4" customHeight="1" x14ac:dyDescent="0.3"/>
    <row r="16473" ht="14.4" customHeight="1" x14ac:dyDescent="0.3"/>
    <row r="16474" ht="14.4" customHeight="1" x14ac:dyDescent="0.3"/>
    <row r="16475" ht="14.4" customHeight="1" x14ac:dyDescent="0.3"/>
    <row r="16476" ht="14.4" customHeight="1" x14ac:dyDescent="0.3"/>
    <row r="16477" ht="14.4" customHeight="1" x14ac:dyDescent="0.3"/>
    <row r="16478" ht="14.4" customHeight="1" x14ac:dyDescent="0.3"/>
    <row r="16479" ht="14.4" customHeight="1" x14ac:dyDescent="0.3"/>
    <row r="16480" ht="14.4" customHeight="1" x14ac:dyDescent="0.3"/>
    <row r="16481" ht="14.4" customHeight="1" x14ac:dyDescent="0.3"/>
    <row r="16482" ht="14.4" customHeight="1" x14ac:dyDescent="0.3"/>
    <row r="16483" ht="14.4" customHeight="1" x14ac:dyDescent="0.3"/>
    <row r="16484" ht="14.4" customHeight="1" x14ac:dyDescent="0.3"/>
    <row r="16485" ht="14.4" customHeight="1" x14ac:dyDescent="0.3"/>
    <row r="16486" ht="14.4" customHeight="1" x14ac:dyDescent="0.3"/>
    <row r="16487" ht="14.4" customHeight="1" x14ac:dyDescent="0.3"/>
    <row r="16488" ht="14.4" customHeight="1" x14ac:dyDescent="0.3"/>
    <row r="16489" ht="14.4" customHeight="1" x14ac:dyDescent="0.3"/>
    <row r="16490" ht="14.4" customHeight="1" x14ac:dyDescent="0.3"/>
    <row r="16491" ht="14.4" customHeight="1" x14ac:dyDescent="0.3"/>
    <row r="16492" ht="14.4" customHeight="1" x14ac:dyDescent="0.3"/>
    <row r="16493" ht="14.4" customHeight="1" x14ac:dyDescent="0.3"/>
    <row r="16494" ht="14.4" customHeight="1" x14ac:dyDescent="0.3"/>
    <row r="16495" ht="14.4" customHeight="1" x14ac:dyDescent="0.3"/>
    <row r="16496" ht="14.4" customHeight="1" x14ac:dyDescent="0.3"/>
    <row r="16497" ht="14.4" customHeight="1" x14ac:dyDescent="0.3"/>
    <row r="16498" ht="14.4" customHeight="1" x14ac:dyDescent="0.3"/>
    <row r="16499" ht="14.4" customHeight="1" x14ac:dyDescent="0.3"/>
    <row r="16500" ht="14.4" customHeight="1" x14ac:dyDescent="0.3"/>
    <row r="16501" ht="14.4" customHeight="1" x14ac:dyDescent="0.3"/>
    <row r="16502" ht="14.4" customHeight="1" x14ac:dyDescent="0.3"/>
    <row r="16503" ht="14.4" customHeight="1" x14ac:dyDescent="0.3"/>
    <row r="16504" ht="14.4" customHeight="1" x14ac:dyDescent="0.3"/>
    <row r="16505" ht="14.4" customHeight="1" x14ac:dyDescent="0.3"/>
    <row r="16506" ht="14.4" customHeight="1" x14ac:dyDescent="0.3"/>
    <row r="16507" ht="14.4" customHeight="1" x14ac:dyDescent="0.3"/>
    <row r="16508" ht="14.4" customHeight="1" x14ac:dyDescent="0.3"/>
    <row r="16509" ht="14.4" customHeight="1" x14ac:dyDescent="0.3"/>
    <row r="16510" ht="14.4" customHeight="1" x14ac:dyDescent="0.3"/>
    <row r="16511" ht="14.4" customHeight="1" x14ac:dyDescent="0.3"/>
    <row r="16512" ht="14.4" customHeight="1" x14ac:dyDescent="0.3"/>
    <row r="16513" ht="14.4" customHeight="1" x14ac:dyDescent="0.3"/>
    <row r="16514" ht="14.4" customHeight="1" x14ac:dyDescent="0.3"/>
    <row r="16515" ht="14.4" customHeight="1" x14ac:dyDescent="0.3"/>
    <row r="16516" ht="14.4" customHeight="1" x14ac:dyDescent="0.3"/>
    <row r="16517" ht="14.4" customHeight="1" x14ac:dyDescent="0.3"/>
    <row r="16518" ht="14.4" customHeight="1" x14ac:dyDescent="0.3"/>
    <row r="16519" ht="14.4" customHeight="1" x14ac:dyDescent="0.3"/>
    <row r="16520" ht="14.4" customHeight="1" x14ac:dyDescent="0.3"/>
    <row r="16521" ht="14.4" customHeight="1" x14ac:dyDescent="0.3"/>
    <row r="16522" ht="14.4" customHeight="1" x14ac:dyDescent="0.3"/>
    <row r="16523" ht="14.4" customHeight="1" x14ac:dyDescent="0.3"/>
    <row r="16524" ht="14.4" customHeight="1" x14ac:dyDescent="0.3"/>
    <row r="16525" ht="14.4" customHeight="1" x14ac:dyDescent="0.3"/>
    <row r="16526" ht="14.4" customHeight="1" x14ac:dyDescent="0.3"/>
    <row r="16527" ht="14.4" customHeight="1" x14ac:dyDescent="0.3"/>
    <row r="16528" ht="14.4" customHeight="1" x14ac:dyDescent="0.3"/>
    <row r="16529" ht="14.4" customHeight="1" x14ac:dyDescent="0.3"/>
    <row r="16530" ht="14.4" customHeight="1" x14ac:dyDescent="0.3"/>
    <row r="16531" ht="14.4" customHeight="1" x14ac:dyDescent="0.3"/>
    <row r="16532" ht="14.4" customHeight="1" x14ac:dyDescent="0.3"/>
    <row r="16533" ht="14.4" customHeight="1" x14ac:dyDescent="0.3"/>
    <row r="16534" ht="14.4" customHeight="1" x14ac:dyDescent="0.3"/>
    <row r="16535" ht="14.4" customHeight="1" x14ac:dyDescent="0.3"/>
    <row r="16536" ht="14.4" customHeight="1" x14ac:dyDescent="0.3"/>
    <row r="16537" ht="14.4" customHeight="1" x14ac:dyDescent="0.3"/>
    <row r="16538" ht="14.4" customHeight="1" x14ac:dyDescent="0.3"/>
    <row r="16539" ht="14.4" customHeight="1" x14ac:dyDescent="0.3"/>
    <row r="16540" ht="14.4" customHeight="1" x14ac:dyDescent="0.3"/>
    <row r="16541" ht="14.4" customHeight="1" x14ac:dyDescent="0.3"/>
    <row r="16542" ht="14.4" customHeight="1" x14ac:dyDescent="0.3"/>
    <row r="16543" ht="14.4" customHeight="1" x14ac:dyDescent="0.3"/>
    <row r="16544" ht="14.4" customHeight="1" x14ac:dyDescent="0.3"/>
    <row r="16545" ht="14.4" customHeight="1" x14ac:dyDescent="0.3"/>
    <row r="16546" ht="14.4" customHeight="1" x14ac:dyDescent="0.3"/>
    <row r="16547" ht="14.4" customHeight="1" x14ac:dyDescent="0.3"/>
    <row r="16548" ht="14.4" customHeight="1" x14ac:dyDescent="0.3"/>
    <row r="16549" ht="14.4" customHeight="1" x14ac:dyDescent="0.3"/>
    <row r="16550" ht="14.4" customHeight="1" x14ac:dyDescent="0.3"/>
    <row r="16551" ht="14.4" customHeight="1" x14ac:dyDescent="0.3"/>
    <row r="16552" ht="14.4" customHeight="1" x14ac:dyDescent="0.3"/>
    <row r="16553" ht="14.4" customHeight="1" x14ac:dyDescent="0.3"/>
    <row r="16554" ht="14.4" customHeight="1" x14ac:dyDescent="0.3"/>
    <row r="16555" ht="14.4" customHeight="1" x14ac:dyDescent="0.3"/>
    <row r="16556" ht="14.4" customHeight="1" x14ac:dyDescent="0.3"/>
    <row r="16557" ht="14.4" customHeight="1" x14ac:dyDescent="0.3"/>
    <row r="16558" ht="14.4" customHeight="1" x14ac:dyDescent="0.3"/>
    <row r="16559" ht="14.4" customHeight="1" x14ac:dyDescent="0.3"/>
    <row r="16560" ht="14.4" customHeight="1" x14ac:dyDescent="0.3"/>
    <row r="16561" ht="14.4" customHeight="1" x14ac:dyDescent="0.3"/>
    <row r="16562" ht="14.4" customHeight="1" x14ac:dyDescent="0.3"/>
    <row r="16563" ht="14.4" customHeight="1" x14ac:dyDescent="0.3"/>
    <row r="16564" ht="14.4" customHeight="1" x14ac:dyDescent="0.3"/>
    <row r="16565" ht="14.4" customHeight="1" x14ac:dyDescent="0.3"/>
    <row r="16566" ht="14.4" customHeight="1" x14ac:dyDescent="0.3"/>
    <row r="16567" ht="14.4" customHeight="1" x14ac:dyDescent="0.3"/>
    <row r="16568" ht="14.4" customHeight="1" x14ac:dyDescent="0.3"/>
    <row r="16569" ht="14.4" customHeight="1" x14ac:dyDescent="0.3"/>
    <row r="16570" ht="14.4" customHeight="1" x14ac:dyDescent="0.3"/>
    <row r="16571" ht="14.4" customHeight="1" x14ac:dyDescent="0.3"/>
    <row r="16572" ht="14.4" customHeight="1" x14ac:dyDescent="0.3"/>
    <row r="16573" ht="14.4" customHeight="1" x14ac:dyDescent="0.3"/>
    <row r="16574" ht="14.4" customHeight="1" x14ac:dyDescent="0.3"/>
    <row r="16575" ht="14.4" customHeight="1" x14ac:dyDescent="0.3"/>
    <row r="16576" ht="14.4" customHeight="1" x14ac:dyDescent="0.3"/>
    <row r="16577" ht="14.4" customHeight="1" x14ac:dyDescent="0.3"/>
    <row r="16578" ht="14.4" customHeight="1" x14ac:dyDescent="0.3"/>
    <row r="16579" ht="14.4" customHeight="1" x14ac:dyDescent="0.3"/>
    <row r="16580" ht="14.4" customHeight="1" x14ac:dyDescent="0.3"/>
    <row r="16581" ht="14.4" customHeight="1" x14ac:dyDescent="0.3"/>
    <row r="16582" ht="14.4" customHeight="1" x14ac:dyDescent="0.3"/>
    <row r="16583" ht="14.4" customHeight="1" x14ac:dyDescent="0.3"/>
    <row r="16584" ht="14.4" customHeight="1" x14ac:dyDescent="0.3"/>
    <row r="16585" ht="14.4" customHeight="1" x14ac:dyDescent="0.3"/>
    <row r="16586" ht="14.4" customHeight="1" x14ac:dyDescent="0.3"/>
    <row r="16587" ht="14.4" customHeight="1" x14ac:dyDescent="0.3"/>
    <row r="16588" ht="14.4" customHeight="1" x14ac:dyDescent="0.3"/>
    <row r="16589" ht="14.4" customHeight="1" x14ac:dyDescent="0.3"/>
    <row r="16590" ht="14.4" customHeight="1" x14ac:dyDescent="0.3"/>
    <row r="16591" ht="14.4" customHeight="1" x14ac:dyDescent="0.3"/>
    <row r="16592" ht="14.4" customHeight="1" x14ac:dyDescent="0.3"/>
    <row r="16593" ht="14.4" customHeight="1" x14ac:dyDescent="0.3"/>
    <row r="16594" ht="14.4" customHeight="1" x14ac:dyDescent="0.3"/>
    <row r="16595" ht="14.4" customHeight="1" x14ac:dyDescent="0.3"/>
    <row r="16596" ht="14.4" customHeight="1" x14ac:dyDescent="0.3"/>
    <row r="16597" ht="14.4" customHeight="1" x14ac:dyDescent="0.3"/>
    <row r="16598" ht="14.4" customHeight="1" x14ac:dyDescent="0.3"/>
    <row r="16599" ht="14.4" customHeight="1" x14ac:dyDescent="0.3"/>
    <row r="16600" ht="14.4" customHeight="1" x14ac:dyDescent="0.3"/>
    <row r="16601" ht="14.4" customHeight="1" x14ac:dyDescent="0.3"/>
    <row r="16602" ht="14.4" customHeight="1" x14ac:dyDescent="0.3"/>
    <row r="16603" ht="14.4" customHeight="1" x14ac:dyDescent="0.3"/>
    <row r="16604" ht="14.4" customHeight="1" x14ac:dyDescent="0.3"/>
    <row r="16605" ht="14.4" customHeight="1" x14ac:dyDescent="0.3"/>
    <row r="16606" ht="14.4" customHeight="1" x14ac:dyDescent="0.3"/>
    <row r="16607" ht="14.4" customHeight="1" x14ac:dyDescent="0.3"/>
    <row r="16608" ht="14.4" customHeight="1" x14ac:dyDescent="0.3"/>
    <row r="16609" ht="14.4" customHeight="1" x14ac:dyDescent="0.3"/>
    <row r="16610" ht="14.4" customHeight="1" x14ac:dyDescent="0.3"/>
    <row r="16611" ht="14.4" customHeight="1" x14ac:dyDescent="0.3"/>
    <row r="16612" ht="14.4" customHeight="1" x14ac:dyDescent="0.3"/>
    <row r="16613" ht="14.4" customHeight="1" x14ac:dyDescent="0.3"/>
    <row r="16614" ht="14.4" customHeight="1" x14ac:dyDescent="0.3"/>
    <row r="16615" ht="14.4" customHeight="1" x14ac:dyDescent="0.3"/>
    <row r="16616" ht="14.4" customHeight="1" x14ac:dyDescent="0.3"/>
    <row r="16617" ht="14.4" customHeight="1" x14ac:dyDescent="0.3"/>
    <row r="16618" ht="14.4" customHeight="1" x14ac:dyDescent="0.3"/>
    <row r="16619" ht="14.4" customHeight="1" x14ac:dyDescent="0.3"/>
    <row r="16620" ht="14.4" customHeight="1" x14ac:dyDescent="0.3"/>
    <row r="16621" ht="14.4" customHeight="1" x14ac:dyDescent="0.3"/>
    <row r="16622" ht="14.4" customHeight="1" x14ac:dyDescent="0.3"/>
    <row r="16623" ht="14.4" customHeight="1" x14ac:dyDescent="0.3"/>
    <row r="16624" ht="14.4" customHeight="1" x14ac:dyDescent="0.3"/>
    <row r="16625" ht="14.4" customHeight="1" x14ac:dyDescent="0.3"/>
    <row r="16626" ht="14.4" customHeight="1" x14ac:dyDescent="0.3"/>
    <row r="16627" ht="14.4" customHeight="1" x14ac:dyDescent="0.3"/>
    <row r="16628" ht="14.4" customHeight="1" x14ac:dyDescent="0.3"/>
    <row r="16629" ht="14.4" customHeight="1" x14ac:dyDescent="0.3"/>
    <row r="16630" ht="14.4" customHeight="1" x14ac:dyDescent="0.3"/>
    <row r="16631" ht="14.4" customHeight="1" x14ac:dyDescent="0.3"/>
    <row r="16632" ht="14.4" customHeight="1" x14ac:dyDescent="0.3"/>
    <row r="16633" ht="14.4" customHeight="1" x14ac:dyDescent="0.3"/>
    <row r="16634" ht="14.4" customHeight="1" x14ac:dyDescent="0.3"/>
    <row r="16635" ht="14.4" customHeight="1" x14ac:dyDescent="0.3"/>
    <row r="16636" ht="14.4" customHeight="1" x14ac:dyDescent="0.3"/>
    <row r="16637" ht="14.4" customHeight="1" x14ac:dyDescent="0.3"/>
    <row r="16638" ht="14.4" customHeight="1" x14ac:dyDescent="0.3"/>
    <row r="16639" ht="14.4" customHeight="1" x14ac:dyDescent="0.3"/>
    <row r="16640" ht="14.4" customHeight="1" x14ac:dyDescent="0.3"/>
    <row r="16641" ht="14.4" customHeight="1" x14ac:dyDescent="0.3"/>
    <row r="16642" ht="14.4" customHeight="1" x14ac:dyDescent="0.3"/>
    <row r="16643" ht="14.4" customHeight="1" x14ac:dyDescent="0.3"/>
    <row r="16644" ht="14.4" customHeight="1" x14ac:dyDescent="0.3"/>
    <row r="16645" ht="14.4" customHeight="1" x14ac:dyDescent="0.3"/>
    <row r="16646" ht="14.4" customHeight="1" x14ac:dyDescent="0.3"/>
    <row r="16647" ht="14.4" customHeight="1" x14ac:dyDescent="0.3"/>
    <row r="16648" ht="14.4" customHeight="1" x14ac:dyDescent="0.3"/>
    <row r="16649" ht="14.4" customHeight="1" x14ac:dyDescent="0.3"/>
    <row r="16650" ht="14.4" customHeight="1" x14ac:dyDescent="0.3"/>
    <row r="16651" ht="14.4" customHeight="1" x14ac:dyDescent="0.3"/>
    <row r="16652" ht="14.4" customHeight="1" x14ac:dyDescent="0.3"/>
    <row r="16653" ht="14.4" customHeight="1" x14ac:dyDescent="0.3"/>
    <row r="16654" ht="14.4" customHeight="1" x14ac:dyDescent="0.3"/>
    <row r="16655" ht="14.4" customHeight="1" x14ac:dyDescent="0.3"/>
    <row r="16656" ht="14.4" customHeight="1" x14ac:dyDescent="0.3"/>
    <row r="16657" ht="14.4" customHeight="1" x14ac:dyDescent="0.3"/>
    <row r="16658" ht="14.4" customHeight="1" x14ac:dyDescent="0.3"/>
    <row r="16659" ht="14.4" customHeight="1" x14ac:dyDescent="0.3"/>
    <row r="16660" ht="14.4" customHeight="1" x14ac:dyDescent="0.3"/>
    <row r="16661" ht="14.4" customHeight="1" x14ac:dyDescent="0.3"/>
    <row r="16662" ht="14.4" customHeight="1" x14ac:dyDescent="0.3"/>
    <row r="16663" ht="14.4" customHeight="1" x14ac:dyDescent="0.3"/>
    <row r="16664" ht="14.4" customHeight="1" x14ac:dyDescent="0.3"/>
    <row r="16665" ht="14.4" customHeight="1" x14ac:dyDescent="0.3"/>
    <row r="16666" ht="14.4" customHeight="1" x14ac:dyDescent="0.3"/>
    <row r="16667" ht="14.4" customHeight="1" x14ac:dyDescent="0.3"/>
    <row r="16668" ht="14.4" customHeight="1" x14ac:dyDescent="0.3"/>
    <row r="16669" ht="14.4" customHeight="1" x14ac:dyDescent="0.3"/>
    <row r="16670" ht="14.4" customHeight="1" x14ac:dyDescent="0.3"/>
    <row r="16671" ht="14.4" customHeight="1" x14ac:dyDescent="0.3"/>
    <row r="16672" ht="14.4" customHeight="1" x14ac:dyDescent="0.3"/>
    <row r="16673" ht="14.4" customHeight="1" x14ac:dyDescent="0.3"/>
    <row r="16674" ht="14.4" customHeight="1" x14ac:dyDescent="0.3"/>
    <row r="16675" ht="14.4" customHeight="1" x14ac:dyDescent="0.3"/>
    <row r="16676" ht="14.4" customHeight="1" x14ac:dyDescent="0.3"/>
    <row r="16677" ht="14.4" customHeight="1" x14ac:dyDescent="0.3"/>
    <row r="16678" ht="14.4" customHeight="1" x14ac:dyDescent="0.3"/>
    <row r="16679" ht="14.4" customHeight="1" x14ac:dyDescent="0.3"/>
    <row r="16680" ht="14.4" customHeight="1" x14ac:dyDescent="0.3"/>
    <row r="16681" ht="14.4" customHeight="1" x14ac:dyDescent="0.3"/>
    <row r="16682" ht="14.4" customHeight="1" x14ac:dyDescent="0.3"/>
    <row r="16683" ht="14.4" customHeight="1" x14ac:dyDescent="0.3"/>
    <row r="16684" ht="14.4" customHeight="1" x14ac:dyDescent="0.3"/>
    <row r="16685" ht="14.4" customHeight="1" x14ac:dyDescent="0.3"/>
    <row r="16686" ht="14.4" customHeight="1" x14ac:dyDescent="0.3"/>
    <row r="16687" ht="14.4" customHeight="1" x14ac:dyDescent="0.3"/>
    <row r="16688" ht="14.4" customHeight="1" x14ac:dyDescent="0.3"/>
    <row r="16689" ht="14.4" customHeight="1" x14ac:dyDescent="0.3"/>
    <row r="16690" ht="14.4" customHeight="1" x14ac:dyDescent="0.3"/>
    <row r="16691" ht="14.4" customHeight="1" x14ac:dyDescent="0.3"/>
    <row r="16692" ht="14.4" customHeight="1" x14ac:dyDescent="0.3"/>
    <row r="16693" ht="14.4" customHeight="1" x14ac:dyDescent="0.3"/>
    <row r="16694" ht="14.4" customHeight="1" x14ac:dyDescent="0.3"/>
    <row r="16695" ht="14.4" customHeight="1" x14ac:dyDescent="0.3"/>
    <row r="16696" ht="14.4" customHeight="1" x14ac:dyDescent="0.3"/>
    <row r="16697" ht="14.4" customHeight="1" x14ac:dyDescent="0.3"/>
    <row r="16698" ht="14.4" customHeight="1" x14ac:dyDescent="0.3"/>
    <row r="16699" ht="14.4" customHeight="1" x14ac:dyDescent="0.3"/>
    <row r="16700" ht="14.4" customHeight="1" x14ac:dyDescent="0.3"/>
    <row r="16701" ht="14.4" customHeight="1" x14ac:dyDescent="0.3"/>
    <row r="16702" ht="14.4" customHeight="1" x14ac:dyDescent="0.3"/>
    <row r="16703" ht="14.4" customHeight="1" x14ac:dyDescent="0.3"/>
    <row r="16704" ht="14.4" customHeight="1" x14ac:dyDescent="0.3"/>
    <row r="16705" ht="14.4" customHeight="1" x14ac:dyDescent="0.3"/>
    <row r="16706" ht="14.4" customHeight="1" x14ac:dyDescent="0.3"/>
    <row r="16707" ht="14.4" customHeight="1" x14ac:dyDescent="0.3"/>
    <row r="16708" ht="14.4" customHeight="1" x14ac:dyDescent="0.3"/>
    <row r="16709" ht="14.4" customHeight="1" x14ac:dyDescent="0.3"/>
    <row r="16710" ht="14.4" customHeight="1" x14ac:dyDescent="0.3"/>
    <row r="16711" ht="14.4" customHeight="1" x14ac:dyDescent="0.3"/>
    <row r="16712" ht="14.4" customHeight="1" x14ac:dyDescent="0.3"/>
    <row r="16713" ht="14.4" customHeight="1" x14ac:dyDescent="0.3"/>
    <row r="16714" ht="14.4" customHeight="1" x14ac:dyDescent="0.3"/>
    <row r="16715" ht="14.4" customHeight="1" x14ac:dyDescent="0.3"/>
    <row r="16716" ht="14.4" customHeight="1" x14ac:dyDescent="0.3"/>
    <row r="16717" ht="14.4" customHeight="1" x14ac:dyDescent="0.3"/>
    <row r="16718" ht="14.4" customHeight="1" x14ac:dyDescent="0.3"/>
    <row r="16719" ht="14.4" customHeight="1" x14ac:dyDescent="0.3"/>
    <row r="16720" ht="14.4" customHeight="1" x14ac:dyDescent="0.3"/>
    <row r="16721" ht="14.4" customHeight="1" x14ac:dyDescent="0.3"/>
    <row r="16722" ht="14.4" customHeight="1" x14ac:dyDescent="0.3"/>
    <row r="16723" ht="14.4" customHeight="1" x14ac:dyDescent="0.3"/>
    <row r="16724" ht="14.4" customHeight="1" x14ac:dyDescent="0.3"/>
    <row r="16725" ht="14.4" customHeight="1" x14ac:dyDescent="0.3"/>
    <row r="16726" ht="14.4" customHeight="1" x14ac:dyDescent="0.3"/>
    <row r="16727" ht="14.4" customHeight="1" x14ac:dyDescent="0.3"/>
    <row r="16728" ht="14.4" customHeight="1" x14ac:dyDescent="0.3"/>
    <row r="16729" ht="14.4" customHeight="1" x14ac:dyDescent="0.3"/>
    <row r="16730" ht="14.4" customHeight="1" x14ac:dyDescent="0.3"/>
    <row r="16731" ht="14.4" customHeight="1" x14ac:dyDescent="0.3"/>
    <row r="16732" ht="14.4" customHeight="1" x14ac:dyDescent="0.3"/>
    <row r="16733" ht="14.4" customHeight="1" x14ac:dyDescent="0.3"/>
    <row r="16734" ht="14.4" customHeight="1" x14ac:dyDescent="0.3"/>
    <row r="16735" ht="14.4" customHeight="1" x14ac:dyDescent="0.3"/>
    <row r="16736" ht="14.4" customHeight="1" x14ac:dyDescent="0.3"/>
    <row r="16737" ht="14.4" customHeight="1" x14ac:dyDescent="0.3"/>
    <row r="16738" ht="14.4" customHeight="1" x14ac:dyDescent="0.3"/>
    <row r="16739" ht="14.4" customHeight="1" x14ac:dyDescent="0.3"/>
    <row r="16740" ht="14.4" customHeight="1" x14ac:dyDescent="0.3"/>
    <row r="16741" ht="14.4" customHeight="1" x14ac:dyDescent="0.3"/>
    <row r="16742" ht="14.4" customHeight="1" x14ac:dyDescent="0.3"/>
    <row r="16743" ht="14.4" customHeight="1" x14ac:dyDescent="0.3"/>
    <row r="16744" ht="14.4" customHeight="1" x14ac:dyDescent="0.3"/>
    <row r="16745" ht="14.4" customHeight="1" x14ac:dyDescent="0.3"/>
    <row r="16746" ht="14.4" customHeight="1" x14ac:dyDescent="0.3"/>
    <row r="16747" ht="14.4" customHeight="1" x14ac:dyDescent="0.3"/>
    <row r="16748" ht="14.4" customHeight="1" x14ac:dyDescent="0.3"/>
    <row r="16749" ht="14.4" customHeight="1" x14ac:dyDescent="0.3"/>
    <row r="16750" ht="14.4" customHeight="1" x14ac:dyDescent="0.3"/>
    <row r="16751" ht="14.4" customHeight="1" x14ac:dyDescent="0.3"/>
    <row r="16752" ht="14.4" customHeight="1" x14ac:dyDescent="0.3"/>
    <row r="16753" ht="14.4" customHeight="1" x14ac:dyDescent="0.3"/>
    <row r="16754" ht="14.4" customHeight="1" x14ac:dyDescent="0.3"/>
    <row r="16755" ht="14.4" customHeight="1" x14ac:dyDescent="0.3"/>
    <row r="16756" ht="14.4" customHeight="1" x14ac:dyDescent="0.3"/>
    <row r="16757" ht="14.4" customHeight="1" x14ac:dyDescent="0.3"/>
    <row r="16758" ht="14.4" customHeight="1" x14ac:dyDescent="0.3"/>
    <row r="16759" ht="14.4" customHeight="1" x14ac:dyDescent="0.3"/>
    <row r="16760" ht="14.4" customHeight="1" x14ac:dyDescent="0.3"/>
    <row r="16761" ht="14.4" customHeight="1" x14ac:dyDescent="0.3"/>
    <row r="16762" ht="14.4" customHeight="1" x14ac:dyDescent="0.3"/>
    <row r="16763" ht="14.4" customHeight="1" x14ac:dyDescent="0.3"/>
    <row r="16764" ht="14.4" customHeight="1" x14ac:dyDescent="0.3"/>
    <row r="16765" ht="14.4" customHeight="1" x14ac:dyDescent="0.3"/>
    <row r="16766" ht="14.4" customHeight="1" x14ac:dyDescent="0.3"/>
    <row r="16767" ht="14.4" customHeight="1" x14ac:dyDescent="0.3"/>
    <row r="16768" ht="14.4" customHeight="1" x14ac:dyDescent="0.3"/>
    <row r="16769" ht="14.4" customHeight="1" x14ac:dyDescent="0.3"/>
    <row r="16770" ht="14.4" customHeight="1" x14ac:dyDescent="0.3"/>
    <row r="16771" ht="14.4" customHeight="1" x14ac:dyDescent="0.3"/>
    <row r="16772" ht="14.4" customHeight="1" x14ac:dyDescent="0.3"/>
    <row r="16773" ht="14.4" customHeight="1" x14ac:dyDescent="0.3"/>
    <row r="16774" ht="14.4" customHeight="1" x14ac:dyDescent="0.3"/>
    <row r="16775" ht="14.4" customHeight="1" x14ac:dyDescent="0.3"/>
    <row r="16776" ht="14.4" customHeight="1" x14ac:dyDescent="0.3"/>
    <row r="16777" ht="14.4" customHeight="1" x14ac:dyDescent="0.3"/>
    <row r="16778" ht="14.4" customHeight="1" x14ac:dyDescent="0.3"/>
    <row r="16779" ht="14.4" customHeight="1" x14ac:dyDescent="0.3"/>
    <row r="16780" ht="14.4" customHeight="1" x14ac:dyDescent="0.3"/>
    <row r="16781" ht="14.4" customHeight="1" x14ac:dyDescent="0.3"/>
    <row r="16782" ht="14.4" customHeight="1" x14ac:dyDescent="0.3"/>
    <row r="16783" ht="14.4" customHeight="1" x14ac:dyDescent="0.3"/>
    <row r="16784" ht="14.4" customHeight="1" x14ac:dyDescent="0.3"/>
    <row r="16785" ht="14.4" customHeight="1" x14ac:dyDescent="0.3"/>
    <row r="16786" ht="14.4" customHeight="1" x14ac:dyDescent="0.3"/>
    <row r="16787" ht="14.4" customHeight="1" x14ac:dyDescent="0.3"/>
    <row r="16788" ht="14.4" customHeight="1" x14ac:dyDescent="0.3"/>
    <row r="16789" ht="14.4" customHeight="1" x14ac:dyDescent="0.3"/>
    <row r="16790" ht="14.4" customHeight="1" x14ac:dyDescent="0.3"/>
    <row r="16791" ht="14.4" customHeight="1" x14ac:dyDescent="0.3"/>
    <row r="16792" ht="14.4" customHeight="1" x14ac:dyDescent="0.3"/>
    <row r="16793" ht="14.4" customHeight="1" x14ac:dyDescent="0.3"/>
    <row r="16794" ht="14.4" customHeight="1" x14ac:dyDescent="0.3"/>
    <row r="16795" ht="14.4" customHeight="1" x14ac:dyDescent="0.3"/>
    <row r="16796" ht="14.4" customHeight="1" x14ac:dyDescent="0.3"/>
    <row r="16797" ht="14.4" customHeight="1" x14ac:dyDescent="0.3"/>
    <row r="16798" ht="14.4" customHeight="1" x14ac:dyDescent="0.3"/>
    <row r="16799" ht="14.4" customHeight="1" x14ac:dyDescent="0.3"/>
    <row r="16800" ht="14.4" customHeight="1" x14ac:dyDescent="0.3"/>
    <row r="16801" ht="14.4" customHeight="1" x14ac:dyDescent="0.3"/>
    <row r="16802" ht="14.4" customHeight="1" x14ac:dyDescent="0.3"/>
    <row r="16803" ht="14.4" customHeight="1" x14ac:dyDescent="0.3"/>
    <row r="16804" ht="14.4" customHeight="1" x14ac:dyDescent="0.3"/>
    <row r="16805" ht="14.4" customHeight="1" x14ac:dyDescent="0.3"/>
    <row r="16806" ht="14.4" customHeight="1" x14ac:dyDescent="0.3"/>
    <row r="16807" ht="14.4" customHeight="1" x14ac:dyDescent="0.3"/>
    <row r="16808" ht="14.4" customHeight="1" x14ac:dyDescent="0.3"/>
    <row r="16809" ht="14.4" customHeight="1" x14ac:dyDescent="0.3"/>
    <row r="16810" ht="14.4" customHeight="1" x14ac:dyDescent="0.3"/>
    <row r="16811" ht="14.4" customHeight="1" x14ac:dyDescent="0.3"/>
    <row r="16812" ht="14.4" customHeight="1" x14ac:dyDescent="0.3"/>
    <row r="16813" ht="14.4" customHeight="1" x14ac:dyDescent="0.3"/>
    <row r="16814" ht="14.4" customHeight="1" x14ac:dyDescent="0.3"/>
    <row r="16815" ht="14.4" customHeight="1" x14ac:dyDescent="0.3"/>
    <row r="16816" ht="14.4" customHeight="1" x14ac:dyDescent="0.3"/>
    <row r="16817" ht="14.4" customHeight="1" x14ac:dyDescent="0.3"/>
    <row r="16818" ht="14.4" customHeight="1" x14ac:dyDescent="0.3"/>
    <row r="16819" ht="14.4" customHeight="1" x14ac:dyDescent="0.3"/>
    <row r="16820" ht="14.4" customHeight="1" x14ac:dyDescent="0.3"/>
    <row r="16821" ht="14.4" customHeight="1" x14ac:dyDescent="0.3"/>
    <row r="16822" ht="14.4" customHeight="1" x14ac:dyDescent="0.3"/>
    <row r="16823" ht="14.4" customHeight="1" x14ac:dyDescent="0.3"/>
    <row r="16824" ht="14.4" customHeight="1" x14ac:dyDescent="0.3"/>
    <row r="16825" ht="14.4" customHeight="1" x14ac:dyDescent="0.3"/>
    <row r="16826" ht="14.4" customHeight="1" x14ac:dyDescent="0.3"/>
    <row r="16827" ht="14.4" customHeight="1" x14ac:dyDescent="0.3"/>
    <row r="16828" ht="14.4" customHeight="1" x14ac:dyDescent="0.3"/>
    <row r="16829" ht="14.4" customHeight="1" x14ac:dyDescent="0.3"/>
    <row r="16830" ht="14.4" customHeight="1" x14ac:dyDescent="0.3"/>
    <row r="16831" ht="14.4" customHeight="1" x14ac:dyDescent="0.3"/>
    <row r="16832" ht="14.4" customHeight="1" x14ac:dyDescent="0.3"/>
    <row r="16833" ht="14.4" customHeight="1" x14ac:dyDescent="0.3"/>
    <row r="16834" ht="14.4" customHeight="1" x14ac:dyDescent="0.3"/>
    <row r="16835" ht="14.4" customHeight="1" x14ac:dyDescent="0.3"/>
    <row r="16836" ht="14.4" customHeight="1" x14ac:dyDescent="0.3"/>
    <row r="16837" ht="14.4" customHeight="1" x14ac:dyDescent="0.3"/>
    <row r="16838" ht="14.4" customHeight="1" x14ac:dyDescent="0.3"/>
    <row r="16839" ht="14.4" customHeight="1" x14ac:dyDescent="0.3"/>
    <row r="16840" ht="14.4" customHeight="1" x14ac:dyDescent="0.3"/>
    <row r="16841" ht="14.4" customHeight="1" x14ac:dyDescent="0.3"/>
    <row r="16842" ht="14.4" customHeight="1" x14ac:dyDescent="0.3"/>
    <row r="16843" ht="14.4" customHeight="1" x14ac:dyDescent="0.3"/>
    <row r="16844" ht="14.4" customHeight="1" x14ac:dyDescent="0.3"/>
    <row r="16845" ht="14.4" customHeight="1" x14ac:dyDescent="0.3"/>
    <row r="16846" ht="14.4" customHeight="1" x14ac:dyDescent="0.3"/>
    <row r="16847" ht="14.4" customHeight="1" x14ac:dyDescent="0.3"/>
    <row r="16848" ht="14.4" customHeight="1" x14ac:dyDescent="0.3"/>
    <row r="16849" ht="14.4" customHeight="1" x14ac:dyDescent="0.3"/>
    <row r="16850" ht="14.4" customHeight="1" x14ac:dyDescent="0.3"/>
    <row r="16851" ht="14.4" customHeight="1" x14ac:dyDescent="0.3"/>
    <row r="16852" ht="14.4" customHeight="1" x14ac:dyDescent="0.3"/>
    <row r="16853" ht="14.4" customHeight="1" x14ac:dyDescent="0.3"/>
    <row r="16854" ht="14.4" customHeight="1" x14ac:dyDescent="0.3"/>
    <row r="16855" ht="14.4" customHeight="1" x14ac:dyDescent="0.3"/>
    <row r="16856" ht="14.4" customHeight="1" x14ac:dyDescent="0.3"/>
    <row r="16857" ht="14.4" customHeight="1" x14ac:dyDescent="0.3"/>
    <row r="16858" ht="14.4" customHeight="1" x14ac:dyDescent="0.3"/>
    <row r="16859" ht="14.4" customHeight="1" x14ac:dyDescent="0.3"/>
    <row r="16860" ht="14.4" customHeight="1" x14ac:dyDescent="0.3"/>
    <row r="16861" ht="14.4" customHeight="1" x14ac:dyDescent="0.3"/>
    <row r="16862" ht="14.4" customHeight="1" x14ac:dyDescent="0.3"/>
    <row r="16863" ht="14.4" customHeight="1" x14ac:dyDescent="0.3"/>
    <row r="16864" ht="14.4" customHeight="1" x14ac:dyDescent="0.3"/>
    <row r="16865" ht="14.4" customHeight="1" x14ac:dyDescent="0.3"/>
    <row r="16866" ht="14.4" customHeight="1" x14ac:dyDescent="0.3"/>
    <row r="16867" ht="14.4" customHeight="1" x14ac:dyDescent="0.3"/>
    <row r="16868" ht="14.4" customHeight="1" x14ac:dyDescent="0.3"/>
    <row r="16869" ht="14.4" customHeight="1" x14ac:dyDescent="0.3"/>
    <row r="16870" ht="14.4" customHeight="1" x14ac:dyDescent="0.3"/>
    <row r="16871" ht="14.4" customHeight="1" x14ac:dyDescent="0.3"/>
    <row r="16872" ht="14.4" customHeight="1" x14ac:dyDescent="0.3"/>
    <row r="16873" ht="14.4" customHeight="1" x14ac:dyDescent="0.3"/>
    <row r="16874" ht="14.4" customHeight="1" x14ac:dyDescent="0.3"/>
    <row r="16875" ht="14.4" customHeight="1" x14ac:dyDescent="0.3"/>
    <row r="16876" ht="14.4" customHeight="1" x14ac:dyDescent="0.3"/>
    <row r="16877" ht="14.4" customHeight="1" x14ac:dyDescent="0.3"/>
    <row r="16878" ht="14.4" customHeight="1" x14ac:dyDescent="0.3"/>
    <row r="16879" ht="14.4" customHeight="1" x14ac:dyDescent="0.3"/>
    <row r="16880" ht="14.4" customHeight="1" x14ac:dyDescent="0.3"/>
    <row r="16881" ht="14.4" customHeight="1" x14ac:dyDescent="0.3"/>
    <row r="16882" ht="14.4" customHeight="1" x14ac:dyDescent="0.3"/>
    <row r="16883" ht="14.4" customHeight="1" x14ac:dyDescent="0.3"/>
    <row r="16884" ht="14.4" customHeight="1" x14ac:dyDescent="0.3"/>
    <row r="16885" ht="14.4" customHeight="1" x14ac:dyDescent="0.3"/>
    <row r="16886" ht="14.4" customHeight="1" x14ac:dyDescent="0.3"/>
    <row r="16887" ht="14.4" customHeight="1" x14ac:dyDescent="0.3"/>
    <row r="16888" ht="14.4" customHeight="1" x14ac:dyDescent="0.3"/>
    <row r="16889" ht="14.4" customHeight="1" x14ac:dyDescent="0.3"/>
    <row r="16890" ht="14.4" customHeight="1" x14ac:dyDescent="0.3"/>
    <row r="16891" ht="14.4" customHeight="1" x14ac:dyDescent="0.3"/>
    <row r="16892" ht="14.4" customHeight="1" x14ac:dyDescent="0.3"/>
    <row r="16893" ht="14.4" customHeight="1" x14ac:dyDescent="0.3"/>
    <row r="16894" ht="14.4" customHeight="1" x14ac:dyDescent="0.3"/>
    <row r="16895" ht="14.4" customHeight="1" x14ac:dyDescent="0.3"/>
    <row r="16896" ht="14.4" customHeight="1" x14ac:dyDescent="0.3"/>
    <row r="16897" ht="14.4" customHeight="1" x14ac:dyDescent="0.3"/>
    <row r="16898" ht="14.4" customHeight="1" x14ac:dyDescent="0.3"/>
    <row r="16899" ht="14.4" customHeight="1" x14ac:dyDescent="0.3"/>
    <row r="16900" ht="14.4" customHeight="1" x14ac:dyDescent="0.3"/>
    <row r="16901" ht="14.4" customHeight="1" x14ac:dyDescent="0.3"/>
    <row r="16902" ht="14.4" customHeight="1" x14ac:dyDescent="0.3"/>
    <row r="16903" ht="14.4" customHeight="1" x14ac:dyDescent="0.3"/>
    <row r="16904" ht="14.4" customHeight="1" x14ac:dyDescent="0.3"/>
    <row r="16905" ht="14.4" customHeight="1" x14ac:dyDescent="0.3"/>
    <row r="16906" ht="14.4" customHeight="1" x14ac:dyDescent="0.3"/>
    <row r="16907" ht="14.4" customHeight="1" x14ac:dyDescent="0.3"/>
    <row r="16908" ht="14.4" customHeight="1" x14ac:dyDescent="0.3"/>
    <row r="16909" ht="14.4" customHeight="1" x14ac:dyDescent="0.3"/>
    <row r="16910" ht="14.4" customHeight="1" x14ac:dyDescent="0.3"/>
    <row r="16911" ht="14.4" customHeight="1" x14ac:dyDescent="0.3"/>
    <row r="16912" ht="14.4" customHeight="1" x14ac:dyDescent="0.3"/>
    <row r="16913" ht="14.4" customHeight="1" x14ac:dyDescent="0.3"/>
    <row r="16914" ht="14.4" customHeight="1" x14ac:dyDescent="0.3"/>
    <row r="16915" ht="14.4" customHeight="1" x14ac:dyDescent="0.3"/>
    <row r="16916" ht="14.4" customHeight="1" x14ac:dyDescent="0.3"/>
    <row r="16917" ht="14.4" customHeight="1" x14ac:dyDescent="0.3"/>
    <row r="16918" ht="14.4" customHeight="1" x14ac:dyDescent="0.3"/>
    <row r="16919" ht="14.4" customHeight="1" x14ac:dyDescent="0.3"/>
    <row r="16920" ht="14.4" customHeight="1" x14ac:dyDescent="0.3"/>
    <row r="16921" ht="14.4" customHeight="1" x14ac:dyDescent="0.3"/>
    <row r="16922" ht="14.4" customHeight="1" x14ac:dyDescent="0.3"/>
    <row r="16923" ht="14.4" customHeight="1" x14ac:dyDescent="0.3"/>
    <row r="16924" ht="14.4" customHeight="1" x14ac:dyDescent="0.3"/>
    <row r="16925" ht="14.4" customHeight="1" x14ac:dyDescent="0.3"/>
    <row r="16926" ht="14.4" customHeight="1" x14ac:dyDescent="0.3"/>
    <row r="16927" ht="14.4" customHeight="1" x14ac:dyDescent="0.3"/>
    <row r="16928" ht="14.4" customHeight="1" x14ac:dyDescent="0.3"/>
    <row r="16929" ht="14.4" customHeight="1" x14ac:dyDescent="0.3"/>
    <row r="16930" ht="14.4" customHeight="1" x14ac:dyDescent="0.3"/>
    <row r="16931" ht="14.4" customHeight="1" x14ac:dyDescent="0.3"/>
    <row r="16932" ht="14.4" customHeight="1" x14ac:dyDescent="0.3"/>
    <row r="16933" ht="14.4" customHeight="1" x14ac:dyDescent="0.3"/>
    <row r="16934" ht="14.4" customHeight="1" x14ac:dyDescent="0.3"/>
    <row r="16935" ht="14.4" customHeight="1" x14ac:dyDescent="0.3"/>
    <row r="16936" ht="14.4" customHeight="1" x14ac:dyDescent="0.3"/>
    <row r="16937" ht="14.4" customHeight="1" x14ac:dyDescent="0.3"/>
    <row r="16938" ht="14.4" customHeight="1" x14ac:dyDescent="0.3"/>
    <row r="16939" ht="14.4" customHeight="1" x14ac:dyDescent="0.3"/>
    <row r="16940" ht="14.4" customHeight="1" x14ac:dyDescent="0.3"/>
    <row r="16941" ht="14.4" customHeight="1" x14ac:dyDescent="0.3"/>
    <row r="16942" ht="14.4" customHeight="1" x14ac:dyDescent="0.3"/>
    <row r="16943" ht="14.4" customHeight="1" x14ac:dyDescent="0.3"/>
    <row r="16944" ht="14.4" customHeight="1" x14ac:dyDescent="0.3"/>
    <row r="16945" ht="14.4" customHeight="1" x14ac:dyDescent="0.3"/>
    <row r="16946" ht="14.4" customHeight="1" x14ac:dyDescent="0.3"/>
    <row r="16947" ht="14.4" customHeight="1" x14ac:dyDescent="0.3"/>
    <row r="16948" ht="14.4" customHeight="1" x14ac:dyDescent="0.3"/>
    <row r="16949" ht="14.4" customHeight="1" x14ac:dyDescent="0.3"/>
    <row r="16950" ht="14.4" customHeight="1" x14ac:dyDescent="0.3"/>
    <row r="16951" ht="14.4" customHeight="1" x14ac:dyDescent="0.3"/>
    <row r="16952" ht="14.4" customHeight="1" x14ac:dyDescent="0.3"/>
    <row r="16953" ht="14.4" customHeight="1" x14ac:dyDescent="0.3"/>
    <row r="16954" ht="14.4" customHeight="1" x14ac:dyDescent="0.3"/>
    <row r="16955" ht="14.4" customHeight="1" x14ac:dyDescent="0.3"/>
    <row r="16956" ht="14.4" customHeight="1" x14ac:dyDescent="0.3"/>
    <row r="16957" ht="14.4" customHeight="1" x14ac:dyDescent="0.3"/>
    <row r="16958" ht="14.4" customHeight="1" x14ac:dyDescent="0.3"/>
    <row r="16959" ht="14.4" customHeight="1" x14ac:dyDescent="0.3"/>
    <row r="16960" ht="14.4" customHeight="1" x14ac:dyDescent="0.3"/>
    <row r="16961" ht="14.4" customHeight="1" x14ac:dyDescent="0.3"/>
    <row r="16962" ht="14.4" customHeight="1" x14ac:dyDescent="0.3"/>
    <row r="16963" ht="14.4" customHeight="1" x14ac:dyDescent="0.3"/>
    <row r="16964" ht="14.4" customHeight="1" x14ac:dyDescent="0.3"/>
    <row r="16965" ht="14.4" customHeight="1" x14ac:dyDescent="0.3"/>
    <row r="16966" ht="14.4" customHeight="1" x14ac:dyDescent="0.3"/>
    <row r="16967" ht="14.4" customHeight="1" x14ac:dyDescent="0.3"/>
    <row r="16968" ht="14.4" customHeight="1" x14ac:dyDescent="0.3"/>
    <row r="16969" ht="14.4" customHeight="1" x14ac:dyDescent="0.3"/>
    <row r="16970" ht="14.4" customHeight="1" x14ac:dyDescent="0.3"/>
    <row r="16971" ht="14.4" customHeight="1" x14ac:dyDescent="0.3"/>
    <row r="16972" ht="14.4" customHeight="1" x14ac:dyDescent="0.3"/>
    <row r="16973" ht="14.4" customHeight="1" x14ac:dyDescent="0.3"/>
    <row r="16974" ht="14.4" customHeight="1" x14ac:dyDescent="0.3"/>
    <row r="16975" ht="14.4" customHeight="1" x14ac:dyDescent="0.3"/>
    <row r="16976" ht="14.4" customHeight="1" x14ac:dyDescent="0.3"/>
    <row r="16977" ht="14.4" customHeight="1" x14ac:dyDescent="0.3"/>
    <row r="16978" ht="14.4" customHeight="1" x14ac:dyDescent="0.3"/>
    <row r="16979" ht="14.4" customHeight="1" x14ac:dyDescent="0.3"/>
    <row r="16980" ht="14.4" customHeight="1" x14ac:dyDescent="0.3"/>
    <row r="16981" ht="14.4" customHeight="1" x14ac:dyDescent="0.3"/>
    <row r="16982" ht="14.4" customHeight="1" x14ac:dyDescent="0.3"/>
    <row r="16983" ht="14.4" customHeight="1" x14ac:dyDescent="0.3"/>
    <row r="16984" ht="14.4" customHeight="1" x14ac:dyDescent="0.3"/>
    <row r="16985" ht="14.4" customHeight="1" x14ac:dyDescent="0.3"/>
    <row r="16986" ht="14.4" customHeight="1" x14ac:dyDescent="0.3"/>
    <row r="16987" ht="14.4" customHeight="1" x14ac:dyDescent="0.3"/>
    <row r="16988" ht="14.4" customHeight="1" x14ac:dyDescent="0.3"/>
    <row r="16989" ht="14.4" customHeight="1" x14ac:dyDescent="0.3"/>
    <row r="16990" ht="14.4" customHeight="1" x14ac:dyDescent="0.3"/>
    <row r="16991" ht="14.4" customHeight="1" x14ac:dyDescent="0.3"/>
    <row r="16992" ht="14.4" customHeight="1" x14ac:dyDescent="0.3"/>
    <row r="16993" ht="14.4" customHeight="1" x14ac:dyDescent="0.3"/>
    <row r="16994" ht="14.4" customHeight="1" x14ac:dyDescent="0.3"/>
    <row r="16995" ht="14.4" customHeight="1" x14ac:dyDescent="0.3"/>
    <row r="16996" ht="14.4" customHeight="1" x14ac:dyDescent="0.3"/>
    <row r="16997" ht="14.4" customHeight="1" x14ac:dyDescent="0.3"/>
    <row r="16998" ht="14.4" customHeight="1" x14ac:dyDescent="0.3"/>
    <row r="16999" ht="14.4" customHeight="1" x14ac:dyDescent="0.3"/>
    <row r="17000" ht="14.4" customHeight="1" x14ac:dyDescent="0.3"/>
    <row r="17001" ht="14.4" customHeight="1" x14ac:dyDescent="0.3"/>
    <row r="17002" ht="14.4" customHeight="1" x14ac:dyDescent="0.3"/>
    <row r="17003" ht="14.4" customHeight="1" x14ac:dyDescent="0.3"/>
    <row r="17004" ht="14.4" customHeight="1" x14ac:dyDescent="0.3"/>
    <row r="17005" ht="14.4" customHeight="1" x14ac:dyDescent="0.3"/>
    <row r="17006" ht="14.4" customHeight="1" x14ac:dyDescent="0.3"/>
    <row r="17007" ht="14.4" customHeight="1" x14ac:dyDescent="0.3"/>
    <row r="17008" ht="14.4" customHeight="1" x14ac:dyDescent="0.3"/>
    <row r="17009" ht="14.4" customHeight="1" x14ac:dyDescent="0.3"/>
    <row r="17010" ht="14.4" customHeight="1" x14ac:dyDescent="0.3"/>
    <row r="17011" ht="14.4" customHeight="1" x14ac:dyDescent="0.3"/>
    <row r="17012" ht="14.4" customHeight="1" x14ac:dyDescent="0.3"/>
    <row r="17013" ht="14.4" customHeight="1" x14ac:dyDescent="0.3"/>
    <row r="17014" ht="14.4" customHeight="1" x14ac:dyDescent="0.3"/>
    <row r="17015" ht="14.4" customHeight="1" x14ac:dyDescent="0.3"/>
    <row r="17016" ht="14.4" customHeight="1" x14ac:dyDescent="0.3"/>
    <row r="17017" ht="14.4" customHeight="1" x14ac:dyDescent="0.3"/>
    <row r="17018" ht="14.4" customHeight="1" x14ac:dyDescent="0.3"/>
    <row r="17019" ht="14.4" customHeight="1" x14ac:dyDescent="0.3"/>
    <row r="17020" ht="14.4" customHeight="1" x14ac:dyDescent="0.3"/>
    <row r="17021" ht="14.4" customHeight="1" x14ac:dyDescent="0.3"/>
    <row r="17022" ht="14.4" customHeight="1" x14ac:dyDescent="0.3"/>
    <row r="17023" ht="14.4" customHeight="1" x14ac:dyDescent="0.3"/>
    <row r="17024" ht="14.4" customHeight="1" x14ac:dyDescent="0.3"/>
    <row r="17025" ht="14.4" customHeight="1" x14ac:dyDescent="0.3"/>
    <row r="17026" ht="14.4" customHeight="1" x14ac:dyDescent="0.3"/>
    <row r="17027" ht="14.4" customHeight="1" x14ac:dyDescent="0.3"/>
    <row r="17028" ht="14.4" customHeight="1" x14ac:dyDescent="0.3"/>
    <row r="17029" ht="14.4" customHeight="1" x14ac:dyDescent="0.3"/>
    <row r="17030" ht="14.4" customHeight="1" x14ac:dyDescent="0.3"/>
    <row r="17031" ht="14.4" customHeight="1" x14ac:dyDescent="0.3"/>
    <row r="17032" ht="14.4" customHeight="1" x14ac:dyDescent="0.3"/>
    <row r="17033" ht="14.4" customHeight="1" x14ac:dyDescent="0.3"/>
    <row r="17034" ht="14.4" customHeight="1" x14ac:dyDescent="0.3"/>
    <row r="17035" ht="14.4" customHeight="1" x14ac:dyDescent="0.3"/>
    <row r="17036" ht="14.4" customHeight="1" x14ac:dyDescent="0.3"/>
    <row r="17037" ht="14.4" customHeight="1" x14ac:dyDescent="0.3"/>
    <row r="17038" ht="14.4" customHeight="1" x14ac:dyDescent="0.3"/>
    <row r="17039" ht="14.4" customHeight="1" x14ac:dyDescent="0.3"/>
    <row r="17040" ht="14.4" customHeight="1" x14ac:dyDescent="0.3"/>
    <row r="17041" ht="14.4" customHeight="1" x14ac:dyDescent="0.3"/>
    <row r="17042" ht="14.4" customHeight="1" x14ac:dyDescent="0.3"/>
    <row r="17043" ht="14.4" customHeight="1" x14ac:dyDescent="0.3"/>
    <row r="17044" ht="14.4" customHeight="1" x14ac:dyDescent="0.3"/>
    <row r="17045" ht="14.4" customHeight="1" x14ac:dyDescent="0.3"/>
    <row r="17046" ht="14.4" customHeight="1" x14ac:dyDescent="0.3"/>
    <row r="17047" ht="14.4" customHeight="1" x14ac:dyDescent="0.3"/>
    <row r="17048" ht="14.4" customHeight="1" x14ac:dyDescent="0.3"/>
    <row r="17049" ht="14.4" customHeight="1" x14ac:dyDescent="0.3"/>
    <row r="17050" ht="14.4" customHeight="1" x14ac:dyDescent="0.3"/>
    <row r="17051" ht="14.4" customHeight="1" x14ac:dyDescent="0.3"/>
    <row r="17052" ht="14.4" customHeight="1" x14ac:dyDescent="0.3"/>
    <row r="17053" ht="14.4" customHeight="1" x14ac:dyDescent="0.3"/>
    <row r="17054" ht="14.4" customHeight="1" x14ac:dyDescent="0.3"/>
    <row r="17055" ht="14.4" customHeight="1" x14ac:dyDescent="0.3"/>
    <row r="17056" ht="14.4" customHeight="1" x14ac:dyDescent="0.3"/>
    <row r="17057" ht="14.4" customHeight="1" x14ac:dyDescent="0.3"/>
    <row r="17058" ht="14.4" customHeight="1" x14ac:dyDescent="0.3"/>
    <row r="17059" ht="14.4" customHeight="1" x14ac:dyDescent="0.3"/>
    <row r="17060" ht="14.4" customHeight="1" x14ac:dyDescent="0.3"/>
    <row r="17061" ht="14.4" customHeight="1" x14ac:dyDescent="0.3"/>
    <row r="17062" ht="14.4" customHeight="1" x14ac:dyDescent="0.3"/>
    <row r="17063" ht="14.4" customHeight="1" x14ac:dyDescent="0.3"/>
    <row r="17064" ht="14.4" customHeight="1" x14ac:dyDescent="0.3"/>
    <row r="17065" ht="14.4" customHeight="1" x14ac:dyDescent="0.3"/>
    <row r="17066" ht="14.4" customHeight="1" x14ac:dyDescent="0.3"/>
    <row r="17067" ht="14.4" customHeight="1" x14ac:dyDescent="0.3"/>
    <row r="17068" ht="14.4" customHeight="1" x14ac:dyDescent="0.3"/>
    <row r="17069" ht="14.4" customHeight="1" x14ac:dyDescent="0.3"/>
    <row r="17070" ht="14.4" customHeight="1" x14ac:dyDescent="0.3"/>
    <row r="17071" ht="14.4" customHeight="1" x14ac:dyDescent="0.3"/>
    <row r="17072" ht="14.4" customHeight="1" x14ac:dyDescent="0.3"/>
    <row r="17073" ht="14.4" customHeight="1" x14ac:dyDescent="0.3"/>
    <row r="17074" ht="14.4" customHeight="1" x14ac:dyDescent="0.3"/>
    <row r="17075" ht="14.4" customHeight="1" x14ac:dyDescent="0.3"/>
    <row r="17076" ht="14.4" customHeight="1" x14ac:dyDescent="0.3"/>
    <row r="17077" ht="14.4" customHeight="1" x14ac:dyDescent="0.3"/>
    <row r="17078" ht="14.4" customHeight="1" x14ac:dyDescent="0.3"/>
    <row r="17079" ht="14.4" customHeight="1" x14ac:dyDescent="0.3"/>
    <row r="17080" ht="14.4" customHeight="1" x14ac:dyDescent="0.3"/>
    <row r="17081" ht="14.4" customHeight="1" x14ac:dyDescent="0.3"/>
    <row r="17082" ht="14.4" customHeight="1" x14ac:dyDescent="0.3"/>
    <row r="17083" ht="14.4" customHeight="1" x14ac:dyDescent="0.3"/>
    <row r="17084" ht="14.4" customHeight="1" x14ac:dyDescent="0.3"/>
    <row r="17085" ht="14.4" customHeight="1" x14ac:dyDescent="0.3"/>
    <row r="17086" ht="14.4" customHeight="1" x14ac:dyDescent="0.3"/>
    <row r="17087" ht="14.4" customHeight="1" x14ac:dyDescent="0.3"/>
    <row r="17088" ht="14.4" customHeight="1" x14ac:dyDescent="0.3"/>
    <row r="17089" ht="14.4" customHeight="1" x14ac:dyDescent="0.3"/>
    <row r="17090" ht="14.4" customHeight="1" x14ac:dyDescent="0.3"/>
    <row r="17091" ht="14.4" customHeight="1" x14ac:dyDescent="0.3"/>
    <row r="17092" ht="14.4" customHeight="1" x14ac:dyDescent="0.3"/>
    <row r="17093" ht="14.4" customHeight="1" x14ac:dyDescent="0.3"/>
    <row r="17094" ht="14.4" customHeight="1" x14ac:dyDescent="0.3"/>
    <row r="17095" ht="14.4" customHeight="1" x14ac:dyDescent="0.3"/>
    <row r="17096" ht="14.4" customHeight="1" x14ac:dyDescent="0.3"/>
    <row r="17097" ht="14.4" customHeight="1" x14ac:dyDescent="0.3"/>
    <row r="17098" ht="14.4" customHeight="1" x14ac:dyDescent="0.3"/>
    <row r="17099" ht="14.4" customHeight="1" x14ac:dyDescent="0.3"/>
    <row r="17100" ht="14.4" customHeight="1" x14ac:dyDescent="0.3"/>
    <row r="17101" ht="14.4" customHeight="1" x14ac:dyDescent="0.3"/>
    <row r="17102" ht="14.4" customHeight="1" x14ac:dyDescent="0.3"/>
    <row r="17103" ht="14.4" customHeight="1" x14ac:dyDescent="0.3"/>
    <row r="17104" ht="14.4" customHeight="1" x14ac:dyDescent="0.3"/>
    <row r="17105" ht="14.4" customHeight="1" x14ac:dyDescent="0.3"/>
    <row r="17106" ht="14.4" customHeight="1" x14ac:dyDescent="0.3"/>
    <row r="17107" ht="14.4" customHeight="1" x14ac:dyDescent="0.3"/>
    <row r="17108" ht="14.4" customHeight="1" x14ac:dyDescent="0.3"/>
    <row r="17109" ht="14.4" customHeight="1" x14ac:dyDescent="0.3"/>
    <row r="17110" ht="14.4" customHeight="1" x14ac:dyDescent="0.3"/>
    <row r="17111" ht="14.4" customHeight="1" x14ac:dyDescent="0.3"/>
    <row r="17112" ht="14.4" customHeight="1" x14ac:dyDescent="0.3"/>
    <row r="17113" ht="14.4" customHeight="1" x14ac:dyDescent="0.3"/>
    <row r="17114" ht="14.4" customHeight="1" x14ac:dyDescent="0.3"/>
    <row r="17115" ht="14.4" customHeight="1" x14ac:dyDescent="0.3"/>
    <row r="17116" ht="14.4" customHeight="1" x14ac:dyDescent="0.3"/>
    <row r="17117" ht="14.4" customHeight="1" x14ac:dyDescent="0.3"/>
    <row r="17118" ht="14.4" customHeight="1" x14ac:dyDescent="0.3"/>
    <row r="17119" ht="14.4" customHeight="1" x14ac:dyDescent="0.3"/>
    <row r="17120" ht="14.4" customHeight="1" x14ac:dyDescent="0.3"/>
    <row r="17121" ht="14.4" customHeight="1" x14ac:dyDescent="0.3"/>
    <row r="17122" ht="14.4" customHeight="1" x14ac:dyDescent="0.3"/>
    <row r="17123" ht="14.4" customHeight="1" x14ac:dyDescent="0.3"/>
    <row r="17124" ht="14.4" customHeight="1" x14ac:dyDescent="0.3"/>
    <row r="17125" ht="14.4" customHeight="1" x14ac:dyDescent="0.3"/>
    <row r="17126" ht="14.4" customHeight="1" x14ac:dyDescent="0.3"/>
    <row r="17127" ht="14.4" customHeight="1" x14ac:dyDescent="0.3"/>
    <row r="17128" ht="14.4" customHeight="1" x14ac:dyDescent="0.3"/>
    <row r="17129" ht="14.4" customHeight="1" x14ac:dyDescent="0.3"/>
    <row r="17130" ht="14.4" customHeight="1" x14ac:dyDescent="0.3"/>
    <row r="17131" ht="14.4" customHeight="1" x14ac:dyDescent="0.3"/>
    <row r="17132" ht="14.4" customHeight="1" x14ac:dyDescent="0.3"/>
    <row r="17133" ht="14.4" customHeight="1" x14ac:dyDescent="0.3"/>
    <row r="17134" ht="14.4" customHeight="1" x14ac:dyDescent="0.3"/>
    <row r="17135" ht="14.4" customHeight="1" x14ac:dyDescent="0.3"/>
    <row r="17136" ht="14.4" customHeight="1" x14ac:dyDescent="0.3"/>
    <row r="17137" ht="14.4" customHeight="1" x14ac:dyDescent="0.3"/>
    <row r="17138" ht="14.4" customHeight="1" x14ac:dyDescent="0.3"/>
    <row r="17139" ht="14.4" customHeight="1" x14ac:dyDescent="0.3"/>
    <row r="17140" ht="14.4" customHeight="1" x14ac:dyDescent="0.3"/>
    <row r="17141" ht="14.4" customHeight="1" x14ac:dyDescent="0.3"/>
    <row r="17142" ht="14.4" customHeight="1" x14ac:dyDescent="0.3"/>
    <row r="17143" ht="14.4" customHeight="1" x14ac:dyDescent="0.3"/>
    <row r="17144" ht="14.4" customHeight="1" x14ac:dyDescent="0.3"/>
    <row r="17145" ht="14.4" customHeight="1" x14ac:dyDescent="0.3"/>
    <row r="17146" ht="14.4" customHeight="1" x14ac:dyDescent="0.3"/>
    <row r="17147" ht="14.4" customHeight="1" x14ac:dyDescent="0.3"/>
    <row r="17148" ht="14.4" customHeight="1" x14ac:dyDescent="0.3"/>
    <row r="17149" ht="14.4" customHeight="1" x14ac:dyDescent="0.3"/>
    <row r="17150" ht="14.4" customHeight="1" x14ac:dyDescent="0.3"/>
    <row r="17151" ht="14.4" customHeight="1" x14ac:dyDescent="0.3"/>
    <row r="17152" ht="14.4" customHeight="1" x14ac:dyDescent="0.3"/>
    <row r="17153" ht="14.4" customHeight="1" x14ac:dyDescent="0.3"/>
    <row r="17154" ht="14.4" customHeight="1" x14ac:dyDescent="0.3"/>
    <row r="17155" ht="14.4" customHeight="1" x14ac:dyDescent="0.3"/>
    <row r="17156" ht="14.4" customHeight="1" x14ac:dyDescent="0.3"/>
    <row r="17157" ht="14.4" customHeight="1" x14ac:dyDescent="0.3"/>
    <row r="17158" ht="14.4" customHeight="1" x14ac:dyDescent="0.3"/>
    <row r="17159" ht="14.4" customHeight="1" x14ac:dyDescent="0.3"/>
    <row r="17160" ht="14.4" customHeight="1" x14ac:dyDescent="0.3"/>
    <row r="17161" ht="14.4" customHeight="1" x14ac:dyDescent="0.3"/>
    <row r="17162" ht="14.4" customHeight="1" x14ac:dyDescent="0.3"/>
    <row r="17163" ht="14.4" customHeight="1" x14ac:dyDescent="0.3"/>
    <row r="17164" ht="14.4" customHeight="1" x14ac:dyDescent="0.3"/>
    <row r="17165" ht="14.4" customHeight="1" x14ac:dyDescent="0.3"/>
    <row r="17166" ht="14.4" customHeight="1" x14ac:dyDescent="0.3"/>
    <row r="17167" ht="14.4" customHeight="1" x14ac:dyDescent="0.3"/>
    <row r="17168" ht="14.4" customHeight="1" x14ac:dyDescent="0.3"/>
    <row r="17169" ht="14.4" customHeight="1" x14ac:dyDescent="0.3"/>
    <row r="17170" ht="14.4" customHeight="1" x14ac:dyDescent="0.3"/>
    <row r="17171" ht="14.4" customHeight="1" x14ac:dyDescent="0.3"/>
    <row r="17172" ht="14.4" customHeight="1" x14ac:dyDescent="0.3"/>
    <row r="17173" ht="14.4" customHeight="1" x14ac:dyDescent="0.3"/>
    <row r="17174" ht="14.4" customHeight="1" x14ac:dyDescent="0.3"/>
    <row r="17175" ht="14.4" customHeight="1" x14ac:dyDescent="0.3"/>
    <row r="17176" ht="14.4" customHeight="1" x14ac:dyDescent="0.3"/>
    <row r="17177" ht="14.4" customHeight="1" x14ac:dyDescent="0.3"/>
    <row r="17178" ht="14.4" customHeight="1" x14ac:dyDescent="0.3"/>
    <row r="17179" ht="14.4" customHeight="1" x14ac:dyDescent="0.3"/>
    <row r="17180" ht="14.4" customHeight="1" x14ac:dyDescent="0.3"/>
    <row r="17181" ht="14.4" customHeight="1" x14ac:dyDescent="0.3"/>
    <row r="17182" ht="14.4" customHeight="1" x14ac:dyDescent="0.3"/>
    <row r="17183" ht="14.4" customHeight="1" x14ac:dyDescent="0.3"/>
    <row r="17184" ht="14.4" customHeight="1" x14ac:dyDescent="0.3"/>
    <row r="17185" ht="14.4" customHeight="1" x14ac:dyDescent="0.3"/>
    <row r="17186" ht="14.4" customHeight="1" x14ac:dyDescent="0.3"/>
    <row r="17187" ht="14.4" customHeight="1" x14ac:dyDescent="0.3"/>
    <row r="17188" ht="14.4" customHeight="1" x14ac:dyDescent="0.3"/>
    <row r="17189" ht="14.4" customHeight="1" x14ac:dyDescent="0.3"/>
    <row r="17190" ht="14.4" customHeight="1" x14ac:dyDescent="0.3"/>
    <row r="17191" ht="14.4" customHeight="1" x14ac:dyDescent="0.3"/>
    <row r="17192" ht="14.4" customHeight="1" x14ac:dyDescent="0.3"/>
    <row r="17193" ht="14.4" customHeight="1" x14ac:dyDescent="0.3"/>
    <row r="17194" ht="14.4" customHeight="1" x14ac:dyDescent="0.3"/>
    <row r="17195" ht="14.4" customHeight="1" x14ac:dyDescent="0.3"/>
    <row r="17196" ht="14.4" customHeight="1" x14ac:dyDescent="0.3"/>
    <row r="17197" ht="14.4" customHeight="1" x14ac:dyDescent="0.3"/>
    <row r="17198" ht="14.4" customHeight="1" x14ac:dyDescent="0.3"/>
    <row r="17199" ht="14.4" customHeight="1" x14ac:dyDescent="0.3"/>
    <row r="17200" ht="14.4" customHeight="1" x14ac:dyDescent="0.3"/>
    <row r="17201" ht="14.4" customHeight="1" x14ac:dyDescent="0.3"/>
    <row r="17202" ht="14.4" customHeight="1" x14ac:dyDescent="0.3"/>
    <row r="17203" ht="14.4" customHeight="1" x14ac:dyDescent="0.3"/>
    <row r="17204" ht="14.4" customHeight="1" x14ac:dyDescent="0.3"/>
    <row r="17205" ht="14.4" customHeight="1" x14ac:dyDescent="0.3"/>
    <row r="17206" ht="14.4" customHeight="1" x14ac:dyDescent="0.3"/>
    <row r="17207" ht="14.4" customHeight="1" x14ac:dyDescent="0.3"/>
    <row r="17208" ht="14.4" customHeight="1" x14ac:dyDescent="0.3"/>
    <row r="17209" ht="14.4" customHeight="1" x14ac:dyDescent="0.3"/>
    <row r="17210" ht="14.4" customHeight="1" x14ac:dyDescent="0.3"/>
    <row r="17211" ht="14.4" customHeight="1" x14ac:dyDescent="0.3"/>
    <row r="17212" ht="14.4" customHeight="1" x14ac:dyDescent="0.3"/>
    <row r="17213" ht="14.4" customHeight="1" x14ac:dyDescent="0.3"/>
    <row r="17214" ht="14.4" customHeight="1" x14ac:dyDescent="0.3"/>
    <row r="17215" ht="14.4" customHeight="1" x14ac:dyDescent="0.3"/>
    <row r="17216" ht="14.4" customHeight="1" x14ac:dyDescent="0.3"/>
    <row r="17217" ht="14.4" customHeight="1" x14ac:dyDescent="0.3"/>
    <row r="17218" ht="14.4" customHeight="1" x14ac:dyDescent="0.3"/>
    <row r="17219" ht="14.4" customHeight="1" x14ac:dyDescent="0.3"/>
    <row r="17220" ht="14.4" customHeight="1" x14ac:dyDescent="0.3"/>
    <row r="17221" ht="14.4" customHeight="1" x14ac:dyDescent="0.3"/>
    <row r="17222" ht="14.4" customHeight="1" x14ac:dyDescent="0.3"/>
    <row r="17223" ht="14.4" customHeight="1" x14ac:dyDescent="0.3"/>
    <row r="17224" ht="14.4" customHeight="1" x14ac:dyDescent="0.3"/>
    <row r="17225" ht="14.4" customHeight="1" x14ac:dyDescent="0.3"/>
    <row r="17226" ht="14.4" customHeight="1" x14ac:dyDescent="0.3"/>
    <row r="17227" ht="14.4" customHeight="1" x14ac:dyDescent="0.3"/>
    <row r="17228" ht="14.4" customHeight="1" x14ac:dyDescent="0.3"/>
    <row r="17229" ht="14.4" customHeight="1" x14ac:dyDescent="0.3"/>
    <row r="17230" ht="14.4" customHeight="1" x14ac:dyDescent="0.3"/>
    <row r="17231" ht="14.4" customHeight="1" x14ac:dyDescent="0.3"/>
    <row r="17232" ht="14.4" customHeight="1" x14ac:dyDescent="0.3"/>
    <row r="17233" ht="14.4" customHeight="1" x14ac:dyDescent="0.3"/>
    <row r="17234" ht="14.4" customHeight="1" x14ac:dyDescent="0.3"/>
    <row r="17235" ht="14.4" customHeight="1" x14ac:dyDescent="0.3"/>
    <row r="17236" ht="14.4" customHeight="1" x14ac:dyDescent="0.3"/>
    <row r="17237" ht="14.4" customHeight="1" x14ac:dyDescent="0.3"/>
    <row r="17238" ht="14.4" customHeight="1" x14ac:dyDescent="0.3"/>
    <row r="17239" ht="14.4" customHeight="1" x14ac:dyDescent="0.3"/>
    <row r="17240" ht="14.4" customHeight="1" x14ac:dyDescent="0.3"/>
    <row r="17241" ht="14.4" customHeight="1" x14ac:dyDescent="0.3"/>
    <row r="17242" ht="14.4" customHeight="1" x14ac:dyDescent="0.3"/>
    <row r="17243" ht="14.4" customHeight="1" x14ac:dyDescent="0.3"/>
    <row r="17244" ht="14.4" customHeight="1" x14ac:dyDescent="0.3"/>
    <row r="17245" ht="14.4" customHeight="1" x14ac:dyDescent="0.3"/>
    <row r="17246" ht="14.4" customHeight="1" x14ac:dyDescent="0.3"/>
    <row r="17247" ht="14.4" customHeight="1" x14ac:dyDescent="0.3"/>
    <row r="17248" ht="14.4" customHeight="1" x14ac:dyDescent="0.3"/>
    <row r="17249" ht="14.4" customHeight="1" x14ac:dyDescent="0.3"/>
    <row r="17250" ht="14.4" customHeight="1" x14ac:dyDescent="0.3"/>
    <row r="17251" ht="14.4" customHeight="1" x14ac:dyDescent="0.3"/>
    <row r="17252" ht="14.4" customHeight="1" x14ac:dyDescent="0.3"/>
    <row r="17253" ht="14.4" customHeight="1" x14ac:dyDescent="0.3"/>
    <row r="17254" ht="14.4" customHeight="1" x14ac:dyDescent="0.3"/>
    <row r="17255" ht="14.4" customHeight="1" x14ac:dyDescent="0.3"/>
    <row r="17256" ht="14.4" customHeight="1" x14ac:dyDescent="0.3"/>
    <row r="17257" ht="14.4" customHeight="1" x14ac:dyDescent="0.3"/>
    <row r="17258" ht="14.4" customHeight="1" x14ac:dyDescent="0.3"/>
    <row r="17259" ht="14.4" customHeight="1" x14ac:dyDescent="0.3"/>
    <row r="17260" ht="14.4" customHeight="1" x14ac:dyDescent="0.3"/>
    <row r="17261" ht="14.4" customHeight="1" x14ac:dyDescent="0.3"/>
    <row r="17262" ht="14.4" customHeight="1" x14ac:dyDescent="0.3"/>
    <row r="17263" ht="14.4" customHeight="1" x14ac:dyDescent="0.3"/>
    <row r="17264" ht="14.4" customHeight="1" x14ac:dyDescent="0.3"/>
    <row r="17265" ht="14.4" customHeight="1" x14ac:dyDescent="0.3"/>
    <row r="17266" ht="14.4" customHeight="1" x14ac:dyDescent="0.3"/>
    <row r="17267" ht="14.4" customHeight="1" x14ac:dyDescent="0.3"/>
    <row r="17268" ht="14.4" customHeight="1" x14ac:dyDescent="0.3"/>
    <row r="17269" ht="14.4" customHeight="1" x14ac:dyDescent="0.3"/>
    <row r="17270" ht="14.4" customHeight="1" x14ac:dyDescent="0.3"/>
    <row r="17271" ht="14.4" customHeight="1" x14ac:dyDescent="0.3"/>
    <row r="17272" ht="14.4" customHeight="1" x14ac:dyDescent="0.3"/>
    <row r="17273" ht="14.4" customHeight="1" x14ac:dyDescent="0.3"/>
    <row r="17274" ht="14.4" customHeight="1" x14ac:dyDescent="0.3"/>
    <row r="17275" ht="14.4" customHeight="1" x14ac:dyDescent="0.3"/>
    <row r="17276" ht="14.4" customHeight="1" x14ac:dyDescent="0.3"/>
    <row r="17277" ht="14.4" customHeight="1" x14ac:dyDescent="0.3"/>
    <row r="17278" ht="14.4" customHeight="1" x14ac:dyDescent="0.3"/>
    <row r="17279" ht="14.4" customHeight="1" x14ac:dyDescent="0.3"/>
    <row r="17280" ht="14.4" customHeight="1" x14ac:dyDescent="0.3"/>
    <row r="17281" ht="14.4" customHeight="1" x14ac:dyDescent="0.3"/>
    <row r="17282" ht="14.4" customHeight="1" x14ac:dyDescent="0.3"/>
    <row r="17283" ht="14.4" customHeight="1" x14ac:dyDescent="0.3"/>
    <row r="17284" ht="14.4" customHeight="1" x14ac:dyDescent="0.3"/>
    <row r="17285" ht="14.4" customHeight="1" x14ac:dyDescent="0.3"/>
    <row r="17286" ht="14.4" customHeight="1" x14ac:dyDescent="0.3"/>
    <row r="17287" ht="14.4" customHeight="1" x14ac:dyDescent="0.3"/>
    <row r="17288" ht="14.4" customHeight="1" x14ac:dyDescent="0.3"/>
    <row r="17289" ht="14.4" customHeight="1" x14ac:dyDescent="0.3"/>
    <row r="17290" ht="14.4" customHeight="1" x14ac:dyDescent="0.3"/>
    <row r="17291" ht="14.4" customHeight="1" x14ac:dyDescent="0.3"/>
    <row r="17292" ht="14.4" customHeight="1" x14ac:dyDescent="0.3"/>
    <row r="17293" ht="14.4" customHeight="1" x14ac:dyDescent="0.3"/>
    <row r="17294" ht="14.4" customHeight="1" x14ac:dyDescent="0.3"/>
    <row r="17295" ht="14.4" customHeight="1" x14ac:dyDescent="0.3"/>
    <row r="17296" ht="14.4" customHeight="1" x14ac:dyDescent="0.3"/>
    <row r="17297" ht="14.4" customHeight="1" x14ac:dyDescent="0.3"/>
    <row r="17298" ht="14.4" customHeight="1" x14ac:dyDescent="0.3"/>
    <row r="17299" ht="14.4" customHeight="1" x14ac:dyDescent="0.3"/>
    <row r="17300" ht="14.4" customHeight="1" x14ac:dyDescent="0.3"/>
    <row r="17301" ht="14.4" customHeight="1" x14ac:dyDescent="0.3"/>
    <row r="17302" ht="14.4" customHeight="1" x14ac:dyDescent="0.3"/>
    <row r="17303" ht="14.4" customHeight="1" x14ac:dyDescent="0.3"/>
    <row r="17304" ht="14.4" customHeight="1" x14ac:dyDescent="0.3"/>
    <row r="17305" ht="14.4" customHeight="1" x14ac:dyDescent="0.3"/>
    <row r="17306" ht="14.4" customHeight="1" x14ac:dyDescent="0.3"/>
    <row r="17307" ht="14.4" customHeight="1" x14ac:dyDescent="0.3"/>
    <row r="17308" ht="14.4" customHeight="1" x14ac:dyDescent="0.3"/>
    <row r="17309" ht="14.4" customHeight="1" x14ac:dyDescent="0.3"/>
    <row r="17310" ht="14.4" customHeight="1" x14ac:dyDescent="0.3"/>
    <row r="17311" ht="14.4" customHeight="1" x14ac:dyDescent="0.3"/>
    <row r="17312" ht="14.4" customHeight="1" x14ac:dyDescent="0.3"/>
    <row r="17313" ht="14.4" customHeight="1" x14ac:dyDescent="0.3"/>
    <row r="17314" ht="14.4" customHeight="1" x14ac:dyDescent="0.3"/>
    <row r="17315" ht="14.4" customHeight="1" x14ac:dyDescent="0.3"/>
    <row r="17316" ht="14.4" customHeight="1" x14ac:dyDescent="0.3"/>
    <row r="17317" ht="14.4" customHeight="1" x14ac:dyDescent="0.3"/>
    <row r="17318" ht="14.4" customHeight="1" x14ac:dyDescent="0.3"/>
    <row r="17319" ht="14.4" customHeight="1" x14ac:dyDescent="0.3"/>
    <row r="17320" ht="14.4" customHeight="1" x14ac:dyDescent="0.3"/>
    <row r="17321" ht="14.4" customHeight="1" x14ac:dyDescent="0.3"/>
    <row r="17322" ht="14.4" customHeight="1" x14ac:dyDescent="0.3"/>
    <row r="17323" ht="14.4" customHeight="1" x14ac:dyDescent="0.3"/>
    <row r="17324" ht="14.4" customHeight="1" x14ac:dyDescent="0.3"/>
    <row r="17325" ht="14.4" customHeight="1" x14ac:dyDescent="0.3"/>
    <row r="17326" ht="14.4" customHeight="1" x14ac:dyDescent="0.3"/>
    <row r="17327" ht="14.4" customHeight="1" x14ac:dyDescent="0.3"/>
    <row r="17328" ht="14.4" customHeight="1" x14ac:dyDescent="0.3"/>
    <row r="17329" ht="14.4" customHeight="1" x14ac:dyDescent="0.3"/>
    <row r="17330" ht="14.4" customHeight="1" x14ac:dyDescent="0.3"/>
    <row r="17331" ht="14.4" customHeight="1" x14ac:dyDescent="0.3"/>
    <row r="17332" ht="14.4" customHeight="1" x14ac:dyDescent="0.3"/>
    <row r="17333" ht="14.4" customHeight="1" x14ac:dyDescent="0.3"/>
    <row r="17334" ht="14.4" customHeight="1" x14ac:dyDescent="0.3"/>
    <row r="17335" ht="14.4" customHeight="1" x14ac:dyDescent="0.3"/>
    <row r="17336" ht="14.4" customHeight="1" x14ac:dyDescent="0.3"/>
    <row r="17337" ht="14.4" customHeight="1" x14ac:dyDescent="0.3"/>
    <row r="17338" ht="14.4" customHeight="1" x14ac:dyDescent="0.3"/>
    <row r="17339" ht="14.4" customHeight="1" x14ac:dyDescent="0.3"/>
    <row r="17340" ht="14.4" customHeight="1" x14ac:dyDescent="0.3"/>
    <row r="17341" ht="14.4" customHeight="1" x14ac:dyDescent="0.3"/>
    <row r="17342" ht="14.4" customHeight="1" x14ac:dyDescent="0.3"/>
    <row r="17343" ht="14.4" customHeight="1" x14ac:dyDescent="0.3"/>
    <row r="17344" ht="14.4" customHeight="1" x14ac:dyDescent="0.3"/>
    <row r="17345" ht="14.4" customHeight="1" x14ac:dyDescent="0.3"/>
    <row r="17346" ht="14.4" customHeight="1" x14ac:dyDescent="0.3"/>
    <row r="17347" ht="14.4" customHeight="1" x14ac:dyDescent="0.3"/>
    <row r="17348" ht="14.4" customHeight="1" x14ac:dyDescent="0.3"/>
    <row r="17349" ht="14.4" customHeight="1" x14ac:dyDescent="0.3"/>
    <row r="17350" ht="14.4" customHeight="1" x14ac:dyDescent="0.3"/>
    <row r="17351" ht="14.4" customHeight="1" x14ac:dyDescent="0.3"/>
    <row r="17352" ht="14.4" customHeight="1" x14ac:dyDescent="0.3"/>
    <row r="17353" ht="14.4" customHeight="1" x14ac:dyDescent="0.3"/>
    <row r="17354" ht="14.4" customHeight="1" x14ac:dyDescent="0.3"/>
    <row r="17355" ht="14.4" customHeight="1" x14ac:dyDescent="0.3"/>
    <row r="17356" ht="14.4" customHeight="1" x14ac:dyDescent="0.3"/>
    <row r="17357" ht="14.4" customHeight="1" x14ac:dyDescent="0.3"/>
    <row r="17358" ht="14.4" customHeight="1" x14ac:dyDescent="0.3"/>
    <row r="17359" ht="14.4" customHeight="1" x14ac:dyDescent="0.3"/>
    <row r="17360" ht="14.4" customHeight="1" x14ac:dyDescent="0.3"/>
    <row r="17361" ht="14.4" customHeight="1" x14ac:dyDescent="0.3"/>
    <row r="17362" ht="14.4" customHeight="1" x14ac:dyDescent="0.3"/>
    <row r="17363" ht="14.4" customHeight="1" x14ac:dyDescent="0.3"/>
    <row r="17364" ht="14.4" customHeight="1" x14ac:dyDescent="0.3"/>
    <row r="17365" ht="14.4" customHeight="1" x14ac:dyDescent="0.3"/>
    <row r="17366" ht="14.4" customHeight="1" x14ac:dyDescent="0.3"/>
    <row r="17367" ht="14.4" customHeight="1" x14ac:dyDescent="0.3"/>
    <row r="17368" ht="14.4" customHeight="1" x14ac:dyDescent="0.3"/>
    <row r="17369" ht="14.4" customHeight="1" x14ac:dyDescent="0.3"/>
    <row r="17370" ht="14.4" customHeight="1" x14ac:dyDescent="0.3"/>
    <row r="17371" ht="14.4" customHeight="1" x14ac:dyDescent="0.3"/>
    <row r="17372" ht="14.4" customHeight="1" x14ac:dyDescent="0.3"/>
    <row r="17373" ht="14.4" customHeight="1" x14ac:dyDescent="0.3"/>
    <row r="17374" ht="14.4" customHeight="1" x14ac:dyDescent="0.3"/>
    <row r="17375" ht="14.4" customHeight="1" x14ac:dyDescent="0.3"/>
    <row r="17376" ht="14.4" customHeight="1" x14ac:dyDescent="0.3"/>
    <row r="17377" ht="14.4" customHeight="1" x14ac:dyDescent="0.3"/>
    <row r="17378" ht="14.4" customHeight="1" x14ac:dyDescent="0.3"/>
    <row r="17379" ht="14.4" customHeight="1" x14ac:dyDescent="0.3"/>
    <row r="17380" ht="14.4" customHeight="1" x14ac:dyDescent="0.3"/>
    <row r="17381" ht="14.4" customHeight="1" x14ac:dyDescent="0.3"/>
    <row r="17382" ht="14.4" customHeight="1" x14ac:dyDescent="0.3"/>
    <row r="17383" ht="14.4" customHeight="1" x14ac:dyDescent="0.3"/>
    <row r="17384" ht="14.4" customHeight="1" x14ac:dyDescent="0.3"/>
    <row r="17385" ht="14.4" customHeight="1" x14ac:dyDescent="0.3"/>
    <row r="17386" ht="14.4" customHeight="1" x14ac:dyDescent="0.3"/>
    <row r="17387" ht="14.4" customHeight="1" x14ac:dyDescent="0.3"/>
    <row r="17388" ht="14.4" customHeight="1" x14ac:dyDescent="0.3"/>
    <row r="17389" ht="14.4" customHeight="1" x14ac:dyDescent="0.3"/>
    <row r="17390" ht="14.4" customHeight="1" x14ac:dyDescent="0.3"/>
    <row r="17391" ht="14.4" customHeight="1" x14ac:dyDescent="0.3"/>
    <row r="17392" ht="14.4" customHeight="1" x14ac:dyDescent="0.3"/>
    <row r="17393" ht="14.4" customHeight="1" x14ac:dyDescent="0.3"/>
    <row r="17394" ht="14.4" customHeight="1" x14ac:dyDescent="0.3"/>
    <row r="17395" ht="14.4" customHeight="1" x14ac:dyDescent="0.3"/>
    <row r="17396" ht="14.4" customHeight="1" x14ac:dyDescent="0.3"/>
    <row r="17397" ht="14.4" customHeight="1" x14ac:dyDescent="0.3"/>
    <row r="17398" ht="14.4" customHeight="1" x14ac:dyDescent="0.3"/>
    <row r="17399" ht="14.4" customHeight="1" x14ac:dyDescent="0.3"/>
    <row r="17400" ht="14.4" customHeight="1" x14ac:dyDescent="0.3"/>
    <row r="17401" ht="14.4" customHeight="1" x14ac:dyDescent="0.3"/>
    <row r="17402" ht="14.4" customHeight="1" x14ac:dyDescent="0.3"/>
    <row r="17403" ht="14.4" customHeight="1" x14ac:dyDescent="0.3"/>
    <row r="17404" ht="14.4" customHeight="1" x14ac:dyDescent="0.3"/>
    <row r="17405" ht="14.4" customHeight="1" x14ac:dyDescent="0.3"/>
    <row r="17406" ht="14.4" customHeight="1" x14ac:dyDescent="0.3"/>
    <row r="17407" ht="14.4" customHeight="1" x14ac:dyDescent="0.3"/>
    <row r="17408" ht="14.4" customHeight="1" x14ac:dyDescent="0.3"/>
    <row r="17409" ht="14.4" customHeight="1" x14ac:dyDescent="0.3"/>
    <row r="17410" ht="14.4" customHeight="1" x14ac:dyDescent="0.3"/>
    <row r="17411" ht="14.4" customHeight="1" x14ac:dyDescent="0.3"/>
    <row r="17412" ht="14.4" customHeight="1" x14ac:dyDescent="0.3"/>
    <row r="17413" ht="14.4" customHeight="1" x14ac:dyDescent="0.3"/>
    <row r="17414" ht="14.4" customHeight="1" x14ac:dyDescent="0.3"/>
    <row r="17415" ht="14.4" customHeight="1" x14ac:dyDescent="0.3"/>
    <row r="17416" ht="14.4" customHeight="1" x14ac:dyDescent="0.3"/>
    <row r="17417" ht="14.4" customHeight="1" x14ac:dyDescent="0.3"/>
    <row r="17418" ht="14.4" customHeight="1" x14ac:dyDescent="0.3"/>
    <row r="17419" ht="14.4" customHeight="1" x14ac:dyDescent="0.3"/>
    <row r="17420" ht="14.4" customHeight="1" x14ac:dyDescent="0.3"/>
    <row r="17421" ht="14.4" customHeight="1" x14ac:dyDescent="0.3"/>
    <row r="17422" ht="14.4" customHeight="1" x14ac:dyDescent="0.3"/>
    <row r="17423" ht="14.4" customHeight="1" x14ac:dyDescent="0.3"/>
    <row r="17424" ht="14.4" customHeight="1" x14ac:dyDescent="0.3"/>
    <row r="17425" ht="14.4" customHeight="1" x14ac:dyDescent="0.3"/>
    <row r="17426" ht="14.4" customHeight="1" x14ac:dyDescent="0.3"/>
    <row r="17427" ht="14.4" customHeight="1" x14ac:dyDescent="0.3"/>
    <row r="17428" ht="14.4" customHeight="1" x14ac:dyDescent="0.3"/>
    <row r="17429" ht="14.4" customHeight="1" x14ac:dyDescent="0.3"/>
    <row r="17430" ht="14.4" customHeight="1" x14ac:dyDescent="0.3"/>
    <row r="17431" ht="14.4" customHeight="1" x14ac:dyDescent="0.3"/>
    <row r="17432" ht="14.4" customHeight="1" x14ac:dyDescent="0.3"/>
    <row r="17433" ht="14.4" customHeight="1" x14ac:dyDescent="0.3"/>
    <row r="17434" ht="14.4" customHeight="1" x14ac:dyDescent="0.3"/>
    <row r="17435" ht="14.4" customHeight="1" x14ac:dyDescent="0.3"/>
    <row r="17436" ht="14.4" customHeight="1" x14ac:dyDescent="0.3"/>
    <row r="17437" ht="14.4" customHeight="1" x14ac:dyDescent="0.3"/>
    <row r="17438" ht="14.4" customHeight="1" x14ac:dyDescent="0.3"/>
    <row r="17439" ht="14.4" customHeight="1" x14ac:dyDescent="0.3"/>
    <row r="17440" ht="14.4" customHeight="1" x14ac:dyDescent="0.3"/>
    <row r="17441" ht="14.4" customHeight="1" x14ac:dyDescent="0.3"/>
    <row r="17442" ht="14.4" customHeight="1" x14ac:dyDescent="0.3"/>
    <row r="17443" ht="14.4" customHeight="1" x14ac:dyDescent="0.3"/>
    <row r="17444" ht="14.4" customHeight="1" x14ac:dyDescent="0.3"/>
    <row r="17445" ht="14.4" customHeight="1" x14ac:dyDescent="0.3"/>
    <row r="17446" ht="14.4" customHeight="1" x14ac:dyDescent="0.3"/>
    <row r="17447" ht="14.4" customHeight="1" x14ac:dyDescent="0.3"/>
    <row r="17448" ht="14.4" customHeight="1" x14ac:dyDescent="0.3"/>
    <row r="17449" ht="14.4" customHeight="1" x14ac:dyDescent="0.3"/>
    <row r="17450" ht="14.4" customHeight="1" x14ac:dyDescent="0.3"/>
    <row r="17451" ht="14.4" customHeight="1" x14ac:dyDescent="0.3"/>
    <row r="17452" ht="14.4" customHeight="1" x14ac:dyDescent="0.3"/>
    <row r="17453" ht="14.4" customHeight="1" x14ac:dyDescent="0.3"/>
    <row r="17454" ht="14.4" customHeight="1" x14ac:dyDescent="0.3"/>
    <row r="17455" ht="14.4" customHeight="1" x14ac:dyDescent="0.3"/>
    <row r="17456" ht="14.4" customHeight="1" x14ac:dyDescent="0.3"/>
    <row r="17457" ht="14.4" customHeight="1" x14ac:dyDescent="0.3"/>
    <row r="17458" ht="14.4" customHeight="1" x14ac:dyDescent="0.3"/>
    <row r="17459" ht="14.4" customHeight="1" x14ac:dyDescent="0.3"/>
    <row r="17460" ht="14.4" customHeight="1" x14ac:dyDescent="0.3"/>
    <row r="17461" ht="14.4" customHeight="1" x14ac:dyDescent="0.3"/>
    <row r="17462" ht="14.4" customHeight="1" x14ac:dyDescent="0.3"/>
    <row r="17463" ht="14.4" customHeight="1" x14ac:dyDescent="0.3"/>
    <row r="17464" ht="14.4" customHeight="1" x14ac:dyDescent="0.3"/>
    <row r="17465" ht="14.4" customHeight="1" x14ac:dyDescent="0.3"/>
    <row r="17466" ht="14.4" customHeight="1" x14ac:dyDescent="0.3"/>
    <row r="17467" ht="14.4" customHeight="1" x14ac:dyDescent="0.3"/>
    <row r="17468" ht="14.4" customHeight="1" x14ac:dyDescent="0.3"/>
    <row r="17469" ht="14.4" customHeight="1" x14ac:dyDescent="0.3"/>
    <row r="17470" ht="14.4" customHeight="1" x14ac:dyDescent="0.3"/>
    <row r="17471" ht="14.4" customHeight="1" x14ac:dyDescent="0.3"/>
    <row r="17472" ht="14.4" customHeight="1" x14ac:dyDescent="0.3"/>
    <row r="17473" ht="14.4" customHeight="1" x14ac:dyDescent="0.3"/>
    <row r="17474" ht="14.4" customHeight="1" x14ac:dyDescent="0.3"/>
    <row r="17475" ht="14.4" customHeight="1" x14ac:dyDescent="0.3"/>
    <row r="17476" ht="14.4" customHeight="1" x14ac:dyDescent="0.3"/>
    <row r="17477" ht="14.4" customHeight="1" x14ac:dyDescent="0.3"/>
    <row r="17478" ht="14.4" customHeight="1" x14ac:dyDescent="0.3"/>
    <row r="17479" ht="14.4" customHeight="1" x14ac:dyDescent="0.3"/>
    <row r="17480" ht="14.4" customHeight="1" x14ac:dyDescent="0.3"/>
    <row r="17481" ht="14.4" customHeight="1" x14ac:dyDescent="0.3"/>
    <row r="17482" ht="14.4" customHeight="1" x14ac:dyDescent="0.3"/>
    <row r="17483" ht="14.4" customHeight="1" x14ac:dyDescent="0.3"/>
    <row r="17484" ht="14.4" customHeight="1" x14ac:dyDescent="0.3"/>
    <row r="17485" ht="14.4" customHeight="1" x14ac:dyDescent="0.3"/>
    <row r="17486" ht="14.4" customHeight="1" x14ac:dyDescent="0.3"/>
    <row r="17487" ht="14.4" customHeight="1" x14ac:dyDescent="0.3"/>
    <row r="17488" ht="14.4" customHeight="1" x14ac:dyDescent="0.3"/>
    <row r="17489" ht="14.4" customHeight="1" x14ac:dyDescent="0.3"/>
    <row r="17490" ht="14.4" customHeight="1" x14ac:dyDescent="0.3"/>
    <row r="17491" ht="14.4" customHeight="1" x14ac:dyDescent="0.3"/>
    <row r="17492" ht="14.4" customHeight="1" x14ac:dyDescent="0.3"/>
    <row r="17493" ht="14.4" customHeight="1" x14ac:dyDescent="0.3"/>
    <row r="17494" ht="14.4" customHeight="1" x14ac:dyDescent="0.3"/>
    <row r="17495" ht="14.4" customHeight="1" x14ac:dyDescent="0.3"/>
    <row r="17496" ht="14.4" customHeight="1" x14ac:dyDescent="0.3"/>
    <row r="17497" ht="14.4" customHeight="1" x14ac:dyDescent="0.3"/>
    <row r="17498" ht="14.4" customHeight="1" x14ac:dyDescent="0.3"/>
    <row r="17499" ht="14.4" customHeight="1" x14ac:dyDescent="0.3"/>
    <row r="17500" ht="14.4" customHeight="1" x14ac:dyDescent="0.3"/>
    <row r="17501" ht="14.4" customHeight="1" x14ac:dyDescent="0.3"/>
    <row r="17502" ht="14.4" customHeight="1" x14ac:dyDescent="0.3"/>
    <row r="17503" ht="14.4" customHeight="1" x14ac:dyDescent="0.3"/>
    <row r="17504" ht="14.4" customHeight="1" x14ac:dyDescent="0.3"/>
    <row r="17505" ht="14.4" customHeight="1" x14ac:dyDescent="0.3"/>
    <row r="17506" ht="14.4" customHeight="1" x14ac:dyDescent="0.3"/>
    <row r="17507" ht="14.4" customHeight="1" x14ac:dyDescent="0.3"/>
    <row r="17508" ht="14.4" customHeight="1" x14ac:dyDescent="0.3"/>
    <row r="17509" ht="14.4" customHeight="1" x14ac:dyDescent="0.3"/>
    <row r="17510" ht="14.4" customHeight="1" x14ac:dyDescent="0.3"/>
    <row r="17511" ht="14.4" customHeight="1" x14ac:dyDescent="0.3"/>
    <row r="17512" ht="14.4" customHeight="1" x14ac:dyDescent="0.3"/>
    <row r="17513" ht="14.4" customHeight="1" x14ac:dyDescent="0.3"/>
    <row r="17514" ht="14.4" customHeight="1" x14ac:dyDescent="0.3"/>
    <row r="17515" ht="14.4" customHeight="1" x14ac:dyDescent="0.3"/>
    <row r="17516" ht="14.4" customHeight="1" x14ac:dyDescent="0.3"/>
    <row r="17517" ht="14.4" customHeight="1" x14ac:dyDescent="0.3"/>
    <row r="17518" ht="14.4" customHeight="1" x14ac:dyDescent="0.3"/>
    <row r="17519" ht="14.4" customHeight="1" x14ac:dyDescent="0.3"/>
    <row r="17520" ht="14.4" customHeight="1" x14ac:dyDescent="0.3"/>
    <row r="17521" ht="14.4" customHeight="1" x14ac:dyDescent="0.3"/>
    <row r="17522" ht="14.4" customHeight="1" x14ac:dyDescent="0.3"/>
    <row r="17523" ht="14.4" customHeight="1" x14ac:dyDescent="0.3"/>
    <row r="17524" ht="14.4" customHeight="1" x14ac:dyDescent="0.3"/>
    <row r="17525" ht="14.4" customHeight="1" x14ac:dyDescent="0.3"/>
    <row r="17526" ht="14.4" customHeight="1" x14ac:dyDescent="0.3"/>
    <row r="17527" ht="14.4" customHeight="1" x14ac:dyDescent="0.3"/>
    <row r="17528" ht="14.4" customHeight="1" x14ac:dyDescent="0.3"/>
    <row r="17529" ht="14.4" customHeight="1" x14ac:dyDescent="0.3"/>
    <row r="17530" ht="14.4" customHeight="1" x14ac:dyDescent="0.3"/>
    <row r="17531" ht="14.4" customHeight="1" x14ac:dyDescent="0.3"/>
    <row r="17532" ht="14.4" customHeight="1" x14ac:dyDescent="0.3"/>
    <row r="17533" ht="14.4" customHeight="1" x14ac:dyDescent="0.3"/>
    <row r="17534" ht="14.4" customHeight="1" x14ac:dyDescent="0.3"/>
    <row r="17535" ht="14.4" customHeight="1" x14ac:dyDescent="0.3"/>
    <row r="17536" ht="14.4" customHeight="1" x14ac:dyDescent="0.3"/>
    <row r="17537" ht="14.4" customHeight="1" x14ac:dyDescent="0.3"/>
    <row r="17538" ht="14.4" customHeight="1" x14ac:dyDescent="0.3"/>
    <row r="17539" ht="14.4" customHeight="1" x14ac:dyDescent="0.3"/>
    <row r="17540" ht="14.4" customHeight="1" x14ac:dyDescent="0.3"/>
    <row r="17541" ht="14.4" customHeight="1" x14ac:dyDescent="0.3"/>
    <row r="17542" ht="14.4" customHeight="1" x14ac:dyDescent="0.3"/>
    <row r="17543" ht="14.4" customHeight="1" x14ac:dyDescent="0.3"/>
    <row r="17544" ht="14.4" customHeight="1" x14ac:dyDescent="0.3"/>
    <row r="17545" ht="14.4" customHeight="1" x14ac:dyDescent="0.3"/>
    <row r="17546" ht="14.4" customHeight="1" x14ac:dyDescent="0.3"/>
    <row r="17547" ht="14.4" customHeight="1" x14ac:dyDescent="0.3"/>
    <row r="17548" ht="14.4" customHeight="1" x14ac:dyDescent="0.3"/>
    <row r="17549" ht="14.4" customHeight="1" x14ac:dyDescent="0.3"/>
    <row r="17550" ht="14.4" customHeight="1" x14ac:dyDescent="0.3"/>
    <row r="17551" ht="14.4" customHeight="1" x14ac:dyDescent="0.3"/>
    <row r="17552" ht="14.4" customHeight="1" x14ac:dyDescent="0.3"/>
    <row r="17553" ht="14.4" customHeight="1" x14ac:dyDescent="0.3"/>
    <row r="17554" ht="14.4" customHeight="1" x14ac:dyDescent="0.3"/>
    <row r="17555" ht="14.4" customHeight="1" x14ac:dyDescent="0.3"/>
    <row r="17556" ht="14.4" customHeight="1" x14ac:dyDescent="0.3"/>
    <row r="17557" ht="14.4" customHeight="1" x14ac:dyDescent="0.3"/>
    <row r="17558" ht="14.4" customHeight="1" x14ac:dyDescent="0.3"/>
    <row r="17559" ht="14.4" customHeight="1" x14ac:dyDescent="0.3"/>
    <row r="17560" ht="14.4" customHeight="1" x14ac:dyDescent="0.3"/>
    <row r="17561" ht="14.4" customHeight="1" x14ac:dyDescent="0.3"/>
    <row r="17562" ht="14.4" customHeight="1" x14ac:dyDescent="0.3"/>
    <row r="17563" ht="14.4" customHeight="1" x14ac:dyDescent="0.3"/>
    <row r="17564" ht="14.4" customHeight="1" x14ac:dyDescent="0.3"/>
    <row r="17565" ht="14.4" customHeight="1" x14ac:dyDescent="0.3"/>
    <row r="17566" ht="14.4" customHeight="1" x14ac:dyDescent="0.3"/>
    <row r="17567" ht="14.4" customHeight="1" x14ac:dyDescent="0.3"/>
    <row r="17568" ht="14.4" customHeight="1" x14ac:dyDescent="0.3"/>
    <row r="17569" ht="14.4" customHeight="1" x14ac:dyDescent="0.3"/>
    <row r="17570" ht="14.4" customHeight="1" x14ac:dyDescent="0.3"/>
    <row r="17571" ht="14.4" customHeight="1" x14ac:dyDescent="0.3"/>
    <row r="17572" ht="14.4" customHeight="1" x14ac:dyDescent="0.3"/>
    <row r="17573" ht="14.4" customHeight="1" x14ac:dyDescent="0.3"/>
    <row r="17574" ht="14.4" customHeight="1" x14ac:dyDescent="0.3"/>
    <row r="17575" ht="14.4" customHeight="1" x14ac:dyDescent="0.3"/>
    <row r="17576" ht="14.4" customHeight="1" x14ac:dyDescent="0.3"/>
    <row r="17577" ht="14.4" customHeight="1" x14ac:dyDescent="0.3"/>
    <row r="17578" ht="14.4" customHeight="1" x14ac:dyDescent="0.3"/>
    <row r="17579" ht="14.4" customHeight="1" x14ac:dyDescent="0.3"/>
    <row r="17580" ht="14.4" customHeight="1" x14ac:dyDescent="0.3"/>
    <row r="17581" ht="14.4" customHeight="1" x14ac:dyDescent="0.3"/>
    <row r="17582" ht="14.4" customHeight="1" x14ac:dyDescent="0.3"/>
    <row r="17583" ht="14.4" customHeight="1" x14ac:dyDescent="0.3"/>
    <row r="17584" ht="14.4" customHeight="1" x14ac:dyDescent="0.3"/>
    <row r="17585" ht="14.4" customHeight="1" x14ac:dyDescent="0.3"/>
    <row r="17586" ht="14.4" customHeight="1" x14ac:dyDescent="0.3"/>
    <row r="17587" ht="14.4" customHeight="1" x14ac:dyDescent="0.3"/>
    <row r="17588" ht="14.4" customHeight="1" x14ac:dyDescent="0.3"/>
    <row r="17589" ht="14.4" customHeight="1" x14ac:dyDescent="0.3"/>
    <row r="17590" ht="14.4" customHeight="1" x14ac:dyDescent="0.3"/>
    <row r="17591" ht="14.4" customHeight="1" x14ac:dyDescent="0.3"/>
    <row r="17592" ht="14.4" customHeight="1" x14ac:dyDescent="0.3"/>
    <row r="17593" ht="14.4" customHeight="1" x14ac:dyDescent="0.3"/>
    <row r="17594" ht="14.4" customHeight="1" x14ac:dyDescent="0.3"/>
    <row r="17595" ht="14.4" customHeight="1" x14ac:dyDescent="0.3"/>
    <row r="17596" ht="14.4" customHeight="1" x14ac:dyDescent="0.3"/>
    <row r="17597" ht="14.4" customHeight="1" x14ac:dyDescent="0.3"/>
    <row r="17598" ht="14.4" customHeight="1" x14ac:dyDescent="0.3"/>
    <row r="17599" ht="14.4" customHeight="1" x14ac:dyDescent="0.3"/>
    <row r="17600" ht="14.4" customHeight="1" x14ac:dyDescent="0.3"/>
    <row r="17601" ht="14.4" customHeight="1" x14ac:dyDescent="0.3"/>
    <row r="17602" ht="14.4" customHeight="1" x14ac:dyDescent="0.3"/>
    <row r="17603" ht="14.4" customHeight="1" x14ac:dyDescent="0.3"/>
    <row r="17604" ht="14.4" customHeight="1" x14ac:dyDescent="0.3"/>
    <row r="17605" ht="14.4" customHeight="1" x14ac:dyDescent="0.3"/>
    <row r="17606" ht="14.4" customHeight="1" x14ac:dyDescent="0.3"/>
    <row r="17607" ht="14.4" customHeight="1" x14ac:dyDescent="0.3"/>
    <row r="17608" ht="14.4" customHeight="1" x14ac:dyDescent="0.3"/>
    <row r="17609" ht="14.4" customHeight="1" x14ac:dyDescent="0.3"/>
    <row r="17610" ht="14.4" customHeight="1" x14ac:dyDescent="0.3"/>
    <row r="17611" ht="14.4" customHeight="1" x14ac:dyDescent="0.3"/>
    <row r="17612" ht="14.4" customHeight="1" x14ac:dyDescent="0.3"/>
    <row r="17613" ht="14.4" customHeight="1" x14ac:dyDescent="0.3"/>
    <row r="17614" ht="14.4" customHeight="1" x14ac:dyDescent="0.3"/>
    <row r="17615" ht="14.4" customHeight="1" x14ac:dyDescent="0.3"/>
    <row r="17616" ht="14.4" customHeight="1" x14ac:dyDescent="0.3"/>
    <row r="17617" ht="14.4" customHeight="1" x14ac:dyDescent="0.3"/>
    <row r="17618" ht="14.4" customHeight="1" x14ac:dyDescent="0.3"/>
    <row r="17619" ht="14.4" customHeight="1" x14ac:dyDescent="0.3"/>
    <row r="17620" ht="14.4" customHeight="1" x14ac:dyDescent="0.3"/>
    <row r="17621" ht="14.4" customHeight="1" x14ac:dyDescent="0.3"/>
    <row r="17622" ht="14.4" customHeight="1" x14ac:dyDescent="0.3"/>
    <row r="17623" ht="14.4" customHeight="1" x14ac:dyDescent="0.3"/>
    <row r="17624" ht="14.4" customHeight="1" x14ac:dyDescent="0.3"/>
    <row r="17625" ht="14.4" customHeight="1" x14ac:dyDescent="0.3"/>
    <row r="17626" ht="14.4" customHeight="1" x14ac:dyDescent="0.3"/>
    <row r="17627" ht="14.4" customHeight="1" x14ac:dyDescent="0.3"/>
    <row r="17628" ht="14.4" customHeight="1" x14ac:dyDescent="0.3"/>
    <row r="17629" ht="14.4" customHeight="1" x14ac:dyDescent="0.3"/>
    <row r="17630" ht="14.4" customHeight="1" x14ac:dyDescent="0.3"/>
    <row r="17631" ht="14.4" customHeight="1" x14ac:dyDescent="0.3"/>
    <row r="17632" ht="14.4" customHeight="1" x14ac:dyDescent="0.3"/>
    <row r="17633" ht="14.4" customHeight="1" x14ac:dyDescent="0.3"/>
    <row r="17634" ht="14.4" customHeight="1" x14ac:dyDescent="0.3"/>
    <row r="17635" ht="14.4" customHeight="1" x14ac:dyDescent="0.3"/>
    <row r="17636" ht="14.4" customHeight="1" x14ac:dyDescent="0.3"/>
    <row r="17637" ht="14.4" customHeight="1" x14ac:dyDescent="0.3"/>
    <row r="17638" ht="14.4" customHeight="1" x14ac:dyDescent="0.3"/>
    <row r="17639" ht="14.4" customHeight="1" x14ac:dyDescent="0.3"/>
    <row r="17640" ht="14.4" customHeight="1" x14ac:dyDescent="0.3"/>
    <row r="17641" ht="14.4" customHeight="1" x14ac:dyDescent="0.3"/>
    <row r="17642" ht="14.4" customHeight="1" x14ac:dyDescent="0.3"/>
    <row r="17643" ht="14.4" customHeight="1" x14ac:dyDescent="0.3"/>
    <row r="17644" ht="14.4" customHeight="1" x14ac:dyDescent="0.3"/>
    <row r="17645" ht="14.4" customHeight="1" x14ac:dyDescent="0.3"/>
    <row r="17646" ht="14.4" customHeight="1" x14ac:dyDescent="0.3"/>
    <row r="17647" ht="14.4" customHeight="1" x14ac:dyDescent="0.3"/>
    <row r="17648" ht="14.4" customHeight="1" x14ac:dyDescent="0.3"/>
    <row r="17649" ht="14.4" customHeight="1" x14ac:dyDescent="0.3"/>
    <row r="17650" ht="14.4" customHeight="1" x14ac:dyDescent="0.3"/>
    <row r="17651" ht="14.4" customHeight="1" x14ac:dyDescent="0.3"/>
    <row r="17652" ht="14.4" customHeight="1" x14ac:dyDescent="0.3"/>
    <row r="17653" ht="14.4" customHeight="1" x14ac:dyDescent="0.3"/>
    <row r="17654" ht="14.4" customHeight="1" x14ac:dyDescent="0.3"/>
    <row r="17655" ht="14.4" customHeight="1" x14ac:dyDescent="0.3"/>
    <row r="17656" ht="14.4" customHeight="1" x14ac:dyDescent="0.3"/>
    <row r="17657" ht="14.4" customHeight="1" x14ac:dyDescent="0.3"/>
    <row r="17658" ht="14.4" customHeight="1" x14ac:dyDescent="0.3"/>
    <row r="17659" ht="14.4" customHeight="1" x14ac:dyDescent="0.3"/>
    <row r="17660" ht="14.4" customHeight="1" x14ac:dyDescent="0.3"/>
    <row r="17661" ht="14.4" customHeight="1" x14ac:dyDescent="0.3"/>
    <row r="17662" ht="14.4" customHeight="1" x14ac:dyDescent="0.3"/>
    <row r="17663" ht="14.4" customHeight="1" x14ac:dyDescent="0.3"/>
    <row r="17664" ht="14.4" customHeight="1" x14ac:dyDescent="0.3"/>
    <row r="17665" ht="14.4" customHeight="1" x14ac:dyDescent="0.3"/>
    <row r="17666" ht="14.4" customHeight="1" x14ac:dyDescent="0.3"/>
    <row r="17667" ht="14.4" customHeight="1" x14ac:dyDescent="0.3"/>
    <row r="17668" ht="14.4" customHeight="1" x14ac:dyDescent="0.3"/>
    <row r="17669" ht="14.4" customHeight="1" x14ac:dyDescent="0.3"/>
    <row r="17670" ht="14.4" customHeight="1" x14ac:dyDescent="0.3"/>
    <row r="17671" ht="14.4" customHeight="1" x14ac:dyDescent="0.3"/>
    <row r="17672" ht="14.4" customHeight="1" x14ac:dyDescent="0.3"/>
    <row r="17673" ht="14.4" customHeight="1" x14ac:dyDescent="0.3"/>
    <row r="17674" ht="14.4" customHeight="1" x14ac:dyDescent="0.3"/>
    <row r="17675" ht="14.4" customHeight="1" x14ac:dyDescent="0.3"/>
    <row r="17676" ht="14.4" customHeight="1" x14ac:dyDescent="0.3"/>
    <row r="17677" ht="14.4" customHeight="1" x14ac:dyDescent="0.3"/>
    <row r="17678" ht="14.4" customHeight="1" x14ac:dyDescent="0.3"/>
    <row r="17679" ht="14.4" customHeight="1" x14ac:dyDescent="0.3"/>
    <row r="17680" ht="14.4" customHeight="1" x14ac:dyDescent="0.3"/>
    <row r="17681" ht="14.4" customHeight="1" x14ac:dyDescent="0.3"/>
    <row r="17682" ht="14.4" customHeight="1" x14ac:dyDescent="0.3"/>
    <row r="17683" ht="14.4" customHeight="1" x14ac:dyDescent="0.3"/>
    <row r="17684" ht="14.4" customHeight="1" x14ac:dyDescent="0.3"/>
    <row r="17685" ht="14.4" customHeight="1" x14ac:dyDescent="0.3"/>
    <row r="17686" ht="14.4" customHeight="1" x14ac:dyDescent="0.3"/>
    <row r="17687" ht="14.4" customHeight="1" x14ac:dyDescent="0.3"/>
    <row r="17688" ht="14.4" customHeight="1" x14ac:dyDescent="0.3"/>
    <row r="17689" ht="14.4" customHeight="1" x14ac:dyDescent="0.3"/>
    <row r="17690" ht="14.4" customHeight="1" x14ac:dyDescent="0.3"/>
    <row r="17691" ht="14.4" customHeight="1" x14ac:dyDescent="0.3"/>
    <row r="17692" ht="14.4" customHeight="1" x14ac:dyDescent="0.3"/>
    <row r="17693" ht="14.4" customHeight="1" x14ac:dyDescent="0.3"/>
    <row r="17694" ht="14.4" customHeight="1" x14ac:dyDescent="0.3"/>
    <row r="17695" ht="14.4" customHeight="1" x14ac:dyDescent="0.3"/>
    <row r="17696" ht="14.4" customHeight="1" x14ac:dyDescent="0.3"/>
    <row r="17697" ht="14.4" customHeight="1" x14ac:dyDescent="0.3"/>
    <row r="17698" ht="14.4" customHeight="1" x14ac:dyDescent="0.3"/>
    <row r="17699" ht="14.4" customHeight="1" x14ac:dyDescent="0.3"/>
    <row r="17700" ht="14.4" customHeight="1" x14ac:dyDescent="0.3"/>
    <row r="17701" ht="14.4" customHeight="1" x14ac:dyDescent="0.3"/>
    <row r="17702" ht="14.4" customHeight="1" x14ac:dyDescent="0.3"/>
    <row r="17703" ht="14.4" customHeight="1" x14ac:dyDescent="0.3"/>
    <row r="17704" ht="14.4" customHeight="1" x14ac:dyDescent="0.3"/>
    <row r="17705" ht="14.4" customHeight="1" x14ac:dyDescent="0.3"/>
    <row r="17706" ht="14.4" customHeight="1" x14ac:dyDescent="0.3"/>
    <row r="17707" ht="14.4" customHeight="1" x14ac:dyDescent="0.3"/>
    <row r="17708" ht="14.4" customHeight="1" x14ac:dyDescent="0.3"/>
    <row r="17709" ht="14.4" customHeight="1" x14ac:dyDescent="0.3"/>
    <row r="17710" ht="14.4" customHeight="1" x14ac:dyDescent="0.3"/>
    <row r="17711" ht="14.4" customHeight="1" x14ac:dyDescent="0.3"/>
    <row r="17712" ht="14.4" customHeight="1" x14ac:dyDescent="0.3"/>
    <row r="17713" ht="14.4" customHeight="1" x14ac:dyDescent="0.3"/>
    <row r="17714" ht="14.4" customHeight="1" x14ac:dyDescent="0.3"/>
    <row r="17715" ht="14.4" customHeight="1" x14ac:dyDescent="0.3"/>
    <row r="17716" ht="14.4" customHeight="1" x14ac:dyDescent="0.3"/>
    <row r="17717" ht="14.4" customHeight="1" x14ac:dyDescent="0.3"/>
    <row r="17718" ht="14.4" customHeight="1" x14ac:dyDescent="0.3"/>
    <row r="17719" ht="14.4" customHeight="1" x14ac:dyDescent="0.3"/>
    <row r="17720" ht="14.4" customHeight="1" x14ac:dyDescent="0.3"/>
    <row r="17721" ht="14.4" customHeight="1" x14ac:dyDescent="0.3"/>
    <row r="17722" ht="14.4" customHeight="1" x14ac:dyDescent="0.3"/>
    <row r="17723" ht="14.4" customHeight="1" x14ac:dyDescent="0.3"/>
    <row r="17724" ht="14.4" customHeight="1" x14ac:dyDescent="0.3"/>
    <row r="17725" ht="14.4" customHeight="1" x14ac:dyDescent="0.3"/>
    <row r="17726" ht="14.4" customHeight="1" x14ac:dyDescent="0.3"/>
    <row r="17727" ht="14.4" customHeight="1" x14ac:dyDescent="0.3"/>
    <row r="17728" ht="14.4" customHeight="1" x14ac:dyDescent="0.3"/>
    <row r="17729" ht="14.4" customHeight="1" x14ac:dyDescent="0.3"/>
    <row r="17730" ht="14.4" customHeight="1" x14ac:dyDescent="0.3"/>
    <row r="17731" ht="14.4" customHeight="1" x14ac:dyDescent="0.3"/>
    <row r="17732" ht="14.4" customHeight="1" x14ac:dyDescent="0.3"/>
    <row r="17733" ht="14.4" customHeight="1" x14ac:dyDescent="0.3"/>
    <row r="17734" ht="14.4" customHeight="1" x14ac:dyDescent="0.3"/>
    <row r="17735" ht="14.4" customHeight="1" x14ac:dyDescent="0.3"/>
    <row r="17736" ht="14.4" customHeight="1" x14ac:dyDescent="0.3"/>
    <row r="17737" ht="14.4" customHeight="1" x14ac:dyDescent="0.3"/>
    <row r="17738" ht="14.4" customHeight="1" x14ac:dyDescent="0.3"/>
    <row r="17739" ht="14.4" customHeight="1" x14ac:dyDescent="0.3"/>
    <row r="17740" ht="14.4" customHeight="1" x14ac:dyDescent="0.3"/>
    <row r="17741" ht="14.4" customHeight="1" x14ac:dyDescent="0.3"/>
    <row r="17742" ht="14.4" customHeight="1" x14ac:dyDescent="0.3"/>
    <row r="17743" ht="14.4" customHeight="1" x14ac:dyDescent="0.3"/>
    <row r="17744" ht="14.4" customHeight="1" x14ac:dyDescent="0.3"/>
    <row r="17745" ht="14.4" customHeight="1" x14ac:dyDescent="0.3"/>
    <row r="17746" ht="14.4" customHeight="1" x14ac:dyDescent="0.3"/>
    <row r="17747" ht="14.4" customHeight="1" x14ac:dyDescent="0.3"/>
    <row r="17748" ht="14.4" customHeight="1" x14ac:dyDescent="0.3"/>
    <row r="17749" ht="14.4" customHeight="1" x14ac:dyDescent="0.3"/>
    <row r="17750" ht="14.4" customHeight="1" x14ac:dyDescent="0.3"/>
    <row r="17751" ht="14.4" customHeight="1" x14ac:dyDescent="0.3"/>
    <row r="17752" ht="14.4" customHeight="1" x14ac:dyDescent="0.3"/>
    <row r="17753" ht="14.4" customHeight="1" x14ac:dyDescent="0.3"/>
    <row r="17754" ht="14.4" customHeight="1" x14ac:dyDescent="0.3"/>
    <row r="17755" ht="14.4" customHeight="1" x14ac:dyDescent="0.3"/>
    <row r="17756" ht="14.4" customHeight="1" x14ac:dyDescent="0.3"/>
    <row r="17757" ht="14.4" customHeight="1" x14ac:dyDescent="0.3"/>
    <row r="17758" ht="14.4" customHeight="1" x14ac:dyDescent="0.3"/>
    <row r="17759" ht="14.4" customHeight="1" x14ac:dyDescent="0.3"/>
    <row r="17760" ht="14.4" customHeight="1" x14ac:dyDescent="0.3"/>
    <row r="17761" ht="14.4" customHeight="1" x14ac:dyDescent="0.3"/>
    <row r="17762" ht="14.4" customHeight="1" x14ac:dyDescent="0.3"/>
    <row r="17763" ht="14.4" customHeight="1" x14ac:dyDescent="0.3"/>
    <row r="17764" ht="14.4" customHeight="1" x14ac:dyDescent="0.3"/>
    <row r="17765" ht="14.4" customHeight="1" x14ac:dyDescent="0.3"/>
    <row r="17766" ht="14.4" customHeight="1" x14ac:dyDescent="0.3"/>
    <row r="17767" ht="14.4" customHeight="1" x14ac:dyDescent="0.3"/>
    <row r="17768" ht="14.4" customHeight="1" x14ac:dyDescent="0.3"/>
    <row r="17769" ht="14.4" customHeight="1" x14ac:dyDescent="0.3"/>
    <row r="17770" ht="14.4" customHeight="1" x14ac:dyDescent="0.3"/>
    <row r="17771" ht="14.4" customHeight="1" x14ac:dyDescent="0.3"/>
    <row r="17772" ht="14.4" customHeight="1" x14ac:dyDescent="0.3"/>
    <row r="17773" ht="14.4" customHeight="1" x14ac:dyDescent="0.3"/>
    <row r="17774" ht="14.4" customHeight="1" x14ac:dyDescent="0.3"/>
    <row r="17775" ht="14.4" customHeight="1" x14ac:dyDescent="0.3"/>
    <row r="17776" ht="14.4" customHeight="1" x14ac:dyDescent="0.3"/>
    <row r="17777" ht="14.4" customHeight="1" x14ac:dyDescent="0.3"/>
    <row r="17778" ht="14.4" customHeight="1" x14ac:dyDescent="0.3"/>
    <row r="17779" ht="14.4" customHeight="1" x14ac:dyDescent="0.3"/>
    <row r="17780" ht="14.4" customHeight="1" x14ac:dyDescent="0.3"/>
    <row r="17781" ht="14.4" customHeight="1" x14ac:dyDescent="0.3"/>
    <row r="17782" ht="14.4" customHeight="1" x14ac:dyDescent="0.3"/>
    <row r="17783" ht="14.4" customHeight="1" x14ac:dyDescent="0.3"/>
    <row r="17784" ht="14.4" customHeight="1" x14ac:dyDescent="0.3"/>
    <row r="17785" ht="14.4" customHeight="1" x14ac:dyDescent="0.3"/>
    <row r="17786" ht="14.4" customHeight="1" x14ac:dyDescent="0.3"/>
    <row r="17787" ht="14.4" customHeight="1" x14ac:dyDescent="0.3"/>
    <row r="17788" ht="14.4" customHeight="1" x14ac:dyDescent="0.3"/>
    <row r="17789" ht="14.4" customHeight="1" x14ac:dyDescent="0.3"/>
    <row r="17790" ht="14.4" customHeight="1" x14ac:dyDescent="0.3"/>
    <row r="17791" ht="14.4" customHeight="1" x14ac:dyDescent="0.3"/>
    <row r="17792" ht="14.4" customHeight="1" x14ac:dyDescent="0.3"/>
    <row r="17793" ht="14.4" customHeight="1" x14ac:dyDescent="0.3"/>
    <row r="17794" ht="14.4" customHeight="1" x14ac:dyDescent="0.3"/>
    <row r="17795" ht="14.4" customHeight="1" x14ac:dyDescent="0.3"/>
    <row r="17796" ht="14.4" customHeight="1" x14ac:dyDescent="0.3"/>
    <row r="17797" ht="14.4" customHeight="1" x14ac:dyDescent="0.3"/>
    <row r="17798" ht="14.4" customHeight="1" x14ac:dyDescent="0.3"/>
    <row r="17799" ht="14.4" customHeight="1" x14ac:dyDescent="0.3"/>
    <row r="17800" ht="14.4" customHeight="1" x14ac:dyDescent="0.3"/>
    <row r="17801" ht="14.4" customHeight="1" x14ac:dyDescent="0.3"/>
    <row r="17802" ht="14.4" customHeight="1" x14ac:dyDescent="0.3"/>
    <row r="17803" ht="14.4" customHeight="1" x14ac:dyDescent="0.3"/>
    <row r="17804" ht="14.4" customHeight="1" x14ac:dyDescent="0.3"/>
    <row r="17805" ht="14.4" customHeight="1" x14ac:dyDescent="0.3"/>
    <row r="17806" ht="14.4" customHeight="1" x14ac:dyDescent="0.3"/>
    <row r="17807" ht="14.4" customHeight="1" x14ac:dyDescent="0.3"/>
    <row r="17808" ht="14.4" customHeight="1" x14ac:dyDescent="0.3"/>
    <row r="17809" ht="14.4" customHeight="1" x14ac:dyDescent="0.3"/>
    <row r="17810" ht="14.4" customHeight="1" x14ac:dyDescent="0.3"/>
    <row r="17811" ht="14.4" customHeight="1" x14ac:dyDescent="0.3"/>
    <row r="17812" ht="14.4" customHeight="1" x14ac:dyDescent="0.3"/>
    <row r="17813" ht="14.4" customHeight="1" x14ac:dyDescent="0.3"/>
    <row r="17814" ht="14.4" customHeight="1" x14ac:dyDescent="0.3"/>
    <row r="17815" ht="14.4" customHeight="1" x14ac:dyDescent="0.3"/>
    <row r="17816" ht="14.4" customHeight="1" x14ac:dyDescent="0.3"/>
    <row r="17817" ht="14.4" customHeight="1" x14ac:dyDescent="0.3"/>
    <row r="17818" ht="14.4" customHeight="1" x14ac:dyDescent="0.3"/>
    <row r="17819" ht="14.4" customHeight="1" x14ac:dyDescent="0.3"/>
    <row r="17820" ht="14.4" customHeight="1" x14ac:dyDescent="0.3"/>
    <row r="17821" ht="14.4" customHeight="1" x14ac:dyDescent="0.3"/>
    <row r="17822" ht="14.4" customHeight="1" x14ac:dyDescent="0.3"/>
    <row r="17823" ht="14.4" customHeight="1" x14ac:dyDescent="0.3"/>
    <row r="17824" ht="14.4" customHeight="1" x14ac:dyDescent="0.3"/>
    <row r="17825" ht="14.4" customHeight="1" x14ac:dyDescent="0.3"/>
    <row r="17826" ht="14.4" customHeight="1" x14ac:dyDescent="0.3"/>
    <row r="17827" ht="14.4" customHeight="1" x14ac:dyDescent="0.3"/>
    <row r="17828" ht="14.4" customHeight="1" x14ac:dyDescent="0.3"/>
    <row r="17829" ht="14.4" customHeight="1" x14ac:dyDescent="0.3"/>
    <row r="17830" ht="14.4" customHeight="1" x14ac:dyDescent="0.3"/>
    <row r="17831" ht="14.4" customHeight="1" x14ac:dyDescent="0.3"/>
    <row r="17832" ht="14.4" customHeight="1" x14ac:dyDescent="0.3"/>
    <row r="17833" ht="14.4" customHeight="1" x14ac:dyDescent="0.3"/>
    <row r="17834" ht="14.4" customHeight="1" x14ac:dyDescent="0.3"/>
    <row r="17835" ht="14.4" customHeight="1" x14ac:dyDescent="0.3"/>
    <row r="17836" ht="14.4" customHeight="1" x14ac:dyDescent="0.3"/>
    <row r="17837" ht="14.4" customHeight="1" x14ac:dyDescent="0.3"/>
    <row r="17838" ht="14.4" customHeight="1" x14ac:dyDescent="0.3"/>
    <row r="17839" ht="14.4" customHeight="1" x14ac:dyDescent="0.3"/>
    <row r="17840" ht="14.4" customHeight="1" x14ac:dyDescent="0.3"/>
    <row r="17841" ht="14.4" customHeight="1" x14ac:dyDescent="0.3"/>
    <row r="17842" ht="14.4" customHeight="1" x14ac:dyDescent="0.3"/>
    <row r="17843" ht="14.4" customHeight="1" x14ac:dyDescent="0.3"/>
    <row r="17844" ht="14.4" customHeight="1" x14ac:dyDescent="0.3"/>
    <row r="17845" ht="14.4" customHeight="1" x14ac:dyDescent="0.3"/>
    <row r="17846" ht="14.4" customHeight="1" x14ac:dyDescent="0.3"/>
    <row r="17847" ht="14.4" customHeight="1" x14ac:dyDescent="0.3"/>
    <row r="17848" ht="14.4" customHeight="1" x14ac:dyDescent="0.3"/>
    <row r="17849" ht="14.4" customHeight="1" x14ac:dyDescent="0.3"/>
    <row r="17850" ht="14.4" customHeight="1" x14ac:dyDescent="0.3"/>
    <row r="17851" ht="14.4" customHeight="1" x14ac:dyDescent="0.3"/>
    <row r="17852" ht="14.4" customHeight="1" x14ac:dyDescent="0.3"/>
    <row r="17853" ht="14.4" customHeight="1" x14ac:dyDescent="0.3"/>
    <row r="17854" ht="14.4" customHeight="1" x14ac:dyDescent="0.3"/>
    <row r="17855" ht="14.4" customHeight="1" x14ac:dyDescent="0.3"/>
    <row r="17856" ht="14.4" customHeight="1" x14ac:dyDescent="0.3"/>
    <row r="17857" ht="14.4" customHeight="1" x14ac:dyDescent="0.3"/>
    <row r="17858" ht="14.4" customHeight="1" x14ac:dyDescent="0.3"/>
    <row r="17859" ht="14.4" customHeight="1" x14ac:dyDescent="0.3"/>
    <row r="17860" ht="14.4" customHeight="1" x14ac:dyDescent="0.3"/>
    <row r="17861" ht="14.4" customHeight="1" x14ac:dyDescent="0.3"/>
    <row r="17862" ht="14.4" customHeight="1" x14ac:dyDescent="0.3"/>
    <row r="17863" ht="14.4" customHeight="1" x14ac:dyDescent="0.3"/>
    <row r="17864" ht="14.4" customHeight="1" x14ac:dyDescent="0.3"/>
    <row r="17865" ht="14.4" customHeight="1" x14ac:dyDescent="0.3"/>
    <row r="17866" ht="14.4" customHeight="1" x14ac:dyDescent="0.3"/>
    <row r="17867" ht="14.4" customHeight="1" x14ac:dyDescent="0.3"/>
    <row r="17868" ht="14.4" customHeight="1" x14ac:dyDescent="0.3"/>
    <row r="17869" ht="14.4" customHeight="1" x14ac:dyDescent="0.3"/>
    <row r="17870" ht="14.4" customHeight="1" x14ac:dyDescent="0.3"/>
    <row r="17871" ht="14.4" customHeight="1" x14ac:dyDescent="0.3"/>
    <row r="17872" ht="14.4" customHeight="1" x14ac:dyDescent="0.3"/>
    <row r="17873" ht="14.4" customHeight="1" x14ac:dyDescent="0.3"/>
    <row r="17874" ht="14.4" customHeight="1" x14ac:dyDescent="0.3"/>
    <row r="17875" ht="14.4" customHeight="1" x14ac:dyDescent="0.3"/>
    <row r="17876" ht="14.4" customHeight="1" x14ac:dyDescent="0.3"/>
    <row r="17877" ht="14.4" customHeight="1" x14ac:dyDescent="0.3"/>
    <row r="17878" ht="14.4" customHeight="1" x14ac:dyDescent="0.3"/>
    <row r="17879" ht="14.4" customHeight="1" x14ac:dyDescent="0.3"/>
    <row r="17880" ht="14.4" customHeight="1" x14ac:dyDescent="0.3"/>
    <row r="17881" ht="14.4" customHeight="1" x14ac:dyDescent="0.3"/>
    <row r="17882" ht="14.4" customHeight="1" x14ac:dyDescent="0.3"/>
    <row r="17883" ht="14.4" customHeight="1" x14ac:dyDescent="0.3"/>
    <row r="17884" ht="14.4" customHeight="1" x14ac:dyDescent="0.3"/>
    <row r="17885" ht="14.4" customHeight="1" x14ac:dyDescent="0.3"/>
    <row r="17886" ht="14.4" customHeight="1" x14ac:dyDescent="0.3"/>
    <row r="17887" ht="14.4" customHeight="1" x14ac:dyDescent="0.3"/>
    <row r="17888" ht="14.4" customHeight="1" x14ac:dyDescent="0.3"/>
    <row r="17889" ht="14.4" customHeight="1" x14ac:dyDescent="0.3"/>
    <row r="17890" ht="14.4" customHeight="1" x14ac:dyDescent="0.3"/>
    <row r="17891" ht="14.4" customHeight="1" x14ac:dyDescent="0.3"/>
    <row r="17892" ht="14.4" customHeight="1" x14ac:dyDescent="0.3"/>
    <row r="17893" ht="14.4" customHeight="1" x14ac:dyDescent="0.3"/>
    <row r="17894" ht="14.4" customHeight="1" x14ac:dyDescent="0.3"/>
    <row r="17895" ht="14.4" customHeight="1" x14ac:dyDescent="0.3"/>
    <row r="17896" ht="14.4" customHeight="1" x14ac:dyDescent="0.3"/>
    <row r="17897" ht="14.4" customHeight="1" x14ac:dyDescent="0.3"/>
    <row r="17898" ht="14.4" customHeight="1" x14ac:dyDescent="0.3"/>
    <row r="17899" ht="14.4" customHeight="1" x14ac:dyDescent="0.3"/>
    <row r="17900" ht="14.4" customHeight="1" x14ac:dyDescent="0.3"/>
    <row r="17901" ht="14.4" customHeight="1" x14ac:dyDescent="0.3"/>
    <row r="17902" ht="14.4" customHeight="1" x14ac:dyDescent="0.3"/>
    <row r="17903" ht="14.4" customHeight="1" x14ac:dyDescent="0.3"/>
    <row r="17904" ht="14.4" customHeight="1" x14ac:dyDescent="0.3"/>
    <row r="17905" ht="14.4" customHeight="1" x14ac:dyDescent="0.3"/>
    <row r="17906" ht="14.4" customHeight="1" x14ac:dyDescent="0.3"/>
    <row r="17907" ht="14.4" customHeight="1" x14ac:dyDescent="0.3"/>
    <row r="17908" ht="14.4" customHeight="1" x14ac:dyDescent="0.3"/>
    <row r="17909" ht="14.4" customHeight="1" x14ac:dyDescent="0.3"/>
    <row r="17910" ht="14.4" customHeight="1" x14ac:dyDescent="0.3"/>
    <row r="17911" ht="14.4" customHeight="1" x14ac:dyDescent="0.3"/>
    <row r="17912" ht="14.4" customHeight="1" x14ac:dyDescent="0.3"/>
    <row r="17913" ht="14.4" customHeight="1" x14ac:dyDescent="0.3"/>
    <row r="17914" ht="14.4" customHeight="1" x14ac:dyDescent="0.3"/>
    <row r="17915" ht="14.4" customHeight="1" x14ac:dyDescent="0.3"/>
    <row r="17916" ht="14.4" customHeight="1" x14ac:dyDescent="0.3"/>
    <row r="17917" ht="14.4" customHeight="1" x14ac:dyDescent="0.3"/>
    <row r="17918" ht="14.4" customHeight="1" x14ac:dyDescent="0.3"/>
    <row r="17919" ht="14.4" customHeight="1" x14ac:dyDescent="0.3"/>
    <row r="17920" ht="14.4" customHeight="1" x14ac:dyDescent="0.3"/>
    <row r="17921" ht="14.4" customHeight="1" x14ac:dyDescent="0.3"/>
    <row r="17922" ht="14.4" customHeight="1" x14ac:dyDescent="0.3"/>
    <row r="17923" ht="14.4" customHeight="1" x14ac:dyDescent="0.3"/>
    <row r="17924" ht="14.4" customHeight="1" x14ac:dyDescent="0.3"/>
    <row r="17925" ht="14.4" customHeight="1" x14ac:dyDescent="0.3"/>
    <row r="17926" ht="14.4" customHeight="1" x14ac:dyDescent="0.3"/>
    <row r="17927" ht="14.4" customHeight="1" x14ac:dyDescent="0.3"/>
    <row r="17928" ht="14.4" customHeight="1" x14ac:dyDescent="0.3"/>
    <row r="17929" ht="14.4" customHeight="1" x14ac:dyDescent="0.3"/>
    <row r="17930" ht="14.4" customHeight="1" x14ac:dyDescent="0.3"/>
    <row r="17931" ht="14.4" customHeight="1" x14ac:dyDescent="0.3"/>
    <row r="17932" ht="14.4" customHeight="1" x14ac:dyDescent="0.3"/>
    <row r="17933" ht="14.4" customHeight="1" x14ac:dyDescent="0.3"/>
    <row r="17934" ht="14.4" customHeight="1" x14ac:dyDescent="0.3"/>
    <row r="17935" ht="14.4" customHeight="1" x14ac:dyDescent="0.3"/>
    <row r="17936" ht="14.4" customHeight="1" x14ac:dyDescent="0.3"/>
    <row r="17937" ht="14.4" customHeight="1" x14ac:dyDescent="0.3"/>
    <row r="17938" ht="14.4" customHeight="1" x14ac:dyDescent="0.3"/>
    <row r="17939" ht="14.4" customHeight="1" x14ac:dyDescent="0.3"/>
    <row r="17940" ht="14.4" customHeight="1" x14ac:dyDescent="0.3"/>
    <row r="17941" ht="14.4" customHeight="1" x14ac:dyDescent="0.3"/>
    <row r="17942" ht="14.4" customHeight="1" x14ac:dyDescent="0.3"/>
    <row r="17943" ht="14.4" customHeight="1" x14ac:dyDescent="0.3"/>
    <row r="17944" ht="14.4" customHeight="1" x14ac:dyDescent="0.3"/>
    <row r="17945" ht="14.4" customHeight="1" x14ac:dyDescent="0.3"/>
    <row r="17946" ht="14.4" customHeight="1" x14ac:dyDescent="0.3"/>
    <row r="17947" ht="14.4" customHeight="1" x14ac:dyDescent="0.3"/>
    <row r="17948" ht="14.4" customHeight="1" x14ac:dyDescent="0.3"/>
    <row r="17949" ht="14.4" customHeight="1" x14ac:dyDescent="0.3"/>
    <row r="17950" ht="14.4" customHeight="1" x14ac:dyDescent="0.3"/>
    <row r="17951" ht="14.4" customHeight="1" x14ac:dyDescent="0.3"/>
    <row r="17952" ht="14.4" customHeight="1" x14ac:dyDescent="0.3"/>
    <row r="17953" ht="14.4" customHeight="1" x14ac:dyDescent="0.3"/>
    <row r="17954" ht="14.4" customHeight="1" x14ac:dyDescent="0.3"/>
    <row r="17955" ht="14.4" customHeight="1" x14ac:dyDescent="0.3"/>
    <row r="17956" ht="14.4" customHeight="1" x14ac:dyDescent="0.3"/>
    <row r="17957" ht="14.4" customHeight="1" x14ac:dyDescent="0.3"/>
    <row r="17958" ht="14.4" customHeight="1" x14ac:dyDescent="0.3"/>
    <row r="17959" ht="14.4" customHeight="1" x14ac:dyDescent="0.3"/>
    <row r="17960" ht="14.4" customHeight="1" x14ac:dyDescent="0.3"/>
    <row r="17961" ht="14.4" customHeight="1" x14ac:dyDescent="0.3"/>
    <row r="17962" ht="14.4" customHeight="1" x14ac:dyDescent="0.3"/>
    <row r="17963" ht="14.4" customHeight="1" x14ac:dyDescent="0.3"/>
    <row r="17964" ht="14.4" customHeight="1" x14ac:dyDescent="0.3"/>
    <row r="17965" ht="14.4" customHeight="1" x14ac:dyDescent="0.3"/>
    <row r="17966" ht="14.4" customHeight="1" x14ac:dyDescent="0.3"/>
    <row r="17967" ht="14.4" customHeight="1" x14ac:dyDescent="0.3"/>
    <row r="17968" ht="14.4" customHeight="1" x14ac:dyDescent="0.3"/>
    <row r="17969" ht="14.4" customHeight="1" x14ac:dyDescent="0.3"/>
    <row r="17970" ht="14.4" customHeight="1" x14ac:dyDescent="0.3"/>
    <row r="17971" ht="14.4" customHeight="1" x14ac:dyDescent="0.3"/>
    <row r="17972" ht="14.4" customHeight="1" x14ac:dyDescent="0.3"/>
    <row r="17973" ht="14.4" customHeight="1" x14ac:dyDescent="0.3"/>
    <row r="17974" ht="14.4" customHeight="1" x14ac:dyDescent="0.3"/>
    <row r="17975" ht="14.4" customHeight="1" x14ac:dyDescent="0.3"/>
    <row r="17976" ht="14.4" customHeight="1" x14ac:dyDescent="0.3"/>
    <row r="17977" ht="14.4" customHeight="1" x14ac:dyDescent="0.3"/>
    <row r="17978" ht="14.4" customHeight="1" x14ac:dyDescent="0.3"/>
    <row r="17979" ht="14.4" customHeight="1" x14ac:dyDescent="0.3"/>
    <row r="17980" ht="14.4" customHeight="1" x14ac:dyDescent="0.3"/>
    <row r="17981" ht="14.4" customHeight="1" x14ac:dyDescent="0.3"/>
    <row r="17982" ht="14.4" customHeight="1" x14ac:dyDescent="0.3"/>
    <row r="17983" ht="14.4" customHeight="1" x14ac:dyDescent="0.3"/>
    <row r="17984" ht="14.4" customHeight="1" x14ac:dyDescent="0.3"/>
    <row r="17985" ht="14.4" customHeight="1" x14ac:dyDescent="0.3"/>
    <row r="17986" ht="14.4" customHeight="1" x14ac:dyDescent="0.3"/>
    <row r="17987" ht="14.4" customHeight="1" x14ac:dyDescent="0.3"/>
    <row r="17988" ht="14.4" customHeight="1" x14ac:dyDescent="0.3"/>
    <row r="17989" ht="14.4" customHeight="1" x14ac:dyDescent="0.3"/>
    <row r="17990" ht="14.4" customHeight="1" x14ac:dyDescent="0.3"/>
    <row r="17991" ht="14.4" customHeight="1" x14ac:dyDescent="0.3"/>
    <row r="17992" ht="14.4" customHeight="1" x14ac:dyDescent="0.3"/>
    <row r="17993" ht="14.4" customHeight="1" x14ac:dyDescent="0.3"/>
    <row r="17994" ht="14.4" customHeight="1" x14ac:dyDescent="0.3"/>
    <row r="17995" ht="14.4" customHeight="1" x14ac:dyDescent="0.3"/>
    <row r="17996" ht="14.4" customHeight="1" x14ac:dyDescent="0.3"/>
    <row r="17997" ht="14.4" customHeight="1" x14ac:dyDescent="0.3"/>
    <row r="17998" ht="14.4" customHeight="1" x14ac:dyDescent="0.3"/>
    <row r="17999" ht="14.4" customHeight="1" x14ac:dyDescent="0.3"/>
    <row r="18000" ht="14.4" customHeight="1" x14ac:dyDescent="0.3"/>
    <row r="18001" ht="14.4" customHeight="1" x14ac:dyDescent="0.3"/>
    <row r="18002" ht="14.4" customHeight="1" x14ac:dyDescent="0.3"/>
    <row r="18003" ht="14.4" customHeight="1" x14ac:dyDescent="0.3"/>
    <row r="18004" ht="14.4" customHeight="1" x14ac:dyDescent="0.3"/>
    <row r="18005" ht="14.4" customHeight="1" x14ac:dyDescent="0.3"/>
    <row r="18006" ht="14.4" customHeight="1" x14ac:dyDescent="0.3"/>
    <row r="18007" ht="14.4" customHeight="1" x14ac:dyDescent="0.3"/>
    <row r="18008" ht="14.4" customHeight="1" x14ac:dyDescent="0.3"/>
    <row r="18009" ht="14.4" customHeight="1" x14ac:dyDescent="0.3"/>
    <row r="18010" ht="14.4" customHeight="1" x14ac:dyDescent="0.3"/>
    <row r="18011" ht="14.4" customHeight="1" x14ac:dyDescent="0.3"/>
    <row r="18012" ht="14.4" customHeight="1" x14ac:dyDescent="0.3"/>
    <row r="18013" ht="14.4" customHeight="1" x14ac:dyDescent="0.3"/>
    <row r="18014" ht="14.4" customHeight="1" x14ac:dyDescent="0.3"/>
    <row r="18015" ht="14.4" customHeight="1" x14ac:dyDescent="0.3"/>
    <row r="18016" ht="14.4" customHeight="1" x14ac:dyDescent="0.3"/>
    <row r="18017" ht="14.4" customHeight="1" x14ac:dyDescent="0.3"/>
    <row r="18018" ht="14.4" customHeight="1" x14ac:dyDescent="0.3"/>
    <row r="18019" ht="14.4" customHeight="1" x14ac:dyDescent="0.3"/>
    <row r="18020" ht="14.4" customHeight="1" x14ac:dyDescent="0.3"/>
    <row r="18021" ht="14.4" customHeight="1" x14ac:dyDescent="0.3"/>
    <row r="18022" ht="14.4" customHeight="1" x14ac:dyDescent="0.3"/>
    <row r="18023" ht="14.4" customHeight="1" x14ac:dyDescent="0.3"/>
    <row r="18024" ht="14.4" customHeight="1" x14ac:dyDescent="0.3"/>
    <row r="18025" ht="14.4" customHeight="1" x14ac:dyDescent="0.3"/>
    <row r="18026" ht="14.4" customHeight="1" x14ac:dyDescent="0.3"/>
    <row r="18027" ht="14.4" customHeight="1" x14ac:dyDescent="0.3"/>
    <row r="18028" ht="14.4" customHeight="1" x14ac:dyDescent="0.3"/>
    <row r="18029" ht="14.4" customHeight="1" x14ac:dyDescent="0.3"/>
    <row r="18030" ht="14.4" customHeight="1" x14ac:dyDescent="0.3"/>
    <row r="18031" ht="14.4" customHeight="1" x14ac:dyDescent="0.3"/>
    <row r="18032" ht="14.4" customHeight="1" x14ac:dyDescent="0.3"/>
    <row r="18033" ht="14.4" customHeight="1" x14ac:dyDescent="0.3"/>
    <row r="18034" ht="14.4" customHeight="1" x14ac:dyDescent="0.3"/>
    <row r="18035" ht="14.4" customHeight="1" x14ac:dyDescent="0.3"/>
    <row r="18036" ht="14.4" customHeight="1" x14ac:dyDescent="0.3"/>
    <row r="18037" ht="14.4" customHeight="1" x14ac:dyDescent="0.3"/>
    <row r="18038" ht="14.4" customHeight="1" x14ac:dyDescent="0.3"/>
    <row r="18039" ht="14.4" customHeight="1" x14ac:dyDescent="0.3"/>
    <row r="18040" ht="14.4" customHeight="1" x14ac:dyDescent="0.3"/>
    <row r="18041" ht="14.4" customHeight="1" x14ac:dyDescent="0.3"/>
    <row r="18042" ht="14.4" customHeight="1" x14ac:dyDescent="0.3"/>
    <row r="18043" ht="14.4" customHeight="1" x14ac:dyDescent="0.3"/>
    <row r="18044" ht="14.4" customHeight="1" x14ac:dyDescent="0.3"/>
    <row r="18045" ht="14.4" customHeight="1" x14ac:dyDescent="0.3"/>
    <row r="18046" ht="14.4" customHeight="1" x14ac:dyDescent="0.3"/>
    <row r="18047" ht="14.4" customHeight="1" x14ac:dyDescent="0.3"/>
    <row r="18048" ht="14.4" customHeight="1" x14ac:dyDescent="0.3"/>
    <row r="18049" ht="14.4" customHeight="1" x14ac:dyDescent="0.3"/>
    <row r="18050" ht="14.4" customHeight="1" x14ac:dyDescent="0.3"/>
    <row r="18051" ht="14.4" customHeight="1" x14ac:dyDescent="0.3"/>
    <row r="18052" ht="14.4" customHeight="1" x14ac:dyDescent="0.3"/>
    <row r="18053" ht="14.4" customHeight="1" x14ac:dyDescent="0.3"/>
    <row r="18054" ht="14.4" customHeight="1" x14ac:dyDescent="0.3"/>
    <row r="18055" ht="14.4" customHeight="1" x14ac:dyDescent="0.3"/>
    <row r="18056" ht="14.4" customHeight="1" x14ac:dyDescent="0.3"/>
    <row r="18057" ht="14.4" customHeight="1" x14ac:dyDescent="0.3"/>
    <row r="18058" ht="14.4" customHeight="1" x14ac:dyDescent="0.3"/>
    <row r="18059" ht="14.4" customHeight="1" x14ac:dyDescent="0.3"/>
    <row r="18060" ht="14.4" customHeight="1" x14ac:dyDescent="0.3"/>
    <row r="18061" ht="14.4" customHeight="1" x14ac:dyDescent="0.3"/>
    <row r="18062" ht="14.4" customHeight="1" x14ac:dyDescent="0.3"/>
    <row r="18063" ht="14.4" customHeight="1" x14ac:dyDescent="0.3"/>
    <row r="18064" ht="14.4" customHeight="1" x14ac:dyDescent="0.3"/>
    <row r="18065" ht="14.4" customHeight="1" x14ac:dyDescent="0.3"/>
    <row r="18066" ht="14.4" customHeight="1" x14ac:dyDescent="0.3"/>
    <row r="18067" ht="14.4" customHeight="1" x14ac:dyDescent="0.3"/>
    <row r="18068" ht="14.4" customHeight="1" x14ac:dyDescent="0.3"/>
    <row r="18069" ht="14.4" customHeight="1" x14ac:dyDescent="0.3"/>
    <row r="18070" ht="14.4" customHeight="1" x14ac:dyDescent="0.3"/>
    <row r="18071" ht="14.4" customHeight="1" x14ac:dyDescent="0.3"/>
    <row r="18072" ht="14.4" customHeight="1" x14ac:dyDescent="0.3"/>
    <row r="18073" ht="14.4" customHeight="1" x14ac:dyDescent="0.3"/>
    <row r="18074" ht="14.4" customHeight="1" x14ac:dyDescent="0.3"/>
    <row r="18075" ht="14.4" customHeight="1" x14ac:dyDescent="0.3"/>
    <row r="18076" ht="14.4" customHeight="1" x14ac:dyDescent="0.3"/>
    <row r="18077" ht="14.4" customHeight="1" x14ac:dyDescent="0.3"/>
    <row r="18078" ht="14.4" customHeight="1" x14ac:dyDescent="0.3"/>
    <row r="18079" ht="14.4" customHeight="1" x14ac:dyDescent="0.3"/>
    <row r="18080" ht="14.4" customHeight="1" x14ac:dyDescent="0.3"/>
    <row r="18081" ht="14.4" customHeight="1" x14ac:dyDescent="0.3"/>
    <row r="18082" ht="14.4" customHeight="1" x14ac:dyDescent="0.3"/>
    <row r="18083" ht="14.4" customHeight="1" x14ac:dyDescent="0.3"/>
    <row r="18084" ht="14.4" customHeight="1" x14ac:dyDescent="0.3"/>
    <row r="18085" ht="14.4" customHeight="1" x14ac:dyDescent="0.3"/>
    <row r="18086" ht="14.4" customHeight="1" x14ac:dyDescent="0.3"/>
    <row r="18087" ht="14.4" customHeight="1" x14ac:dyDescent="0.3"/>
    <row r="18088" ht="14.4" customHeight="1" x14ac:dyDescent="0.3"/>
    <row r="18089" ht="14.4" customHeight="1" x14ac:dyDescent="0.3"/>
    <row r="18090" ht="14.4" customHeight="1" x14ac:dyDescent="0.3"/>
    <row r="18091" ht="14.4" customHeight="1" x14ac:dyDescent="0.3"/>
    <row r="18092" ht="14.4" customHeight="1" x14ac:dyDescent="0.3"/>
    <row r="18093" ht="14.4" customHeight="1" x14ac:dyDescent="0.3"/>
    <row r="18094" ht="14.4" customHeight="1" x14ac:dyDescent="0.3"/>
    <row r="18095" ht="14.4" customHeight="1" x14ac:dyDescent="0.3"/>
    <row r="18096" ht="14.4" customHeight="1" x14ac:dyDescent="0.3"/>
    <row r="18097" ht="14.4" customHeight="1" x14ac:dyDescent="0.3"/>
    <row r="18098" ht="14.4" customHeight="1" x14ac:dyDescent="0.3"/>
    <row r="18099" ht="14.4" customHeight="1" x14ac:dyDescent="0.3"/>
    <row r="18100" ht="14.4" customHeight="1" x14ac:dyDescent="0.3"/>
    <row r="18101" ht="14.4" customHeight="1" x14ac:dyDescent="0.3"/>
    <row r="18102" ht="14.4" customHeight="1" x14ac:dyDescent="0.3"/>
    <row r="18103" ht="14.4" customHeight="1" x14ac:dyDescent="0.3"/>
    <row r="18104" ht="14.4" customHeight="1" x14ac:dyDescent="0.3"/>
    <row r="18105" ht="14.4" customHeight="1" x14ac:dyDescent="0.3"/>
    <row r="18106" ht="14.4" customHeight="1" x14ac:dyDescent="0.3"/>
    <row r="18107" ht="14.4" customHeight="1" x14ac:dyDescent="0.3"/>
    <row r="18108" ht="14.4" customHeight="1" x14ac:dyDescent="0.3"/>
    <row r="18109" ht="14.4" customHeight="1" x14ac:dyDescent="0.3"/>
    <row r="18110" ht="14.4" customHeight="1" x14ac:dyDescent="0.3"/>
    <row r="18111" ht="14.4" customHeight="1" x14ac:dyDescent="0.3"/>
    <row r="18112" ht="14.4" customHeight="1" x14ac:dyDescent="0.3"/>
    <row r="18113" ht="14.4" customHeight="1" x14ac:dyDescent="0.3"/>
    <row r="18114" ht="14.4" customHeight="1" x14ac:dyDescent="0.3"/>
    <row r="18115" ht="14.4" customHeight="1" x14ac:dyDescent="0.3"/>
    <row r="18116" ht="14.4" customHeight="1" x14ac:dyDescent="0.3"/>
    <row r="18117" ht="14.4" customHeight="1" x14ac:dyDescent="0.3"/>
    <row r="18118" ht="14.4" customHeight="1" x14ac:dyDescent="0.3"/>
    <row r="18119" ht="14.4" customHeight="1" x14ac:dyDescent="0.3"/>
    <row r="18120" ht="14.4" customHeight="1" x14ac:dyDescent="0.3"/>
    <row r="18121" ht="14.4" customHeight="1" x14ac:dyDescent="0.3"/>
    <row r="18122" ht="14.4" customHeight="1" x14ac:dyDescent="0.3"/>
    <row r="18123" ht="14.4" customHeight="1" x14ac:dyDescent="0.3"/>
    <row r="18124" ht="14.4" customHeight="1" x14ac:dyDescent="0.3"/>
    <row r="18125" ht="14.4" customHeight="1" x14ac:dyDescent="0.3"/>
    <row r="18126" ht="14.4" customHeight="1" x14ac:dyDescent="0.3"/>
    <row r="18127" ht="14.4" customHeight="1" x14ac:dyDescent="0.3"/>
    <row r="18128" ht="14.4" customHeight="1" x14ac:dyDescent="0.3"/>
    <row r="18129" ht="14.4" customHeight="1" x14ac:dyDescent="0.3"/>
    <row r="18130" ht="14.4" customHeight="1" x14ac:dyDescent="0.3"/>
    <row r="18131" ht="14.4" customHeight="1" x14ac:dyDescent="0.3"/>
    <row r="18132" ht="14.4" customHeight="1" x14ac:dyDescent="0.3"/>
    <row r="18133" ht="14.4" customHeight="1" x14ac:dyDescent="0.3"/>
    <row r="18134" ht="14.4" customHeight="1" x14ac:dyDescent="0.3"/>
    <row r="18135" ht="14.4" customHeight="1" x14ac:dyDescent="0.3"/>
    <row r="18136" ht="14.4" customHeight="1" x14ac:dyDescent="0.3"/>
    <row r="18137" ht="14.4" customHeight="1" x14ac:dyDescent="0.3"/>
    <row r="18138" ht="14.4" customHeight="1" x14ac:dyDescent="0.3"/>
    <row r="18139" ht="14.4" customHeight="1" x14ac:dyDescent="0.3"/>
    <row r="18140" ht="14.4" customHeight="1" x14ac:dyDescent="0.3"/>
    <row r="18141" ht="14.4" customHeight="1" x14ac:dyDescent="0.3"/>
    <row r="18142" ht="14.4" customHeight="1" x14ac:dyDescent="0.3"/>
    <row r="18143" ht="14.4" customHeight="1" x14ac:dyDescent="0.3"/>
    <row r="18144" ht="14.4" customHeight="1" x14ac:dyDescent="0.3"/>
    <row r="18145" ht="14.4" customHeight="1" x14ac:dyDescent="0.3"/>
    <row r="18146" ht="14.4" customHeight="1" x14ac:dyDescent="0.3"/>
    <row r="18147" ht="14.4" customHeight="1" x14ac:dyDescent="0.3"/>
    <row r="18148" ht="14.4" customHeight="1" x14ac:dyDescent="0.3"/>
    <row r="18149" ht="14.4" customHeight="1" x14ac:dyDescent="0.3"/>
    <row r="18150" ht="14.4" customHeight="1" x14ac:dyDescent="0.3"/>
    <row r="18151" ht="14.4" customHeight="1" x14ac:dyDescent="0.3"/>
    <row r="18152" ht="14.4" customHeight="1" x14ac:dyDescent="0.3"/>
    <row r="18153" ht="14.4" customHeight="1" x14ac:dyDescent="0.3"/>
    <row r="18154" ht="14.4" customHeight="1" x14ac:dyDescent="0.3"/>
    <row r="18155" ht="14.4" customHeight="1" x14ac:dyDescent="0.3"/>
    <row r="18156" ht="14.4" customHeight="1" x14ac:dyDescent="0.3"/>
    <row r="18157" ht="14.4" customHeight="1" x14ac:dyDescent="0.3"/>
    <row r="18158" ht="14.4" customHeight="1" x14ac:dyDescent="0.3"/>
    <row r="18159" ht="14.4" customHeight="1" x14ac:dyDescent="0.3"/>
    <row r="18160" ht="14.4" customHeight="1" x14ac:dyDescent="0.3"/>
    <row r="18161" ht="14.4" customHeight="1" x14ac:dyDescent="0.3"/>
    <row r="18162" ht="14.4" customHeight="1" x14ac:dyDescent="0.3"/>
    <row r="18163" ht="14.4" customHeight="1" x14ac:dyDescent="0.3"/>
    <row r="18164" ht="14.4" customHeight="1" x14ac:dyDescent="0.3"/>
    <row r="18165" ht="14.4" customHeight="1" x14ac:dyDescent="0.3"/>
    <row r="18166" ht="14.4" customHeight="1" x14ac:dyDescent="0.3"/>
    <row r="18167" ht="14.4" customHeight="1" x14ac:dyDescent="0.3"/>
    <row r="18168" ht="14.4" customHeight="1" x14ac:dyDescent="0.3"/>
    <row r="18169" ht="14.4" customHeight="1" x14ac:dyDescent="0.3"/>
    <row r="18170" ht="14.4" customHeight="1" x14ac:dyDescent="0.3"/>
    <row r="18171" ht="14.4" customHeight="1" x14ac:dyDescent="0.3"/>
    <row r="18172" ht="14.4" customHeight="1" x14ac:dyDescent="0.3"/>
    <row r="18173" ht="14.4" customHeight="1" x14ac:dyDescent="0.3"/>
    <row r="18174" ht="14.4" customHeight="1" x14ac:dyDescent="0.3"/>
    <row r="18175" ht="14.4" customHeight="1" x14ac:dyDescent="0.3"/>
    <row r="18176" ht="14.4" customHeight="1" x14ac:dyDescent="0.3"/>
    <row r="18177" ht="14.4" customHeight="1" x14ac:dyDescent="0.3"/>
    <row r="18178" ht="14.4" customHeight="1" x14ac:dyDescent="0.3"/>
    <row r="18179" ht="14.4" customHeight="1" x14ac:dyDescent="0.3"/>
    <row r="18180" ht="14.4" customHeight="1" x14ac:dyDescent="0.3"/>
    <row r="18181" ht="14.4" customHeight="1" x14ac:dyDescent="0.3"/>
    <row r="18182" ht="14.4" customHeight="1" x14ac:dyDescent="0.3"/>
    <row r="18183" ht="14.4" customHeight="1" x14ac:dyDescent="0.3"/>
    <row r="18184" ht="14.4" customHeight="1" x14ac:dyDescent="0.3"/>
    <row r="18185" ht="14.4" customHeight="1" x14ac:dyDescent="0.3"/>
    <row r="18186" ht="14.4" customHeight="1" x14ac:dyDescent="0.3"/>
    <row r="18187" ht="14.4" customHeight="1" x14ac:dyDescent="0.3"/>
    <row r="18188" ht="14.4" customHeight="1" x14ac:dyDescent="0.3"/>
    <row r="18189" ht="14.4" customHeight="1" x14ac:dyDescent="0.3"/>
    <row r="18190" ht="14.4" customHeight="1" x14ac:dyDescent="0.3"/>
    <row r="18191" ht="14.4" customHeight="1" x14ac:dyDescent="0.3"/>
    <row r="18192" ht="14.4" customHeight="1" x14ac:dyDescent="0.3"/>
    <row r="18193" ht="14.4" customHeight="1" x14ac:dyDescent="0.3"/>
    <row r="18194" ht="14.4" customHeight="1" x14ac:dyDescent="0.3"/>
    <row r="18195" ht="14.4" customHeight="1" x14ac:dyDescent="0.3"/>
    <row r="18196" ht="14.4" customHeight="1" x14ac:dyDescent="0.3"/>
    <row r="18197" ht="14.4" customHeight="1" x14ac:dyDescent="0.3"/>
    <row r="18198" ht="14.4" customHeight="1" x14ac:dyDescent="0.3"/>
    <row r="18199" ht="14.4" customHeight="1" x14ac:dyDescent="0.3"/>
    <row r="18200" ht="14.4" customHeight="1" x14ac:dyDescent="0.3"/>
    <row r="18201" ht="14.4" customHeight="1" x14ac:dyDescent="0.3"/>
    <row r="18202" ht="14.4" customHeight="1" x14ac:dyDescent="0.3"/>
    <row r="18203" ht="14.4" customHeight="1" x14ac:dyDescent="0.3"/>
    <row r="18204" ht="14.4" customHeight="1" x14ac:dyDescent="0.3"/>
    <row r="18205" ht="14.4" customHeight="1" x14ac:dyDescent="0.3"/>
    <row r="18206" ht="14.4" customHeight="1" x14ac:dyDescent="0.3"/>
    <row r="18207" ht="14.4" customHeight="1" x14ac:dyDescent="0.3"/>
    <row r="18208" ht="14.4" customHeight="1" x14ac:dyDescent="0.3"/>
    <row r="18209" ht="14.4" customHeight="1" x14ac:dyDescent="0.3"/>
    <row r="18210" ht="14.4" customHeight="1" x14ac:dyDescent="0.3"/>
    <row r="18211" ht="14.4" customHeight="1" x14ac:dyDescent="0.3"/>
    <row r="18212" ht="14.4" customHeight="1" x14ac:dyDescent="0.3"/>
    <row r="18213" ht="14.4" customHeight="1" x14ac:dyDescent="0.3"/>
    <row r="18214" ht="14.4" customHeight="1" x14ac:dyDescent="0.3"/>
    <row r="18215" ht="14.4" customHeight="1" x14ac:dyDescent="0.3"/>
    <row r="18216" ht="14.4" customHeight="1" x14ac:dyDescent="0.3"/>
    <row r="18217" ht="14.4" customHeight="1" x14ac:dyDescent="0.3"/>
    <row r="18218" ht="14.4" customHeight="1" x14ac:dyDescent="0.3"/>
    <row r="18219" ht="14.4" customHeight="1" x14ac:dyDescent="0.3"/>
    <row r="18220" ht="14.4" customHeight="1" x14ac:dyDescent="0.3"/>
    <row r="18221" ht="14.4" customHeight="1" x14ac:dyDescent="0.3"/>
    <row r="18222" ht="14.4" customHeight="1" x14ac:dyDescent="0.3"/>
    <row r="18223" ht="14.4" customHeight="1" x14ac:dyDescent="0.3"/>
    <row r="18224" ht="14.4" customHeight="1" x14ac:dyDescent="0.3"/>
    <row r="18225" ht="14.4" customHeight="1" x14ac:dyDescent="0.3"/>
    <row r="18226" ht="14.4" customHeight="1" x14ac:dyDescent="0.3"/>
    <row r="18227" ht="14.4" customHeight="1" x14ac:dyDescent="0.3"/>
    <row r="18228" ht="14.4" customHeight="1" x14ac:dyDescent="0.3"/>
    <row r="18229" ht="14.4" customHeight="1" x14ac:dyDescent="0.3"/>
    <row r="18230" ht="14.4" customHeight="1" x14ac:dyDescent="0.3"/>
    <row r="18231" ht="14.4" customHeight="1" x14ac:dyDescent="0.3"/>
    <row r="18232" ht="14.4" customHeight="1" x14ac:dyDescent="0.3"/>
    <row r="18233" ht="14.4" customHeight="1" x14ac:dyDescent="0.3"/>
    <row r="18234" ht="14.4" customHeight="1" x14ac:dyDescent="0.3"/>
    <row r="18235" ht="14.4" customHeight="1" x14ac:dyDescent="0.3"/>
    <row r="18236" ht="14.4" customHeight="1" x14ac:dyDescent="0.3"/>
    <row r="18237" ht="14.4" customHeight="1" x14ac:dyDescent="0.3"/>
    <row r="18238" ht="14.4" customHeight="1" x14ac:dyDescent="0.3"/>
    <row r="18239" ht="14.4" customHeight="1" x14ac:dyDescent="0.3"/>
    <row r="18240" ht="14.4" customHeight="1" x14ac:dyDescent="0.3"/>
    <row r="18241" ht="14.4" customHeight="1" x14ac:dyDescent="0.3"/>
    <row r="18242" ht="14.4" customHeight="1" x14ac:dyDescent="0.3"/>
    <row r="18243" ht="14.4" customHeight="1" x14ac:dyDescent="0.3"/>
    <row r="18244" ht="14.4" customHeight="1" x14ac:dyDescent="0.3"/>
    <row r="18245" ht="14.4" customHeight="1" x14ac:dyDescent="0.3"/>
    <row r="18246" ht="14.4" customHeight="1" x14ac:dyDescent="0.3"/>
    <row r="18247" ht="14.4" customHeight="1" x14ac:dyDescent="0.3"/>
    <row r="18248" ht="14.4" customHeight="1" x14ac:dyDescent="0.3"/>
    <row r="18249" ht="14.4" customHeight="1" x14ac:dyDescent="0.3"/>
    <row r="18250" ht="14.4" customHeight="1" x14ac:dyDescent="0.3"/>
    <row r="18251" ht="14.4" customHeight="1" x14ac:dyDescent="0.3"/>
    <row r="18252" ht="14.4" customHeight="1" x14ac:dyDescent="0.3"/>
    <row r="18253" ht="14.4" customHeight="1" x14ac:dyDescent="0.3"/>
    <row r="18254" ht="14.4" customHeight="1" x14ac:dyDescent="0.3"/>
    <row r="18255" ht="14.4" customHeight="1" x14ac:dyDescent="0.3"/>
    <row r="18256" ht="14.4" customHeight="1" x14ac:dyDescent="0.3"/>
    <row r="18257" ht="14.4" customHeight="1" x14ac:dyDescent="0.3"/>
    <row r="18258" ht="14.4" customHeight="1" x14ac:dyDescent="0.3"/>
    <row r="18259" ht="14.4" customHeight="1" x14ac:dyDescent="0.3"/>
    <row r="18260" ht="14.4" customHeight="1" x14ac:dyDescent="0.3"/>
    <row r="18261" ht="14.4" customHeight="1" x14ac:dyDescent="0.3"/>
    <row r="18262" ht="14.4" customHeight="1" x14ac:dyDescent="0.3"/>
    <row r="18263" ht="14.4" customHeight="1" x14ac:dyDescent="0.3"/>
    <row r="18264" ht="14.4" customHeight="1" x14ac:dyDescent="0.3"/>
    <row r="18265" ht="14.4" customHeight="1" x14ac:dyDescent="0.3"/>
    <row r="18266" ht="14.4" customHeight="1" x14ac:dyDescent="0.3"/>
    <row r="18267" ht="14.4" customHeight="1" x14ac:dyDescent="0.3"/>
    <row r="18268" ht="14.4" customHeight="1" x14ac:dyDescent="0.3"/>
    <row r="18269" ht="14.4" customHeight="1" x14ac:dyDescent="0.3"/>
    <row r="18270" ht="14.4" customHeight="1" x14ac:dyDescent="0.3"/>
    <row r="18271" ht="14.4" customHeight="1" x14ac:dyDescent="0.3"/>
    <row r="18272" ht="14.4" customHeight="1" x14ac:dyDescent="0.3"/>
    <row r="18273" ht="14.4" customHeight="1" x14ac:dyDescent="0.3"/>
    <row r="18274" ht="14.4" customHeight="1" x14ac:dyDescent="0.3"/>
    <row r="18275" ht="14.4" customHeight="1" x14ac:dyDescent="0.3"/>
    <row r="18276" ht="14.4" customHeight="1" x14ac:dyDescent="0.3"/>
    <row r="18277" ht="14.4" customHeight="1" x14ac:dyDescent="0.3"/>
    <row r="18278" ht="14.4" customHeight="1" x14ac:dyDescent="0.3"/>
    <row r="18279" ht="14.4" customHeight="1" x14ac:dyDescent="0.3"/>
    <row r="18280" ht="14.4" customHeight="1" x14ac:dyDescent="0.3"/>
    <row r="18281" ht="14.4" customHeight="1" x14ac:dyDescent="0.3"/>
    <row r="18282" ht="14.4" customHeight="1" x14ac:dyDescent="0.3"/>
    <row r="18283" ht="14.4" customHeight="1" x14ac:dyDescent="0.3"/>
    <row r="18284" ht="14.4" customHeight="1" x14ac:dyDescent="0.3"/>
    <row r="18285" ht="14.4" customHeight="1" x14ac:dyDescent="0.3"/>
    <row r="18286" ht="14.4" customHeight="1" x14ac:dyDescent="0.3"/>
    <row r="18287" ht="14.4" customHeight="1" x14ac:dyDescent="0.3"/>
    <row r="18288" ht="14.4" customHeight="1" x14ac:dyDescent="0.3"/>
    <row r="18289" ht="14.4" customHeight="1" x14ac:dyDescent="0.3"/>
    <row r="18290" ht="14.4" customHeight="1" x14ac:dyDescent="0.3"/>
    <row r="18291" ht="14.4" customHeight="1" x14ac:dyDescent="0.3"/>
    <row r="18292" ht="14.4" customHeight="1" x14ac:dyDescent="0.3"/>
    <row r="18293" ht="14.4" customHeight="1" x14ac:dyDescent="0.3"/>
    <row r="18294" ht="14.4" customHeight="1" x14ac:dyDescent="0.3"/>
    <row r="18295" ht="14.4" customHeight="1" x14ac:dyDescent="0.3"/>
    <row r="18296" ht="14.4" customHeight="1" x14ac:dyDescent="0.3"/>
    <row r="18297" ht="14.4" customHeight="1" x14ac:dyDescent="0.3"/>
    <row r="18298" ht="14.4" customHeight="1" x14ac:dyDescent="0.3"/>
    <row r="18299" ht="14.4" customHeight="1" x14ac:dyDescent="0.3"/>
    <row r="18300" ht="14.4" customHeight="1" x14ac:dyDescent="0.3"/>
    <row r="18301" ht="14.4" customHeight="1" x14ac:dyDescent="0.3"/>
    <row r="18302" ht="14.4" customHeight="1" x14ac:dyDescent="0.3"/>
    <row r="18303" ht="14.4" customHeight="1" x14ac:dyDescent="0.3"/>
    <row r="18304" ht="14.4" customHeight="1" x14ac:dyDescent="0.3"/>
    <row r="18305" ht="14.4" customHeight="1" x14ac:dyDescent="0.3"/>
    <row r="18306" ht="14.4" customHeight="1" x14ac:dyDescent="0.3"/>
    <row r="18307" ht="14.4" customHeight="1" x14ac:dyDescent="0.3"/>
    <row r="18308" ht="14.4" customHeight="1" x14ac:dyDescent="0.3"/>
    <row r="18309" ht="14.4" customHeight="1" x14ac:dyDescent="0.3"/>
    <row r="18310" ht="14.4" customHeight="1" x14ac:dyDescent="0.3"/>
    <row r="18311" ht="14.4" customHeight="1" x14ac:dyDescent="0.3"/>
    <row r="18312" ht="14.4" customHeight="1" x14ac:dyDescent="0.3"/>
    <row r="18313" ht="14.4" customHeight="1" x14ac:dyDescent="0.3"/>
    <row r="18314" ht="14.4" customHeight="1" x14ac:dyDescent="0.3"/>
    <row r="18315" ht="14.4" customHeight="1" x14ac:dyDescent="0.3"/>
    <row r="18316" ht="14.4" customHeight="1" x14ac:dyDescent="0.3"/>
    <row r="18317" ht="14.4" customHeight="1" x14ac:dyDescent="0.3"/>
    <row r="18318" ht="14.4" customHeight="1" x14ac:dyDescent="0.3"/>
    <row r="18319" ht="14.4" customHeight="1" x14ac:dyDescent="0.3"/>
    <row r="18320" ht="14.4" customHeight="1" x14ac:dyDescent="0.3"/>
    <row r="18321" ht="14.4" customHeight="1" x14ac:dyDescent="0.3"/>
    <row r="18322" ht="14.4" customHeight="1" x14ac:dyDescent="0.3"/>
    <row r="18323" ht="14.4" customHeight="1" x14ac:dyDescent="0.3"/>
    <row r="18324" ht="14.4" customHeight="1" x14ac:dyDescent="0.3"/>
    <row r="18325" ht="14.4" customHeight="1" x14ac:dyDescent="0.3"/>
    <row r="18326" ht="14.4" customHeight="1" x14ac:dyDescent="0.3"/>
    <row r="18327" ht="14.4" customHeight="1" x14ac:dyDescent="0.3"/>
    <row r="18328" ht="14.4" customHeight="1" x14ac:dyDescent="0.3"/>
    <row r="18329" ht="14.4" customHeight="1" x14ac:dyDescent="0.3"/>
    <row r="18330" ht="14.4" customHeight="1" x14ac:dyDescent="0.3"/>
    <row r="18331" ht="14.4" customHeight="1" x14ac:dyDescent="0.3"/>
    <row r="18332" ht="14.4" customHeight="1" x14ac:dyDescent="0.3"/>
    <row r="18333" ht="14.4" customHeight="1" x14ac:dyDescent="0.3"/>
    <row r="18334" ht="14.4" customHeight="1" x14ac:dyDescent="0.3"/>
    <row r="18335" ht="14.4" customHeight="1" x14ac:dyDescent="0.3"/>
    <row r="18336" ht="14.4" customHeight="1" x14ac:dyDescent="0.3"/>
    <row r="18337" ht="14.4" customHeight="1" x14ac:dyDescent="0.3"/>
    <row r="18338" ht="14.4" customHeight="1" x14ac:dyDescent="0.3"/>
    <row r="18339" ht="14.4" customHeight="1" x14ac:dyDescent="0.3"/>
    <row r="18340" ht="14.4" customHeight="1" x14ac:dyDescent="0.3"/>
    <row r="18341" ht="14.4" customHeight="1" x14ac:dyDescent="0.3"/>
    <row r="18342" ht="14.4" customHeight="1" x14ac:dyDescent="0.3"/>
    <row r="18343" ht="14.4" customHeight="1" x14ac:dyDescent="0.3"/>
    <row r="18344" ht="14.4" customHeight="1" x14ac:dyDescent="0.3"/>
    <row r="18345" ht="14.4" customHeight="1" x14ac:dyDescent="0.3"/>
    <row r="18346" ht="14.4" customHeight="1" x14ac:dyDescent="0.3"/>
    <row r="18347" ht="14.4" customHeight="1" x14ac:dyDescent="0.3"/>
    <row r="18348" ht="14.4" customHeight="1" x14ac:dyDescent="0.3"/>
    <row r="18349" ht="14.4" customHeight="1" x14ac:dyDescent="0.3"/>
    <row r="18350" ht="14.4" customHeight="1" x14ac:dyDescent="0.3"/>
    <row r="18351" ht="14.4" customHeight="1" x14ac:dyDescent="0.3"/>
    <row r="18352" ht="14.4" customHeight="1" x14ac:dyDescent="0.3"/>
    <row r="18353" ht="14.4" customHeight="1" x14ac:dyDescent="0.3"/>
    <row r="18354" ht="14.4" customHeight="1" x14ac:dyDescent="0.3"/>
    <row r="18355" ht="14.4" customHeight="1" x14ac:dyDescent="0.3"/>
    <row r="18356" ht="14.4" customHeight="1" x14ac:dyDescent="0.3"/>
    <row r="18357" ht="14.4" customHeight="1" x14ac:dyDescent="0.3"/>
    <row r="18358" ht="14.4" customHeight="1" x14ac:dyDescent="0.3"/>
    <row r="18359" ht="14.4" customHeight="1" x14ac:dyDescent="0.3"/>
    <row r="18360" ht="14.4" customHeight="1" x14ac:dyDescent="0.3"/>
    <row r="18361" ht="14.4" customHeight="1" x14ac:dyDescent="0.3"/>
    <row r="18362" ht="14.4" customHeight="1" x14ac:dyDescent="0.3"/>
    <row r="18363" ht="14.4" customHeight="1" x14ac:dyDescent="0.3"/>
    <row r="18364" ht="14.4" customHeight="1" x14ac:dyDescent="0.3"/>
    <row r="18365" ht="14.4" customHeight="1" x14ac:dyDescent="0.3"/>
    <row r="18366" ht="14.4" customHeight="1" x14ac:dyDescent="0.3"/>
    <row r="18367" ht="14.4" customHeight="1" x14ac:dyDescent="0.3"/>
    <row r="18368" ht="14.4" customHeight="1" x14ac:dyDescent="0.3"/>
    <row r="18369" ht="14.4" customHeight="1" x14ac:dyDescent="0.3"/>
    <row r="18370" ht="14.4" customHeight="1" x14ac:dyDescent="0.3"/>
    <row r="18371" ht="14.4" customHeight="1" x14ac:dyDescent="0.3"/>
    <row r="18372" ht="14.4" customHeight="1" x14ac:dyDescent="0.3"/>
    <row r="18373" ht="14.4" customHeight="1" x14ac:dyDescent="0.3"/>
    <row r="18374" ht="14.4" customHeight="1" x14ac:dyDescent="0.3"/>
    <row r="18375" ht="14.4" customHeight="1" x14ac:dyDescent="0.3"/>
    <row r="18376" ht="14.4" customHeight="1" x14ac:dyDescent="0.3"/>
    <row r="18377" ht="14.4" customHeight="1" x14ac:dyDescent="0.3"/>
    <row r="18378" ht="14.4" customHeight="1" x14ac:dyDescent="0.3"/>
    <row r="18379" ht="14.4" customHeight="1" x14ac:dyDescent="0.3"/>
    <row r="18380" ht="14.4" customHeight="1" x14ac:dyDescent="0.3"/>
    <row r="18381" ht="14.4" customHeight="1" x14ac:dyDescent="0.3"/>
    <row r="18382" ht="14.4" customHeight="1" x14ac:dyDescent="0.3"/>
    <row r="18383" ht="14.4" customHeight="1" x14ac:dyDescent="0.3"/>
    <row r="18384" ht="14.4" customHeight="1" x14ac:dyDescent="0.3"/>
    <row r="18385" ht="14.4" customHeight="1" x14ac:dyDescent="0.3"/>
    <row r="18386" ht="14.4" customHeight="1" x14ac:dyDescent="0.3"/>
    <row r="18387" ht="14.4" customHeight="1" x14ac:dyDescent="0.3"/>
    <row r="18388" ht="14.4" customHeight="1" x14ac:dyDescent="0.3"/>
    <row r="18389" ht="14.4" customHeight="1" x14ac:dyDescent="0.3"/>
    <row r="18390" ht="14.4" customHeight="1" x14ac:dyDescent="0.3"/>
    <row r="18391" ht="14.4" customHeight="1" x14ac:dyDescent="0.3"/>
    <row r="18392" ht="14.4" customHeight="1" x14ac:dyDescent="0.3"/>
    <row r="18393" ht="14.4" customHeight="1" x14ac:dyDescent="0.3"/>
    <row r="18394" ht="14.4" customHeight="1" x14ac:dyDescent="0.3"/>
    <row r="18395" ht="14.4" customHeight="1" x14ac:dyDescent="0.3"/>
    <row r="18396" ht="14.4" customHeight="1" x14ac:dyDescent="0.3"/>
    <row r="18397" ht="14.4" customHeight="1" x14ac:dyDescent="0.3"/>
    <row r="18398" ht="14.4" customHeight="1" x14ac:dyDescent="0.3"/>
    <row r="18399" ht="14.4" customHeight="1" x14ac:dyDescent="0.3"/>
    <row r="18400" ht="14.4" customHeight="1" x14ac:dyDescent="0.3"/>
    <row r="18401" ht="14.4" customHeight="1" x14ac:dyDescent="0.3"/>
    <row r="18402" ht="14.4" customHeight="1" x14ac:dyDescent="0.3"/>
    <row r="18403" ht="14.4" customHeight="1" x14ac:dyDescent="0.3"/>
    <row r="18404" ht="14.4" customHeight="1" x14ac:dyDescent="0.3"/>
    <row r="18405" ht="14.4" customHeight="1" x14ac:dyDescent="0.3"/>
    <row r="18406" ht="14.4" customHeight="1" x14ac:dyDescent="0.3"/>
    <row r="18407" ht="14.4" customHeight="1" x14ac:dyDescent="0.3"/>
    <row r="18408" ht="14.4" customHeight="1" x14ac:dyDescent="0.3"/>
    <row r="18409" ht="14.4" customHeight="1" x14ac:dyDescent="0.3"/>
    <row r="18410" ht="14.4" customHeight="1" x14ac:dyDescent="0.3"/>
    <row r="18411" ht="14.4" customHeight="1" x14ac:dyDescent="0.3"/>
    <row r="18412" ht="14.4" customHeight="1" x14ac:dyDescent="0.3"/>
    <row r="18413" ht="14.4" customHeight="1" x14ac:dyDescent="0.3"/>
    <row r="18414" ht="14.4" customHeight="1" x14ac:dyDescent="0.3"/>
    <row r="18415" ht="14.4" customHeight="1" x14ac:dyDescent="0.3"/>
    <row r="18416" ht="14.4" customHeight="1" x14ac:dyDescent="0.3"/>
    <row r="18417" ht="14.4" customHeight="1" x14ac:dyDescent="0.3"/>
    <row r="18418" ht="14.4" customHeight="1" x14ac:dyDescent="0.3"/>
    <row r="18419" ht="14.4" customHeight="1" x14ac:dyDescent="0.3"/>
    <row r="18420" ht="14.4" customHeight="1" x14ac:dyDescent="0.3"/>
    <row r="18421" ht="14.4" customHeight="1" x14ac:dyDescent="0.3"/>
    <row r="18422" ht="14.4" customHeight="1" x14ac:dyDescent="0.3"/>
    <row r="18423" ht="14.4" customHeight="1" x14ac:dyDescent="0.3"/>
    <row r="18424" ht="14.4" customHeight="1" x14ac:dyDescent="0.3"/>
    <row r="18425" ht="14.4" customHeight="1" x14ac:dyDescent="0.3"/>
    <row r="18426" ht="14.4" customHeight="1" x14ac:dyDescent="0.3"/>
    <row r="18427" ht="14.4" customHeight="1" x14ac:dyDescent="0.3"/>
    <row r="18428" ht="14.4" customHeight="1" x14ac:dyDescent="0.3"/>
    <row r="18429" ht="14.4" customHeight="1" x14ac:dyDescent="0.3"/>
    <row r="18430" ht="14.4" customHeight="1" x14ac:dyDescent="0.3"/>
    <row r="18431" ht="14.4" customHeight="1" x14ac:dyDescent="0.3"/>
    <row r="18432" ht="14.4" customHeight="1" x14ac:dyDescent="0.3"/>
    <row r="18433" ht="14.4" customHeight="1" x14ac:dyDescent="0.3"/>
    <row r="18434" ht="14.4" customHeight="1" x14ac:dyDescent="0.3"/>
    <row r="18435" ht="14.4" customHeight="1" x14ac:dyDescent="0.3"/>
    <row r="18436" ht="14.4" customHeight="1" x14ac:dyDescent="0.3"/>
    <row r="18437" ht="14.4" customHeight="1" x14ac:dyDescent="0.3"/>
    <row r="18438" ht="14.4" customHeight="1" x14ac:dyDescent="0.3"/>
    <row r="18439" ht="14.4" customHeight="1" x14ac:dyDescent="0.3"/>
    <row r="18440" ht="14.4" customHeight="1" x14ac:dyDescent="0.3"/>
    <row r="18441" ht="14.4" customHeight="1" x14ac:dyDescent="0.3"/>
    <row r="18442" ht="14.4" customHeight="1" x14ac:dyDescent="0.3"/>
    <row r="18443" ht="14.4" customHeight="1" x14ac:dyDescent="0.3"/>
    <row r="18444" ht="14.4" customHeight="1" x14ac:dyDescent="0.3"/>
    <row r="18445" ht="14.4" customHeight="1" x14ac:dyDescent="0.3"/>
    <row r="18446" ht="14.4" customHeight="1" x14ac:dyDescent="0.3"/>
    <row r="18447" ht="14.4" customHeight="1" x14ac:dyDescent="0.3"/>
    <row r="18448" ht="14.4" customHeight="1" x14ac:dyDescent="0.3"/>
    <row r="18449" ht="14.4" customHeight="1" x14ac:dyDescent="0.3"/>
    <row r="18450" ht="14.4" customHeight="1" x14ac:dyDescent="0.3"/>
    <row r="18451" ht="14.4" customHeight="1" x14ac:dyDescent="0.3"/>
    <row r="18452" ht="14.4" customHeight="1" x14ac:dyDescent="0.3"/>
    <row r="18453" ht="14.4" customHeight="1" x14ac:dyDescent="0.3"/>
    <row r="18454" ht="14.4" customHeight="1" x14ac:dyDescent="0.3"/>
    <row r="18455" ht="14.4" customHeight="1" x14ac:dyDescent="0.3"/>
    <row r="18456" ht="14.4" customHeight="1" x14ac:dyDescent="0.3"/>
    <row r="18457" ht="14.4" customHeight="1" x14ac:dyDescent="0.3"/>
    <row r="18458" ht="14.4" customHeight="1" x14ac:dyDescent="0.3"/>
    <row r="18459" ht="14.4" customHeight="1" x14ac:dyDescent="0.3"/>
    <row r="18460" ht="14.4" customHeight="1" x14ac:dyDescent="0.3"/>
    <row r="18461" ht="14.4" customHeight="1" x14ac:dyDescent="0.3"/>
    <row r="18462" ht="14.4" customHeight="1" x14ac:dyDescent="0.3"/>
    <row r="18463" ht="14.4" customHeight="1" x14ac:dyDescent="0.3"/>
    <row r="18464" ht="14.4" customHeight="1" x14ac:dyDescent="0.3"/>
    <row r="18465" ht="14.4" customHeight="1" x14ac:dyDescent="0.3"/>
    <row r="18466" ht="14.4" customHeight="1" x14ac:dyDescent="0.3"/>
    <row r="18467" ht="14.4" customHeight="1" x14ac:dyDescent="0.3"/>
    <row r="18468" ht="14.4" customHeight="1" x14ac:dyDescent="0.3"/>
    <row r="18469" ht="14.4" customHeight="1" x14ac:dyDescent="0.3"/>
    <row r="18470" ht="14.4" customHeight="1" x14ac:dyDescent="0.3"/>
    <row r="18471" ht="14.4" customHeight="1" x14ac:dyDescent="0.3"/>
    <row r="18472" ht="14.4" customHeight="1" x14ac:dyDescent="0.3"/>
    <row r="18473" ht="14.4" customHeight="1" x14ac:dyDescent="0.3"/>
    <row r="18474" ht="14.4" customHeight="1" x14ac:dyDescent="0.3"/>
    <row r="18475" ht="14.4" customHeight="1" x14ac:dyDescent="0.3"/>
    <row r="18476" ht="14.4" customHeight="1" x14ac:dyDescent="0.3"/>
    <row r="18477" ht="14.4" customHeight="1" x14ac:dyDescent="0.3"/>
    <row r="18478" ht="14.4" customHeight="1" x14ac:dyDescent="0.3"/>
    <row r="18479" ht="14.4" customHeight="1" x14ac:dyDescent="0.3"/>
    <row r="18480" ht="14.4" customHeight="1" x14ac:dyDescent="0.3"/>
    <row r="18481" ht="14.4" customHeight="1" x14ac:dyDescent="0.3"/>
    <row r="18482" ht="14.4" customHeight="1" x14ac:dyDescent="0.3"/>
    <row r="18483" ht="14.4" customHeight="1" x14ac:dyDescent="0.3"/>
    <row r="18484" ht="14.4" customHeight="1" x14ac:dyDescent="0.3"/>
    <row r="18485" ht="14.4" customHeight="1" x14ac:dyDescent="0.3"/>
    <row r="18486" ht="14.4" customHeight="1" x14ac:dyDescent="0.3"/>
    <row r="18487" ht="14.4" customHeight="1" x14ac:dyDescent="0.3"/>
    <row r="18488" ht="14.4" customHeight="1" x14ac:dyDescent="0.3"/>
    <row r="18489" ht="14.4" customHeight="1" x14ac:dyDescent="0.3"/>
    <row r="18490" ht="14.4" customHeight="1" x14ac:dyDescent="0.3"/>
    <row r="18491" ht="14.4" customHeight="1" x14ac:dyDescent="0.3"/>
    <row r="18492" ht="14.4" customHeight="1" x14ac:dyDescent="0.3"/>
    <row r="18493" ht="14.4" customHeight="1" x14ac:dyDescent="0.3"/>
    <row r="18494" ht="14.4" customHeight="1" x14ac:dyDescent="0.3"/>
    <row r="18495" ht="14.4" customHeight="1" x14ac:dyDescent="0.3"/>
    <row r="18496" ht="14.4" customHeight="1" x14ac:dyDescent="0.3"/>
    <row r="18497" ht="14.4" customHeight="1" x14ac:dyDescent="0.3"/>
    <row r="18498" ht="14.4" customHeight="1" x14ac:dyDescent="0.3"/>
    <row r="18499" ht="14.4" customHeight="1" x14ac:dyDescent="0.3"/>
    <row r="18500" ht="14.4" customHeight="1" x14ac:dyDescent="0.3"/>
    <row r="18501" ht="14.4" customHeight="1" x14ac:dyDescent="0.3"/>
    <row r="18502" ht="14.4" customHeight="1" x14ac:dyDescent="0.3"/>
    <row r="18503" ht="14.4" customHeight="1" x14ac:dyDescent="0.3"/>
    <row r="18504" ht="14.4" customHeight="1" x14ac:dyDescent="0.3"/>
    <row r="18505" ht="14.4" customHeight="1" x14ac:dyDescent="0.3"/>
    <row r="18506" ht="14.4" customHeight="1" x14ac:dyDescent="0.3"/>
    <row r="18507" ht="14.4" customHeight="1" x14ac:dyDescent="0.3"/>
    <row r="18508" ht="14.4" customHeight="1" x14ac:dyDescent="0.3"/>
    <row r="18509" ht="14.4" customHeight="1" x14ac:dyDescent="0.3"/>
    <row r="18510" ht="14.4" customHeight="1" x14ac:dyDescent="0.3"/>
    <row r="18511" ht="14.4" customHeight="1" x14ac:dyDescent="0.3"/>
    <row r="18512" ht="14.4" customHeight="1" x14ac:dyDescent="0.3"/>
    <row r="18513" ht="14.4" customHeight="1" x14ac:dyDescent="0.3"/>
    <row r="18514" ht="14.4" customHeight="1" x14ac:dyDescent="0.3"/>
    <row r="18515" ht="14.4" customHeight="1" x14ac:dyDescent="0.3"/>
    <row r="18516" ht="14.4" customHeight="1" x14ac:dyDescent="0.3"/>
    <row r="18517" ht="14.4" customHeight="1" x14ac:dyDescent="0.3"/>
    <row r="18518" ht="14.4" customHeight="1" x14ac:dyDescent="0.3"/>
    <row r="18519" ht="14.4" customHeight="1" x14ac:dyDescent="0.3"/>
    <row r="18520" ht="14.4" customHeight="1" x14ac:dyDescent="0.3"/>
    <row r="18521" ht="14.4" customHeight="1" x14ac:dyDescent="0.3"/>
    <row r="18522" ht="14.4" customHeight="1" x14ac:dyDescent="0.3"/>
    <row r="18523" ht="14.4" customHeight="1" x14ac:dyDescent="0.3"/>
    <row r="18524" ht="14.4" customHeight="1" x14ac:dyDescent="0.3"/>
    <row r="18525" ht="14.4" customHeight="1" x14ac:dyDescent="0.3"/>
    <row r="18526" ht="14.4" customHeight="1" x14ac:dyDescent="0.3"/>
    <row r="18527" ht="14.4" customHeight="1" x14ac:dyDescent="0.3"/>
    <row r="18528" ht="14.4" customHeight="1" x14ac:dyDescent="0.3"/>
    <row r="18529" ht="14.4" customHeight="1" x14ac:dyDescent="0.3"/>
    <row r="18530" ht="14.4" customHeight="1" x14ac:dyDescent="0.3"/>
    <row r="18531" ht="14.4" customHeight="1" x14ac:dyDescent="0.3"/>
    <row r="18532" ht="14.4" customHeight="1" x14ac:dyDescent="0.3"/>
    <row r="18533" ht="14.4" customHeight="1" x14ac:dyDescent="0.3"/>
    <row r="18534" ht="14.4" customHeight="1" x14ac:dyDescent="0.3"/>
    <row r="18535" ht="14.4" customHeight="1" x14ac:dyDescent="0.3"/>
    <row r="18536" ht="14.4" customHeight="1" x14ac:dyDescent="0.3"/>
    <row r="18537" ht="14.4" customHeight="1" x14ac:dyDescent="0.3"/>
    <row r="18538" ht="14.4" customHeight="1" x14ac:dyDescent="0.3"/>
    <row r="18539" ht="14.4" customHeight="1" x14ac:dyDescent="0.3"/>
    <row r="18540" ht="14.4" customHeight="1" x14ac:dyDescent="0.3"/>
    <row r="18541" ht="14.4" customHeight="1" x14ac:dyDescent="0.3"/>
    <row r="18542" ht="14.4" customHeight="1" x14ac:dyDescent="0.3"/>
    <row r="18543" ht="14.4" customHeight="1" x14ac:dyDescent="0.3"/>
    <row r="18544" ht="14.4" customHeight="1" x14ac:dyDescent="0.3"/>
    <row r="18545" ht="14.4" customHeight="1" x14ac:dyDescent="0.3"/>
    <row r="18546" ht="14.4" customHeight="1" x14ac:dyDescent="0.3"/>
    <row r="18547" ht="14.4" customHeight="1" x14ac:dyDescent="0.3"/>
    <row r="18548" ht="14.4" customHeight="1" x14ac:dyDescent="0.3"/>
    <row r="18549" ht="14.4" customHeight="1" x14ac:dyDescent="0.3"/>
    <row r="18550" ht="14.4" customHeight="1" x14ac:dyDescent="0.3"/>
    <row r="18551" ht="14.4" customHeight="1" x14ac:dyDescent="0.3"/>
    <row r="18552" ht="14.4" customHeight="1" x14ac:dyDescent="0.3"/>
    <row r="18553" ht="14.4" customHeight="1" x14ac:dyDescent="0.3"/>
    <row r="18554" ht="14.4" customHeight="1" x14ac:dyDescent="0.3"/>
    <row r="18555" ht="14.4" customHeight="1" x14ac:dyDescent="0.3"/>
    <row r="18556" ht="14.4" customHeight="1" x14ac:dyDescent="0.3"/>
    <row r="18557" ht="14.4" customHeight="1" x14ac:dyDescent="0.3"/>
    <row r="18558" ht="14.4" customHeight="1" x14ac:dyDescent="0.3"/>
    <row r="18559" ht="14.4" customHeight="1" x14ac:dyDescent="0.3"/>
    <row r="18560" ht="14.4" customHeight="1" x14ac:dyDescent="0.3"/>
    <row r="18561" ht="14.4" customHeight="1" x14ac:dyDescent="0.3"/>
    <row r="18562" ht="14.4" customHeight="1" x14ac:dyDescent="0.3"/>
    <row r="18563" ht="14.4" customHeight="1" x14ac:dyDescent="0.3"/>
    <row r="18564" ht="14.4" customHeight="1" x14ac:dyDescent="0.3"/>
    <row r="18565" ht="14.4" customHeight="1" x14ac:dyDescent="0.3"/>
    <row r="18566" ht="14.4" customHeight="1" x14ac:dyDescent="0.3"/>
    <row r="18567" ht="14.4" customHeight="1" x14ac:dyDescent="0.3"/>
    <row r="18568" ht="14.4" customHeight="1" x14ac:dyDescent="0.3"/>
    <row r="18569" ht="14.4" customHeight="1" x14ac:dyDescent="0.3"/>
    <row r="18570" ht="14.4" customHeight="1" x14ac:dyDescent="0.3"/>
    <row r="18571" ht="14.4" customHeight="1" x14ac:dyDescent="0.3"/>
    <row r="18572" ht="14.4" customHeight="1" x14ac:dyDescent="0.3"/>
    <row r="18573" ht="14.4" customHeight="1" x14ac:dyDescent="0.3"/>
    <row r="18574" ht="14.4" customHeight="1" x14ac:dyDescent="0.3"/>
    <row r="18575" ht="14.4" customHeight="1" x14ac:dyDescent="0.3"/>
    <row r="18576" ht="14.4" customHeight="1" x14ac:dyDescent="0.3"/>
    <row r="18577" ht="14.4" customHeight="1" x14ac:dyDescent="0.3"/>
    <row r="18578" ht="14.4" customHeight="1" x14ac:dyDescent="0.3"/>
    <row r="18579" ht="14.4" customHeight="1" x14ac:dyDescent="0.3"/>
    <row r="18580" ht="14.4" customHeight="1" x14ac:dyDescent="0.3"/>
    <row r="18581" ht="14.4" customHeight="1" x14ac:dyDescent="0.3"/>
    <row r="18582" ht="14.4" customHeight="1" x14ac:dyDescent="0.3"/>
    <row r="18583" ht="14.4" customHeight="1" x14ac:dyDescent="0.3"/>
    <row r="18584" ht="14.4" customHeight="1" x14ac:dyDescent="0.3"/>
    <row r="18585" ht="14.4" customHeight="1" x14ac:dyDescent="0.3"/>
    <row r="18586" ht="14.4" customHeight="1" x14ac:dyDescent="0.3"/>
    <row r="18587" ht="14.4" customHeight="1" x14ac:dyDescent="0.3"/>
    <row r="18588" ht="14.4" customHeight="1" x14ac:dyDescent="0.3"/>
    <row r="18589" ht="14.4" customHeight="1" x14ac:dyDescent="0.3"/>
    <row r="18590" ht="14.4" customHeight="1" x14ac:dyDescent="0.3"/>
    <row r="18591" ht="14.4" customHeight="1" x14ac:dyDescent="0.3"/>
    <row r="18592" ht="14.4" customHeight="1" x14ac:dyDescent="0.3"/>
    <row r="18593" ht="14.4" customHeight="1" x14ac:dyDescent="0.3"/>
    <row r="18594" ht="14.4" customHeight="1" x14ac:dyDescent="0.3"/>
    <row r="18595" ht="14.4" customHeight="1" x14ac:dyDescent="0.3"/>
    <row r="18596" ht="14.4" customHeight="1" x14ac:dyDescent="0.3"/>
    <row r="18597" ht="14.4" customHeight="1" x14ac:dyDescent="0.3"/>
    <row r="18598" ht="14.4" customHeight="1" x14ac:dyDescent="0.3"/>
    <row r="18599" ht="14.4" customHeight="1" x14ac:dyDescent="0.3"/>
    <row r="18600" ht="14.4" customHeight="1" x14ac:dyDescent="0.3"/>
    <row r="18601" ht="14.4" customHeight="1" x14ac:dyDescent="0.3"/>
    <row r="18602" ht="14.4" customHeight="1" x14ac:dyDescent="0.3"/>
    <row r="18603" ht="14.4" customHeight="1" x14ac:dyDescent="0.3"/>
    <row r="18604" ht="14.4" customHeight="1" x14ac:dyDescent="0.3"/>
    <row r="18605" ht="14.4" customHeight="1" x14ac:dyDescent="0.3"/>
    <row r="18606" ht="14.4" customHeight="1" x14ac:dyDescent="0.3"/>
    <row r="18607" ht="14.4" customHeight="1" x14ac:dyDescent="0.3"/>
    <row r="18608" ht="14.4" customHeight="1" x14ac:dyDescent="0.3"/>
    <row r="18609" ht="14.4" customHeight="1" x14ac:dyDescent="0.3"/>
    <row r="18610" ht="14.4" customHeight="1" x14ac:dyDescent="0.3"/>
    <row r="18611" ht="14.4" customHeight="1" x14ac:dyDescent="0.3"/>
    <row r="18612" ht="14.4" customHeight="1" x14ac:dyDescent="0.3"/>
    <row r="18613" ht="14.4" customHeight="1" x14ac:dyDescent="0.3"/>
    <row r="18614" ht="14.4" customHeight="1" x14ac:dyDescent="0.3"/>
    <row r="18615" ht="14.4" customHeight="1" x14ac:dyDescent="0.3"/>
    <row r="18616" ht="14.4" customHeight="1" x14ac:dyDescent="0.3"/>
    <row r="18617" ht="14.4" customHeight="1" x14ac:dyDescent="0.3"/>
    <row r="18618" ht="14.4" customHeight="1" x14ac:dyDescent="0.3"/>
    <row r="18619" ht="14.4" customHeight="1" x14ac:dyDescent="0.3"/>
    <row r="18620" ht="14.4" customHeight="1" x14ac:dyDescent="0.3"/>
    <row r="18621" ht="14.4" customHeight="1" x14ac:dyDescent="0.3"/>
    <row r="18622" ht="14.4" customHeight="1" x14ac:dyDescent="0.3"/>
    <row r="18623" ht="14.4" customHeight="1" x14ac:dyDescent="0.3"/>
    <row r="18624" ht="14.4" customHeight="1" x14ac:dyDescent="0.3"/>
    <row r="18625" ht="14.4" customHeight="1" x14ac:dyDescent="0.3"/>
    <row r="18626" ht="14.4" customHeight="1" x14ac:dyDescent="0.3"/>
    <row r="18627" ht="14.4" customHeight="1" x14ac:dyDescent="0.3"/>
    <row r="18628" ht="14.4" customHeight="1" x14ac:dyDescent="0.3"/>
    <row r="18629" ht="14.4" customHeight="1" x14ac:dyDescent="0.3"/>
    <row r="18630" ht="14.4" customHeight="1" x14ac:dyDescent="0.3"/>
    <row r="18631" ht="14.4" customHeight="1" x14ac:dyDescent="0.3"/>
    <row r="18632" ht="14.4" customHeight="1" x14ac:dyDescent="0.3"/>
    <row r="18633" ht="14.4" customHeight="1" x14ac:dyDescent="0.3"/>
    <row r="18634" ht="14.4" customHeight="1" x14ac:dyDescent="0.3"/>
    <row r="18635" ht="14.4" customHeight="1" x14ac:dyDescent="0.3"/>
    <row r="18636" ht="14.4" customHeight="1" x14ac:dyDescent="0.3"/>
    <row r="18637" ht="14.4" customHeight="1" x14ac:dyDescent="0.3"/>
    <row r="18638" ht="14.4" customHeight="1" x14ac:dyDescent="0.3"/>
    <row r="18639" ht="14.4" customHeight="1" x14ac:dyDescent="0.3"/>
    <row r="18640" ht="14.4" customHeight="1" x14ac:dyDescent="0.3"/>
    <row r="18641" ht="14.4" customHeight="1" x14ac:dyDescent="0.3"/>
    <row r="18642" ht="14.4" customHeight="1" x14ac:dyDescent="0.3"/>
    <row r="18643" ht="14.4" customHeight="1" x14ac:dyDescent="0.3"/>
    <row r="18644" ht="14.4" customHeight="1" x14ac:dyDescent="0.3"/>
    <row r="18645" ht="14.4" customHeight="1" x14ac:dyDescent="0.3"/>
    <row r="18646" ht="14.4" customHeight="1" x14ac:dyDescent="0.3"/>
    <row r="18647" ht="14.4" customHeight="1" x14ac:dyDescent="0.3"/>
    <row r="18648" ht="14.4" customHeight="1" x14ac:dyDescent="0.3"/>
    <row r="18649" ht="14.4" customHeight="1" x14ac:dyDescent="0.3"/>
    <row r="18650" ht="14.4" customHeight="1" x14ac:dyDescent="0.3"/>
    <row r="18651" ht="14.4" customHeight="1" x14ac:dyDescent="0.3"/>
    <row r="18652" ht="14.4" customHeight="1" x14ac:dyDescent="0.3"/>
    <row r="18653" ht="14.4" customHeight="1" x14ac:dyDescent="0.3"/>
    <row r="18654" ht="14.4" customHeight="1" x14ac:dyDescent="0.3"/>
    <row r="18655" ht="14.4" customHeight="1" x14ac:dyDescent="0.3"/>
    <row r="18656" ht="14.4" customHeight="1" x14ac:dyDescent="0.3"/>
    <row r="18657" ht="14.4" customHeight="1" x14ac:dyDescent="0.3"/>
    <row r="18658" ht="14.4" customHeight="1" x14ac:dyDescent="0.3"/>
    <row r="18659" ht="14.4" customHeight="1" x14ac:dyDescent="0.3"/>
    <row r="18660" ht="14.4" customHeight="1" x14ac:dyDescent="0.3"/>
    <row r="18661" ht="14.4" customHeight="1" x14ac:dyDescent="0.3"/>
    <row r="18662" ht="14.4" customHeight="1" x14ac:dyDescent="0.3"/>
    <row r="18663" ht="14.4" customHeight="1" x14ac:dyDescent="0.3"/>
    <row r="18664" ht="14.4" customHeight="1" x14ac:dyDescent="0.3"/>
    <row r="18665" ht="14.4" customHeight="1" x14ac:dyDescent="0.3"/>
    <row r="18666" ht="14.4" customHeight="1" x14ac:dyDescent="0.3"/>
    <row r="18667" ht="14.4" customHeight="1" x14ac:dyDescent="0.3"/>
    <row r="18668" ht="14.4" customHeight="1" x14ac:dyDescent="0.3"/>
    <row r="18669" ht="14.4" customHeight="1" x14ac:dyDescent="0.3"/>
    <row r="18670" ht="14.4" customHeight="1" x14ac:dyDescent="0.3"/>
    <row r="18671" ht="14.4" customHeight="1" x14ac:dyDescent="0.3"/>
    <row r="18672" ht="14.4" customHeight="1" x14ac:dyDescent="0.3"/>
    <row r="18673" ht="14.4" customHeight="1" x14ac:dyDescent="0.3"/>
    <row r="18674" ht="14.4" customHeight="1" x14ac:dyDescent="0.3"/>
    <row r="18675" ht="14.4" customHeight="1" x14ac:dyDescent="0.3"/>
    <row r="18676" ht="14.4" customHeight="1" x14ac:dyDescent="0.3"/>
    <row r="18677" ht="14.4" customHeight="1" x14ac:dyDescent="0.3"/>
    <row r="18678" ht="14.4" customHeight="1" x14ac:dyDescent="0.3"/>
    <row r="18679" ht="14.4" customHeight="1" x14ac:dyDescent="0.3"/>
    <row r="18680" ht="14.4" customHeight="1" x14ac:dyDescent="0.3"/>
    <row r="18681" ht="14.4" customHeight="1" x14ac:dyDescent="0.3"/>
    <row r="18682" ht="14.4" customHeight="1" x14ac:dyDescent="0.3"/>
    <row r="18683" ht="14.4" customHeight="1" x14ac:dyDescent="0.3"/>
    <row r="18684" ht="14.4" customHeight="1" x14ac:dyDescent="0.3"/>
    <row r="18685" ht="14.4" customHeight="1" x14ac:dyDescent="0.3"/>
    <row r="18686" ht="14.4" customHeight="1" x14ac:dyDescent="0.3"/>
    <row r="18687" ht="14.4" customHeight="1" x14ac:dyDescent="0.3"/>
    <row r="18688" ht="14.4" customHeight="1" x14ac:dyDescent="0.3"/>
    <row r="18689" ht="14.4" customHeight="1" x14ac:dyDescent="0.3"/>
    <row r="18690" ht="14.4" customHeight="1" x14ac:dyDescent="0.3"/>
    <row r="18691" ht="14.4" customHeight="1" x14ac:dyDescent="0.3"/>
    <row r="18692" ht="14.4" customHeight="1" x14ac:dyDescent="0.3"/>
    <row r="18693" ht="14.4" customHeight="1" x14ac:dyDescent="0.3"/>
    <row r="18694" ht="14.4" customHeight="1" x14ac:dyDescent="0.3"/>
    <row r="18695" ht="14.4" customHeight="1" x14ac:dyDescent="0.3"/>
    <row r="18696" ht="14.4" customHeight="1" x14ac:dyDescent="0.3"/>
    <row r="18697" ht="14.4" customHeight="1" x14ac:dyDescent="0.3"/>
    <row r="18698" ht="14.4" customHeight="1" x14ac:dyDescent="0.3"/>
    <row r="18699" ht="14.4" customHeight="1" x14ac:dyDescent="0.3"/>
    <row r="18700" ht="14.4" customHeight="1" x14ac:dyDescent="0.3"/>
    <row r="18701" ht="14.4" customHeight="1" x14ac:dyDescent="0.3"/>
    <row r="18702" ht="14.4" customHeight="1" x14ac:dyDescent="0.3"/>
    <row r="18703" ht="14.4" customHeight="1" x14ac:dyDescent="0.3"/>
    <row r="18704" ht="14.4" customHeight="1" x14ac:dyDescent="0.3"/>
    <row r="18705" ht="14.4" customHeight="1" x14ac:dyDescent="0.3"/>
    <row r="18706" ht="14.4" customHeight="1" x14ac:dyDescent="0.3"/>
    <row r="18707" ht="14.4" customHeight="1" x14ac:dyDescent="0.3"/>
    <row r="18708" ht="14.4" customHeight="1" x14ac:dyDescent="0.3"/>
    <row r="18709" ht="14.4" customHeight="1" x14ac:dyDescent="0.3"/>
    <row r="18710" ht="14.4" customHeight="1" x14ac:dyDescent="0.3"/>
    <row r="18711" ht="14.4" customHeight="1" x14ac:dyDescent="0.3"/>
    <row r="18712" ht="14.4" customHeight="1" x14ac:dyDescent="0.3"/>
    <row r="18713" ht="14.4" customHeight="1" x14ac:dyDescent="0.3"/>
    <row r="18714" ht="14.4" customHeight="1" x14ac:dyDescent="0.3"/>
    <row r="18715" ht="14.4" customHeight="1" x14ac:dyDescent="0.3"/>
    <row r="18716" ht="14.4" customHeight="1" x14ac:dyDescent="0.3"/>
    <row r="18717" ht="14.4" customHeight="1" x14ac:dyDescent="0.3"/>
    <row r="18718" ht="14.4" customHeight="1" x14ac:dyDescent="0.3"/>
    <row r="18719" ht="14.4" customHeight="1" x14ac:dyDescent="0.3"/>
    <row r="18720" ht="14.4" customHeight="1" x14ac:dyDescent="0.3"/>
    <row r="18721" ht="14.4" customHeight="1" x14ac:dyDescent="0.3"/>
    <row r="18722" ht="14.4" customHeight="1" x14ac:dyDescent="0.3"/>
    <row r="18723" ht="14.4" customHeight="1" x14ac:dyDescent="0.3"/>
    <row r="18724" ht="14.4" customHeight="1" x14ac:dyDescent="0.3"/>
    <row r="18725" ht="14.4" customHeight="1" x14ac:dyDescent="0.3"/>
    <row r="18726" ht="14.4" customHeight="1" x14ac:dyDescent="0.3"/>
    <row r="18727" ht="14.4" customHeight="1" x14ac:dyDescent="0.3"/>
    <row r="18728" ht="14.4" customHeight="1" x14ac:dyDescent="0.3"/>
    <row r="18729" ht="14.4" customHeight="1" x14ac:dyDescent="0.3"/>
    <row r="18730" ht="14.4" customHeight="1" x14ac:dyDescent="0.3"/>
    <row r="18731" ht="14.4" customHeight="1" x14ac:dyDescent="0.3"/>
    <row r="18732" ht="14.4" customHeight="1" x14ac:dyDescent="0.3"/>
    <row r="18733" ht="14.4" customHeight="1" x14ac:dyDescent="0.3"/>
    <row r="18734" ht="14.4" customHeight="1" x14ac:dyDescent="0.3"/>
    <row r="18735" ht="14.4" customHeight="1" x14ac:dyDescent="0.3"/>
    <row r="18736" ht="14.4" customHeight="1" x14ac:dyDescent="0.3"/>
    <row r="18737" ht="14.4" customHeight="1" x14ac:dyDescent="0.3"/>
    <row r="18738" ht="14.4" customHeight="1" x14ac:dyDescent="0.3"/>
    <row r="18739" ht="14.4" customHeight="1" x14ac:dyDescent="0.3"/>
    <row r="18740" ht="14.4" customHeight="1" x14ac:dyDescent="0.3"/>
    <row r="18741" ht="14.4" customHeight="1" x14ac:dyDescent="0.3"/>
    <row r="18742" ht="14.4" customHeight="1" x14ac:dyDescent="0.3"/>
    <row r="18743" ht="14.4" customHeight="1" x14ac:dyDescent="0.3"/>
    <row r="18744" ht="14.4" customHeight="1" x14ac:dyDescent="0.3"/>
    <row r="18745" ht="14.4" customHeight="1" x14ac:dyDescent="0.3"/>
    <row r="18746" ht="14.4" customHeight="1" x14ac:dyDescent="0.3"/>
    <row r="18747" ht="14.4" customHeight="1" x14ac:dyDescent="0.3"/>
    <row r="18748" ht="14.4" customHeight="1" x14ac:dyDescent="0.3"/>
    <row r="18749" ht="14.4" customHeight="1" x14ac:dyDescent="0.3"/>
    <row r="18750" ht="14.4" customHeight="1" x14ac:dyDescent="0.3"/>
    <row r="18751" ht="14.4" customHeight="1" x14ac:dyDescent="0.3"/>
    <row r="18752" ht="14.4" customHeight="1" x14ac:dyDescent="0.3"/>
    <row r="18753" ht="14.4" customHeight="1" x14ac:dyDescent="0.3"/>
    <row r="18754" ht="14.4" customHeight="1" x14ac:dyDescent="0.3"/>
    <row r="18755" ht="14.4" customHeight="1" x14ac:dyDescent="0.3"/>
    <row r="18756" ht="14.4" customHeight="1" x14ac:dyDescent="0.3"/>
    <row r="18757" ht="14.4" customHeight="1" x14ac:dyDescent="0.3"/>
    <row r="18758" ht="14.4" customHeight="1" x14ac:dyDescent="0.3"/>
    <row r="18759" ht="14.4" customHeight="1" x14ac:dyDescent="0.3"/>
    <row r="18760" ht="14.4" customHeight="1" x14ac:dyDescent="0.3"/>
    <row r="18761" ht="14.4" customHeight="1" x14ac:dyDescent="0.3"/>
    <row r="18762" ht="14.4" customHeight="1" x14ac:dyDescent="0.3"/>
    <row r="18763" ht="14.4" customHeight="1" x14ac:dyDescent="0.3"/>
    <row r="18764" ht="14.4" customHeight="1" x14ac:dyDescent="0.3"/>
    <row r="18765" ht="14.4" customHeight="1" x14ac:dyDescent="0.3"/>
    <row r="18766" ht="14.4" customHeight="1" x14ac:dyDescent="0.3"/>
    <row r="18767" ht="14.4" customHeight="1" x14ac:dyDescent="0.3"/>
    <row r="18768" ht="14.4" customHeight="1" x14ac:dyDescent="0.3"/>
    <row r="18769" ht="14.4" customHeight="1" x14ac:dyDescent="0.3"/>
    <row r="18770" ht="14.4" customHeight="1" x14ac:dyDescent="0.3"/>
    <row r="18771" ht="14.4" customHeight="1" x14ac:dyDescent="0.3"/>
    <row r="18772" ht="14.4" customHeight="1" x14ac:dyDescent="0.3"/>
    <row r="18773" ht="14.4" customHeight="1" x14ac:dyDescent="0.3"/>
    <row r="18774" ht="14.4" customHeight="1" x14ac:dyDescent="0.3"/>
    <row r="18775" ht="14.4" customHeight="1" x14ac:dyDescent="0.3"/>
    <row r="18776" ht="14.4" customHeight="1" x14ac:dyDescent="0.3"/>
    <row r="18777" ht="14.4" customHeight="1" x14ac:dyDescent="0.3"/>
    <row r="18778" ht="14.4" customHeight="1" x14ac:dyDescent="0.3"/>
    <row r="18779" ht="14.4" customHeight="1" x14ac:dyDescent="0.3"/>
    <row r="18780" ht="14.4" customHeight="1" x14ac:dyDescent="0.3"/>
    <row r="18781" ht="14.4" customHeight="1" x14ac:dyDescent="0.3"/>
    <row r="18782" ht="14.4" customHeight="1" x14ac:dyDescent="0.3"/>
    <row r="18783" ht="14.4" customHeight="1" x14ac:dyDescent="0.3"/>
    <row r="18784" ht="14.4" customHeight="1" x14ac:dyDescent="0.3"/>
    <row r="18785" ht="14.4" customHeight="1" x14ac:dyDescent="0.3"/>
    <row r="18786" ht="14.4" customHeight="1" x14ac:dyDescent="0.3"/>
    <row r="18787" ht="14.4" customHeight="1" x14ac:dyDescent="0.3"/>
    <row r="18788" ht="14.4" customHeight="1" x14ac:dyDescent="0.3"/>
    <row r="18789" ht="14.4" customHeight="1" x14ac:dyDescent="0.3"/>
    <row r="18790" ht="14.4" customHeight="1" x14ac:dyDescent="0.3"/>
    <row r="18791" ht="14.4" customHeight="1" x14ac:dyDescent="0.3"/>
    <row r="18792" ht="14.4" customHeight="1" x14ac:dyDescent="0.3"/>
    <row r="18793" ht="14.4" customHeight="1" x14ac:dyDescent="0.3"/>
    <row r="18794" ht="14.4" customHeight="1" x14ac:dyDescent="0.3"/>
    <row r="18795" ht="14.4" customHeight="1" x14ac:dyDescent="0.3"/>
    <row r="18796" ht="14.4" customHeight="1" x14ac:dyDescent="0.3"/>
    <row r="18797" ht="14.4" customHeight="1" x14ac:dyDescent="0.3"/>
    <row r="18798" ht="14.4" customHeight="1" x14ac:dyDescent="0.3"/>
    <row r="18799" ht="14.4" customHeight="1" x14ac:dyDescent="0.3"/>
    <row r="18800" ht="14.4" customHeight="1" x14ac:dyDescent="0.3"/>
    <row r="18801" ht="14.4" customHeight="1" x14ac:dyDescent="0.3"/>
    <row r="18802" ht="14.4" customHeight="1" x14ac:dyDescent="0.3"/>
    <row r="18803" ht="14.4" customHeight="1" x14ac:dyDescent="0.3"/>
    <row r="18804" ht="14.4" customHeight="1" x14ac:dyDescent="0.3"/>
    <row r="18805" ht="14.4" customHeight="1" x14ac:dyDescent="0.3"/>
    <row r="18806" ht="14.4" customHeight="1" x14ac:dyDescent="0.3"/>
    <row r="18807" ht="14.4" customHeight="1" x14ac:dyDescent="0.3"/>
    <row r="18808" ht="14.4" customHeight="1" x14ac:dyDescent="0.3"/>
    <row r="18809" ht="14.4" customHeight="1" x14ac:dyDescent="0.3"/>
    <row r="18810" ht="14.4" customHeight="1" x14ac:dyDescent="0.3"/>
    <row r="18811" ht="14.4" customHeight="1" x14ac:dyDescent="0.3"/>
    <row r="18812" ht="14.4" customHeight="1" x14ac:dyDescent="0.3"/>
    <row r="18813" ht="14.4" customHeight="1" x14ac:dyDescent="0.3"/>
    <row r="18814" ht="14.4" customHeight="1" x14ac:dyDescent="0.3"/>
    <row r="18815" ht="14.4" customHeight="1" x14ac:dyDescent="0.3"/>
    <row r="18816" ht="14.4" customHeight="1" x14ac:dyDescent="0.3"/>
    <row r="18817" ht="14.4" customHeight="1" x14ac:dyDescent="0.3"/>
    <row r="18818" ht="14.4" customHeight="1" x14ac:dyDescent="0.3"/>
    <row r="18819" ht="14.4" customHeight="1" x14ac:dyDescent="0.3"/>
    <row r="18820" ht="14.4" customHeight="1" x14ac:dyDescent="0.3"/>
    <row r="18821" ht="14.4" customHeight="1" x14ac:dyDescent="0.3"/>
    <row r="18822" ht="14.4" customHeight="1" x14ac:dyDescent="0.3"/>
    <row r="18823" ht="14.4" customHeight="1" x14ac:dyDescent="0.3"/>
    <row r="18824" ht="14.4" customHeight="1" x14ac:dyDescent="0.3"/>
    <row r="18825" ht="14.4" customHeight="1" x14ac:dyDescent="0.3"/>
    <row r="18826" ht="14.4" customHeight="1" x14ac:dyDescent="0.3"/>
    <row r="18827" ht="14.4" customHeight="1" x14ac:dyDescent="0.3"/>
    <row r="18828" ht="14.4" customHeight="1" x14ac:dyDescent="0.3"/>
    <row r="18829" ht="14.4" customHeight="1" x14ac:dyDescent="0.3"/>
    <row r="18830" ht="14.4" customHeight="1" x14ac:dyDescent="0.3"/>
    <row r="18831" ht="14.4" customHeight="1" x14ac:dyDescent="0.3"/>
    <row r="18832" ht="14.4" customHeight="1" x14ac:dyDescent="0.3"/>
    <row r="18833" ht="14.4" customHeight="1" x14ac:dyDescent="0.3"/>
    <row r="18834" ht="14.4" customHeight="1" x14ac:dyDescent="0.3"/>
    <row r="18835" ht="14.4" customHeight="1" x14ac:dyDescent="0.3"/>
    <row r="18836" ht="14.4" customHeight="1" x14ac:dyDescent="0.3"/>
    <row r="18837" ht="14.4" customHeight="1" x14ac:dyDescent="0.3"/>
    <row r="18838" ht="14.4" customHeight="1" x14ac:dyDescent="0.3"/>
    <row r="18839" ht="14.4" customHeight="1" x14ac:dyDescent="0.3"/>
    <row r="18840" ht="14.4" customHeight="1" x14ac:dyDescent="0.3"/>
    <row r="18841" ht="14.4" customHeight="1" x14ac:dyDescent="0.3"/>
    <row r="18842" ht="14.4" customHeight="1" x14ac:dyDescent="0.3"/>
    <row r="18843" ht="14.4" customHeight="1" x14ac:dyDescent="0.3"/>
    <row r="18844" ht="14.4" customHeight="1" x14ac:dyDescent="0.3"/>
    <row r="18845" ht="14.4" customHeight="1" x14ac:dyDescent="0.3"/>
    <row r="18846" ht="14.4" customHeight="1" x14ac:dyDescent="0.3"/>
    <row r="18847" ht="14.4" customHeight="1" x14ac:dyDescent="0.3"/>
    <row r="18848" ht="14.4" customHeight="1" x14ac:dyDescent="0.3"/>
    <row r="18849" ht="14.4" customHeight="1" x14ac:dyDescent="0.3"/>
    <row r="18850" ht="14.4" customHeight="1" x14ac:dyDescent="0.3"/>
    <row r="18851" ht="14.4" customHeight="1" x14ac:dyDescent="0.3"/>
    <row r="18852" ht="14.4" customHeight="1" x14ac:dyDescent="0.3"/>
    <row r="18853" ht="14.4" customHeight="1" x14ac:dyDescent="0.3"/>
    <row r="18854" ht="14.4" customHeight="1" x14ac:dyDescent="0.3"/>
    <row r="18855" ht="14.4" customHeight="1" x14ac:dyDescent="0.3"/>
    <row r="18856" ht="14.4" customHeight="1" x14ac:dyDescent="0.3"/>
    <row r="18857" ht="14.4" customHeight="1" x14ac:dyDescent="0.3"/>
    <row r="18858" ht="14.4" customHeight="1" x14ac:dyDescent="0.3"/>
    <row r="18859" ht="14.4" customHeight="1" x14ac:dyDescent="0.3"/>
    <row r="18860" ht="14.4" customHeight="1" x14ac:dyDescent="0.3"/>
    <row r="18861" ht="14.4" customHeight="1" x14ac:dyDescent="0.3"/>
    <row r="18862" ht="14.4" customHeight="1" x14ac:dyDescent="0.3"/>
    <row r="18863" ht="14.4" customHeight="1" x14ac:dyDescent="0.3"/>
    <row r="18864" ht="14.4" customHeight="1" x14ac:dyDescent="0.3"/>
    <row r="18865" ht="14.4" customHeight="1" x14ac:dyDescent="0.3"/>
    <row r="18866" ht="14.4" customHeight="1" x14ac:dyDescent="0.3"/>
    <row r="18867" ht="14.4" customHeight="1" x14ac:dyDescent="0.3"/>
    <row r="18868" ht="14.4" customHeight="1" x14ac:dyDescent="0.3"/>
    <row r="18869" ht="14.4" customHeight="1" x14ac:dyDescent="0.3"/>
    <row r="18870" ht="14.4" customHeight="1" x14ac:dyDescent="0.3"/>
    <row r="18871" ht="14.4" customHeight="1" x14ac:dyDescent="0.3"/>
    <row r="18872" ht="14.4" customHeight="1" x14ac:dyDescent="0.3"/>
    <row r="18873" ht="14.4" customHeight="1" x14ac:dyDescent="0.3"/>
    <row r="18874" ht="14.4" customHeight="1" x14ac:dyDescent="0.3"/>
    <row r="18875" ht="14.4" customHeight="1" x14ac:dyDescent="0.3"/>
    <row r="18876" ht="14.4" customHeight="1" x14ac:dyDescent="0.3"/>
    <row r="18877" ht="14.4" customHeight="1" x14ac:dyDescent="0.3"/>
    <row r="18878" ht="14.4" customHeight="1" x14ac:dyDescent="0.3"/>
    <row r="18879" ht="14.4" customHeight="1" x14ac:dyDescent="0.3"/>
    <row r="18880" ht="14.4" customHeight="1" x14ac:dyDescent="0.3"/>
    <row r="18881" ht="14.4" customHeight="1" x14ac:dyDescent="0.3"/>
    <row r="18882" ht="14.4" customHeight="1" x14ac:dyDescent="0.3"/>
    <row r="18883" ht="14.4" customHeight="1" x14ac:dyDescent="0.3"/>
    <row r="18884" ht="14.4" customHeight="1" x14ac:dyDescent="0.3"/>
    <row r="18885" ht="14.4" customHeight="1" x14ac:dyDescent="0.3"/>
    <row r="18886" ht="14.4" customHeight="1" x14ac:dyDescent="0.3"/>
    <row r="18887" ht="14.4" customHeight="1" x14ac:dyDescent="0.3"/>
    <row r="18888" ht="14.4" customHeight="1" x14ac:dyDescent="0.3"/>
    <row r="18889" ht="14.4" customHeight="1" x14ac:dyDescent="0.3"/>
    <row r="18890" ht="14.4" customHeight="1" x14ac:dyDescent="0.3"/>
    <row r="18891" ht="14.4" customHeight="1" x14ac:dyDescent="0.3"/>
    <row r="18892" ht="14.4" customHeight="1" x14ac:dyDescent="0.3"/>
    <row r="18893" ht="14.4" customHeight="1" x14ac:dyDescent="0.3"/>
    <row r="18894" ht="14.4" customHeight="1" x14ac:dyDescent="0.3"/>
    <row r="18895" ht="14.4" customHeight="1" x14ac:dyDescent="0.3"/>
    <row r="18896" ht="14.4" customHeight="1" x14ac:dyDescent="0.3"/>
    <row r="18897" ht="14.4" customHeight="1" x14ac:dyDescent="0.3"/>
    <row r="18898" ht="14.4" customHeight="1" x14ac:dyDescent="0.3"/>
    <row r="18899" ht="14.4" customHeight="1" x14ac:dyDescent="0.3"/>
    <row r="18900" ht="14.4" customHeight="1" x14ac:dyDescent="0.3"/>
    <row r="18901" ht="14.4" customHeight="1" x14ac:dyDescent="0.3"/>
    <row r="18902" ht="14.4" customHeight="1" x14ac:dyDescent="0.3"/>
    <row r="18903" ht="14.4" customHeight="1" x14ac:dyDescent="0.3"/>
    <row r="18904" ht="14.4" customHeight="1" x14ac:dyDescent="0.3"/>
    <row r="18905" ht="14.4" customHeight="1" x14ac:dyDescent="0.3"/>
    <row r="18906" ht="14.4" customHeight="1" x14ac:dyDescent="0.3"/>
    <row r="18907" ht="14.4" customHeight="1" x14ac:dyDescent="0.3"/>
    <row r="18908" ht="14.4" customHeight="1" x14ac:dyDescent="0.3"/>
    <row r="18909" ht="14.4" customHeight="1" x14ac:dyDescent="0.3"/>
    <row r="18910" ht="14.4" customHeight="1" x14ac:dyDescent="0.3"/>
    <row r="18911" ht="14.4" customHeight="1" x14ac:dyDescent="0.3"/>
    <row r="18912" ht="14.4" customHeight="1" x14ac:dyDescent="0.3"/>
    <row r="18913" ht="14.4" customHeight="1" x14ac:dyDescent="0.3"/>
    <row r="18914" ht="14.4" customHeight="1" x14ac:dyDescent="0.3"/>
    <row r="18915" ht="14.4" customHeight="1" x14ac:dyDescent="0.3"/>
    <row r="18916" ht="14.4" customHeight="1" x14ac:dyDescent="0.3"/>
    <row r="18917" ht="14.4" customHeight="1" x14ac:dyDescent="0.3"/>
    <row r="18918" ht="14.4" customHeight="1" x14ac:dyDescent="0.3"/>
    <row r="18919" ht="14.4" customHeight="1" x14ac:dyDescent="0.3"/>
    <row r="18920" ht="14.4" customHeight="1" x14ac:dyDescent="0.3"/>
    <row r="18921" ht="14.4" customHeight="1" x14ac:dyDescent="0.3"/>
    <row r="18922" ht="14.4" customHeight="1" x14ac:dyDescent="0.3"/>
    <row r="18923" ht="14.4" customHeight="1" x14ac:dyDescent="0.3"/>
    <row r="18924" ht="14.4" customHeight="1" x14ac:dyDescent="0.3"/>
    <row r="18925" ht="14.4" customHeight="1" x14ac:dyDescent="0.3"/>
    <row r="18926" ht="14.4" customHeight="1" x14ac:dyDescent="0.3"/>
    <row r="18927" ht="14.4" customHeight="1" x14ac:dyDescent="0.3"/>
    <row r="18928" ht="14.4" customHeight="1" x14ac:dyDescent="0.3"/>
    <row r="18929" ht="14.4" customHeight="1" x14ac:dyDescent="0.3"/>
    <row r="18930" ht="14.4" customHeight="1" x14ac:dyDescent="0.3"/>
    <row r="18931" ht="14.4" customHeight="1" x14ac:dyDescent="0.3"/>
    <row r="18932" ht="14.4" customHeight="1" x14ac:dyDescent="0.3"/>
    <row r="18933" ht="14.4" customHeight="1" x14ac:dyDescent="0.3"/>
    <row r="18934" ht="14.4" customHeight="1" x14ac:dyDescent="0.3"/>
    <row r="18935" ht="14.4" customHeight="1" x14ac:dyDescent="0.3"/>
    <row r="18936" ht="14.4" customHeight="1" x14ac:dyDescent="0.3"/>
    <row r="18937" ht="14.4" customHeight="1" x14ac:dyDescent="0.3"/>
    <row r="18938" ht="14.4" customHeight="1" x14ac:dyDescent="0.3"/>
    <row r="18939" ht="14.4" customHeight="1" x14ac:dyDescent="0.3"/>
    <row r="18940" ht="14.4" customHeight="1" x14ac:dyDescent="0.3"/>
    <row r="18941" ht="14.4" customHeight="1" x14ac:dyDescent="0.3"/>
    <row r="18942" ht="14.4" customHeight="1" x14ac:dyDescent="0.3"/>
    <row r="18943" ht="14.4" customHeight="1" x14ac:dyDescent="0.3"/>
    <row r="18944" ht="14.4" customHeight="1" x14ac:dyDescent="0.3"/>
    <row r="18945" ht="14.4" customHeight="1" x14ac:dyDescent="0.3"/>
    <row r="18946" ht="14.4" customHeight="1" x14ac:dyDescent="0.3"/>
    <row r="18947" ht="14.4" customHeight="1" x14ac:dyDescent="0.3"/>
    <row r="18948" ht="14.4" customHeight="1" x14ac:dyDescent="0.3"/>
    <row r="18949" ht="14.4" customHeight="1" x14ac:dyDescent="0.3"/>
    <row r="18950" ht="14.4" customHeight="1" x14ac:dyDescent="0.3"/>
    <row r="18951" ht="14.4" customHeight="1" x14ac:dyDescent="0.3"/>
    <row r="18952" ht="14.4" customHeight="1" x14ac:dyDescent="0.3"/>
    <row r="18953" ht="14.4" customHeight="1" x14ac:dyDescent="0.3"/>
    <row r="18954" ht="14.4" customHeight="1" x14ac:dyDescent="0.3"/>
    <row r="18955" ht="14.4" customHeight="1" x14ac:dyDescent="0.3"/>
    <row r="18956" ht="14.4" customHeight="1" x14ac:dyDescent="0.3"/>
    <row r="18957" ht="14.4" customHeight="1" x14ac:dyDescent="0.3"/>
    <row r="18958" ht="14.4" customHeight="1" x14ac:dyDescent="0.3"/>
    <row r="18959" ht="14.4" customHeight="1" x14ac:dyDescent="0.3"/>
    <row r="18960" ht="14.4" customHeight="1" x14ac:dyDescent="0.3"/>
    <row r="18961" ht="14.4" customHeight="1" x14ac:dyDescent="0.3"/>
    <row r="18962" ht="14.4" customHeight="1" x14ac:dyDescent="0.3"/>
    <row r="18963" ht="14.4" customHeight="1" x14ac:dyDescent="0.3"/>
    <row r="18964" ht="14.4" customHeight="1" x14ac:dyDescent="0.3"/>
    <row r="18965" ht="14.4" customHeight="1" x14ac:dyDescent="0.3"/>
    <row r="18966" ht="14.4" customHeight="1" x14ac:dyDescent="0.3"/>
    <row r="18967" ht="14.4" customHeight="1" x14ac:dyDescent="0.3"/>
    <row r="18968" ht="14.4" customHeight="1" x14ac:dyDescent="0.3"/>
    <row r="18969" ht="14.4" customHeight="1" x14ac:dyDescent="0.3"/>
    <row r="18970" ht="14.4" customHeight="1" x14ac:dyDescent="0.3"/>
    <row r="18971" ht="14.4" customHeight="1" x14ac:dyDescent="0.3"/>
    <row r="18972" ht="14.4" customHeight="1" x14ac:dyDescent="0.3"/>
    <row r="18973" ht="14.4" customHeight="1" x14ac:dyDescent="0.3"/>
    <row r="18974" ht="14.4" customHeight="1" x14ac:dyDescent="0.3"/>
    <row r="18975" ht="14.4" customHeight="1" x14ac:dyDescent="0.3"/>
    <row r="18976" ht="14.4" customHeight="1" x14ac:dyDescent="0.3"/>
    <row r="18977" ht="14.4" customHeight="1" x14ac:dyDescent="0.3"/>
    <row r="18978" ht="14.4" customHeight="1" x14ac:dyDescent="0.3"/>
    <row r="18979" ht="14.4" customHeight="1" x14ac:dyDescent="0.3"/>
    <row r="18980" ht="14.4" customHeight="1" x14ac:dyDescent="0.3"/>
    <row r="18981" ht="14.4" customHeight="1" x14ac:dyDescent="0.3"/>
    <row r="18982" ht="14.4" customHeight="1" x14ac:dyDescent="0.3"/>
    <row r="18983" ht="14.4" customHeight="1" x14ac:dyDescent="0.3"/>
    <row r="18984" ht="14.4" customHeight="1" x14ac:dyDescent="0.3"/>
    <row r="18985" ht="14.4" customHeight="1" x14ac:dyDescent="0.3"/>
    <row r="18986" ht="14.4" customHeight="1" x14ac:dyDescent="0.3"/>
    <row r="18987" ht="14.4" customHeight="1" x14ac:dyDescent="0.3"/>
    <row r="18988" ht="14.4" customHeight="1" x14ac:dyDescent="0.3"/>
    <row r="18989" ht="14.4" customHeight="1" x14ac:dyDescent="0.3"/>
    <row r="18990" ht="14.4" customHeight="1" x14ac:dyDescent="0.3"/>
    <row r="18991" ht="14.4" customHeight="1" x14ac:dyDescent="0.3"/>
    <row r="18992" ht="14.4" customHeight="1" x14ac:dyDescent="0.3"/>
    <row r="18993" ht="14.4" customHeight="1" x14ac:dyDescent="0.3"/>
    <row r="18994" ht="14.4" customHeight="1" x14ac:dyDescent="0.3"/>
    <row r="18995" ht="14.4" customHeight="1" x14ac:dyDescent="0.3"/>
    <row r="18996" ht="14.4" customHeight="1" x14ac:dyDescent="0.3"/>
    <row r="18997" ht="14.4" customHeight="1" x14ac:dyDescent="0.3"/>
    <row r="18998" ht="14.4" customHeight="1" x14ac:dyDescent="0.3"/>
    <row r="18999" ht="14.4" customHeight="1" x14ac:dyDescent="0.3"/>
    <row r="19000" ht="14.4" customHeight="1" x14ac:dyDescent="0.3"/>
    <row r="19001" ht="14.4" customHeight="1" x14ac:dyDescent="0.3"/>
    <row r="19002" ht="14.4" customHeight="1" x14ac:dyDescent="0.3"/>
    <row r="19003" ht="14.4" customHeight="1" x14ac:dyDescent="0.3"/>
    <row r="19004" ht="14.4" customHeight="1" x14ac:dyDescent="0.3"/>
    <row r="19005" ht="14.4" customHeight="1" x14ac:dyDescent="0.3"/>
    <row r="19006" ht="14.4" customHeight="1" x14ac:dyDescent="0.3"/>
    <row r="19007" ht="14.4" customHeight="1" x14ac:dyDescent="0.3"/>
    <row r="19008" ht="14.4" customHeight="1" x14ac:dyDescent="0.3"/>
    <row r="19009" ht="14.4" customHeight="1" x14ac:dyDescent="0.3"/>
    <row r="19010" ht="14.4" customHeight="1" x14ac:dyDescent="0.3"/>
    <row r="19011" ht="14.4" customHeight="1" x14ac:dyDescent="0.3"/>
    <row r="19012" ht="14.4" customHeight="1" x14ac:dyDescent="0.3"/>
    <row r="19013" ht="14.4" customHeight="1" x14ac:dyDescent="0.3"/>
    <row r="19014" ht="14.4" customHeight="1" x14ac:dyDescent="0.3"/>
    <row r="19015" ht="14.4" customHeight="1" x14ac:dyDescent="0.3"/>
    <row r="19016" ht="14.4" customHeight="1" x14ac:dyDescent="0.3"/>
    <row r="19017" ht="14.4" customHeight="1" x14ac:dyDescent="0.3"/>
    <row r="19018" ht="14.4" customHeight="1" x14ac:dyDescent="0.3"/>
    <row r="19019" ht="14.4" customHeight="1" x14ac:dyDescent="0.3"/>
    <row r="19020" ht="14.4" customHeight="1" x14ac:dyDescent="0.3"/>
    <row r="19021" ht="14.4" customHeight="1" x14ac:dyDescent="0.3"/>
    <row r="19022" ht="14.4" customHeight="1" x14ac:dyDescent="0.3"/>
    <row r="19023" ht="14.4" customHeight="1" x14ac:dyDescent="0.3"/>
    <row r="19024" ht="14.4" customHeight="1" x14ac:dyDescent="0.3"/>
    <row r="19025" ht="14.4" customHeight="1" x14ac:dyDescent="0.3"/>
    <row r="19026" ht="14.4" customHeight="1" x14ac:dyDescent="0.3"/>
    <row r="19027" ht="14.4" customHeight="1" x14ac:dyDescent="0.3"/>
    <row r="19028" ht="14.4" customHeight="1" x14ac:dyDescent="0.3"/>
    <row r="19029" ht="14.4" customHeight="1" x14ac:dyDescent="0.3"/>
    <row r="19030" ht="14.4" customHeight="1" x14ac:dyDescent="0.3"/>
    <row r="19031" ht="14.4" customHeight="1" x14ac:dyDescent="0.3"/>
    <row r="19032" ht="14.4" customHeight="1" x14ac:dyDescent="0.3"/>
    <row r="19033" ht="14.4" customHeight="1" x14ac:dyDescent="0.3"/>
    <row r="19034" ht="14.4" customHeight="1" x14ac:dyDescent="0.3"/>
    <row r="19035" ht="14.4" customHeight="1" x14ac:dyDescent="0.3"/>
    <row r="19036" ht="14.4" customHeight="1" x14ac:dyDescent="0.3"/>
    <row r="19037" ht="14.4" customHeight="1" x14ac:dyDescent="0.3"/>
    <row r="19038" ht="14.4" customHeight="1" x14ac:dyDescent="0.3"/>
    <row r="19039" ht="14.4" customHeight="1" x14ac:dyDescent="0.3"/>
    <row r="19040" ht="14.4" customHeight="1" x14ac:dyDescent="0.3"/>
    <row r="19041" ht="14.4" customHeight="1" x14ac:dyDescent="0.3"/>
    <row r="19042" ht="14.4" customHeight="1" x14ac:dyDescent="0.3"/>
    <row r="19043" ht="14.4" customHeight="1" x14ac:dyDescent="0.3"/>
    <row r="19044" ht="14.4" customHeight="1" x14ac:dyDescent="0.3"/>
    <row r="19045" ht="14.4" customHeight="1" x14ac:dyDescent="0.3"/>
    <row r="19046" ht="14.4" customHeight="1" x14ac:dyDescent="0.3"/>
    <row r="19047" ht="14.4" customHeight="1" x14ac:dyDescent="0.3"/>
    <row r="19048" ht="14.4" customHeight="1" x14ac:dyDescent="0.3"/>
    <row r="19049" ht="14.4" customHeight="1" x14ac:dyDescent="0.3"/>
    <row r="19050" ht="14.4" customHeight="1" x14ac:dyDescent="0.3"/>
    <row r="19051" ht="14.4" customHeight="1" x14ac:dyDescent="0.3"/>
    <row r="19052" ht="14.4" customHeight="1" x14ac:dyDescent="0.3"/>
    <row r="19053" ht="14.4" customHeight="1" x14ac:dyDescent="0.3"/>
    <row r="19054" ht="14.4" customHeight="1" x14ac:dyDescent="0.3"/>
    <row r="19055" ht="14.4" customHeight="1" x14ac:dyDescent="0.3"/>
    <row r="19056" ht="14.4" customHeight="1" x14ac:dyDescent="0.3"/>
    <row r="19057" ht="14.4" customHeight="1" x14ac:dyDescent="0.3"/>
    <row r="19058" ht="14.4" customHeight="1" x14ac:dyDescent="0.3"/>
    <row r="19059" ht="14.4" customHeight="1" x14ac:dyDescent="0.3"/>
    <row r="19060" ht="14.4" customHeight="1" x14ac:dyDescent="0.3"/>
    <row r="19061" ht="14.4" customHeight="1" x14ac:dyDescent="0.3"/>
    <row r="19062" ht="14.4" customHeight="1" x14ac:dyDescent="0.3"/>
    <row r="19063" ht="14.4" customHeight="1" x14ac:dyDescent="0.3"/>
    <row r="19064" ht="14.4" customHeight="1" x14ac:dyDescent="0.3"/>
    <row r="19065" ht="14.4" customHeight="1" x14ac:dyDescent="0.3"/>
    <row r="19066" ht="14.4" customHeight="1" x14ac:dyDescent="0.3"/>
    <row r="19067" ht="14.4" customHeight="1" x14ac:dyDescent="0.3"/>
    <row r="19068" ht="14.4" customHeight="1" x14ac:dyDescent="0.3"/>
    <row r="19069" ht="14.4" customHeight="1" x14ac:dyDescent="0.3"/>
    <row r="19070" ht="14.4" customHeight="1" x14ac:dyDescent="0.3"/>
    <row r="19071" ht="14.4" customHeight="1" x14ac:dyDescent="0.3"/>
    <row r="19072" ht="14.4" customHeight="1" x14ac:dyDescent="0.3"/>
    <row r="19073" ht="14.4" customHeight="1" x14ac:dyDescent="0.3"/>
    <row r="19074" ht="14.4" customHeight="1" x14ac:dyDescent="0.3"/>
    <row r="19075" ht="14.4" customHeight="1" x14ac:dyDescent="0.3"/>
    <row r="19076" ht="14.4" customHeight="1" x14ac:dyDescent="0.3"/>
    <row r="19077" ht="14.4" customHeight="1" x14ac:dyDescent="0.3"/>
    <row r="19078" ht="14.4" customHeight="1" x14ac:dyDescent="0.3"/>
    <row r="19079" ht="14.4" customHeight="1" x14ac:dyDescent="0.3"/>
    <row r="19080" ht="14.4" customHeight="1" x14ac:dyDescent="0.3"/>
    <row r="19081" ht="14.4" customHeight="1" x14ac:dyDescent="0.3"/>
    <row r="19082" ht="14.4" customHeight="1" x14ac:dyDescent="0.3"/>
    <row r="19083" ht="14.4" customHeight="1" x14ac:dyDescent="0.3"/>
    <row r="19084" ht="14.4" customHeight="1" x14ac:dyDescent="0.3"/>
    <row r="19085" ht="14.4" customHeight="1" x14ac:dyDescent="0.3"/>
    <row r="19086" ht="14.4" customHeight="1" x14ac:dyDescent="0.3"/>
    <row r="19087" ht="14.4" customHeight="1" x14ac:dyDescent="0.3"/>
    <row r="19088" ht="14.4" customHeight="1" x14ac:dyDescent="0.3"/>
    <row r="19089" ht="14.4" customHeight="1" x14ac:dyDescent="0.3"/>
    <row r="19090" ht="14.4" customHeight="1" x14ac:dyDescent="0.3"/>
    <row r="19091" ht="14.4" customHeight="1" x14ac:dyDescent="0.3"/>
    <row r="19092" ht="14.4" customHeight="1" x14ac:dyDescent="0.3"/>
    <row r="19093" ht="14.4" customHeight="1" x14ac:dyDescent="0.3"/>
    <row r="19094" ht="14.4" customHeight="1" x14ac:dyDescent="0.3"/>
    <row r="19095" ht="14.4" customHeight="1" x14ac:dyDescent="0.3"/>
    <row r="19096" ht="14.4" customHeight="1" x14ac:dyDescent="0.3"/>
    <row r="19097" ht="14.4" customHeight="1" x14ac:dyDescent="0.3"/>
    <row r="19098" ht="14.4" customHeight="1" x14ac:dyDescent="0.3"/>
    <row r="19099" ht="14.4" customHeight="1" x14ac:dyDescent="0.3"/>
    <row r="19100" ht="14.4" customHeight="1" x14ac:dyDescent="0.3"/>
    <row r="19101" ht="14.4" customHeight="1" x14ac:dyDescent="0.3"/>
    <row r="19102" ht="14.4" customHeight="1" x14ac:dyDescent="0.3"/>
    <row r="19103" ht="14.4" customHeight="1" x14ac:dyDescent="0.3"/>
    <row r="19104" ht="14.4" customHeight="1" x14ac:dyDescent="0.3"/>
    <row r="19105" ht="14.4" customHeight="1" x14ac:dyDescent="0.3"/>
    <row r="19106" ht="14.4" customHeight="1" x14ac:dyDescent="0.3"/>
    <row r="19107" ht="14.4" customHeight="1" x14ac:dyDescent="0.3"/>
    <row r="19108" ht="14.4" customHeight="1" x14ac:dyDescent="0.3"/>
    <row r="19109" ht="14.4" customHeight="1" x14ac:dyDescent="0.3"/>
    <row r="19110" ht="14.4" customHeight="1" x14ac:dyDescent="0.3"/>
    <row r="19111" ht="14.4" customHeight="1" x14ac:dyDescent="0.3"/>
    <row r="19112" ht="14.4" customHeight="1" x14ac:dyDescent="0.3"/>
    <row r="19113" ht="14.4" customHeight="1" x14ac:dyDescent="0.3"/>
    <row r="19114" ht="14.4" customHeight="1" x14ac:dyDescent="0.3"/>
    <row r="19115" ht="14.4" customHeight="1" x14ac:dyDescent="0.3"/>
    <row r="19116" ht="14.4" customHeight="1" x14ac:dyDescent="0.3"/>
    <row r="19117" ht="14.4" customHeight="1" x14ac:dyDescent="0.3"/>
    <row r="19118" ht="14.4" customHeight="1" x14ac:dyDescent="0.3"/>
    <row r="19119" ht="14.4" customHeight="1" x14ac:dyDescent="0.3"/>
    <row r="19120" ht="14.4" customHeight="1" x14ac:dyDescent="0.3"/>
    <row r="19121" ht="14.4" customHeight="1" x14ac:dyDescent="0.3"/>
    <row r="19122" ht="14.4" customHeight="1" x14ac:dyDescent="0.3"/>
    <row r="19123" ht="14.4" customHeight="1" x14ac:dyDescent="0.3"/>
    <row r="19124" ht="14.4" customHeight="1" x14ac:dyDescent="0.3"/>
    <row r="19125" ht="14.4" customHeight="1" x14ac:dyDescent="0.3"/>
    <row r="19126" ht="14.4" customHeight="1" x14ac:dyDescent="0.3"/>
    <row r="19127" ht="14.4" customHeight="1" x14ac:dyDescent="0.3"/>
    <row r="19128" ht="14.4" customHeight="1" x14ac:dyDescent="0.3"/>
    <row r="19129" ht="14.4" customHeight="1" x14ac:dyDescent="0.3"/>
    <row r="19130" ht="14.4" customHeight="1" x14ac:dyDescent="0.3"/>
    <row r="19131" ht="14.4" customHeight="1" x14ac:dyDescent="0.3"/>
    <row r="19132" ht="14.4" customHeight="1" x14ac:dyDescent="0.3"/>
    <row r="19133" ht="14.4" customHeight="1" x14ac:dyDescent="0.3"/>
    <row r="19134" ht="14.4" customHeight="1" x14ac:dyDescent="0.3"/>
    <row r="19135" ht="14.4" customHeight="1" x14ac:dyDescent="0.3"/>
    <row r="19136" ht="14.4" customHeight="1" x14ac:dyDescent="0.3"/>
    <row r="19137" ht="14.4" customHeight="1" x14ac:dyDescent="0.3"/>
    <row r="19138" ht="14.4" customHeight="1" x14ac:dyDescent="0.3"/>
    <row r="19139" ht="14.4" customHeight="1" x14ac:dyDescent="0.3"/>
    <row r="19140" ht="14.4" customHeight="1" x14ac:dyDescent="0.3"/>
    <row r="19141" ht="14.4" customHeight="1" x14ac:dyDescent="0.3"/>
    <row r="19142" ht="14.4" customHeight="1" x14ac:dyDescent="0.3"/>
    <row r="19143" ht="14.4" customHeight="1" x14ac:dyDescent="0.3"/>
    <row r="19144" ht="14.4" customHeight="1" x14ac:dyDescent="0.3"/>
    <row r="19145" ht="14.4" customHeight="1" x14ac:dyDescent="0.3"/>
    <row r="19146" ht="14.4" customHeight="1" x14ac:dyDescent="0.3"/>
    <row r="19147" ht="14.4" customHeight="1" x14ac:dyDescent="0.3"/>
    <row r="19148" ht="14.4" customHeight="1" x14ac:dyDescent="0.3"/>
    <row r="19149" ht="14.4" customHeight="1" x14ac:dyDescent="0.3"/>
    <row r="19150" ht="14.4" customHeight="1" x14ac:dyDescent="0.3"/>
    <row r="19151" ht="14.4" customHeight="1" x14ac:dyDescent="0.3"/>
    <row r="19152" ht="14.4" customHeight="1" x14ac:dyDescent="0.3"/>
    <row r="19153" ht="14.4" customHeight="1" x14ac:dyDescent="0.3"/>
    <row r="19154" ht="14.4" customHeight="1" x14ac:dyDescent="0.3"/>
    <row r="19155" ht="14.4" customHeight="1" x14ac:dyDescent="0.3"/>
    <row r="19156" ht="14.4" customHeight="1" x14ac:dyDescent="0.3"/>
    <row r="19157" ht="14.4" customHeight="1" x14ac:dyDescent="0.3"/>
    <row r="19158" ht="14.4" customHeight="1" x14ac:dyDescent="0.3"/>
    <row r="19159" ht="14.4" customHeight="1" x14ac:dyDescent="0.3"/>
    <row r="19160" ht="14.4" customHeight="1" x14ac:dyDescent="0.3"/>
    <row r="19161" ht="14.4" customHeight="1" x14ac:dyDescent="0.3"/>
    <row r="19162" ht="14.4" customHeight="1" x14ac:dyDescent="0.3"/>
    <row r="19163" ht="14.4" customHeight="1" x14ac:dyDescent="0.3"/>
    <row r="19164" ht="14.4" customHeight="1" x14ac:dyDescent="0.3"/>
    <row r="19165" ht="14.4" customHeight="1" x14ac:dyDescent="0.3"/>
    <row r="19166" ht="14.4" customHeight="1" x14ac:dyDescent="0.3"/>
    <row r="19167" ht="14.4" customHeight="1" x14ac:dyDescent="0.3"/>
    <row r="19168" ht="14.4" customHeight="1" x14ac:dyDescent="0.3"/>
    <row r="19169" ht="14.4" customHeight="1" x14ac:dyDescent="0.3"/>
    <row r="19170" ht="14.4" customHeight="1" x14ac:dyDescent="0.3"/>
    <row r="19171" ht="14.4" customHeight="1" x14ac:dyDescent="0.3"/>
    <row r="19172" ht="14.4" customHeight="1" x14ac:dyDescent="0.3"/>
    <row r="19173" ht="14.4" customHeight="1" x14ac:dyDescent="0.3"/>
    <row r="19174" ht="14.4" customHeight="1" x14ac:dyDescent="0.3"/>
    <row r="19175" ht="14.4" customHeight="1" x14ac:dyDescent="0.3"/>
    <row r="19176" ht="14.4" customHeight="1" x14ac:dyDescent="0.3"/>
    <row r="19177" ht="14.4" customHeight="1" x14ac:dyDescent="0.3"/>
    <row r="19178" ht="14.4" customHeight="1" x14ac:dyDescent="0.3"/>
    <row r="19179" ht="14.4" customHeight="1" x14ac:dyDescent="0.3"/>
    <row r="19180" ht="14.4" customHeight="1" x14ac:dyDescent="0.3"/>
    <row r="19181" ht="14.4" customHeight="1" x14ac:dyDescent="0.3"/>
    <row r="19182" ht="14.4" customHeight="1" x14ac:dyDescent="0.3"/>
    <row r="19183" ht="14.4" customHeight="1" x14ac:dyDescent="0.3"/>
    <row r="19184" ht="14.4" customHeight="1" x14ac:dyDescent="0.3"/>
    <row r="19185" ht="14.4" customHeight="1" x14ac:dyDescent="0.3"/>
    <row r="19186" ht="14.4" customHeight="1" x14ac:dyDescent="0.3"/>
    <row r="19187" ht="14.4" customHeight="1" x14ac:dyDescent="0.3"/>
    <row r="19188" ht="14.4" customHeight="1" x14ac:dyDescent="0.3"/>
    <row r="19189" ht="14.4" customHeight="1" x14ac:dyDescent="0.3"/>
    <row r="19190" ht="14.4" customHeight="1" x14ac:dyDescent="0.3"/>
    <row r="19191" ht="14.4" customHeight="1" x14ac:dyDescent="0.3"/>
    <row r="19192" ht="14.4" customHeight="1" x14ac:dyDescent="0.3"/>
    <row r="19193" ht="14.4" customHeight="1" x14ac:dyDescent="0.3"/>
    <row r="19194" ht="14.4" customHeight="1" x14ac:dyDescent="0.3"/>
    <row r="19195" ht="14.4" customHeight="1" x14ac:dyDescent="0.3"/>
    <row r="19196" ht="14.4" customHeight="1" x14ac:dyDescent="0.3"/>
    <row r="19197" ht="14.4" customHeight="1" x14ac:dyDescent="0.3"/>
    <row r="19198" ht="14.4" customHeight="1" x14ac:dyDescent="0.3"/>
    <row r="19199" ht="14.4" customHeight="1" x14ac:dyDescent="0.3"/>
    <row r="19200" ht="14.4" customHeight="1" x14ac:dyDescent="0.3"/>
    <row r="19201" ht="14.4" customHeight="1" x14ac:dyDescent="0.3"/>
    <row r="19202" ht="14.4" customHeight="1" x14ac:dyDescent="0.3"/>
    <row r="19203" ht="14.4" customHeight="1" x14ac:dyDescent="0.3"/>
    <row r="19204" ht="14.4" customHeight="1" x14ac:dyDescent="0.3"/>
    <row r="19205" ht="14.4" customHeight="1" x14ac:dyDescent="0.3"/>
    <row r="19206" ht="14.4" customHeight="1" x14ac:dyDescent="0.3"/>
    <row r="19207" ht="14.4" customHeight="1" x14ac:dyDescent="0.3"/>
    <row r="19208" ht="14.4" customHeight="1" x14ac:dyDescent="0.3"/>
    <row r="19209" ht="14.4" customHeight="1" x14ac:dyDescent="0.3"/>
    <row r="19210" ht="14.4" customHeight="1" x14ac:dyDescent="0.3"/>
    <row r="19211" ht="14.4" customHeight="1" x14ac:dyDescent="0.3"/>
    <row r="19212" ht="14.4" customHeight="1" x14ac:dyDescent="0.3"/>
    <row r="19213" ht="14.4" customHeight="1" x14ac:dyDescent="0.3"/>
    <row r="19214" ht="14.4" customHeight="1" x14ac:dyDescent="0.3"/>
    <row r="19215" ht="14.4" customHeight="1" x14ac:dyDescent="0.3"/>
    <row r="19216" ht="14.4" customHeight="1" x14ac:dyDescent="0.3"/>
    <row r="19217" ht="14.4" customHeight="1" x14ac:dyDescent="0.3"/>
    <row r="19218" ht="14.4" customHeight="1" x14ac:dyDescent="0.3"/>
    <row r="19219" ht="14.4" customHeight="1" x14ac:dyDescent="0.3"/>
    <row r="19220" ht="14.4" customHeight="1" x14ac:dyDescent="0.3"/>
    <row r="19221" ht="14.4" customHeight="1" x14ac:dyDescent="0.3"/>
    <row r="19222" ht="14.4" customHeight="1" x14ac:dyDescent="0.3"/>
    <row r="19223" ht="14.4" customHeight="1" x14ac:dyDescent="0.3"/>
    <row r="19224" ht="14.4" customHeight="1" x14ac:dyDescent="0.3"/>
    <row r="19225" ht="14.4" customHeight="1" x14ac:dyDescent="0.3"/>
    <row r="19226" ht="14.4" customHeight="1" x14ac:dyDescent="0.3"/>
    <row r="19227" ht="14.4" customHeight="1" x14ac:dyDescent="0.3"/>
    <row r="19228" ht="14.4" customHeight="1" x14ac:dyDescent="0.3"/>
    <row r="19229" ht="14.4" customHeight="1" x14ac:dyDescent="0.3"/>
    <row r="19230" ht="14.4" customHeight="1" x14ac:dyDescent="0.3"/>
    <row r="19231" ht="14.4" customHeight="1" x14ac:dyDescent="0.3"/>
    <row r="19232" ht="14.4" customHeight="1" x14ac:dyDescent="0.3"/>
    <row r="19233" ht="14.4" customHeight="1" x14ac:dyDescent="0.3"/>
    <row r="19234" ht="14.4" customHeight="1" x14ac:dyDescent="0.3"/>
    <row r="19235" ht="14.4" customHeight="1" x14ac:dyDescent="0.3"/>
    <row r="19236" ht="14.4" customHeight="1" x14ac:dyDescent="0.3"/>
    <row r="19237" ht="14.4" customHeight="1" x14ac:dyDescent="0.3"/>
    <row r="19238" ht="14.4" customHeight="1" x14ac:dyDescent="0.3"/>
    <row r="19239" ht="14.4" customHeight="1" x14ac:dyDescent="0.3"/>
    <row r="19240" ht="14.4" customHeight="1" x14ac:dyDescent="0.3"/>
    <row r="19241" ht="14.4" customHeight="1" x14ac:dyDescent="0.3"/>
    <row r="19242" ht="14.4" customHeight="1" x14ac:dyDescent="0.3"/>
    <row r="19243" ht="14.4" customHeight="1" x14ac:dyDescent="0.3"/>
    <row r="19244" ht="14.4" customHeight="1" x14ac:dyDescent="0.3"/>
    <row r="19245" ht="14.4" customHeight="1" x14ac:dyDescent="0.3"/>
    <row r="19246" ht="14.4" customHeight="1" x14ac:dyDescent="0.3"/>
    <row r="19247" ht="14.4" customHeight="1" x14ac:dyDescent="0.3"/>
    <row r="19248" ht="14.4" customHeight="1" x14ac:dyDescent="0.3"/>
    <row r="19249" ht="14.4" customHeight="1" x14ac:dyDescent="0.3"/>
    <row r="19250" ht="14.4" customHeight="1" x14ac:dyDescent="0.3"/>
    <row r="19251" ht="14.4" customHeight="1" x14ac:dyDescent="0.3"/>
    <row r="19252" ht="14.4" customHeight="1" x14ac:dyDescent="0.3"/>
    <row r="19253" ht="14.4" customHeight="1" x14ac:dyDescent="0.3"/>
    <row r="19254" ht="14.4" customHeight="1" x14ac:dyDescent="0.3"/>
    <row r="19255" ht="14.4" customHeight="1" x14ac:dyDescent="0.3"/>
    <row r="19256" ht="14.4" customHeight="1" x14ac:dyDescent="0.3"/>
    <row r="19257" ht="14.4" customHeight="1" x14ac:dyDescent="0.3"/>
    <row r="19258" ht="14.4" customHeight="1" x14ac:dyDescent="0.3"/>
    <row r="19259" ht="14.4" customHeight="1" x14ac:dyDescent="0.3"/>
    <row r="19260" ht="14.4" customHeight="1" x14ac:dyDescent="0.3"/>
    <row r="19261" ht="14.4" customHeight="1" x14ac:dyDescent="0.3"/>
    <row r="19262" ht="14.4" customHeight="1" x14ac:dyDescent="0.3"/>
    <row r="19263" ht="14.4" customHeight="1" x14ac:dyDescent="0.3"/>
    <row r="19264" ht="14.4" customHeight="1" x14ac:dyDescent="0.3"/>
    <row r="19265" ht="14.4" customHeight="1" x14ac:dyDescent="0.3"/>
    <row r="19266" ht="14.4" customHeight="1" x14ac:dyDescent="0.3"/>
    <row r="19267" ht="14.4" customHeight="1" x14ac:dyDescent="0.3"/>
    <row r="19268" ht="14.4" customHeight="1" x14ac:dyDescent="0.3"/>
    <row r="19269" ht="14.4" customHeight="1" x14ac:dyDescent="0.3"/>
    <row r="19270" ht="14.4" customHeight="1" x14ac:dyDescent="0.3"/>
    <row r="19271" ht="14.4" customHeight="1" x14ac:dyDescent="0.3"/>
    <row r="19272" ht="14.4" customHeight="1" x14ac:dyDescent="0.3"/>
    <row r="19273" ht="14.4" customHeight="1" x14ac:dyDescent="0.3"/>
    <row r="19274" ht="14.4" customHeight="1" x14ac:dyDescent="0.3"/>
    <row r="19275" ht="14.4" customHeight="1" x14ac:dyDescent="0.3"/>
    <row r="19276" ht="14.4" customHeight="1" x14ac:dyDescent="0.3"/>
    <row r="19277" ht="14.4" customHeight="1" x14ac:dyDescent="0.3"/>
    <row r="19278" ht="14.4" customHeight="1" x14ac:dyDescent="0.3"/>
    <row r="19279" ht="14.4" customHeight="1" x14ac:dyDescent="0.3"/>
    <row r="19280" ht="14.4" customHeight="1" x14ac:dyDescent="0.3"/>
    <row r="19281" ht="14.4" customHeight="1" x14ac:dyDescent="0.3"/>
    <row r="19282" ht="14.4" customHeight="1" x14ac:dyDescent="0.3"/>
    <row r="19283" ht="14.4" customHeight="1" x14ac:dyDescent="0.3"/>
    <row r="19284" ht="14.4" customHeight="1" x14ac:dyDescent="0.3"/>
    <row r="19285" ht="14.4" customHeight="1" x14ac:dyDescent="0.3"/>
    <row r="19286" ht="14.4" customHeight="1" x14ac:dyDescent="0.3"/>
    <row r="19287" ht="14.4" customHeight="1" x14ac:dyDescent="0.3"/>
    <row r="19288" ht="14.4" customHeight="1" x14ac:dyDescent="0.3"/>
    <row r="19289" ht="14.4" customHeight="1" x14ac:dyDescent="0.3"/>
    <row r="19290" ht="14.4" customHeight="1" x14ac:dyDescent="0.3"/>
    <row r="19291" ht="14.4" customHeight="1" x14ac:dyDescent="0.3"/>
    <row r="19292" ht="14.4" customHeight="1" x14ac:dyDescent="0.3"/>
    <row r="19293" ht="14.4" customHeight="1" x14ac:dyDescent="0.3"/>
    <row r="19294" ht="14.4" customHeight="1" x14ac:dyDescent="0.3"/>
    <row r="19295" ht="14.4" customHeight="1" x14ac:dyDescent="0.3"/>
    <row r="19296" ht="14.4" customHeight="1" x14ac:dyDescent="0.3"/>
    <row r="19297" ht="14.4" customHeight="1" x14ac:dyDescent="0.3"/>
    <row r="19298" ht="14.4" customHeight="1" x14ac:dyDescent="0.3"/>
    <row r="19299" ht="14.4" customHeight="1" x14ac:dyDescent="0.3"/>
    <row r="19300" ht="14.4" customHeight="1" x14ac:dyDescent="0.3"/>
    <row r="19301" ht="14.4" customHeight="1" x14ac:dyDescent="0.3"/>
    <row r="19302" ht="14.4" customHeight="1" x14ac:dyDescent="0.3"/>
    <row r="19303" ht="14.4" customHeight="1" x14ac:dyDescent="0.3"/>
    <row r="19304" ht="14.4" customHeight="1" x14ac:dyDescent="0.3"/>
    <row r="19305" ht="14.4" customHeight="1" x14ac:dyDescent="0.3"/>
    <row r="19306" ht="14.4" customHeight="1" x14ac:dyDescent="0.3"/>
    <row r="19307" ht="14.4" customHeight="1" x14ac:dyDescent="0.3"/>
    <row r="19308" ht="14.4" customHeight="1" x14ac:dyDescent="0.3"/>
    <row r="19309" ht="14.4" customHeight="1" x14ac:dyDescent="0.3"/>
    <row r="19310" ht="14.4" customHeight="1" x14ac:dyDescent="0.3"/>
    <row r="19311" ht="14.4" customHeight="1" x14ac:dyDescent="0.3"/>
    <row r="19312" ht="14.4" customHeight="1" x14ac:dyDescent="0.3"/>
    <row r="19313" ht="14.4" customHeight="1" x14ac:dyDescent="0.3"/>
    <row r="19314" ht="14.4" customHeight="1" x14ac:dyDescent="0.3"/>
    <row r="19315" ht="14.4" customHeight="1" x14ac:dyDescent="0.3"/>
    <row r="19316" ht="14.4" customHeight="1" x14ac:dyDescent="0.3"/>
    <row r="19317" ht="14.4" customHeight="1" x14ac:dyDescent="0.3"/>
    <row r="19318" ht="14.4" customHeight="1" x14ac:dyDescent="0.3"/>
    <row r="19319" ht="14.4" customHeight="1" x14ac:dyDescent="0.3"/>
    <row r="19320" ht="14.4" customHeight="1" x14ac:dyDescent="0.3"/>
    <row r="19321" ht="14.4" customHeight="1" x14ac:dyDescent="0.3"/>
    <row r="19322" ht="14.4" customHeight="1" x14ac:dyDescent="0.3"/>
    <row r="19323" ht="14.4" customHeight="1" x14ac:dyDescent="0.3"/>
    <row r="19324" ht="14.4" customHeight="1" x14ac:dyDescent="0.3"/>
    <row r="19325" ht="14.4" customHeight="1" x14ac:dyDescent="0.3"/>
    <row r="19326" ht="14.4" customHeight="1" x14ac:dyDescent="0.3"/>
    <row r="19327" ht="14.4" customHeight="1" x14ac:dyDescent="0.3"/>
    <row r="19328" ht="14.4" customHeight="1" x14ac:dyDescent="0.3"/>
    <row r="19329" ht="14.4" customHeight="1" x14ac:dyDescent="0.3"/>
    <row r="19330" ht="14.4" customHeight="1" x14ac:dyDescent="0.3"/>
    <row r="19331" ht="14.4" customHeight="1" x14ac:dyDescent="0.3"/>
    <row r="19332" ht="14.4" customHeight="1" x14ac:dyDescent="0.3"/>
    <row r="19333" ht="14.4" customHeight="1" x14ac:dyDescent="0.3"/>
    <row r="19334" ht="14.4" customHeight="1" x14ac:dyDescent="0.3"/>
    <row r="19335" ht="14.4" customHeight="1" x14ac:dyDescent="0.3"/>
    <row r="19336" ht="14.4" customHeight="1" x14ac:dyDescent="0.3"/>
    <row r="19337" ht="14.4" customHeight="1" x14ac:dyDescent="0.3"/>
    <row r="19338" ht="14.4" customHeight="1" x14ac:dyDescent="0.3"/>
    <row r="19339" ht="14.4" customHeight="1" x14ac:dyDescent="0.3"/>
    <row r="19340" ht="14.4" customHeight="1" x14ac:dyDescent="0.3"/>
    <row r="19341" ht="14.4" customHeight="1" x14ac:dyDescent="0.3"/>
    <row r="19342" ht="14.4" customHeight="1" x14ac:dyDescent="0.3"/>
    <row r="19343" ht="14.4" customHeight="1" x14ac:dyDescent="0.3"/>
    <row r="19344" ht="14.4" customHeight="1" x14ac:dyDescent="0.3"/>
    <row r="19345" ht="14.4" customHeight="1" x14ac:dyDescent="0.3"/>
    <row r="19346" ht="14.4" customHeight="1" x14ac:dyDescent="0.3"/>
    <row r="19347" ht="14.4" customHeight="1" x14ac:dyDescent="0.3"/>
    <row r="19348" ht="14.4" customHeight="1" x14ac:dyDescent="0.3"/>
    <row r="19349" ht="14.4" customHeight="1" x14ac:dyDescent="0.3"/>
    <row r="19350" ht="14.4" customHeight="1" x14ac:dyDescent="0.3"/>
    <row r="19351" ht="14.4" customHeight="1" x14ac:dyDescent="0.3"/>
    <row r="19352" ht="14.4" customHeight="1" x14ac:dyDescent="0.3"/>
    <row r="19353" ht="14.4" customHeight="1" x14ac:dyDescent="0.3"/>
    <row r="19354" ht="14.4" customHeight="1" x14ac:dyDescent="0.3"/>
    <row r="19355" ht="14.4" customHeight="1" x14ac:dyDescent="0.3"/>
    <row r="19356" ht="14.4" customHeight="1" x14ac:dyDescent="0.3"/>
    <row r="19357" ht="14.4" customHeight="1" x14ac:dyDescent="0.3"/>
    <row r="19358" ht="14.4" customHeight="1" x14ac:dyDescent="0.3"/>
    <row r="19359" ht="14.4" customHeight="1" x14ac:dyDescent="0.3"/>
    <row r="19360" ht="14.4" customHeight="1" x14ac:dyDescent="0.3"/>
    <row r="19361" ht="14.4" customHeight="1" x14ac:dyDescent="0.3"/>
    <row r="19362" ht="14.4" customHeight="1" x14ac:dyDescent="0.3"/>
    <row r="19363" ht="14.4" customHeight="1" x14ac:dyDescent="0.3"/>
    <row r="19364" ht="14.4" customHeight="1" x14ac:dyDescent="0.3"/>
    <row r="19365" ht="14.4" customHeight="1" x14ac:dyDescent="0.3"/>
    <row r="19366" ht="14.4" customHeight="1" x14ac:dyDescent="0.3"/>
    <row r="19367" ht="14.4" customHeight="1" x14ac:dyDescent="0.3"/>
    <row r="19368" ht="14.4" customHeight="1" x14ac:dyDescent="0.3"/>
    <row r="19369" ht="14.4" customHeight="1" x14ac:dyDescent="0.3"/>
    <row r="19370" ht="14.4" customHeight="1" x14ac:dyDescent="0.3"/>
    <row r="19371" ht="14.4" customHeight="1" x14ac:dyDescent="0.3"/>
    <row r="19372" ht="14.4" customHeight="1" x14ac:dyDescent="0.3"/>
    <row r="19373" ht="14.4" customHeight="1" x14ac:dyDescent="0.3"/>
    <row r="19374" ht="14.4" customHeight="1" x14ac:dyDescent="0.3"/>
    <row r="19375" ht="14.4" customHeight="1" x14ac:dyDescent="0.3"/>
    <row r="19376" ht="14.4" customHeight="1" x14ac:dyDescent="0.3"/>
    <row r="19377" ht="14.4" customHeight="1" x14ac:dyDescent="0.3"/>
    <row r="19378" ht="14.4" customHeight="1" x14ac:dyDescent="0.3"/>
    <row r="19379" ht="14.4" customHeight="1" x14ac:dyDescent="0.3"/>
    <row r="19380" ht="14.4" customHeight="1" x14ac:dyDescent="0.3"/>
    <row r="19381" ht="14.4" customHeight="1" x14ac:dyDescent="0.3"/>
    <row r="19382" ht="14.4" customHeight="1" x14ac:dyDescent="0.3"/>
    <row r="19383" ht="14.4" customHeight="1" x14ac:dyDescent="0.3"/>
    <row r="19384" ht="14.4" customHeight="1" x14ac:dyDescent="0.3"/>
    <row r="19385" ht="14.4" customHeight="1" x14ac:dyDescent="0.3"/>
    <row r="19386" ht="14.4" customHeight="1" x14ac:dyDescent="0.3"/>
    <row r="19387" ht="14.4" customHeight="1" x14ac:dyDescent="0.3"/>
    <row r="19388" ht="14.4" customHeight="1" x14ac:dyDescent="0.3"/>
    <row r="19389" ht="14.4" customHeight="1" x14ac:dyDescent="0.3"/>
    <row r="19390" ht="14.4" customHeight="1" x14ac:dyDescent="0.3"/>
    <row r="19391" ht="14.4" customHeight="1" x14ac:dyDescent="0.3"/>
    <row r="19392" ht="14.4" customHeight="1" x14ac:dyDescent="0.3"/>
    <row r="19393" ht="14.4" customHeight="1" x14ac:dyDescent="0.3"/>
    <row r="19394" ht="14.4" customHeight="1" x14ac:dyDescent="0.3"/>
    <row r="19395" ht="14.4" customHeight="1" x14ac:dyDescent="0.3"/>
    <row r="19396" ht="14.4" customHeight="1" x14ac:dyDescent="0.3"/>
    <row r="19397" ht="14.4" customHeight="1" x14ac:dyDescent="0.3"/>
    <row r="19398" ht="14.4" customHeight="1" x14ac:dyDescent="0.3"/>
    <row r="19399" ht="14.4" customHeight="1" x14ac:dyDescent="0.3"/>
    <row r="19400" ht="14.4" customHeight="1" x14ac:dyDescent="0.3"/>
    <row r="19401" ht="14.4" customHeight="1" x14ac:dyDescent="0.3"/>
    <row r="19402" ht="14.4" customHeight="1" x14ac:dyDescent="0.3"/>
    <row r="19403" ht="14.4" customHeight="1" x14ac:dyDescent="0.3"/>
    <row r="19404" ht="14.4" customHeight="1" x14ac:dyDescent="0.3"/>
    <row r="19405" ht="14.4" customHeight="1" x14ac:dyDescent="0.3"/>
    <row r="19406" ht="14.4" customHeight="1" x14ac:dyDescent="0.3"/>
    <row r="19407" ht="14.4" customHeight="1" x14ac:dyDescent="0.3"/>
    <row r="19408" ht="14.4" customHeight="1" x14ac:dyDescent="0.3"/>
    <row r="19409" ht="14.4" customHeight="1" x14ac:dyDescent="0.3"/>
    <row r="19410" ht="14.4" customHeight="1" x14ac:dyDescent="0.3"/>
    <row r="19411" ht="14.4" customHeight="1" x14ac:dyDescent="0.3"/>
    <row r="19412" ht="14.4" customHeight="1" x14ac:dyDescent="0.3"/>
    <row r="19413" ht="14.4" customHeight="1" x14ac:dyDescent="0.3"/>
    <row r="19414" ht="14.4" customHeight="1" x14ac:dyDescent="0.3"/>
    <row r="19415" ht="14.4" customHeight="1" x14ac:dyDescent="0.3"/>
    <row r="19416" ht="14.4" customHeight="1" x14ac:dyDescent="0.3"/>
    <row r="19417" ht="14.4" customHeight="1" x14ac:dyDescent="0.3"/>
    <row r="19418" ht="14.4" customHeight="1" x14ac:dyDescent="0.3"/>
    <row r="19419" ht="14.4" customHeight="1" x14ac:dyDescent="0.3"/>
    <row r="19420" ht="14.4" customHeight="1" x14ac:dyDescent="0.3"/>
    <row r="19421" ht="14.4" customHeight="1" x14ac:dyDescent="0.3"/>
    <row r="19422" ht="14.4" customHeight="1" x14ac:dyDescent="0.3"/>
    <row r="19423" ht="14.4" customHeight="1" x14ac:dyDescent="0.3"/>
    <row r="19424" ht="14.4" customHeight="1" x14ac:dyDescent="0.3"/>
    <row r="19425" ht="14.4" customHeight="1" x14ac:dyDescent="0.3"/>
    <row r="19426" ht="14.4" customHeight="1" x14ac:dyDescent="0.3"/>
    <row r="19427" ht="14.4" customHeight="1" x14ac:dyDescent="0.3"/>
    <row r="19428" ht="14.4" customHeight="1" x14ac:dyDescent="0.3"/>
    <row r="19429" ht="14.4" customHeight="1" x14ac:dyDescent="0.3"/>
    <row r="19430" ht="14.4" customHeight="1" x14ac:dyDescent="0.3"/>
    <row r="19431" ht="14.4" customHeight="1" x14ac:dyDescent="0.3"/>
    <row r="19432" ht="14.4" customHeight="1" x14ac:dyDescent="0.3"/>
    <row r="19433" ht="14.4" customHeight="1" x14ac:dyDescent="0.3"/>
    <row r="19434" ht="14.4" customHeight="1" x14ac:dyDescent="0.3"/>
    <row r="19435" ht="14.4" customHeight="1" x14ac:dyDescent="0.3"/>
    <row r="19436" ht="14.4" customHeight="1" x14ac:dyDescent="0.3"/>
    <row r="19437" ht="14.4" customHeight="1" x14ac:dyDescent="0.3"/>
    <row r="19438" ht="14.4" customHeight="1" x14ac:dyDescent="0.3"/>
    <row r="19439" ht="14.4" customHeight="1" x14ac:dyDescent="0.3"/>
    <row r="19440" ht="14.4" customHeight="1" x14ac:dyDescent="0.3"/>
    <row r="19441" ht="14.4" customHeight="1" x14ac:dyDescent="0.3"/>
    <row r="19442" ht="14.4" customHeight="1" x14ac:dyDescent="0.3"/>
    <row r="19443" ht="14.4" customHeight="1" x14ac:dyDescent="0.3"/>
    <row r="19444" ht="14.4" customHeight="1" x14ac:dyDescent="0.3"/>
    <row r="19445" ht="14.4" customHeight="1" x14ac:dyDescent="0.3"/>
    <row r="19446" ht="14.4" customHeight="1" x14ac:dyDescent="0.3"/>
    <row r="19447" ht="14.4" customHeight="1" x14ac:dyDescent="0.3"/>
    <row r="19448" ht="14.4" customHeight="1" x14ac:dyDescent="0.3"/>
    <row r="19449" ht="14.4" customHeight="1" x14ac:dyDescent="0.3"/>
    <row r="19450" ht="14.4" customHeight="1" x14ac:dyDescent="0.3"/>
    <row r="19451" ht="14.4" customHeight="1" x14ac:dyDescent="0.3"/>
    <row r="19452" ht="14.4" customHeight="1" x14ac:dyDescent="0.3"/>
    <row r="19453" ht="14.4" customHeight="1" x14ac:dyDescent="0.3"/>
    <row r="19454" ht="14.4" customHeight="1" x14ac:dyDescent="0.3"/>
    <row r="19455" ht="14.4" customHeight="1" x14ac:dyDescent="0.3"/>
    <row r="19456" ht="14.4" customHeight="1" x14ac:dyDescent="0.3"/>
    <row r="19457" ht="14.4" customHeight="1" x14ac:dyDescent="0.3"/>
    <row r="19458" ht="14.4" customHeight="1" x14ac:dyDescent="0.3"/>
    <row r="19459" ht="14.4" customHeight="1" x14ac:dyDescent="0.3"/>
    <row r="19460" ht="14.4" customHeight="1" x14ac:dyDescent="0.3"/>
    <row r="19461" ht="14.4" customHeight="1" x14ac:dyDescent="0.3"/>
    <row r="19462" ht="14.4" customHeight="1" x14ac:dyDescent="0.3"/>
    <row r="19463" ht="14.4" customHeight="1" x14ac:dyDescent="0.3"/>
    <row r="19464" ht="14.4" customHeight="1" x14ac:dyDescent="0.3"/>
    <row r="19465" ht="14.4" customHeight="1" x14ac:dyDescent="0.3"/>
    <row r="19466" ht="14.4" customHeight="1" x14ac:dyDescent="0.3"/>
    <row r="19467" ht="14.4" customHeight="1" x14ac:dyDescent="0.3"/>
    <row r="19468" ht="14.4" customHeight="1" x14ac:dyDescent="0.3"/>
    <row r="19469" ht="14.4" customHeight="1" x14ac:dyDescent="0.3"/>
    <row r="19470" ht="14.4" customHeight="1" x14ac:dyDescent="0.3"/>
    <row r="19471" ht="14.4" customHeight="1" x14ac:dyDescent="0.3"/>
    <row r="19472" ht="14.4" customHeight="1" x14ac:dyDescent="0.3"/>
    <row r="19473" ht="14.4" customHeight="1" x14ac:dyDescent="0.3"/>
    <row r="19474" ht="14.4" customHeight="1" x14ac:dyDescent="0.3"/>
    <row r="19475" ht="14.4" customHeight="1" x14ac:dyDescent="0.3"/>
    <row r="19476" ht="14.4" customHeight="1" x14ac:dyDescent="0.3"/>
    <row r="19477" ht="14.4" customHeight="1" x14ac:dyDescent="0.3"/>
    <row r="19478" ht="14.4" customHeight="1" x14ac:dyDescent="0.3"/>
    <row r="19479" ht="14.4" customHeight="1" x14ac:dyDescent="0.3"/>
    <row r="19480" ht="14.4" customHeight="1" x14ac:dyDescent="0.3"/>
    <row r="19481" ht="14.4" customHeight="1" x14ac:dyDescent="0.3"/>
    <row r="19482" ht="14.4" customHeight="1" x14ac:dyDescent="0.3"/>
    <row r="19483" ht="14.4" customHeight="1" x14ac:dyDescent="0.3"/>
    <row r="19484" ht="14.4" customHeight="1" x14ac:dyDescent="0.3"/>
    <row r="19485" ht="14.4" customHeight="1" x14ac:dyDescent="0.3"/>
    <row r="19486" ht="14.4" customHeight="1" x14ac:dyDescent="0.3"/>
    <row r="19487" ht="14.4" customHeight="1" x14ac:dyDescent="0.3"/>
    <row r="19488" ht="14.4" customHeight="1" x14ac:dyDescent="0.3"/>
    <row r="19489" ht="14.4" customHeight="1" x14ac:dyDescent="0.3"/>
    <row r="19490" ht="14.4" customHeight="1" x14ac:dyDescent="0.3"/>
    <row r="19491" ht="14.4" customHeight="1" x14ac:dyDescent="0.3"/>
    <row r="19492" ht="14.4" customHeight="1" x14ac:dyDescent="0.3"/>
    <row r="19493" ht="14.4" customHeight="1" x14ac:dyDescent="0.3"/>
    <row r="19494" ht="14.4" customHeight="1" x14ac:dyDescent="0.3"/>
    <row r="19495" ht="14.4" customHeight="1" x14ac:dyDescent="0.3"/>
    <row r="19496" ht="14.4" customHeight="1" x14ac:dyDescent="0.3"/>
    <row r="19497" ht="14.4" customHeight="1" x14ac:dyDescent="0.3"/>
    <row r="19498" ht="14.4" customHeight="1" x14ac:dyDescent="0.3"/>
    <row r="19499" ht="14.4" customHeight="1" x14ac:dyDescent="0.3"/>
    <row r="19500" ht="14.4" customHeight="1" x14ac:dyDescent="0.3"/>
    <row r="19501" ht="14.4" customHeight="1" x14ac:dyDescent="0.3"/>
    <row r="19502" ht="14.4" customHeight="1" x14ac:dyDescent="0.3"/>
    <row r="19503" ht="14.4" customHeight="1" x14ac:dyDescent="0.3"/>
    <row r="19504" ht="14.4" customHeight="1" x14ac:dyDescent="0.3"/>
    <row r="19505" ht="14.4" customHeight="1" x14ac:dyDescent="0.3"/>
    <row r="19506" ht="14.4" customHeight="1" x14ac:dyDescent="0.3"/>
    <row r="19507" ht="14.4" customHeight="1" x14ac:dyDescent="0.3"/>
    <row r="19508" ht="14.4" customHeight="1" x14ac:dyDescent="0.3"/>
    <row r="19509" ht="14.4" customHeight="1" x14ac:dyDescent="0.3"/>
    <row r="19510" ht="14.4" customHeight="1" x14ac:dyDescent="0.3"/>
    <row r="19511" ht="14.4" customHeight="1" x14ac:dyDescent="0.3"/>
    <row r="19512" ht="14.4" customHeight="1" x14ac:dyDescent="0.3"/>
    <row r="19513" ht="14.4" customHeight="1" x14ac:dyDescent="0.3"/>
    <row r="19514" ht="14.4" customHeight="1" x14ac:dyDescent="0.3"/>
    <row r="19515" ht="14.4" customHeight="1" x14ac:dyDescent="0.3"/>
    <row r="19516" ht="14.4" customHeight="1" x14ac:dyDescent="0.3"/>
    <row r="19517" ht="14.4" customHeight="1" x14ac:dyDescent="0.3"/>
    <row r="19518" ht="14.4" customHeight="1" x14ac:dyDescent="0.3"/>
    <row r="19519" ht="14.4" customHeight="1" x14ac:dyDescent="0.3"/>
    <row r="19520" ht="14.4" customHeight="1" x14ac:dyDescent="0.3"/>
    <row r="19521" ht="14.4" customHeight="1" x14ac:dyDescent="0.3"/>
    <row r="19522" ht="14.4" customHeight="1" x14ac:dyDescent="0.3"/>
    <row r="19523" ht="14.4" customHeight="1" x14ac:dyDescent="0.3"/>
    <row r="19524" ht="14.4" customHeight="1" x14ac:dyDescent="0.3"/>
    <row r="19525" ht="14.4" customHeight="1" x14ac:dyDescent="0.3"/>
    <row r="19526" ht="14.4" customHeight="1" x14ac:dyDescent="0.3"/>
    <row r="19527" ht="14.4" customHeight="1" x14ac:dyDescent="0.3"/>
    <row r="19528" ht="14.4" customHeight="1" x14ac:dyDescent="0.3"/>
    <row r="19529" ht="14.4" customHeight="1" x14ac:dyDescent="0.3"/>
    <row r="19530" ht="14.4" customHeight="1" x14ac:dyDescent="0.3"/>
    <row r="19531" ht="14.4" customHeight="1" x14ac:dyDescent="0.3"/>
    <row r="19532" ht="14.4" customHeight="1" x14ac:dyDescent="0.3"/>
    <row r="19533" ht="14.4" customHeight="1" x14ac:dyDescent="0.3"/>
    <row r="19534" ht="14.4" customHeight="1" x14ac:dyDescent="0.3"/>
    <row r="19535" ht="14.4" customHeight="1" x14ac:dyDescent="0.3"/>
    <row r="19536" ht="14.4" customHeight="1" x14ac:dyDescent="0.3"/>
    <row r="19537" ht="14.4" customHeight="1" x14ac:dyDescent="0.3"/>
    <row r="19538" ht="14.4" customHeight="1" x14ac:dyDescent="0.3"/>
    <row r="19539" ht="14.4" customHeight="1" x14ac:dyDescent="0.3"/>
    <row r="19540" ht="14.4" customHeight="1" x14ac:dyDescent="0.3"/>
    <row r="19541" ht="14.4" customHeight="1" x14ac:dyDescent="0.3"/>
    <row r="19542" ht="14.4" customHeight="1" x14ac:dyDescent="0.3"/>
    <row r="19543" ht="14.4" customHeight="1" x14ac:dyDescent="0.3"/>
    <row r="19544" ht="14.4" customHeight="1" x14ac:dyDescent="0.3"/>
    <row r="19545" ht="14.4" customHeight="1" x14ac:dyDescent="0.3"/>
    <row r="19546" ht="14.4" customHeight="1" x14ac:dyDescent="0.3"/>
    <row r="19547" ht="14.4" customHeight="1" x14ac:dyDescent="0.3"/>
    <row r="19548" ht="14.4" customHeight="1" x14ac:dyDescent="0.3"/>
    <row r="19549" ht="14.4" customHeight="1" x14ac:dyDescent="0.3"/>
    <row r="19550" ht="14.4" customHeight="1" x14ac:dyDescent="0.3"/>
    <row r="19551" ht="14.4" customHeight="1" x14ac:dyDescent="0.3"/>
    <row r="19552" ht="14.4" customHeight="1" x14ac:dyDescent="0.3"/>
    <row r="19553" ht="14.4" customHeight="1" x14ac:dyDescent="0.3"/>
    <row r="19554" ht="14.4" customHeight="1" x14ac:dyDescent="0.3"/>
    <row r="19555" ht="14.4" customHeight="1" x14ac:dyDescent="0.3"/>
    <row r="19556" ht="14.4" customHeight="1" x14ac:dyDescent="0.3"/>
    <row r="19557" ht="14.4" customHeight="1" x14ac:dyDescent="0.3"/>
    <row r="19558" ht="14.4" customHeight="1" x14ac:dyDescent="0.3"/>
    <row r="19559" ht="14.4" customHeight="1" x14ac:dyDescent="0.3"/>
    <row r="19560" ht="14.4" customHeight="1" x14ac:dyDescent="0.3"/>
    <row r="19561" ht="14.4" customHeight="1" x14ac:dyDescent="0.3"/>
    <row r="19562" ht="14.4" customHeight="1" x14ac:dyDescent="0.3"/>
    <row r="19563" ht="14.4" customHeight="1" x14ac:dyDescent="0.3"/>
    <row r="19564" ht="14.4" customHeight="1" x14ac:dyDescent="0.3"/>
    <row r="19565" ht="14.4" customHeight="1" x14ac:dyDescent="0.3"/>
    <row r="19566" ht="14.4" customHeight="1" x14ac:dyDescent="0.3"/>
    <row r="19567" ht="14.4" customHeight="1" x14ac:dyDescent="0.3"/>
    <row r="19568" ht="14.4" customHeight="1" x14ac:dyDescent="0.3"/>
    <row r="19569" ht="14.4" customHeight="1" x14ac:dyDescent="0.3"/>
    <row r="19570" ht="14.4" customHeight="1" x14ac:dyDescent="0.3"/>
    <row r="19571" ht="14.4" customHeight="1" x14ac:dyDescent="0.3"/>
    <row r="19572" ht="14.4" customHeight="1" x14ac:dyDescent="0.3"/>
    <row r="19573" ht="14.4" customHeight="1" x14ac:dyDescent="0.3"/>
    <row r="19574" ht="14.4" customHeight="1" x14ac:dyDescent="0.3"/>
    <row r="19575" ht="14.4" customHeight="1" x14ac:dyDescent="0.3"/>
    <row r="19576" ht="14.4" customHeight="1" x14ac:dyDescent="0.3"/>
    <row r="19577" ht="14.4" customHeight="1" x14ac:dyDescent="0.3"/>
    <row r="19578" ht="14.4" customHeight="1" x14ac:dyDescent="0.3"/>
    <row r="19579" ht="14.4" customHeight="1" x14ac:dyDescent="0.3"/>
    <row r="19580" ht="14.4" customHeight="1" x14ac:dyDescent="0.3"/>
    <row r="19581" ht="14.4" customHeight="1" x14ac:dyDescent="0.3"/>
    <row r="19582" ht="14.4" customHeight="1" x14ac:dyDescent="0.3"/>
    <row r="19583" ht="14.4" customHeight="1" x14ac:dyDescent="0.3"/>
    <row r="19584" ht="14.4" customHeight="1" x14ac:dyDescent="0.3"/>
    <row r="19585" ht="14.4" customHeight="1" x14ac:dyDescent="0.3"/>
    <row r="19586" ht="14.4" customHeight="1" x14ac:dyDescent="0.3"/>
    <row r="19587" ht="14.4" customHeight="1" x14ac:dyDescent="0.3"/>
    <row r="19588" ht="14.4" customHeight="1" x14ac:dyDescent="0.3"/>
    <row r="19589" ht="14.4" customHeight="1" x14ac:dyDescent="0.3"/>
    <row r="19590" ht="14.4" customHeight="1" x14ac:dyDescent="0.3"/>
    <row r="19591" ht="14.4" customHeight="1" x14ac:dyDescent="0.3"/>
    <row r="19592" ht="14.4" customHeight="1" x14ac:dyDescent="0.3"/>
    <row r="19593" ht="14.4" customHeight="1" x14ac:dyDescent="0.3"/>
    <row r="19594" ht="14.4" customHeight="1" x14ac:dyDescent="0.3"/>
    <row r="19595" ht="14.4" customHeight="1" x14ac:dyDescent="0.3"/>
    <row r="19596" ht="14.4" customHeight="1" x14ac:dyDescent="0.3"/>
    <row r="19597" ht="14.4" customHeight="1" x14ac:dyDescent="0.3"/>
    <row r="19598" ht="14.4" customHeight="1" x14ac:dyDescent="0.3"/>
    <row r="19599" ht="14.4" customHeight="1" x14ac:dyDescent="0.3"/>
    <row r="19600" ht="14.4" customHeight="1" x14ac:dyDescent="0.3"/>
    <row r="19601" ht="14.4" customHeight="1" x14ac:dyDescent="0.3"/>
    <row r="19602" ht="14.4" customHeight="1" x14ac:dyDescent="0.3"/>
    <row r="19603" ht="14.4" customHeight="1" x14ac:dyDescent="0.3"/>
    <row r="19604" ht="14.4" customHeight="1" x14ac:dyDescent="0.3"/>
    <row r="19605" ht="14.4" customHeight="1" x14ac:dyDescent="0.3"/>
    <row r="19606" ht="14.4" customHeight="1" x14ac:dyDescent="0.3"/>
    <row r="19607" ht="14.4" customHeight="1" x14ac:dyDescent="0.3"/>
    <row r="19608" ht="14.4" customHeight="1" x14ac:dyDescent="0.3"/>
    <row r="19609" ht="14.4" customHeight="1" x14ac:dyDescent="0.3"/>
    <row r="19610" ht="14.4" customHeight="1" x14ac:dyDescent="0.3"/>
    <row r="19611" ht="14.4" customHeight="1" x14ac:dyDescent="0.3"/>
    <row r="19612" ht="14.4" customHeight="1" x14ac:dyDescent="0.3"/>
    <row r="19613" ht="14.4" customHeight="1" x14ac:dyDescent="0.3"/>
    <row r="19614" ht="14.4" customHeight="1" x14ac:dyDescent="0.3"/>
    <row r="19615" ht="14.4" customHeight="1" x14ac:dyDescent="0.3"/>
    <row r="19616" ht="14.4" customHeight="1" x14ac:dyDescent="0.3"/>
    <row r="19617" ht="14.4" customHeight="1" x14ac:dyDescent="0.3"/>
    <row r="19618" ht="14.4" customHeight="1" x14ac:dyDescent="0.3"/>
    <row r="19619" ht="14.4" customHeight="1" x14ac:dyDescent="0.3"/>
    <row r="19620" ht="14.4" customHeight="1" x14ac:dyDescent="0.3"/>
    <row r="19621" ht="14.4" customHeight="1" x14ac:dyDescent="0.3"/>
    <row r="19622" ht="14.4" customHeight="1" x14ac:dyDescent="0.3"/>
    <row r="19623" ht="14.4" customHeight="1" x14ac:dyDescent="0.3"/>
    <row r="19624" ht="14.4" customHeight="1" x14ac:dyDescent="0.3"/>
    <row r="19625" ht="14.4" customHeight="1" x14ac:dyDescent="0.3"/>
    <row r="19626" ht="14.4" customHeight="1" x14ac:dyDescent="0.3"/>
    <row r="19627" ht="14.4" customHeight="1" x14ac:dyDescent="0.3"/>
    <row r="19628" ht="14.4" customHeight="1" x14ac:dyDescent="0.3"/>
    <row r="19629" ht="14.4" customHeight="1" x14ac:dyDescent="0.3"/>
    <row r="19630" ht="14.4" customHeight="1" x14ac:dyDescent="0.3"/>
    <row r="19631" ht="14.4" customHeight="1" x14ac:dyDescent="0.3"/>
    <row r="19632" ht="14.4" customHeight="1" x14ac:dyDescent="0.3"/>
    <row r="19633" ht="14.4" customHeight="1" x14ac:dyDescent="0.3"/>
    <row r="19634" ht="14.4" customHeight="1" x14ac:dyDescent="0.3"/>
    <row r="19635" ht="14.4" customHeight="1" x14ac:dyDescent="0.3"/>
    <row r="19636" ht="14.4" customHeight="1" x14ac:dyDescent="0.3"/>
    <row r="19637" ht="14.4" customHeight="1" x14ac:dyDescent="0.3"/>
    <row r="19638" ht="14.4" customHeight="1" x14ac:dyDescent="0.3"/>
    <row r="19639" ht="14.4" customHeight="1" x14ac:dyDescent="0.3"/>
    <row r="19640" ht="14.4" customHeight="1" x14ac:dyDescent="0.3"/>
    <row r="19641" ht="14.4" customHeight="1" x14ac:dyDescent="0.3"/>
    <row r="19642" ht="14.4" customHeight="1" x14ac:dyDescent="0.3"/>
    <row r="19643" ht="14.4" customHeight="1" x14ac:dyDescent="0.3"/>
    <row r="19644" ht="14.4" customHeight="1" x14ac:dyDescent="0.3"/>
    <row r="19645" ht="14.4" customHeight="1" x14ac:dyDescent="0.3"/>
    <row r="19646" ht="14.4" customHeight="1" x14ac:dyDescent="0.3"/>
    <row r="19647" ht="14.4" customHeight="1" x14ac:dyDescent="0.3"/>
    <row r="19648" ht="14.4" customHeight="1" x14ac:dyDescent="0.3"/>
    <row r="19649" ht="14.4" customHeight="1" x14ac:dyDescent="0.3"/>
    <row r="19650" ht="14.4" customHeight="1" x14ac:dyDescent="0.3"/>
    <row r="19651" ht="14.4" customHeight="1" x14ac:dyDescent="0.3"/>
    <row r="19652" ht="14.4" customHeight="1" x14ac:dyDescent="0.3"/>
    <row r="19653" ht="14.4" customHeight="1" x14ac:dyDescent="0.3"/>
    <row r="19654" ht="14.4" customHeight="1" x14ac:dyDescent="0.3"/>
    <row r="19655" ht="14.4" customHeight="1" x14ac:dyDescent="0.3"/>
    <row r="19656" ht="14.4" customHeight="1" x14ac:dyDescent="0.3"/>
    <row r="19657" ht="14.4" customHeight="1" x14ac:dyDescent="0.3"/>
    <row r="19658" ht="14.4" customHeight="1" x14ac:dyDescent="0.3"/>
    <row r="19659" ht="14.4" customHeight="1" x14ac:dyDescent="0.3"/>
    <row r="19660" ht="14.4" customHeight="1" x14ac:dyDescent="0.3"/>
    <row r="19661" ht="14.4" customHeight="1" x14ac:dyDescent="0.3"/>
    <row r="19662" ht="14.4" customHeight="1" x14ac:dyDescent="0.3"/>
    <row r="19663" ht="14.4" customHeight="1" x14ac:dyDescent="0.3"/>
    <row r="19664" ht="14.4" customHeight="1" x14ac:dyDescent="0.3"/>
    <row r="19665" ht="14.4" customHeight="1" x14ac:dyDescent="0.3"/>
    <row r="19666" ht="14.4" customHeight="1" x14ac:dyDescent="0.3"/>
    <row r="19667" ht="14.4" customHeight="1" x14ac:dyDescent="0.3"/>
    <row r="19668" ht="14.4" customHeight="1" x14ac:dyDescent="0.3"/>
    <row r="19669" ht="14.4" customHeight="1" x14ac:dyDescent="0.3"/>
    <row r="19670" ht="14.4" customHeight="1" x14ac:dyDescent="0.3"/>
    <row r="19671" ht="14.4" customHeight="1" x14ac:dyDescent="0.3"/>
    <row r="19672" ht="14.4" customHeight="1" x14ac:dyDescent="0.3"/>
    <row r="19673" ht="14.4" customHeight="1" x14ac:dyDescent="0.3"/>
    <row r="19674" ht="14.4" customHeight="1" x14ac:dyDescent="0.3"/>
    <row r="19675" ht="14.4" customHeight="1" x14ac:dyDescent="0.3"/>
    <row r="19676" ht="14.4" customHeight="1" x14ac:dyDescent="0.3"/>
    <row r="19677" ht="14.4" customHeight="1" x14ac:dyDescent="0.3"/>
    <row r="19678" ht="14.4" customHeight="1" x14ac:dyDescent="0.3"/>
    <row r="19679" ht="14.4" customHeight="1" x14ac:dyDescent="0.3"/>
    <row r="19680" ht="14.4" customHeight="1" x14ac:dyDescent="0.3"/>
    <row r="19681" ht="14.4" customHeight="1" x14ac:dyDescent="0.3"/>
    <row r="19682" ht="14.4" customHeight="1" x14ac:dyDescent="0.3"/>
    <row r="19683" ht="14.4" customHeight="1" x14ac:dyDescent="0.3"/>
    <row r="19684" ht="14.4" customHeight="1" x14ac:dyDescent="0.3"/>
    <row r="19685" ht="14.4" customHeight="1" x14ac:dyDescent="0.3"/>
    <row r="19686" ht="14.4" customHeight="1" x14ac:dyDescent="0.3"/>
    <row r="19687" ht="14.4" customHeight="1" x14ac:dyDescent="0.3"/>
    <row r="19688" ht="14.4" customHeight="1" x14ac:dyDescent="0.3"/>
    <row r="19689" ht="14.4" customHeight="1" x14ac:dyDescent="0.3"/>
    <row r="19690" ht="14.4" customHeight="1" x14ac:dyDescent="0.3"/>
    <row r="19691" ht="14.4" customHeight="1" x14ac:dyDescent="0.3"/>
    <row r="19692" ht="14.4" customHeight="1" x14ac:dyDescent="0.3"/>
    <row r="19693" ht="14.4" customHeight="1" x14ac:dyDescent="0.3"/>
    <row r="19694" ht="14.4" customHeight="1" x14ac:dyDescent="0.3"/>
    <row r="19695" ht="14.4" customHeight="1" x14ac:dyDescent="0.3"/>
    <row r="19696" ht="14.4" customHeight="1" x14ac:dyDescent="0.3"/>
    <row r="19697" ht="14.4" customHeight="1" x14ac:dyDescent="0.3"/>
    <row r="19698" ht="14.4" customHeight="1" x14ac:dyDescent="0.3"/>
    <row r="19699" ht="14.4" customHeight="1" x14ac:dyDescent="0.3"/>
    <row r="19700" ht="14.4" customHeight="1" x14ac:dyDescent="0.3"/>
    <row r="19701" ht="14.4" customHeight="1" x14ac:dyDescent="0.3"/>
    <row r="19702" ht="14.4" customHeight="1" x14ac:dyDescent="0.3"/>
    <row r="19703" ht="14.4" customHeight="1" x14ac:dyDescent="0.3"/>
    <row r="19704" ht="14.4" customHeight="1" x14ac:dyDescent="0.3"/>
    <row r="19705" ht="14.4" customHeight="1" x14ac:dyDescent="0.3"/>
    <row r="19706" ht="14.4" customHeight="1" x14ac:dyDescent="0.3"/>
    <row r="19707" ht="14.4" customHeight="1" x14ac:dyDescent="0.3"/>
    <row r="19708" ht="14.4" customHeight="1" x14ac:dyDescent="0.3"/>
    <row r="19709" ht="14.4" customHeight="1" x14ac:dyDescent="0.3"/>
    <row r="19710" ht="14.4" customHeight="1" x14ac:dyDescent="0.3"/>
    <row r="19711" ht="14.4" customHeight="1" x14ac:dyDescent="0.3"/>
    <row r="19712" ht="14.4" customHeight="1" x14ac:dyDescent="0.3"/>
    <row r="19713" ht="14.4" customHeight="1" x14ac:dyDescent="0.3"/>
    <row r="19714" ht="14.4" customHeight="1" x14ac:dyDescent="0.3"/>
    <row r="19715" ht="14.4" customHeight="1" x14ac:dyDescent="0.3"/>
    <row r="19716" ht="14.4" customHeight="1" x14ac:dyDescent="0.3"/>
    <row r="19717" ht="14.4" customHeight="1" x14ac:dyDescent="0.3"/>
    <row r="19718" ht="14.4" customHeight="1" x14ac:dyDescent="0.3"/>
    <row r="19719" ht="14.4" customHeight="1" x14ac:dyDescent="0.3"/>
    <row r="19720" ht="14.4" customHeight="1" x14ac:dyDescent="0.3"/>
    <row r="19721" ht="14.4" customHeight="1" x14ac:dyDescent="0.3"/>
    <row r="19722" ht="14.4" customHeight="1" x14ac:dyDescent="0.3"/>
    <row r="19723" ht="14.4" customHeight="1" x14ac:dyDescent="0.3"/>
    <row r="19724" ht="14.4" customHeight="1" x14ac:dyDescent="0.3"/>
    <row r="19725" ht="14.4" customHeight="1" x14ac:dyDescent="0.3"/>
    <row r="19726" ht="14.4" customHeight="1" x14ac:dyDescent="0.3"/>
    <row r="19727" ht="14.4" customHeight="1" x14ac:dyDescent="0.3"/>
    <row r="19728" ht="14.4" customHeight="1" x14ac:dyDescent="0.3"/>
    <row r="19729" ht="14.4" customHeight="1" x14ac:dyDescent="0.3"/>
    <row r="19730" ht="14.4" customHeight="1" x14ac:dyDescent="0.3"/>
    <row r="19731" ht="14.4" customHeight="1" x14ac:dyDescent="0.3"/>
    <row r="19732" ht="14.4" customHeight="1" x14ac:dyDescent="0.3"/>
    <row r="19733" ht="14.4" customHeight="1" x14ac:dyDescent="0.3"/>
    <row r="19734" ht="14.4" customHeight="1" x14ac:dyDescent="0.3"/>
    <row r="19735" ht="14.4" customHeight="1" x14ac:dyDescent="0.3"/>
    <row r="19736" ht="14.4" customHeight="1" x14ac:dyDescent="0.3"/>
    <row r="19737" ht="14.4" customHeight="1" x14ac:dyDescent="0.3"/>
    <row r="19738" ht="14.4" customHeight="1" x14ac:dyDescent="0.3"/>
    <row r="19739" ht="14.4" customHeight="1" x14ac:dyDescent="0.3"/>
    <row r="19740" ht="14.4" customHeight="1" x14ac:dyDescent="0.3"/>
    <row r="19741" ht="14.4" customHeight="1" x14ac:dyDescent="0.3"/>
    <row r="19742" ht="14.4" customHeight="1" x14ac:dyDescent="0.3"/>
    <row r="19743" ht="14.4" customHeight="1" x14ac:dyDescent="0.3"/>
    <row r="19744" ht="14.4" customHeight="1" x14ac:dyDescent="0.3"/>
    <row r="19745" ht="14.4" customHeight="1" x14ac:dyDescent="0.3"/>
    <row r="19746" ht="14.4" customHeight="1" x14ac:dyDescent="0.3"/>
    <row r="19747" ht="14.4" customHeight="1" x14ac:dyDescent="0.3"/>
    <row r="19748" ht="14.4" customHeight="1" x14ac:dyDescent="0.3"/>
    <row r="19749" ht="14.4" customHeight="1" x14ac:dyDescent="0.3"/>
    <row r="19750" ht="14.4" customHeight="1" x14ac:dyDescent="0.3"/>
    <row r="19751" ht="14.4" customHeight="1" x14ac:dyDescent="0.3"/>
    <row r="19752" ht="14.4" customHeight="1" x14ac:dyDescent="0.3"/>
    <row r="19753" ht="14.4" customHeight="1" x14ac:dyDescent="0.3"/>
    <row r="19754" ht="14.4" customHeight="1" x14ac:dyDescent="0.3"/>
    <row r="19755" ht="14.4" customHeight="1" x14ac:dyDescent="0.3"/>
    <row r="19756" ht="14.4" customHeight="1" x14ac:dyDescent="0.3"/>
    <row r="19757" ht="14.4" customHeight="1" x14ac:dyDescent="0.3"/>
    <row r="19758" ht="14.4" customHeight="1" x14ac:dyDescent="0.3"/>
    <row r="19759" ht="14.4" customHeight="1" x14ac:dyDescent="0.3"/>
    <row r="19760" ht="14.4" customHeight="1" x14ac:dyDescent="0.3"/>
    <row r="19761" ht="14.4" customHeight="1" x14ac:dyDescent="0.3"/>
    <row r="19762" ht="14.4" customHeight="1" x14ac:dyDescent="0.3"/>
    <row r="19763" ht="14.4" customHeight="1" x14ac:dyDescent="0.3"/>
    <row r="19764" ht="14.4" customHeight="1" x14ac:dyDescent="0.3"/>
    <row r="19765" ht="14.4" customHeight="1" x14ac:dyDescent="0.3"/>
    <row r="19766" ht="14.4" customHeight="1" x14ac:dyDescent="0.3"/>
    <row r="19767" ht="14.4" customHeight="1" x14ac:dyDescent="0.3"/>
    <row r="19768" ht="14.4" customHeight="1" x14ac:dyDescent="0.3"/>
    <row r="19769" ht="14.4" customHeight="1" x14ac:dyDescent="0.3"/>
    <row r="19770" ht="14.4" customHeight="1" x14ac:dyDescent="0.3"/>
    <row r="19771" ht="14.4" customHeight="1" x14ac:dyDescent="0.3"/>
    <row r="19772" ht="14.4" customHeight="1" x14ac:dyDescent="0.3"/>
    <row r="19773" ht="14.4" customHeight="1" x14ac:dyDescent="0.3"/>
    <row r="19774" ht="14.4" customHeight="1" x14ac:dyDescent="0.3"/>
    <row r="19775" ht="14.4" customHeight="1" x14ac:dyDescent="0.3"/>
    <row r="19776" ht="14.4" customHeight="1" x14ac:dyDescent="0.3"/>
    <row r="19777" ht="14.4" customHeight="1" x14ac:dyDescent="0.3"/>
    <row r="19778" ht="14.4" customHeight="1" x14ac:dyDescent="0.3"/>
    <row r="19779" ht="14.4" customHeight="1" x14ac:dyDescent="0.3"/>
    <row r="19780" ht="14.4" customHeight="1" x14ac:dyDescent="0.3"/>
    <row r="19781" ht="14.4" customHeight="1" x14ac:dyDescent="0.3"/>
    <row r="19782" ht="14.4" customHeight="1" x14ac:dyDescent="0.3"/>
    <row r="19783" ht="14.4" customHeight="1" x14ac:dyDescent="0.3"/>
    <row r="19784" ht="14.4" customHeight="1" x14ac:dyDescent="0.3"/>
    <row r="19785" ht="14.4" customHeight="1" x14ac:dyDescent="0.3"/>
    <row r="19786" ht="14.4" customHeight="1" x14ac:dyDescent="0.3"/>
    <row r="19787" ht="14.4" customHeight="1" x14ac:dyDescent="0.3"/>
    <row r="19788" ht="14.4" customHeight="1" x14ac:dyDescent="0.3"/>
    <row r="19789" ht="14.4" customHeight="1" x14ac:dyDescent="0.3"/>
    <row r="19790" ht="14.4" customHeight="1" x14ac:dyDescent="0.3"/>
    <row r="19791" ht="14.4" customHeight="1" x14ac:dyDescent="0.3"/>
    <row r="19792" ht="14.4" customHeight="1" x14ac:dyDescent="0.3"/>
    <row r="19793" ht="14.4" customHeight="1" x14ac:dyDescent="0.3"/>
    <row r="19794" ht="14.4" customHeight="1" x14ac:dyDescent="0.3"/>
    <row r="19795" ht="14.4" customHeight="1" x14ac:dyDescent="0.3"/>
    <row r="19796" ht="14.4" customHeight="1" x14ac:dyDescent="0.3"/>
    <row r="19797" ht="14.4" customHeight="1" x14ac:dyDescent="0.3"/>
    <row r="19798" ht="14.4" customHeight="1" x14ac:dyDescent="0.3"/>
    <row r="19799" ht="14.4" customHeight="1" x14ac:dyDescent="0.3"/>
    <row r="19800" ht="14.4" customHeight="1" x14ac:dyDescent="0.3"/>
    <row r="19801" ht="14.4" customHeight="1" x14ac:dyDescent="0.3"/>
    <row r="19802" ht="14.4" customHeight="1" x14ac:dyDescent="0.3"/>
    <row r="19803" ht="14.4" customHeight="1" x14ac:dyDescent="0.3"/>
    <row r="19804" ht="14.4" customHeight="1" x14ac:dyDescent="0.3"/>
    <row r="19805" ht="14.4" customHeight="1" x14ac:dyDescent="0.3"/>
    <row r="19806" ht="14.4" customHeight="1" x14ac:dyDescent="0.3"/>
    <row r="19807" ht="14.4" customHeight="1" x14ac:dyDescent="0.3"/>
    <row r="19808" ht="14.4" customHeight="1" x14ac:dyDescent="0.3"/>
    <row r="19809" ht="14.4" customHeight="1" x14ac:dyDescent="0.3"/>
    <row r="19810" ht="14.4" customHeight="1" x14ac:dyDescent="0.3"/>
    <row r="19811" ht="14.4" customHeight="1" x14ac:dyDescent="0.3"/>
    <row r="19812" ht="14.4" customHeight="1" x14ac:dyDescent="0.3"/>
    <row r="19813" ht="14.4" customHeight="1" x14ac:dyDescent="0.3"/>
    <row r="19814" ht="14.4" customHeight="1" x14ac:dyDescent="0.3"/>
    <row r="19815" ht="14.4" customHeight="1" x14ac:dyDescent="0.3"/>
    <row r="19816" ht="14.4" customHeight="1" x14ac:dyDescent="0.3"/>
    <row r="19817" ht="14.4" customHeight="1" x14ac:dyDescent="0.3"/>
    <row r="19818" ht="14.4" customHeight="1" x14ac:dyDescent="0.3"/>
    <row r="19819" ht="14.4" customHeight="1" x14ac:dyDescent="0.3"/>
    <row r="19820" ht="14.4" customHeight="1" x14ac:dyDescent="0.3"/>
    <row r="19821" ht="14.4" customHeight="1" x14ac:dyDescent="0.3"/>
    <row r="19822" ht="14.4" customHeight="1" x14ac:dyDescent="0.3"/>
    <row r="19823" ht="14.4" customHeight="1" x14ac:dyDescent="0.3"/>
    <row r="19824" ht="14.4" customHeight="1" x14ac:dyDescent="0.3"/>
    <row r="19825" ht="14.4" customHeight="1" x14ac:dyDescent="0.3"/>
    <row r="19826" ht="14.4" customHeight="1" x14ac:dyDescent="0.3"/>
    <row r="19827" ht="14.4" customHeight="1" x14ac:dyDescent="0.3"/>
    <row r="19828" ht="14.4" customHeight="1" x14ac:dyDescent="0.3"/>
    <row r="19829" ht="14.4" customHeight="1" x14ac:dyDescent="0.3"/>
    <row r="19830" ht="14.4" customHeight="1" x14ac:dyDescent="0.3"/>
    <row r="19831" ht="14.4" customHeight="1" x14ac:dyDescent="0.3"/>
    <row r="19832" ht="14.4" customHeight="1" x14ac:dyDescent="0.3"/>
    <row r="19833" ht="14.4" customHeight="1" x14ac:dyDescent="0.3"/>
    <row r="19834" ht="14.4" customHeight="1" x14ac:dyDescent="0.3"/>
    <row r="19835" ht="14.4" customHeight="1" x14ac:dyDescent="0.3"/>
    <row r="19836" ht="14.4" customHeight="1" x14ac:dyDescent="0.3"/>
    <row r="19837" ht="14.4" customHeight="1" x14ac:dyDescent="0.3"/>
    <row r="19838" ht="14.4" customHeight="1" x14ac:dyDescent="0.3"/>
    <row r="19839" ht="14.4" customHeight="1" x14ac:dyDescent="0.3"/>
    <row r="19840" ht="14.4" customHeight="1" x14ac:dyDescent="0.3"/>
    <row r="19841" ht="14.4" customHeight="1" x14ac:dyDescent="0.3"/>
    <row r="19842" ht="14.4" customHeight="1" x14ac:dyDescent="0.3"/>
    <row r="19843" ht="14.4" customHeight="1" x14ac:dyDescent="0.3"/>
    <row r="19844" ht="14.4" customHeight="1" x14ac:dyDescent="0.3"/>
    <row r="19845" ht="14.4" customHeight="1" x14ac:dyDescent="0.3"/>
    <row r="19846" ht="14.4" customHeight="1" x14ac:dyDescent="0.3"/>
    <row r="19847" ht="14.4" customHeight="1" x14ac:dyDescent="0.3"/>
    <row r="19848" ht="14.4" customHeight="1" x14ac:dyDescent="0.3"/>
    <row r="19849" ht="14.4" customHeight="1" x14ac:dyDescent="0.3"/>
    <row r="19850" ht="14.4" customHeight="1" x14ac:dyDescent="0.3"/>
    <row r="19851" ht="14.4" customHeight="1" x14ac:dyDescent="0.3"/>
    <row r="19852" ht="14.4" customHeight="1" x14ac:dyDescent="0.3"/>
    <row r="19853" ht="14.4" customHeight="1" x14ac:dyDescent="0.3"/>
    <row r="19854" ht="14.4" customHeight="1" x14ac:dyDescent="0.3"/>
    <row r="19855" ht="14.4" customHeight="1" x14ac:dyDescent="0.3"/>
    <row r="19856" ht="14.4" customHeight="1" x14ac:dyDescent="0.3"/>
    <row r="19857" ht="14.4" customHeight="1" x14ac:dyDescent="0.3"/>
    <row r="19858" ht="14.4" customHeight="1" x14ac:dyDescent="0.3"/>
    <row r="19859" ht="14.4" customHeight="1" x14ac:dyDescent="0.3"/>
    <row r="19860" ht="14.4" customHeight="1" x14ac:dyDescent="0.3"/>
    <row r="19861" ht="14.4" customHeight="1" x14ac:dyDescent="0.3"/>
    <row r="19862" ht="14.4" customHeight="1" x14ac:dyDescent="0.3"/>
    <row r="19863" ht="14.4" customHeight="1" x14ac:dyDescent="0.3"/>
    <row r="19864" ht="14.4" customHeight="1" x14ac:dyDescent="0.3"/>
    <row r="19865" ht="14.4" customHeight="1" x14ac:dyDescent="0.3"/>
    <row r="19866" ht="14.4" customHeight="1" x14ac:dyDescent="0.3"/>
    <row r="19867" ht="14.4" customHeight="1" x14ac:dyDescent="0.3"/>
    <row r="19868" ht="14.4" customHeight="1" x14ac:dyDescent="0.3"/>
    <row r="19869" ht="14.4" customHeight="1" x14ac:dyDescent="0.3"/>
    <row r="19870" ht="14.4" customHeight="1" x14ac:dyDescent="0.3"/>
    <row r="19871" ht="14.4" customHeight="1" x14ac:dyDescent="0.3"/>
    <row r="19872" ht="14.4" customHeight="1" x14ac:dyDescent="0.3"/>
    <row r="19873" ht="14.4" customHeight="1" x14ac:dyDescent="0.3"/>
    <row r="19874" ht="14.4" customHeight="1" x14ac:dyDescent="0.3"/>
    <row r="19875" ht="14.4" customHeight="1" x14ac:dyDescent="0.3"/>
    <row r="19876" ht="14.4" customHeight="1" x14ac:dyDescent="0.3"/>
    <row r="19877" ht="14.4" customHeight="1" x14ac:dyDescent="0.3"/>
    <row r="19878" ht="14.4" customHeight="1" x14ac:dyDescent="0.3"/>
    <row r="19879" ht="14.4" customHeight="1" x14ac:dyDescent="0.3"/>
    <row r="19880" ht="14.4" customHeight="1" x14ac:dyDescent="0.3"/>
    <row r="19881" ht="14.4" customHeight="1" x14ac:dyDescent="0.3"/>
    <row r="19882" ht="14.4" customHeight="1" x14ac:dyDescent="0.3"/>
    <row r="19883" ht="14.4" customHeight="1" x14ac:dyDescent="0.3"/>
    <row r="19884" ht="14.4" customHeight="1" x14ac:dyDescent="0.3"/>
    <row r="19885" ht="14.4" customHeight="1" x14ac:dyDescent="0.3"/>
    <row r="19886" ht="14.4" customHeight="1" x14ac:dyDescent="0.3"/>
    <row r="19887" ht="14.4" customHeight="1" x14ac:dyDescent="0.3"/>
    <row r="19888" ht="14.4" customHeight="1" x14ac:dyDescent="0.3"/>
    <row r="19889" ht="14.4" customHeight="1" x14ac:dyDescent="0.3"/>
    <row r="19890" ht="14.4" customHeight="1" x14ac:dyDescent="0.3"/>
    <row r="19891" ht="14.4" customHeight="1" x14ac:dyDescent="0.3"/>
    <row r="19892" ht="14.4" customHeight="1" x14ac:dyDescent="0.3"/>
    <row r="19893" ht="14.4" customHeight="1" x14ac:dyDescent="0.3"/>
    <row r="19894" ht="14.4" customHeight="1" x14ac:dyDescent="0.3"/>
    <row r="19895" ht="14.4" customHeight="1" x14ac:dyDescent="0.3"/>
    <row r="19896" ht="14.4" customHeight="1" x14ac:dyDescent="0.3"/>
    <row r="19897" ht="14.4" customHeight="1" x14ac:dyDescent="0.3"/>
    <row r="19898" ht="14.4" customHeight="1" x14ac:dyDescent="0.3"/>
    <row r="19899" ht="14.4" customHeight="1" x14ac:dyDescent="0.3"/>
    <row r="19900" ht="14.4" customHeight="1" x14ac:dyDescent="0.3"/>
    <row r="19901" ht="14.4" customHeight="1" x14ac:dyDescent="0.3"/>
    <row r="19902" ht="14.4" customHeight="1" x14ac:dyDescent="0.3"/>
    <row r="19903" ht="14.4" customHeight="1" x14ac:dyDescent="0.3"/>
    <row r="19904" ht="14.4" customHeight="1" x14ac:dyDescent="0.3"/>
    <row r="19905" ht="14.4" customHeight="1" x14ac:dyDescent="0.3"/>
    <row r="19906" ht="14.4" customHeight="1" x14ac:dyDescent="0.3"/>
    <row r="19907" ht="14.4" customHeight="1" x14ac:dyDescent="0.3"/>
    <row r="19908" ht="14.4" customHeight="1" x14ac:dyDescent="0.3"/>
    <row r="19909" ht="14.4" customHeight="1" x14ac:dyDescent="0.3"/>
    <row r="19910" ht="14.4" customHeight="1" x14ac:dyDescent="0.3"/>
    <row r="19911" ht="14.4" customHeight="1" x14ac:dyDescent="0.3"/>
    <row r="19912" ht="14.4" customHeight="1" x14ac:dyDescent="0.3"/>
    <row r="19913" ht="14.4" customHeight="1" x14ac:dyDescent="0.3"/>
    <row r="19914" ht="14.4" customHeight="1" x14ac:dyDescent="0.3"/>
    <row r="19915" ht="14.4" customHeight="1" x14ac:dyDescent="0.3"/>
    <row r="19916" ht="14.4" customHeight="1" x14ac:dyDescent="0.3"/>
    <row r="19917" ht="14.4" customHeight="1" x14ac:dyDescent="0.3"/>
    <row r="19918" ht="14.4" customHeight="1" x14ac:dyDescent="0.3"/>
    <row r="19919" ht="14.4" customHeight="1" x14ac:dyDescent="0.3"/>
    <row r="19920" ht="14.4" customHeight="1" x14ac:dyDescent="0.3"/>
    <row r="19921" ht="14.4" customHeight="1" x14ac:dyDescent="0.3"/>
    <row r="19922" ht="14.4" customHeight="1" x14ac:dyDescent="0.3"/>
    <row r="19923" ht="14.4" customHeight="1" x14ac:dyDescent="0.3"/>
    <row r="19924" ht="14.4" customHeight="1" x14ac:dyDescent="0.3"/>
    <row r="19925" ht="14.4" customHeight="1" x14ac:dyDescent="0.3"/>
    <row r="19926" ht="14.4" customHeight="1" x14ac:dyDescent="0.3"/>
    <row r="19927" ht="14.4" customHeight="1" x14ac:dyDescent="0.3"/>
    <row r="19928" ht="14.4" customHeight="1" x14ac:dyDescent="0.3"/>
    <row r="19929" ht="14.4" customHeight="1" x14ac:dyDescent="0.3"/>
    <row r="19930" ht="14.4" customHeight="1" x14ac:dyDescent="0.3"/>
    <row r="19931" ht="14.4" customHeight="1" x14ac:dyDescent="0.3"/>
    <row r="19932" ht="14.4" customHeight="1" x14ac:dyDescent="0.3"/>
    <row r="19933" ht="14.4" customHeight="1" x14ac:dyDescent="0.3"/>
    <row r="19934" ht="14.4" customHeight="1" x14ac:dyDescent="0.3"/>
    <row r="19935" ht="14.4" customHeight="1" x14ac:dyDescent="0.3"/>
    <row r="19936" ht="14.4" customHeight="1" x14ac:dyDescent="0.3"/>
    <row r="19937" ht="14.4" customHeight="1" x14ac:dyDescent="0.3"/>
    <row r="19938" ht="14.4" customHeight="1" x14ac:dyDescent="0.3"/>
    <row r="19939" ht="14.4" customHeight="1" x14ac:dyDescent="0.3"/>
    <row r="19940" ht="14.4" customHeight="1" x14ac:dyDescent="0.3"/>
    <row r="19941" ht="14.4" customHeight="1" x14ac:dyDescent="0.3"/>
    <row r="19942" ht="14.4" customHeight="1" x14ac:dyDescent="0.3"/>
    <row r="19943" ht="14.4" customHeight="1" x14ac:dyDescent="0.3"/>
    <row r="19944" ht="14.4" customHeight="1" x14ac:dyDescent="0.3"/>
    <row r="19945" ht="14.4" customHeight="1" x14ac:dyDescent="0.3"/>
    <row r="19946" ht="14.4" customHeight="1" x14ac:dyDescent="0.3"/>
    <row r="19947" ht="14.4" customHeight="1" x14ac:dyDescent="0.3"/>
    <row r="19948" ht="14.4" customHeight="1" x14ac:dyDescent="0.3"/>
    <row r="19949" ht="14.4" customHeight="1" x14ac:dyDescent="0.3"/>
    <row r="19950" ht="14.4" customHeight="1" x14ac:dyDescent="0.3"/>
    <row r="19951" ht="14.4" customHeight="1" x14ac:dyDescent="0.3"/>
    <row r="19952" ht="14.4" customHeight="1" x14ac:dyDescent="0.3"/>
    <row r="19953" ht="14.4" customHeight="1" x14ac:dyDescent="0.3"/>
    <row r="19954" ht="14.4" customHeight="1" x14ac:dyDescent="0.3"/>
    <row r="19955" ht="14.4" customHeight="1" x14ac:dyDescent="0.3"/>
    <row r="19956" ht="14.4" customHeight="1" x14ac:dyDescent="0.3"/>
    <row r="19957" ht="14.4" customHeight="1" x14ac:dyDescent="0.3"/>
    <row r="19958" ht="14.4" customHeight="1" x14ac:dyDescent="0.3"/>
    <row r="19959" ht="14.4" customHeight="1" x14ac:dyDescent="0.3"/>
    <row r="19960" ht="14.4" customHeight="1" x14ac:dyDescent="0.3"/>
    <row r="19961" ht="14.4" customHeight="1" x14ac:dyDescent="0.3"/>
    <row r="19962" ht="14.4" customHeight="1" x14ac:dyDescent="0.3"/>
    <row r="19963" ht="14.4" customHeight="1" x14ac:dyDescent="0.3"/>
    <row r="19964" ht="14.4" customHeight="1" x14ac:dyDescent="0.3"/>
    <row r="19965" ht="14.4" customHeight="1" x14ac:dyDescent="0.3"/>
    <row r="19966" ht="14.4" customHeight="1" x14ac:dyDescent="0.3"/>
    <row r="19967" ht="14.4" customHeight="1" x14ac:dyDescent="0.3"/>
    <row r="19968" ht="14.4" customHeight="1" x14ac:dyDescent="0.3"/>
    <row r="19969" ht="14.4" customHeight="1" x14ac:dyDescent="0.3"/>
    <row r="19970" ht="14.4" customHeight="1" x14ac:dyDescent="0.3"/>
    <row r="19971" ht="14.4" customHeight="1" x14ac:dyDescent="0.3"/>
    <row r="19972" ht="14.4" customHeight="1" x14ac:dyDescent="0.3"/>
    <row r="19973" ht="14.4" customHeight="1" x14ac:dyDescent="0.3"/>
    <row r="19974" ht="14.4" customHeight="1" x14ac:dyDescent="0.3"/>
    <row r="19975" ht="14.4" customHeight="1" x14ac:dyDescent="0.3"/>
    <row r="19976" ht="14.4" customHeight="1" x14ac:dyDescent="0.3"/>
    <row r="19977" ht="14.4" customHeight="1" x14ac:dyDescent="0.3"/>
    <row r="19978" ht="14.4" customHeight="1" x14ac:dyDescent="0.3"/>
    <row r="19979" ht="14.4" customHeight="1" x14ac:dyDescent="0.3"/>
    <row r="19980" ht="14.4" customHeight="1" x14ac:dyDescent="0.3"/>
    <row r="19981" ht="14.4" customHeight="1" x14ac:dyDescent="0.3"/>
    <row r="19982" ht="14.4" customHeight="1" x14ac:dyDescent="0.3"/>
    <row r="19983" ht="14.4" customHeight="1" x14ac:dyDescent="0.3"/>
    <row r="19984" ht="14.4" customHeight="1" x14ac:dyDescent="0.3"/>
    <row r="19985" ht="14.4" customHeight="1" x14ac:dyDescent="0.3"/>
    <row r="19986" ht="14.4" customHeight="1" x14ac:dyDescent="0.3"/>
    <row r="19987" ht="14.4" customHeight="1" x14ac:dyDescent="0.3"/>
    <row r="19988" ht="14.4" customHeight="1" x14ac:dyDescent="0.3"/>
    <row r="19989" ht="14.4" customHeight="1" x14ac:dyDescent="0.3"/>
    <row r="19990" ht="14.4" customHeight="1" x14ac:dyDescent="0.3"/>
    <row r="19991" ht="14.4" customHeight="1" x14ac:dyDescent="0.3"/>
    <row r="19992" ht="14.4" customHeight="1" x14ac:dyDescent="0.3"/>
    <row r="19993" ht="14.4" customHeight="1" x14ac:dyDescent="0.3"/>
    <row r="19994" ht="14.4" customHeight="1" x14ac:dyDescent="0.3"/>
    <row r="19995" ht="14.4" customHeight="1" x14ac:dyDescent="0.3"/>
    <row r="19996" ht="14.4" customHeight="1" x14ac:dyDescent="0.3"/>
    <row r="19997" ht="14.4" customHeight="1" x14ac:dyDescent="0.3"/>
    <row r="19998" ht="14.4" customHeight="1" x14ac:dyDescent="0.3"/>
    <row r="19999" ht="14.4" customHeight="1" x14ac:dyDescent="0.3"/>
    <row r="20000" ht="14.4" customHeight="1" x14ac:dyDescent="0.3"/>
    <row r="20001" ht="14.4" customHeight="1" x14ac:dyDescent="0.3"/>
    <row r="20002" ht="14.4" customHeight="1" x14ac:dyDescent="0.3"/>
    <row r="20003" ht="14.4" customHeight="1" x14ac:dyDescent="0.3"/>
    <row r="20004" ht="14.4" customHeight="1" x14ac:dyDescent="0.3"/>
    <row r="20005" ht="14.4" customHeight="1" x14ac:dyDescent="0.3"/>
    <row r="20006" ht="14.4" customHeight="1" x14ac:dyDescent="0.3"/>
    <row r="20007" ht="14.4" customHeight="1" x14ac:dyDescent="0.3"/>
    <row r="20008" ht="14.4" customHeight="1" x14ac:dyDescent="0.3"/>
    <row r="20009" ht="14.4" customHeight="1" x14ac:dyDescent="0.3"/>
    <row r="20010" ht="14.4" customHeight="1" x14ac:dyDescent="0.3"/>
    <row r="20011" ht="14.4" customHeight="1" x14ac:dyDescent="0.3"/>
    <row r="20012" ht="14.4" customHeight="1" x14ac:dyDescent="0.3"/>
    <row r="20013" ht="14.4" customHeight="1" x14ac:dyDescent="0.3"/>
    <row r="20014" ht="14.4" customHeight="1" x14ac:dyDescent="0.3"/>
    <row r="20015" ht="14.4" customHeight="1" x14ac:dyDescent="0.3"/>
    <row r="20016" ht="14.4" customHeight="1" x14ac:dyDescent="0.3"/>
    <row r="20017" ht="14.4" customHeight="1" x14ac:dyDescent="0.3"/>
    <row r="20018" ht="14.4" customHeight="1" x14ac:dyDescent="0.3"/>
    <row r="20019" ht="14.4" customHeight="1" x14ac:dyDescent="0.3"/>
    <row r="20020" ht="14.4" customHeight="1" x14ac:dyDescent="0.3"/>
    <row r="20021" ht="14.4" customHeight="1" x14ac:dyDescent="0.3"/>
    <row r="20022" ht="14.4" customHeight="1" x14ac:dyDescent="0.3"/>
    <row r="20023" ht="14.4" customHeight="1" x14ac:dyDescent="0.3"/>
    <row r="20024" ht="14.4" customHeight="1" x14ac:dyDescent="0.3"/>
    <row r="20025" ht="14.4" customHeight="1" x14ac:dyDescent="0.3"/>
    <row r="20026" ht="14.4" customHeight="1" x14ac:dyDescent="0.3"/>
    <row r="20027" ht="14.4" customHeight="1" x14ac:dyDescent="0.3"/>
    <row r="20028" ht="14.4" customHeight="1" x14ac:dyDescent="0.3"/>
    <row r="20029" ht="14.4" customHeight="1" x14ac:dyDescent="0.3"/>
    <row r="20030" ht="14.4" customHeight="1" x14ac:dyDescent="0.3"/>
    <row r="20031" ht="14.4" customHeight="1" x14ac:dyDescent="0.3"/>
    <row r="20032" ht="14.4" customHeight="1" x14ac:dyDescent="0.3"/>
    <row r="20033" ht="14.4" customHeight="1" x14ac:dyDescent="0.3"/>
    <row r="20034" ht="14.4" customHeight="1" x14ac:dyDescent="0.3"/>
    <row r="20035" ht="14.4" customHeight="1" x14ac:dyDescent="0.3"/>
    <row r="20036" ht="14.4" customHeight="1" x14ac:dyDescent="0.3"/>
    <row r="20037" ht="14.4" customHeight="1" x14ac:dyDescent="0.3"/>
    <row r="20038" ht="14.4" customHeight="1" x14ac:dyDescent="0.3"/>
    <row r="20039" ht="14.4" customHeight="1" x14ac:dyDescent="0.3"/>
    <row r="20040" ht="14.4" customHeight="1" x14ac:dyDescent="0.3"/>
    <row r="20041" ht="14.4" customHeight="1" x14ac:dyDescent="0.3"/>
    <row r="20042" ht="14.4" customHeight="1" x14ac:dyDescent="0.3"/>
    <row r="20043" ht="14.4" customHeight="1" x14ac:dyDescent="0.3"/>
    <row r="20044" ht="14.4" customHeight="1" x14ac:dyDescent="0.3"/>
    <row r="20045" ht="14.4" customHeight="1" x14ac:dyDescent="0.3"/>
    <row r="20046" ht="14.4" customHeight="1" x14ac:dyDescent="0.3"/>
    <row r="20047" ht="14.4" customHeight="1" x14ac:dyDescent="0.3"/>
    <row r="20048" ht="14.4" customHeight="1" x14ac:dyDescent="0.3"/>
    <row r="20049" ht="14.4" customHeight="1" x14ac:dyDescent="0.3"/>
    <row r="20050" ht="14.4" customHeight="1" x14ac:dyDescent="0.3"/>
    <row r="20051" ht="14.4" customHeight="1" x14ac:dyDescent="0.3"/>
    <row r="20052" ht="14.4" customHeight="1" x14ac:dyDescent="0.3"/>
    <row r="20053" ht="14.4" customHeight="1" x14ac:dyDescent="0.3"/>
    <row r="20054" ht="14.4" customHeight="1" x14ac:dyDescent="0.3"/>
    <row r="20055" ht="14.4" customHeight="1" x14ac:dyDescent="0.3"/>
    <row r="20056" ht="14.4" customHeight="1" x14ac:dyDescent="0.3"/>
    <row r="20057" ht="14.4" customHeight="1" x14ac:dyDescent="0.3"/>
    <row r="20058" ht="14.4" customHeight="1" x14ac:dyDescent="0.3"/>
    <row r="20059" ht="14.4" customHeight="1" x14ac:dyDescent="0.3"/>
    <row r="20060" ht="14.4" customHeight="1" x14ac:dyDescent="0.3"/>
    <row r="20061" ht="14.4" customHeight="1" x14ac:dyDescent="0.3"/>
    <row r="20062" ht="14.4" customHeight="1" x14ac:dyDescent="0.3"/>
    <row r="20063" ht="14.4" customHeight="1" x14ac:dyDescent="0.3"/>
    <row r="20064" ht="14.4" customHeight="1" x14ac:dyDescent="0.3"/>
    <row r="20065" ht="14.4" customHeight="1" x14ac:dyDescent="0.3"/>
    <row r="20066" ht="14.4" customHeight="1" x14ac:dyDescent="0.3"/>
    <row r="20067" ht="14.4" customHeight="1" x14ac:dyDescent="0.3"/>
    <row r="20068" ht="14.4" customHeight="1" x14ac:dyDescent="0.3"/>
    <row r="20069" ht="14.4" customHeight="1" x14ac:dyDescent="0.3"/>
    <row r="20070" ht="14.4" customHeight="1" x14ac:dyDescent="0.3"/>
    <row r="20071" ht="14.4" customHeight="1" x14ac:dyDescent="0.3"/>
    <row r="20072" ht="14.4" customHeight="1" x14ac:dyDescent="0.3"/>
    <row r="20073" ht="14.4" customHeight="1" x14ac:dyDescent="0.3"/>
    <row r="20074" ht="14.4" customHeight="1" x14ac:dyDescent="0.3"/>
    <row r="20075" ht="14.4" customHeight="1" x14ac:dyDescent="0.3"/>
    <row r="20076" ht="14.4" customHeight="1" x14ac:dyDescent="0.3"/>
    <row r="20077" ht="14.4" customHeight="1" x14ac:dyDescent="0.3"/>
    <row r="20078" ht="14.4" customHeight="1" x14ac:dyDescent="0.3"/>
    <row r="20079" ht="14.4" customHeight="1" x14ac:dyDescent="0.3"/>
    <row r="20080" ht="14.4" customHeight="1" x14ac:dyDescent="0.3"/>
    <row r="20081" ht="14.4" customHeight="1" x14ac:dyDescent="0.3"/>
    <row r="20082" ht="14.4" customHeight="1" x14ac:dyDescent="0.3"/>
    <row r="20083" ht="14.4" customHeight="1" x14ac:dyDescent="0.3"/>
    <row r="20084" ht="14.4" customHeight="1" x14ac:dyDescent="0.3"/>
    <row r="20085" ht="14.4" customHeight="1" x14ac:dyDescent="0.3"/>
    <row r="20086" ht="14.4" customHeight="1" x14ac:dyDescent="0.3"/>
    <row r="20087" ht="14.4" customHeight="1" x14ac:dyDescent="0.3"/>
    <row r="20088" ht="14.4" customHeight="1" x14ac:dyDescent="0.3"/>
    <row r="20089" ht="14.4" customHeight="1" x14ac:dyDescent="0.3"/>
    <row r="20090" ht="14.4" customHeight="1" x14ac:dyDescent="0.3"/>
    <row r="20091" ht="14.4" customHeight="1" x14ac:dyDescent="0.3"/>
    <row r="20092" ht="14.4" customHeight="1" x14ac:dyDescent="0.3"/>
    <row r="20093" ht="14.4" customHeight="1" x14ac:dyDescent="0.3"/>
    <row r="20094" ht="14.4" customHeight="1" x14ac:dyDescent="0.3"/>
    <row r="20095" ht="14.4" customHeight="1" x14ac:dyDescent="0.3"/>
    <row r="20096" ht="14.4" customHeight="1" x14ac:dyDescent="0.3"/>
    <row r="20097" ht="14.4" customHeight="1" x14ac:dyDescent="0.3"/>
    <row r="20098" ht="14.4" customHeight="1" x14ac:dyDescent="0.3"/>
    <row r="20099" ht="14.4" customHeight="1" x14ac:dyDescent="0.3"/>
    <row r="20100" ht="14.4" customHeight="1" x14ac:dyDescent="0.3"/>
    <row r="20101" ht="14.4" customHeight="1" x14ac:dyDescent="0.3"/>
    <row r="20102" ht="14.4" customHeight="1" x14ac:dyDescent="0.3"/>
    <row r="20103" ht="14.4" customHeight="1" x14ac:dyDescent="0.3"/>
    <row r="20104" ht="14.4" customHeight="1" x14ac:dyDescent="0.3"/>
    <row r="20105" ht="14.4" customHeight="1" x14ac:dyDescent="0.3"/>
    <row r="20106" ht="14.4" customHeight="1" x14ac:dyDescent="0.3"/>
    <row r="20107" ht="14.4" customHeight="1" x14ac:dyDescent="0.3"/>
    <row r="20108" ht="14.4" customHeight="1" x14ac:dyDescent="0.3"/>
    <row r="20109" ht="14.4" customHeight="1" x14ac:dyDescent="0.3"/>
    <row r="20110" ht="14.4" customHeight="1" x14ac:dyDescent="0.3"/>
    <row r="20111" ht="14.4" customHeight="1" x14ac:dyDescent="0.3"/>
    <row r="20112" ht="14.4" customHeight="1" x14ac:dyDescent="0.3"/>
    <row r="20113" ht="14.4" customHeight="1" x14ac:dyDescent="0.3"/>
    <row r="20114" ht="14.4" customHeight="1" x14ac:dyDescent="0.3"/>
    <row r="20115" ht="14.4" customHeight="1" x14ac:dyDescent="0.3"/>
    <row r="20116" ht="14.4" customHeight="1" x14ac:dyDescent="0.3"/>
    <row r="20117" ht="14.4" customHeight="1" x14ac:dyDescent="0.3"/>
    <row r="20118" ht="14.4" customHeight="1" x14ac:dyDescent="0.3"/>
    <row r="20119" ht="14.4" customHeight="1" x14ac:dyDescent="0.3"/>
    <row r="20120" ht="14.4" customHeight="1" x14ac:dyDescent="0.3"/>
    <row r="20121" ht="14.4" customHeight="1" x14ac:dyDescent="0.3"/>
    <row r="20122" ht="14.4" customHeight="1" x14ac:dyDescent="0.3"/>
    <row r="20123" ht="14.4" customHeight="1" x14ac:dyDescent="0.3"/>
    <row r="20124" ht="14.4" customHeight="1" x14ac:dyDescent="0.3"/>
    <row r="20125" ht="14.4" customHeight="1" x14ac:dyDescent="0.3"/>
    <row r="20126" ht="14.4" customHeight="1" x14ac:dyDescent="0.3"/>
    <row r="20127" ht="14.4" customHeight="1" x14ac:dyDescent="0.3"/>
    <row r="20128" ht="14.4" customHeight="1" x14ac:dyDescent="0.3"/>
    <row r="20129" ht="14.4" customHeight="1" x14ac:dyDescent="0.3"/>
    <row r="20130" ht="14.4" customHeight="1" x14ac:dyDescent="0.3"/>
    <row r="20131" ht="14.4" customHeight="1" x14ac:dyDescent="0.3"/>
    <row r="20132" ht="14.4" customHeight="1" x14ac:dyDescent="0.3"/>
    <row r="20133" ht="14.4" customHeight="1" x14ac:dyDescent="0.3"/>
    <row r="20134" ht="14.4" customHeight="1" x14ac:dyDescent="0.3"/>
    <row r="20135" ht="14.4" customHeight="1" x14ac:dyDescent="0.3"/>
    <row r="20136" ht="14.4" customHeight="1" x14ac:dyDescent="0.3"/>
    <row r="20137" ht="14.4" customHeight="1" x14ac:dyDescent="0.3"/>
    <row r="20138" ht="14.4" customHeight="1" x14ac:dyDescent="0.3"/>
    <row r="20139" ht="14.4" customHeight="1" x14ac:dyDescent="0.3"/>
    <row r="20140" ht="14.4" customHeight="1" x14ac:dyDescent="0.3"/>
    <row r="20141" ht="14.4" customHeight="1" x14ac:dyDescent="0.3"/>
    <row r="20142" ht="14.4" customHeight="1" x14ac:dyDescent="0.3"/>
    <row r="20143" ht="14.4" customHeight="1" x14ac:dyDescent="0.3"/>
    <row r="20144" ht="14.4" customHeight="1" x14ac:dyDescent="0.3"/>
    <row r="20145" ht="14.4" customHeight="1" x14ac:dyDescent="0.3"/>
    <row r="20146" ht="14.4" customHeight="1" x14ac:dyDescent="0.3"/>
    <row r="20147" ht="14.4" customHeight="1" x14ac:dyDescent="0.3"/>
    <row r="20148" ht="14.4" customHeight="1" x14ac:dyDescent="0.3"/>
    <row r="20149" ht="14.4" customHeight="1" x14ac:dyDescent="0.3"/>
    <row r="20150" ht="14.4" customHeight="1" x14ac:dyDescent="0.3"/>
    <row r="20151" ht="14.4" customHeight="1" x14ac:dyDescent="0.3"/>
    <row r="20152" ht="14.4" customHeight="1" x14ac:dyDescent="0.3"/>
    <row r="20153" ht="14.4" customHeight="1" x14ac:dyDescent="0.3"/>
    <row r="20154" ht="14.4" customHeight="1" x14ac:dyDescent="0.3"/>
    <row r="20155" ht="14.4" customHeight="1" x14ac:dyDescent="0.3"/>
    <row r="20156" ht="14.4" customHeight="1" x14ac:dyDescent="0.3"/>
    <row r="20157" ht="14.4" customHeight="1" x14ac:dyDescent="0.3"/>
    <row r="20158" ht="14.4" customHeight="1" x14ac:dyDescent="0.3"/>
    <row r="20159" ht="14.4" customHeight="1" x14ac:dyDescent="0.3"/>
    <row r="20160" ht="14.4" customHeight="1" x14ac:dyDescent="0.3"/>
    <row r="20161" ht="14.4" customHeight="1" x14ac:dyDescent="0.3"/>
    <row r="20162" ht="14.4" customHeight="1" x14ac:dyDescent="0.3"/>
    <row r="20163" ht="14.4" customHeight="1" x14ac:dyDescent="0.3"/>
    <row r="20164" ht="14.4" customHeight="1" x14ac:dyDescent="0.3"/>
    <row r="20165" ht="14.4" customHeight="1" x14ac:dyDescent="0.3"/>
    <row r="20166" ht="14.4" customHeight="1" x14ac:dyDescent="0.3"/>
    <row r="20167" ht="14.4" customHeight="1" x14ac:dyDescent="0.3"/>
    <row r="20168" ht="14.4" customHeight="1" x14ac:dyDescent="0.3"/>
    <row r="20169" ht="14.4" customHeight="1" x14ac:dyDescent="0.3"/>
    <row r="20170" ht="14.4" customHeight="1" x14ac:dyDescent="0.3"/>
    <row r="20171" ht="14.4" customHeight="1" x14ac:dyDescent="0.3"/>
    <row r="20172" ht="14.4" customHeight="1" x14ac:dyDescent="0.3"/>
    <row r="20173" ht="14.4" customHeight="1" x14ac:dyDescent="0.3"/>
    <row r="20174" ht="14.4" customHeight="1" x14ac:dyDescent="0.3"/>
    <row r="20175" ht="14.4" customHeight="1" x14ac:dyDescent="0.3"/>
    <row r="20176" ht="14.4" customHeight="1" x14ac:dyDescent="0.3"/>
    <row r="20177" ht="14.4" customHeight="1" x14ac:dyDescent="0.3"/>
    <row r="20178" ht="14.4" customHeight="1" x14ac:dyDescent="0.3"/>
    <row r="20179" ht="14.4" customHeight="1" x14ac:dyDescent="0.3"/>
    <row r="20180" ht="14.4" customHeight="1" x14ac:dyDescent="0.3"/>
    <row r="20181" ht="14.4" customHeight="1" x14ac:dyDescent="0.3"/>
    <row r="20182" ht="14.4" customHeight="1" x14ac:dyDescent="0.3"/>
    <row r="20183" ht="14.4" customHeight="1" x14ac:dyDescent="0.3"/>
    <row r="20184" ht="14.4" customHeight="1" x14ac:dyDescent="0.3"/>
    <row r="20185" ht="14.4" customHeight="1" x14ac:dyDescent="0.3"/>
    <row r="20186" ht="14.4" customHeight="1" x14ac:dyDescent="0.3"/>
    <row r="20187" ht="14.4" customHeight="1" x14ac:dyDescent="0.3"/>
    <row r="20188" ht="14.4" customHeight="1" x14ac:dyDescent="0.3"/>
    <row r="20189" ht="14.4" customHeight="1" x14ac:dyDescent="0.3"/>
    <row r="20190" ht="14.4" customHeight="1" x14ac:dyDescent="0.3"/>
    <row r="20191" ht="14.4" customHeight="1" x14ac:dyDescent="0.3"/>
    <row r="20192" ht="14.4" customHeight="1" x14ac:dyDescent="0.3"/>
    <row r="20193" ht="14.4" customHeight="1" x14ac:dyDescent="0.3"/>
    <row r="20194" ht="14.4" customHeight="1" x14ac:dyDescent="0.3"/>
    <row r="20195" ht="14.4" customHeight="1" x14ac:dyDescent="0.3"/>
    <row r="20196" ht="14.4" customHeight="1" x14ac:dyDescent="0.3"/>
    <row r="20197" ht="14.4" customHeight="1" x14ac:dyDescent="0.3"/>
    <row r="20198" ht="14.4" customHeight="1" x14ac:dyDescent="0.3"/>
    <row r="20199" ht="14.4" customHeight="1" x14ac:dyDescent="0.3"/>
    <row r="20200" ht="14.4" customHeight="1" x14ac:dyDescent="0.3"/>
    <row r="20201" ht="14.4" customHeight="1" x14ac:dyDescent="0.3"/>
    <row r="20202" ht="14.4" customHeight="1" x14ac:dyDescent="0.3"/>
    <row r="20203" ht="14.4" customHeight="1" x14ac:dyDescent="0.3"/>
    <row r="20204" ht="14.4" customHeight="1" x14ac:dyDescent="0.3"/>
    <row r="20205" ht="14.4" customHeight="1" x14ac:dyDescent="0.3"/>
    <row r="20206" ht="14.4" customHeight="1" x14ac:dyDescent="0.3"/>
    <row r="20207" ht="14.4" customHeight="1" x14ac:dyDescent="0.3"/>
    <row r="20208" ht="14.4" customHeight="1" x14ac:dyDescent="0.3"/>
    <row r="20209" ht="14.4" customHeight="1" x14ac:dyDescent="0.3"/>
    <row r="20210" ht="14.4" customHeight="1" x14ac:dyDescent="0.3"/>
    <row r="20211" ht="14.4" customHeight="1" x14ac:dyDescent="0.3"/>
    <row r="20212" ht="14.4" customHeight="1" x14ac:dyDescent="0.3"/>
    <row r="20213" ht="14.4" customHeight="1" x14ac:dyDescent="0.3"/>
    <row r="20214" ht="14.4" customHeight="1" x14ac:dyDescent="0.3"/>
    <row r="20215" ht="14.4" customHeight="1" x14ac:dyDescent="0.3"/>
    <row r="20216" ht="14.4" customHeight="1" x14ac:dyDescent="0.3"/>
    <row r="20217" ht="14.4" customHeight="1" x14ac:dyDescent="0.3"/>
    <row r="20218" ht="14.4" customHeight="1" x14ac:dyDescent="0.3"/>
    <row r="20219" ht="14.4" customHeight="1" x14ac:dyDescent="0.3"/>
    <row r="20220" ht="14.4" customHeight="1" x14ac:dyDescent="0.3"/>
    <row r="20221" ht="14.4" customHeight="1" x14ac:dyDescent="0.3"/>
    <row r="20222" ht="14.4" customHeight="1" x14ac:dyDescent="0.3"/>
    <row r="20223" ht="14.4" customHeight="1" x14ac:dyDescent="0.3"/>
    <row r="20224" ht="14.4" customHeight="1" x14ac:dyDescent="0.3"/>
    <row r="20225" ht="14.4" customHeight="1" x14ac:dyDescent="0.3"/>
    <row r="20226" ht="14.4" customHeight="1" x14ac:dyDescent="0.3"/>
    <row r="20227" ht="14.4" customHeight="1" x14ac:dyDescent="0.3"/>
    <row r="20228" ht="14.4" customHeight="1" x14ac:dyDescent="0.3"/>
    <row r="20229" ht="14.4" customHeight="1" x14ac:dyDescent="0.3"/>
    <row r="20230" ht="14.4" customHeight="1" x14ac:dyDescent="0.3"/>
    <row r="20231" ht="14.4" customHeight="1" x14ac:dyDescent="0.3"/>
    <row r="20232" ht="14.4" customHeight="1" x14ac:dyDescent="0.3"/>
    <row r="20233" ht="14.4" customHeight="1" x14ac:dyDescent="0.3"/>
    <row r="20234" ht="14.4" customHeight="1" x14ac:dyDescent="0.3"/>
    <row r="20235" ht="14.4" customHeight="1" x14ac:dyDescent="0.3"/>
    <row r="20236" ht="14.4" customHeight="1" x14ac:dyDescent="0.3"/>
    <row r="20237" ht="14.4" customHeight="1" x14ac:dyDescent="0.3"/>
    <row r="20238" ht="14.4" customHeight="1" x14ac:dyDescent="0.3"/>
    <row r="20239" ht="14.4" customHeight="1" x14ac:dyDescent="0.3"/>
    <row r="20240" ht="14.4" customHeight="1" x14ac:dyDescent="0.3"/>
    <row r="20241" ht="14.4" customHeight="1" x14ac:dyDescent="0.3"/>
    <row r="20242" ht="14.4" customHeight="1" x14ac:dyDescent="0.3"/>
    <row r="20243" ht="14.4" customHeight="1" x14ac:dyDescent="0.3"/>
    <row r="20244" ht="14.4" customHeight="1" x14ac:dyDescent="0.3"/>
    <row r="20245" ht="14.4" customHeight="1" x14ac:dyDescent="0.3"/>
    <row r="20246" ht="14.4" customHeight="1" x14ac:dyDescent="0.3"/>
    <row r="20247" ht="14.4" customHeight="1" x14ac:dyDescent="0.3"/>
    <row r="20248" ht="14.4" customHeight="1" x14ac:dyDescent="0.3"/>
    <row r="20249" ht="14.4" customHeight="1" x14ac:dyDescent="0.3"/>
    <row r="20250" ht="14.4" customHeight="1" x14ac:dyDescent="0.3"/>
    <row r="20251" ht="14.4" customHeight="1" x14ac:dyDescent="0.3"/>
    <row r="20252" ht="14.4" customHeight="1" x14ac:dyDescent="0.3"/>
    <row r="20253" ht="14.4" customHeight="1" x14ac:dyDescent="0.3"/>
    <row r="20254" ht="14.4" customHeight="1" x14ac:dyDescent="0.3"/>
    <row r="20255" ht="14.4" customHeight="1" x14ac:dyDescent="0.3"/>
    <row r="20256" ht="14.4" customHeight="1" x14ac:dyDescent="0.3"/>
    <row r="20257" ht="14.4" customHeight="1" x14ac:dyDescent="0.3"/>
    <row r="20258" ht="14.4" customHeight="1" x14ac:dyDescent="0.3"/>
    <row r="20259" ht="14.4" customHeight="1" x14ac:dyDescent="0.3"/>
    <row r="20260" ht="14.4" customHeight="1" x14ac:dyDescent="0.3"/>
    <row r="20261" ht="14.4" customHeight="1" x14ac:dyDescent="0.3"/>
    <row r="20262" ht="14.4" customHeight="1" x14ac:dyDescent="0.3"/>
    <row r="20263" ht="14.4" customHeight="1" x14ac:dyDescent="0.3"/>
    <row r="20264" ht="14.4" customHeight="1" x14ac:dyDescent="0.3"/>
    <row r="20265" ht="14.4" customHeight="1" x14ac:dyDescent="0.3"/>
    <row r="20266" ht="14.4" customHeight="1" x14ac:dyDescent="0.3"/>
    <row r="20267" ht="14.4" customHeight="1" x14ac:dyDescent="0.3"/>
    <row r="20268" ht="14.4" customHeight="1" x14ac:dyDescent="0.3"/>
    <row r="20269" ht="14.4" customHeight="1" x14ac:dyDescent="0.3"/>
    <row r="20270" ht="14.4" customHeight="1" x14ac:dyDescent="0.3"/>
    <row r="20271" ht="14.4" customHeight="1" x14ac:dyDescent="0.3"/>
    <row r="20272" ht="14.4" customHeight="1" x14ac:dyDescent="0.3"/>
    <row r="20273" ht="14.4" customHeight="1" x14ac:dyDescent="0.3"/>
    <row r="20274" ht="14.4" customHeight="1" x14ac:dyDescent="0.3"/>
    <row r="20275" ht="14.4" customHeight="1" x14ac:dyDescent="0.3"/>
    <row r="20276" ht="14.4" customHeight="1" x14ac:dyDescent="0.3"/>
    <row r="20277" ht="14.4" customHeight="1" x14ac:dyDescent="0.3"/>
    <row r="20278" ht="14.4" customHeight="1" x14ac:dyDescent="0.3"/>
    <row r="20279" ht="14.4" customHeight="1" x14ac:dyDescent="0.3"/>
    <row r="20280" ht="14.4" customHeight="1" x14ac:dyDescent="0.3"/>
    <row r="20281" ht="14.4" customHeight="1" x14ac:dyDescent="0.3"/>
    <row r="20282" ht="14.4" customHeight="1" x14ac:dyDescent="0.3"/>
    <row r="20283" ht="14.4" customHeight="1" x14ac:dyDescent="0.3"/>
    <row r="20284" ht="14.4" customHeight="1" x14ac:dyDescent="0.3"/>
    <row r="20285" ht="14.4" customHeight="1" x14ac:dyDescent="0.3"/>
    <row r="20286" ht="14.4" customHeight="1" x14ac:dyDescent="0.3"/>
    <row r="20287" ht="14.4" customHeight="1" x14ac:dyDescent="0.3"/>
    <row r="20288" ht="14.4" customHeight="1" x14ac:dyDescent="0.3"/>
    <row r="20289" ht="14.4" customHeight="1" x14ac:dyDescent="0.3"/>
    <row r="20290" ht="14.4" customHeight="1" x14ac:dyDescent="0.3"/>
    <row r="20291" ht="14.4" customHeight="1" x14ac:dyDescent="0.3"/>
    <row r="20292" ht="14.4" customHeight="1" x14ac:dyDescent="0.3"/>
    <row r="20293" ht="14.4" customHeight="1" x14ac:dyDescent="0.3"/>
    <row r="20294" ht="14.4" customHeight="1" x14ac:dyDescent="0.3"/>
    <row r="20295" ht="14.4" customHeight="1" x14ac:dyDescent="0.3"/>
    <row r="20296" ht="14.4" customHeight="1" x14ac:dyDescent="0.3"/>
    <row r="20297" ht="14.4" customHeight="1" x14ac:dyDescent="0.3"/>
    <row r="20298" ht="14.4" customHeight="1" x14ac:dyDescent="0.3"/>
    <row r="20299" ht="14.4" customHeight="1" x14ac:dyDescent="0.3"/>
    <row r="20300" ht="14.4" customHeight="1" x14ac:dyDescent="0.3"/>
    <row r="20301" ht="14.4" customHeight="1" x14ac:dyDescent="0.3"/>
    <row r="20302" ht="14.4" customHeight="1" x14ac:dyDescent="0.3"/>
    <row r="20303" ht="14.4" customHeight="1" x14ac:dyDescent="0.3"/>
    <row r="20304" ht="14.4" customHeight="1" x14ac:dyDescent="0.3"/>
    <row r="20305" ht="14.4" customHeight="1" x14ac:dyDescent="0.3"/>
    <row r="20306" ht="14.4" customHeight="1" x14ac:dyDescent="0.3"/>
    <row r="20307" ht="14.4" customHeight="1" x14ac:dyDescent="0.3"/>
    <row r="20308" ht="14.4" customHeight="1" x14ac:dyDescent="0.3"/>
    <row r="20309" ht="14.4" customHeight="1" x14ac:dyDescent="0.3"/>
    <row r="20310" ht="14.4" customHeight="1" x14ac:dyDescent="0.3"/>
    <row r="20311" ht="14.4" customHeight="1" x14ac:dyDescent="0.3"/>
    <row r="20312" ht="14.4" customHeight="1" x14ac:dyDescent="0.3"/>
    <row r="20313" ht="14.4" customHeight="1" x14ac:dyDescent="0.3"/>
    <row r="20314" ht="14.4" customHeight="1" x14ac:dyDescent="0.3"/>
    <row r="20315" ht="14.4" customHeight="1" x14ac:dyDescent="0.3"/>
    <row r="20316" ht="14.4" customHeight="1" x14ac:dyDescent="0.3"/>
    <row r="20317" ht="14.4" customHeight="1" x14ac:dyDescent="0.3"/>
    <row r="20318" ht="14.4" customHeight="1" x14ac:dyDescent="0.3"/>
    <row r="20319" ht="14.4" customHeight="1" x14ac:dyDescent="0.3"/>
    <row r="20320" ht="14.4" customHeight="1" x14ac:dyDescent="0.3"/>
    <row r="20321" ht="14.4" customHeight="1" x14ac:dyDescent="0.3"/>
    <row r="20322" ht="14.4" customHeight="1" x14ac:dyDescent="0.3"/>
    <row r="20323" ht="14.4" customHeight="1" x14ac:dyDescent="0.3"/>
    <row r="20324" ht="14.4" customHeight="1" x14ac:dyDescent="0.3"/>
    <row r="20325" ht="14.4" customHeight="1" x14ac:dyDescent="0.3"/>
    <row r="20326" ht="14.4" customHeight="1" x14ac:dyDescent="0.3"/>
    <row r="20327" ht="14.4" customHeight="1" x14ac:dyDescent="0.3"/>
    <row r="20328" ht="14.4" customHeight="1" x14ac:dyDescent="0.3"/>
    <row r="20329" ht="14.4" customHeight="1" x14ac:dyDescent="0.3"/>
    <row r="20330" ht="14.4" customHeight="1" x14ac:dyDescent="0.3"/>
    <row r="20331" ht="14.4" customHeight="1" x14ac:dyDescent="0.3"/>
    <row r="20332" ht="14.4" customHeight="1" x14ac:dyDescent="0.3"/>
    <row r="20333" ht="14.4" customHeight="1" x14ac:dyDescent="0.3"/>
    <row r="20334" ht="14.4" customHeight="1" x14ac:dyDescent="0.3"/>
    <row r="20335" ht="14.4" customHeight="1" x14ac:dyDescent="0.3"/>
    <row r="20336" ht="14.4" customHeight="1" x14ac:dyDescent="0.3"/>
    <row r="20337" ht="14.4" customHeight="1" x14ac:dyDescent="0.3"/>
    <row r="20338" ht="14.4" customHeight="1" x14ac:dyDescent="0.3"/>
    <row r="20339" ht="14.4" customHeight="1" x14ac:dyDescent="0.3"/>
    <row r="20340" ht="14.4" customHeight="1" x14ac:dyDescent="0.3"/>
    <row r="20341" ht="14.4" customHeight="1" x14ac:dyDescent="0.3"/>
    <row r="20342" ht="14.4" customHeight="1" x14ac:dyDescent="0.3"/>
    <row r="20343" ht="14.4" customHeight="1" x14ac:dyDescent="0.3"/>
    <row r="20344" ht="14.4" customHeight="1" x14ac:dyDescent="0.3"/>
    <row r="20345" ht="14.4" customHeight="1" x14ac:dyDescent="0.3"/>
    <row r="20346" ht="14.4" customHeight="1" x14ac:dyDescent="0.3"/>
    <row r="20347" ht="14.4" customHeight="1" x14ac:dyDescent="0.3"/>
    <row r="20348" ht="14.4" customHeight="1" x14ac:dyDescent="0.3"/>
    <row r="20349" ht="14.4" customHeight="1" x14ac:dyDescent="0.3"/>
    <row r="20350" ht="14.4" customHeight="1" x14ac:dyDescent="0.3"/>
    <row r="20351" ht="14.4" customHeight="1" x14ac:dyDescent="0.3"/>
    <row r="20352" ht="14.4" customHeight="1" x14ac:dyDescent="0.3"/>
    <row r="20353" ht="14.4" customHeight="1" x14ac:dyDescent="0.3"/>
    <row r="20354" ht="14.4" customHeight="1" x14ac:dyDescent="0.3"/>
    <row r="20355" ht="14.4" customHeight="1" x14ac:dyDescent="0.3"/>
    <row r="20356" ht="14.4" customHeight="1" x14ac:dyDescent="0.3"/>
    <row r="20357" ht="14.4" customHeight="1" x14ac:dyDescent="0.3"/>
    <row r="20358" ht="14.4" customHeight="1" x14ac:dyDescent="0.3"/>
    <row r="20359" ht="14.4" customHeight="1" x14ac:dyDescent="0.3"/>
    <row r="20360" ht="14.4" customHeight="1" x14ac:dyDescent="0.3"/>
    <row r="20361" ht="14.4" customHeight="1" x14ac:dyDescent="0.3"/>
    <row r="20362" ht="14.4" customHeight="1" x14ac:dyDescent="0.3"/>
    <row r="20363" ht="14.4" customHeight="1" x14ac:dyDescent="0.3"/>
    <row r="20364" ht="14.4" customHeight="1" x14ac:dyDescent="0.3"/>
    <row r="20365" ht="14.4" customHeight="1" x14ac:dyDescent="0.3"/>
    <row r="20366" ht="14.4" customHeight="1" x14ac:dyDescent="0.3"/>
    <row r="20367" ht="14.4" customHeight="1" x14ac:dyDescent="0.3"/>
    <row r="20368" ht="14.4" customHeight="1" x14ac:dyDescent="0.3"/>
    <row r="20369" ht="14.4" customHeight="1" x14ac:dyDescent="0.3"/>
    <row r="20370" ht="14.4" customHeight="1" x14ac:dyDescent="0.3"/>
    <row r="20371" ht="14.4" customHeight="1" x14ac:dyDescent="0.3"/>
    <row r="20372" ht="14.4" customHeight="1" x14ac:dyDescent="0.3"/>
    <row r="20373" ht="14.4" customHeight="1" x14ac:dyDescent="0.3"/>
    <row r="20374" ht="14.4" customHeight="1" x14ac:dyDescent="0.3"/>
    <row r="20375" ht="14.4" customHeight="1" x14ac:dyDescent="0.3"/>
    <row r="20376" ht="14.4" customHeight="1" x14ac:dyDescent="0.3"/>
    <row r="20377" ht="14.4" customHeight="1" x14ac:dyDescent="0.3"/>
    <row r="20378" ht="14.4" customHeight="1" x14ac:dyDescent="0.3"/>
    <row r="20379" ht="14.4" customHeight="1" x14ac:dyDescent="0.3"/>
    <row r="20380" ht="14.4" customHeight="1" x14ac:dyDescent="0.3"/>
    <row r="20381" ht="14.4" customHeight="1" x14ac:dyDescent="0.3"/>
    <row r="20382" ht="14.4" customHeight="1" x14ac:dyDescent="0.3"/>
    <row r="20383" ht="14.4" customHeight="1" x14ac:dyDescent="0.3"/>
    <row r="20384" ht="14.4" customHeight="1" x14ac:dyDescent="0.3"/>
    <row r="20385" ht="14.4" customHeight="1" x14ac:dyDescent="0.3"/>
    <row r="20386" ht="14.4" customHeight="1" x14ac:dyDescent="0.3"/>
    <row r="20387" ht="14.4" customHeight="1" x14ac:dyDescent="0.3"/>
    <row r="20388" ht="14.4" customHeight="1" x14ac:dyDescent="0.3"/>
    <row r="20389" ht="14.4" customHeight="1" x14ac:dyDescent="0.3"/>
    <row r="20390" ht="14.4" customHeight="1" x14ac:dyDescent="0.3"/>
    <row r="20391" ht="14.4" customHeight="1" x14ac:dyDescent="0.3"/>
    <row r="20392" ht="14.4" customHeight="1" x14ac:dyDescent="0.3"/>
    <row r="20393" ht="14.4" customHeight="1" x14ac:dyDescent="0.3"/>
    <row r="20394" ht="14.4" customHeight="1" x14ac:dyDescent="0.3"/>
    <row r="20395" ht="14.4" customHeight="1" x14ac:dyDescent="0.3"/>
    <row r="20396" ht="14.4" customHeight="1" x14ac:dyDescent="0.3"/>
    <row r="20397" ht="14.4" customHeight="1" x14ac:dyDescent="0.3"/>
    <row r="20398" ht="14.4" customHeight="1" x14ac:dyDescent="0.3"/>
    <row r="20399" ht="14.4" customHeight="1" x14ac:dyDescent="0.3"/>
    <row r="20400" ht="14.4" customHeight="1" x14ac:dyDescent="0.3"/>
    <row r="20401" ht="14.4" customHeight="1" x14ac:dyDescent="0.3"/>
    <row r="20402" ht="14.4" customHeight="1" x14ac:dyDescent="0.3"/>
    <row r="20403" ht="14.4" customHeight="1" x14ac:dyDescent="0.3"/>
    <row r="20404" ht="14.4" customHeight="1" x14ac:dyDescent="0.3"/>
    <row r="20405" ht="14.4" customHeight="1" x14ac:dyDescent="0.3"/>
    <row r="20406" ht="14.4" customHeight="1" x14ac:dyDescent="0.3"/>
    <row r="20407" ht="14.4" customHeight="1" x14ac:dyDescent="0.3"/>
    <row r="20408" ht="14.4" customHeight="1" x14ac:dyDescent="0.3"/>
    <row r="20409" ht="14.4" customHeight="1" x14ac:dyDescent="0.3"/>
    <row r="20410" ht="14.4" customHeight="1" x14ac:dyDescent="0.3"/>
    <row r="20411" ht="14.4" customHeight="1" x14ac:dyDescent="0.3"/>
    <row r="20412" ht="14.4" customHeight="1" x14ac:dyDescent="0.3"/>
    <row r="20413" ht="14.4" customHeight="1" x14ac:dyDescent="0.3"/>
    <row r="20414" ht="14.4" customHeight="1" x14ac:dyDescent="0.3"/>
    <row r="20415" ht="14.4" customHeight="1" x14ac:dyDescent="0.3"/>
    <row r="20416" ht="14.4" customHeight="1" x14ac:dyDescent="0.3"/>
    <row r="20417" ht="14.4" customHeight="1" x14ac:dyDescent="0.3"/>
    <row r="20418" ht="14.4" customHeight="1" x14ac:dyDescent="0.3"/>
    <row r="20419" ht="14.4" customHeight="1" x14ac:dyDescent="0.3"/>
    <row r="20420" ht="14.4" customHeight="1" x14ac:dyDescent="0.3"/>
    <row r="20421" ht="14.4" customHeight="1" x14ac:dyDescent="0.3"/>
    <row r="20422" ht="14.4" customHeight="1" x14ac:dyDescent="0.3"/>
    <row r="20423" ht="14.4" customHeight="1" x14ac:dyDescent="0.3"/>
    <row r="20424" ht="14.4" customHeight="1" x14ac:dyDescent="0.3"/>
    <row r="20425" ht="14.4" customHeight="1" x14ac:dyDescent="0.3"/>
    <row r="20426" ht="14.4" customHeight="1" x14ac:dyDescent="0.3"/>
    <row r="20427" ht="14.4" customHeight="1" x14ac:dyDescent="0.3"/>
    <row r="20428" ht="14.4" customHeight="1" x14ac:dyDescent="0.3"/>
    <row r="20429" ht="14.4" customHeight="1" x14ac:dyDescent="0.3"/>
    <row r="20430" ht="14.4" customHeight="1" x14ac:dyDescent="0.3"/>
    <row r="20431" ht="14.4" customHeight="1" x14ac:dyDescent="0.3"/>
    <row r="20432" ht="14.4" customHeight="1" x14ac:dyDescent="0.3"/>
    <row r="20433" ht="14.4" customHeight="1" x14ac:dyDescent="0.3"/>
    <row r="20434" ht="14.4" customHeight="1" x14ac:dyDescent="0.3"/>
    <row r="20435" ht="14.4" customHeight="1" x14ac:dyDescent="0.3"/>
    <row r="20436" ht="14.4" customHeight="1" x14ac:dyDescent="0.3"/>
    <row r="20437" ht="14.4" customHeight="1" x14ac:dyDescent="0.3"/>
    <row r="20438" ht="14.4" customHeight="1" x14ac:dyDescent="0.3"/>
    <row r="20439" ht="14.4" customHeight="1" x14ac:dyDescent="0.3"/>
    <row r="20440" ht="14.4" customHeight="1" x14ac:dyDescent="0.3"/>
    <row r="20441" ht="14.4" customHeight="1" x14ac:dyDescent="0.3"/>
    <row r="20442" ht="14.4" customHeight="1" x14ac:dyDescent="0.3"/>
    <row r="20443" ht="14.4" customHeight="1" x14ac:dyDescent="0.3"/>
    <row r="20444" ht="14.4" customHeight="1" x14ac:dyDescent="0.3"/>
    <row r="20445" ht="14.4" customHeight="1" x14ac:dyDescent="0.3"/>
    <row r="20446" ht="14.4" customHeight="1" x14ac:dyDescent="0.3"/>
    <row r="20447" ht="14.4" customHeight="1" x14ac:dyDescent="0.3"/>
    <row r="20448" ht="14.4" customHeight="1" x14ac:dyDescent="0.3"/>
    <row r="20449" ht="14.4" customHeight="1" x14ac:dyDescent="0.3"/>
    <row r="20450" ht="14.4" customHeight="1" x14ac:dyDescent="0.3"/>
    <row r="20451" ht="14.4" customHeight="1" x14ac:dyDescent="0.3"/>
    <row r="20452" ht="14.4" customHeight="1" x14ac:dyDescent="0.3"/>
    <row r="20453" ht="14.4" customHeight="1" x14ac:dyDescent="0.3"/>
    <row r="20454" ht="14.4" customHeight="1" x14ac:dyDescent="0.3"/>
    <row r="20455" ht="14.4" customHeight="1" x14ac:dyDescent="0.3"/>
    <row r="20456" ht="14.4" customHeight="1" x14ac:dyDescent="0.3"/>
    <row r="20457" ht="14.4" customHeight="1" x14ac:dyDescent="0.3"/>
    <row r="20458" ht="14.4" customHeight="1" x14ac:dyDescent="0.3"/>
    <row r="20459" ht="14.4" customHeight="1" x14ac:dyDescent="0.3"/>
    <row r="20460" ht="14.4" customHeight="1" x14ac:dyDescent="0.3"/>
    <row r="20461" ht="14.4" customHeight="1" x14ac:dyDescent="0.3"/>
    <row r="20462" ht="14.4" customHeight="1" x14ac:dyDescent="0.3"/>
    <row r="20463" ht="14.4" customHeight="1" x14ac:dyDescent="0.3"/>
    <row r="20464" ht="14.4" customHeight="1" x14ac:dyDescent="0.3"/>
    <row r="20465" ht="14.4" customHeight="1" x14ac:dyDescent="0.3"/>
    <row r="20466" ht="14.4" customHeight="1" x14ac:dyDescent="0.3"/>
    <row r="20467" ht="14.4" customHeight="1" x14ac:dyDescent="0.3"/>
    <row r="20468" ht="14.4" customHeight="1" x14ac:dyDescent="0.3"/>
    <row r="20469" ht="14.4" customHeight="1" x14ac:dyDescent="0.3"/>
    <row r="20470" ht="14.4" customHeight="1" x14ac:dyDescent="0.3"/>
    <row r="20471" ht="14.4" customHeight="1" x14ac:dyDescent="0.3"/>
    <row r="20472" ht="14.4" customHeight="1" x14ac:dyDescent="0.3"/>
    <row r="20473" ht="14.4" customHeight="1" x14ac:dyDescent="0.3"/>
    <row r="20474" ht="14.4" customHeight="1" x14ac:dyDescent="0.3"/>
    <row r="20475" ht="14.4" customHeight="1" x14ac:dyDescent="0.3"/>
    <row r="20476" ht="14.4" customHeight="1" x14ac:dyDescent="0.3"/>
    <row r="20477" ht="14.4" customHeight="1" x14ac:dyDescent="0.3"/>
    <row r="20478" ht="14.4" customHeight="1" x14ac:dyDescent="0.3"/>
    <row r="20479" ht="14.4" customHeight="1" x14ac:dyDescent="0.3"/>
    <row r="20480" ht="14.4" customHeight="1" x14ac:dyDescent="0.3"/>
    <row r="20481" ht="14.4" customHeight="1" x14ac:dyDescent="0.3"/>
    <row r="20482" ht="14.4" customHeight="1" x14ac:dyDescent="0.3"/>
    <row r="20483" ht="14.4" customHeight="1" x14ac:dyDescent="0.3"/>
    <row r="20484" ht="14.4" customHeight="1" x14ac:dyDescent="0.3"/>
    <row r="20485" ht="14.4" customHeight="1" x14ac:dyDescent="0.3"/>
    <row r="20486" ht="14.4" customHeight="1" x14ac:dyDescent="0.3"/>
    <row r="20487" ht="14.4" customHeight="1" x14ac:dyDescent="0.3"/>
    <row r="20488" ht="14.4" customHeight="1" x14ac:dyDescent="0.3"/>
    <row r="20489" ht="14.4" customHeight="1" x14ac:dyDescent="0.3"/>
    <row r="20490" ht="14.4" customHeight="1" x14ac:dyDescent="0.3"/>
    <row r="20491" ht="14.4" customHeight="1" x14ac:dyDescent="0.3"/>
    <row r="20492" ht="14.4" customHeight="1" x14ac:dyDescent="0.3"/>
    <row r="20493" ht="14.4" customHeight="1" x14ac:dyDescent="0.3"/>
    <row r="20494" ht="14.4" customHeight="1" x14ac:dyDescent="0.3"/>
    <row r="20495" ht="14.4" customHeight="1" x14ac:dyDescent="0.3"/>
    <row r="20496" ht="14.4" customHeight="1" x14ac:dyDescent="0.3"/>
    <row r="20497" ht="14.4" customHeight="1" x14ac:dyDescent="0.3"/>
    <row r="20498" ht="14.4" customHeight="1" x14ac:dyDescent="0.3"/>
    <row r="20499" ht="14.4" customHeight="1" x14ac:dyDescent="0.3"/>
    <row r="20500" ht="14.4" customHeight="1" x14ac:dyDescent="0.3"/>
    <row r="20501" ht="14.4" customHeight="1" x14ac:dyDescent="0.3"/>
    <row r="20502" ht="14.4" customHeight="1" x14ac:dyDescent="0.3"/>
    <row r="20503" ht="14.4" customHeight="1" x14ac:dyDescent="0.3"/>
    <row r="20504" ht="14.4" customHeight="1" x14ac:dyDescent="0.3"/>
    <row r="20505" ht="14.4" customHeight="1" x14ac:dyDescent="0.3"/>
    <row r="20506" ht="14.4" customHeight="1" x14ac:dyDescent="0.3"/>
    <row r="20507" ht="14.4" customHeight="1" x14ac:dyDescent="0.3"/>
    <row r="20508" ht="14.4" customHeight="1" x14ac:dyDescent="0.3"/>
    <row r="20509" ht="14.4" customHeight="1" x14ac:dyDescent="0.3"/>
    <row r="20510" ht="14.4" customHeight="1" x14ac:dyDescent="0.3"/>
    <row r="20511" ht="14.4" customHeight="1" x14ac:dyDescent="0.3"/>
    <row r="20512" ht="14.4" customHeight="1" x14ac:dyDescent="0.3"/>
    <row r="20513" ht="14.4" customHeight="1" x14ac:dyDescent="0.3"/>
    <row r="20514" ht="14.4" customHeight="1" x14ac:dyDescent="0.3"/>
    <row r="20515" ht="14.4" customHeight="1" x14ac:dyDescent="0.3"/>
    <row r="20516" ht="14.4" customHeight="1" x14ac:dyDescent="0.3"/>
    <row r="20517" ht="14.4" customHeight="1" x14ac:dyDescent="0.3"/>
    <row r="20518" ht="14.4" customHeight="1" x14ac:dyDescent="0.3"/>
    <row r="20519" ht="14.4" customHeight="1" x14ac:dyDescent="0.3"/>
    <row r="20520" ht="14.4" customHeight="1" x14ac:dyDescent="0.3"/>
    <row r="20521" ht="14.4" customHeight="1" x14ac:dyDescent="0.3"/>
    <row r="20522" ht="14.4" customHeight="1" x14ac:dyDescent="0.3"/>
    <row r="20523" ht="14.4" customHeight="1" x14ac:dyDescent="0.3"/>
    <row r="20524" ht="14.4" customHeight="1" x14ac:dyDescent="0.3"/>
    <row r="20525" ht="14.4" customHeight="1" x14ac:dyDescent="0.3"/>
    <row r="20526" ht="14.4" customHeight="1" x14ac:dyDescent="0.3"/>
    <row r="20527" ht="14.4" customHeight="1" x14ac:dyDescent="0.3"/>
    <row r="20528" ht="14.4" customHeight="1" x14ac:dyDescent="0.3"/>
    <row r="20529" ht="14.4" customHeight="1" x14ac:dyDescent="0.3"/>
    <row r="20530" ht="14.4" customHeight="1" x14ac:dyDescent="0.3"/>
    <row r="20531" ht="14.4" customHeight="1" x14ac:dyDescent="0.3"/>
    <row r="20532" ht="14.4" customHeight="1" x14ac:dyDescent="0.3"/>
    <row r="20533" ht="14.4" customHeight="1" x14ac:dyDescent="0.3"/>
    <row r="20534" ht="14.4" customHeight="1" x14ac:dyDescent="0.3"/>
    <row r="20535" ht="14.4" customHeight="1" x14ac:dyDescent="0.3"/>
    <row r="20536" ht="14.4" customHeight="1" x14ac:dyDescent="0.3"/>
    <row r="20537" ht="14.4" customHeight="1" x14ac:dyDescent="0.3"/>
    <row r="20538" ht="14.4" customHeight="1" x14ac:dyDescent="0.3"/>
    <row r="20539" ht="14.4" customHeight="1" x14ac:dyDescent="0.3"/>
    <row r="20540" ht="14.4" customHeight="1" x14ac:dyDescent="0.3"/>
    <row r="20541" ht="14.4" customHeight="1" x14ac:dyDescent="0.3"/>
    <row r="20542" ht="14.4" customHeight="1" x14ac:dyDescent="0.3"/>
    <row r="20543" ht="14.4" customHeight="1" x14ac:dyDescent="0.3"/>
    <row r="20544" ht="14.4" customHeight="1" x14ac:dyDescent="0.3"/>
    <row r="20545" ht="14.4" customHeight="1" x14ac:dyDescent="0.3"/>
    <row r="20546" ht="14.4" customHeight="1" x14ac:dyDescent="0.3"/>
    <row r="20547" ht="14.4" customHeight="1" x14ac:dyDescent="0.3"/>
    <row r="20548" ht="14.4" customHeight="1" x14ac:dyDescent="0.3"/>
    <row r="20549" ht="14.4" customHeight="1" x14ac:dyDescent="0.3"/>
    <row r="20550" ht="14.4" customHeight="1" x14ac:dyDescent="0.3"/>
    <row r="20551" ht="14.4" customHeight="1" x14ac:dyDescent="0.3"/>
    <row r="20552" ht="14.4" customHeight="1" x14ac:dyDescent="0.3"/>
    <row r="20553" ht="14.4" customHeight="1" x14ac:dyDescent="0.3"/>
    <row r="20554" ht="14.4" customHeight="1" x14ac:dyDescent="0.3"/>
    <row r="20555" ht="14.4" customHeight="1" x14ac:dyDescent="0.3"/>
    <row r="20556" ht="14.4" customHeight="1" x14ac:dyDescent="0.3"/>
    <row r="20557" ht="14.4" customHeight="1" x14ac:dyDescent="0.3"/>
    <row r="20558" ht="14.4" customHeight="1" x14ac:dyDescent="0.3"/>
    <row r="20559" ht="14.4" customHeight="1" x14ac:dyDescent="0.3"/>
    <row r="20560" ht="14.4" customHeight="1" x14ac:dyDescent="0.3"/>
    <row r="20561" ht="14.4" customHeight="1" x14ac:dyDescent="0.3"/>
    <row r="20562" ht="14.4" customHeight="1" x14ac:dyDescent="0.3"/>
    <row r="20563" ht="14.4" customHeight="1" x14ac:dyDescent="0.3"/>
    <row r="20564" ht="14.4" customHeight="1" x14ac:dyDescent="0.3"/>
    <row r="20565" ht="14.4" customHeight="1" x14ac:dyDescent="0.3"/>
    <row r="20566" ht="14.4" customHeight="1" x14ac:dyDescent="0.3"/>
    <row r="20567" ht="14.4" customHeight="1" x14ac:dyDescent="0.3"/>
    <row r="20568" ht="14.4" customHeight="1" x14ac:dyDescent="0.3"/>
    <row r="20569" ht="14.4" customHeight="1" x14ac:dyDescent="0.3"/>
    <row r="20570" ht="14.4" customHeight="1" x14ac:dyDescent="0.3"/>
    <row r="20571" ht="14.4" customHeight="1" x14ac:dyDescent="0.3"/>
    <row r="20572" ht="14.4" customHeight="1" x14ac:dyDescent="0.3"/>
    <row r="20573" ht="14.4" customHeight="1" x14ac:dyDescent="0.3"/>
    <row r="20574" ht="14.4" customHeight="1" x14ac:dyDescent="0.3"/>
    <row r="20575" ht="14.4" customHeight="1" x14ac:dyDescent="0.3"/>
    <row r="20576" ht="14.4" customHeight="1" x14ac:dyDescent="0.3"/>
    <row r="20577" ht="14.4" customHeight="1" x14ac:dyDescent="0.3"/>
    <row r="20578" ht="14.4" customHeight="1" x14ac:dyDescent="0.3"/>
    <row r="20579" ht="14.4" customHeight="1" x14ac:dyDescent="0.3"/>
    <row r="20580" ht="14.4" customHeight="1" x14ac:dyDescent="0.3"/>
    <row r="20581" ht="14.4" customHeight="1" x14ac:dyDescent="0.3"/>
    <row r="20582" ht="14.4" customHeight="1" x14ac:dyDescent="0.3"/>
    <row r="20583" ht="14.4" customHeight="1" x14ac:dyDescent="0.3"/>
    <row r="20584" ht="14.4" customHeight="1" x14ac:dyDescent="0.3"/>
    <row r="20585" ht="14.4" customHeight="1" x14ac:dyDescent="0.3"/>
    <row r="20586" ht="14.4" customHeight="1" x14ac:dyDescent="0.3"/>
    <row r="20587" ht="14.4" customHeight="1" x14ac:dyDescent="0.3"/>
    <row r="20588" ht="14.4" customHeight="1" x14ac:dyDescent="0.3"/>
    <row r="20589" ht="14.4" customHeight="1" x14ac:dyDescent="0.3"/>
    <row r="20590" ht="14.4" customHeight="1" x14ac:dyDescent="0.3"/>
    <row r="20591" ht="14.4" customHeight="1" x14ac:dyDescent="0.3"/>
    <row r="20592" ht="14.4" customHeight="1" x14ac:dyDescent="0.3"/>
    <row r="20593" ht="14.4" customHeight="1" x14ac:dyDescent="0.3"/>
    <row r="20594" ht="14.4" customHeight="1" x14ac:dyDescent="0.3"/>
    <row r="20595" ht="14.4" customHeight="1" x14ac:dyDescent="0.3"/>
    <row r="20596" ht="14.4" customHeight="1" x14ac:dyDescent="0.3"/>
    <row r="20597" ht="14.4" customHeight="1" x14ac:dyDescent="0.3"/>
    <row r="20598" ht="14.4" customHeight="1" x14ac:dyDescent="0.3"/>
    <row r="20599" ht="14.4" customHeight="1" x14ac:dyDescent="0.3"/>
    <row r="20600" ht="14.4" customHeight="1" x14ac:dyDescent="0.3"/>
    <row r="20601" ht="14.4" customHeight="1" x14ac:dyDescent="0.3"/>
    <row r="20602" ht="14.4" customHeight="1" x14ac:dyDescent="0.3"/>
    <row r="20603" ht="14.4" customHeight="1" x14ac:dyDescent="0.3"/>
    <row r="20604" ht="14.4" customHeight="1" x14ac:dyDescent="0.3"/>
    <row r="20605" ht="14.4" customHeight="1" x14ac:dyDescent="0.3"/>
    <row r="20606" ht="14.4" customHeight="1" x14ac:dyDescent="0.3"/>
    <row r="20607" ht="14.4" customHeight="1" x14ac:dyDescent="0.3"/>
    <row r="20608" ht="14.4" customHeight="1" x14ac:dyDescent="0.3"/>
    <row r="20609" ht="14.4" customHeight="1" x14ac:dyDescent="0.3"/>
    <row r="20610" ht="14.4" customHeight="1" x14ac:dyDescent="0.3"/>
    <row r="20611" ht="14.4" customHeight="1" x14ac:dyDescent="0.3"/>
    <row r="20612" ht="14.4" customHeight="1" x14ac:dyDescent="0.3"/>
    <row r="20613" ht="14.4" customHeight="1" x14ac:dyDescent="0.3"/>
    <row r="20614" ht="14.4" customHeight="1" x14ac:dyDescent="0.3"/>
    <row r="20615" ht="14.4" customHeight="1" x14ac:dyDescent="0.3"/>
    <row r="20616" ht="14.4" customHeight="1" x14ac:dyDescent="0.3"/>
    <row r="20617" ht="14.4" customHeight="1" x14ac:dyDescent="0.3"/>
    <row r="20618" ht="14.4" customHeight="1" x14ac:dyDescent="0.3"/>
    <row r="20619" ht="14.4" customHeight="1" x14ac:dyDescent="0.3"/>
    <row r="20620" ht="14.4" customHeight="1" x14ac:dyDescent="0.3"/>
    <row r="20621" ht="14.4" customHeight="1" x14ac:dyDescent="0.3"/>
    <row r="20622" ht="14.4" customHeight="1" x14ac:dyDescent="0.3"/>
    <row r="20623" ht="14.4" customHeight="1" x14ac:dyDescent="0.3"/>
    <row r="20624" ht="14.4" customHeight="1" x14ac:dyDescent="0.3"/>
    <row r="20625" ht="14.4" customHeight="1" x14ac:dyDescent="0.3"/>
    <row r="20626" ht="14.4" customHeight="1" x14ac:dyDescent="0.3"/>
    <row r="20627" ht="14.4" customHeight="1" x14ac:dyDescent="0.3"/>
    <row r="20628" ht="14.4" customHeight="1" x14ac:dyDescent="0.3"/>
    <row r="20629" ht="14.4" customHeight="1" x14ac:dyDescent="0.3"/>
    <row r="20630" ht="14.4" customHeight="1" x14ac:dyDescent="0.3"/>
    <row r="20631" ht="14.4" customHeight="1" x14ac:dyDescent="0.3"/>
    <row r="20632" ht="14.4" customHeight="1" x14ac:dyDescent="0.3"/>
    <row r="20633" ht="14.4" customHeight="1" x14ac:dyDescent="0.3"/>
    <row r="20634" ht="14.4" customHeight="1" x14ac:dyDescent="0.3"/>
    <row r="20635" ht="14.4" customHeight="1" x14ac:dyDescent="0.3"/>
    <row r="20636" ht="14.4" customHeight="1" x14ac:dyDescent="0.3"/>
    <row r="20637" ht="14.4" customHeight="1" x14ac:dyDescent="0.3"/>
    <row r="20638" ht="14.4" customHeight="1" x14ac:dyDescent="0.3"/>
    <row r="20639" ht="14.4" customHeight="1" x14ac:dyDescent="0.3"/>
    <row r="20640" ht="14.4" customHeight="1" x14ac:dyDescent="0.3"/>
    <row r="20641" ht="14.4" customHeight="1" x14ac:dyDescent="0.3"/>
    <row r="20642" ht="14.4" customHeight="1" x14ac:dyDescent="0.3"/>
    <row r="20643" ht="14.4" customHeight="1" x14ac:dyDescent="0.3"/>
    <row r="20644" ht="14.4" customHeight="1" x14ac:dyDescent="0.3"/>
    <row r="20645" ht="14.4" customHeight="1" x14ac:dyDescent="0.3"/>
    <row r="20646" ht="14.4" customHeight="1" x14ac:dyDescent="0.3"/>
    <row r="20647" ht="14.4" customHeight="1" x14ac:dyDescent="0.3"/>
    <row r="20648" ht="14.4" customHeight="1" x14ac:dyDescent="0.3"/>
    <row r="20649" ht="14.4" customHeight="1" x14ac:dyDescent="0.3"/>
    <row r="20650" ht="14.4" customHeight="1" x14ac:dyDescent="0.3"/>
    <row r="20651" ht="14.4" customHeight="1" x14ac:dyDescent="0.3"/>
    <row r="20652" ht="14.4" customHeight="1" x14ac:dyDescent="0.3"/>
    <row r="20653" ht="14.4" customHeight="1" x14ac:dyDescent="0.3"/>
    <row r="20654" ht="14.4" customHeight="1" x14ac:dyDescent="0.3"/>
    <row r="20655" ht="14.4" customHeight="1" x14ac:dyDescent="0.3"/>
    <row r="20656" ht="14.4" customHeight="1" x14ac:dyDescent="0.3"/>
    <row r="20657" ht="14.4" customHeight="1" x14ac:dyDescent="0.3"/>
    <row r="20658" ht="14.4" customHeight="1" x14ac:dyDescent="0.3"/>
    <row r="20659" ht="14.4" customHeight="1" x14ac:dyDescent="0.3"/>
    <row r="20660" ht="14.4" customHeight="1" x14ac:dyDescent="0.3"/>
    <row r="20661" ht="14.4" customHeight="1" x14ac:dyDescent="0.3"/>
    <row r="20662" ht="14.4" customHeight="1" x14ac:dyDescent="0.3"/>
    <row r="20663" ht="14.4" customHeight="1" x14ac:dyDescent="0.3"/>
    <row r="20664" ht="14.4" customHeight="1" x14ac:dyDescent="0.3"/>
    <row r="20665" ht="14.4" customHeight="1" x14ac:dyDescent="0.3"/>
    <row r="20666" ht="14.4" customHeight="1" x14ac:dyDescent="0.3"/>
    <row r="20667" ht="14.4" customHeight="1" x14ac:dyDescent="0.3"/>
    <row r="20668" ht="14.4" customHeight="1" x14ac:dyDescent="0.3"/>
    <row r="20669" ht="14.4" customHeight="1" x14ac:dyDescent="0.3"/>
    <row r="20670" ht="14.4" customHeight="1" x14ac:dyDescent="0.3"/>
    <row r="20671" ht="14.4" customHeight="1" x14ac:dyDescent="0.3"/>
    <row r="20672" ht="14.4" customHeight="1" x14ac:dyDescent="0.3"/>
    <row r="20673" ht="14.4" customHeight="1" x14ac:dyDescent="0.3"/>
    <row r="20674" ht="14.4" customHeight="1" x14ac:dyDescent="0.3"/>
    <row r="20675" ht="14.4" customHeight="1" x14ac:dyDescent="0.3"/>
    <row r="20676" ht="14.4" customHeight="1" x14ac:dyDescent="0.3"/>
    <row r="20677" ht="14.4" customHeight="1" x14ac:dyDescent="0.3"/>
    <row r="20678" ht="14.4" customHeight="1" x14ac:dyDescent="0.3"/>
    <row r="20679" ht="14.4" customHeight="1" x14ac:dyDescent="0.3"/>
    <row r="20680" ht="14.4" customHeight="1" x14ac:dyDescent="0.3"/>
    <row r="20681" ht="14.4" customHeight="1" x14ac:dyDescent="0.3"/>
    <row r="20682" ht="14.4" customHeight="1" x14ac:dyDescent="0.3"/>
    <row r="20683" ht="14.4" customHeight="1" x14ac:dyDescent="0.3"/>
    <row r="20684" ht="14.4" customHeight="1" x14ac:dyDescent="0.3"/>
    <row r="20685" ht="14.4" customHeight="1" x14ac:dyDescent="0.3"/>
    <row r="20686" ht="14.4" customHeight="1" x14ac:dyDescent="0.3"/>
    <row r="20687" ht="14.4" customHeight="1" x14ac:dyDescent="0.3"/>
    <row r="20688" ht="14.4" customHeight="1" x14ac:dyDescent="0.3"/>
    <row r="20689" ht="14.4" customHeight="1" x14ac:dyDescent="0.3"/>
    <row r="20690" ht="14.4" customHeight="1" x14ac:dyDescent="0.3"/>
    <row r="20691" ht="14.4" customHeight="1" x14ac:dyDescent="0.3"/>
    <row r="20692" ht="14.4" customHeight="1" x14ac:dyDescent="0.3"/>
    <row r="20693" ht="14.4" customHeight="1" x14ac:dyDescent="0.3"/>
    <row r="20694" ht="14.4" customHeight="1" x14ac:dyDescent="0.3"/>
    <row r="20695" ht="14.4" customHeight="1" x14ac:dyDescent="0.3"/>
    <row r="20696" ht="14.4" customHeight="1" x14ac:dyDescent="0.3"/>
    <row r="20697" ht="14.4" customHeight="1" x14ac:dyDescent="0.3"/>
    <row r="20698" ht="14.4" customHeight="1" x14ac:dyDescent="0.3"/>
    <row r="20699" ht="14.4" customHeight="1" x14ac:dyDescent="0.3"/>
    <row r="20700" ht="14.4" customHeight="1" x14ac:dyDescent="0.3"/>
    <row r="20701" ht="14.4" customHeight="1" x14ac:dyDescent="0.3"/>
    <row r="20702" ht="14.4" customHeight="1" x14ac:dyDescent="0.3"/>
    <row r="20703" ht="14.4" customHeight="1" x14ac:dyDescent="0.3"/>
    <row r="20704" ht="14.4" customHeight="1" x14ac:dyDescent="0.3"/>
    <row r="20705" ht="14.4" customHeight="1" x14ac:dyDescent="0.3"/>
    <row r="20706" ht="14.4" customHeight="1" x14ac:dyDescent="0.3"/>
    <row r="20707" ht="14.4" customHeight="1" x14ac:dyDescent="0.3"/>
    <row r="20708" ht="14.4" customHeight="1" x14ac:dyDescent="0.3"/>
    <row r="20709" ht="14.4" customHeight="1" x14ac:dyDescent="0.3"/>
    <row r="20710" ht="14.4" customHeight="1" x14ac:dyDescent="0.3"/>
    <row r="20711" ht="14.4" customHeight="1" x14ac:dyDescent="0.3"/>
    <row r="20712" ht="14.4" customHeight="1" x14ac:dyDescent="0.3"/>
    <row r="20713" ht="14.4" customHeight="1" x14ac:dyDescent="0.3"/>
    <row r="20714" ht="14.4" customHeight="1" x14ac:dyDescent="0.3"/>
    <row r="20715" ht="14.4" customHeight="1" x14ac:dyDescent="0.3"/>
    <row r="20716" ht="14.4" customHeight="1" x14ac:dyDescent="0.3"/>
    <row r="20717" ht="14.4" customHeight="1" x14ac:dyDescent="0.3"/>
    <row r="20718" ht="14.4" customHeight="1" x14ac:dyDescent="0.3"/>
    <row r="20719" ht="14.4" customHeight="1" x14ac:dyDescent="0.3"/>
    <row r="20720" ht="14.4" customHeight="1" x14ac:dyDescent="0.3"/>
    <row r="20721" ht="14.4" customHeight="1" x14ac:dyDescent="0.3"/>
    <row r="20722" ht="14.4" customHeight="1" x14ac:dyDescent="0.3"/>
    <row r="20723" ht="14.4" customHeight="1" x14ac:dyDescent="0.3"/>
    <row r="20724" ht="14.4" customHeight="1" x14ac:dyDescent="0.3"/>
    <row r="20725" ht="14.4" customHeight="1" x14ac:dyDescent="0.3"/>
    <row r="20726" ht="14.4" customHeight="1" x14ac:dyDescent="0.3"/>
    <row r="20727" ht="14.4" customHeight="1" x14ac:dyDescent="0.3"/>
    <row r="20728" ht="14.4" customHeight="1" x14ac:dyDescent="0.3"/>
    <row r="20729" ht="14.4" customHeight="1" x14ac:dyDescent="0.3"/>
    <row r="20730" ht="14.4" customHeight="1" x14ac:dyDescent="0.3"/>
    <row r="20731" ht="14.4" customHeight="1" x14ac:dyDescent="0.3"/>
    <row r="20732" ht="14.4" customHeight="1" x14ac:dyDescent="0.3"/>
    <row r="20733" ht="14.4" customHeight="1" x14ac:dyDescent="0.3"/>
    <row r="20734" ht="14.4" customHeight="1" x14ac:dyDescent="0.3"/>
    <row r="20735" ht="14.4" customHeight="1" x14ac:dyDescent="0.3"/>
    <row r="20736" ht="14.4" customHeight="1" x14ac:dyDescent="0.3"/>
    <row r="20737" ht="14.4" customHeight="1" x14ac:dyDescent="0.3"/>
    <row r="20738" ht="14.4" customHeight="1" x14ac:dyDescent="0.3"/>
    <row r="20739" ht="14.4" customHeight="1" x14ac:dyDescent="0.3"/>
    <row r="20740" ht="14.4" customHeight="1" x14ac:dyDescent="0.3"/>
    <row r="20741" ht="14.4" customHeight="1" x14ac:dyDescent="0.3"/>
    <row r="20742" ht="14.4" customHeight="1" x14ac:dyDescent="0.3"/>
    <row r="20743" ht="14.4" customHeight="1" x14ac:dyDescent="0.3"/>
    <row r="20744" ht="14.4" customHeight="1" x14ac:dyDescent="0.3"/>
    <row r="20745" ht="14.4" customHeight="1" x14ac:dyDescent="0.3"/>
    <row r="20746" ht="14.4" customHeight="1" x14ac:dyDescent="0.3"/>
    <row r="20747" ht="14.4" customHeight="1" x14ac:dyDescent="0.3"/>
    <row r="20748" ht="14.4" customHeight="1" x14ac:dyDescent="0.3"/>
    <row r="20749" ht="14.4" customHeight="1" x14ac:dyDescent="0.3"/>
    <row r="20750" ht="14.4" customHeight="1" x14ac:dyDescent="0.3"/>
    <row r="20751" ht="14.4" customHeight="1" x14ac:dyDescent="0.3"/>
    <row r="20752" ht="14.4" customHeight="1" x14ac:dyDescent="0.3"/>
    <row r="20753" ht="14.4" customHeight="1" x14ac:dyDescent="0.3"/>
    <row r="20754" ht="14.4" customHeight="1" x14ac:dyDescent="0.3"/>
    <row r="20755" ht="14.4" customHeight="1" x14ac:dyDescent="0.3"/>
    <row r="20756" ht="14.4" customHeight="1" x14ac:dyDescent="0.3"/>
    <row r="20757" ht="14.4" customHeight="1" x14ac:dyDescent="0.3"/>
    <row r="20758" ht="14.4" customHeight="1" x14ac:dyDescent="0.3"/>
    <row r="20759" ht="14.4" customHeight="1" x14ac:dyDescent="0.3"/>
    <row r="20760" ht="14.4" customHeight="1" x14ac:dyDescent="0.3"/>
    <row r="20761" ht="14.4" customHeight="1" x14ac:dyDescent="0.3"/>
    <row r="20762" ht="14.4" customHeight="1" x14ac:dyDescent="0.3"/>
    <row r="20763" ht="14.4" customHeight="1" x14ac:dyDescent="0.3"/>
    <row r="20764" ht="14.4" customHeight="1" x14ac:dyDescent="0.3"/>
    <row r="20765" ht="14.4" customHeight="1" x14ac:dyDescent="0.3"/>
    <row r="20766" ht="14.4" customHeight="1" x14ac:dyDescent="0.3"/>
    <row r="20767" ht="14.4" customHeight="1" x14ac:dyDescent="0.3"/>
    <row r="20768" ht="14.4" customHeight="1" x14ac:dyDescent="0.3"/>
    <row r="20769" ht="14.4" customHeight="1" x14ac:dyDescent="0.3"/>
    <row r="20770" ht="14.4" customHeight="1" x14ac:dyDescent="0.3"/>
    <row r="20771" ht="14.4" customHeight="1" x14ac:dyDescent="0.3"/>
    <row r="20772" ht="14.4" customHeight="1" x14ac:dyDescent="0.3"/>
    <row r="20773" ht="14.4" customHeight="1" x14ac:dyDescent="0.3"/>
    <row r="20774" ht="14.4" customHeight="1" x14ac:dyDescent="0.3"/>
    <row r="20775" ht="14.4" customHeight="1" x14ac:dyDescent="0.3"/>
    <row r="20776" ht="14.4" customHeight="1" x14ac:dyDescent="0.3"/>
    <row r="20777" ht="14.4" customHeight="1" x14ac:dyDescent="0.3"/>
    <row r="20778" ht="14.4" customHeight="1" x14ac:dyDescent="0.3"/>
    <row r="20779" ht="14.4" customHeight="1" x14ac:dyDescent="0.3"/>
    <row r="20780" ht="14.4" customHeight="1" x14ac:dyDescent="0.3"/>
    <row r="20781" ht="14.4" customHeight="1" x14ac:dyDescent="0.3"/>
    <row r="20782" ht="14.4" customHeight="1" x14ac:dyDescent="0.3"/>
    <row r="20783" ht="14.4" customHeight="1" x14ac:dyDescent="0.3"/>
    <row r="20784" ht="14.4" customHeight="1" x14ac:dyDescent="0.3"/>
    <row r="20785" ht="14.4" customHeight="1" x14ac:dyDescent="0.3"/>
    <row r="20786" ht="14.4" customHeight="1" x14ac:dyDescent="0.3"/>
    <row r="20787" ht="14.4" customHeight="1" x14ac:dyDescent="0.3"/>
    <row r="20788" ht="14.4" customHeight="1" x14ac:dyDescent="0.3"/>
    <row r="20789" ht="14.4" customHeight="1" x14ac:dyDescent="0.3"/>
    <row r="20790" ht="14.4" customHeight="1" x14ac:dyDescent="0.3"/>
    <row r="20791" ht="14.4" customHeight="1" x14ac:dyDescent="0.3"/>
    <row r="20792" ht="14.4" customHeight="1" x14ac:dyDescent="0.3"/>
    <row r="20793" ht="14.4" customHeight="1" x14ac:dyDescent="0.3"/>
    <row r="20794" ht="14.4" customHeight="1" x14ac:dyDescent="0.3"/>
    <row r="20795" ht="14.4" customHeight="1" x14ac:dyDescent="0.3"/>
    <row r="20796" ht="14.4" customHeight="1" x14ac:dyDescent="0.3"/>
    <row r="20797" ht="14.4" customHeight="1" x14ac:dyDescent="0.3"/>
    <row r="20798" ht="14.4" customHeight="1" x14ac:dyDescent="0.3"/>
    <row r="20799" ht="14.4" customHeight="1" x14ac:dyDescent="0.3"/>
    <row r="20800" ht="14.4" customHeight="1" x14ac:dyDescent="0.3"/>
    <row r="20801" ht="14.4" customHeight="1" x14ac:dyDescent="0.3"/>
    <row r="20802" ht="14.4" customHeight="1" x14ac:dyDescent="0.3"/>
    <row r="20803" ht="14.4" customHeight="1" x14ac:dyDescent="0.3"/>
    <row r="20804" ht="14.4" customHeight="1" x14ac:dyDescent="0.3"/>
    <row r="20805" ht="14.4" customHeight="1" x14ac:dyDescent="0.3"/>
    <row r="20806" ht="14.4" customHeight="1" x14ac:dyDescent="0.3"/>
    <row r="20807" ht="14.4" customHeight="1" x14ac:dyDescent="0.3"/>
    <row r="20808" ht="14.4" customHeight="1" x14ac:dyDescent="0.3"/>
    <row r="20809" ht="14.4" customHeight="1" x14ac:dyDescent="0.3"/>
    <row r="20810" ht="14.4" customHeight="1" x14ac:dyDescent="0.3"/>
    <row r="20811" ht="14.4" customHeight="1" x14ac:dyDescent="0.3"/>
    <row r="20812" ht="14.4" customHeight="1" x14ac:dyDescent="0.3"/>
    <row r="20813" ht="14.4" customHeight="1" x14ac:dyDescent="0.3"/>
    <row r="20814" ht="14.4" customHeight="1" x14ac:dyDescent="0.3"/>
    <row r="20815" ht="14.4" customHeight="1" x14ac:dyDescent="0.3"/>
    <row r="20816" ht="14.4" customHeight="1" x14ac:dyDescent="0.3"/>
    <row r="20817" ht="14.4" customHeight="1" x14ac:dyDescent="0.3"/>
    <row r="20818" ht="14.4" customHeight="1" x14ac:dyDescent="0.3"/>
    <row r="20819" ht="14.4" customHeight="1" x14ac:dyDescent="0.3"/>
    <row r="20820" ht="14.4" customHeight="1" x14ac:dyDescent="0.3"/>
    <row r="20821" ht="14.4" customHeight="1" x14ac:dyDescent="0.3"/>
    <row r="20822" ht="14.4" customHeight="1" x14ac:dyDescent="0.3"/>
    <row r="20823" ht="14.4" customHeight="1" x14ac:dyDescent="0.3"/>
    <row r="20824" ht="14.4" customHeight="1" x14ac:dyDescent="0.3"/>
    <row r="20825" ht="14.4" customHeight="1" x14ac:dyDescent="0.3"/>
    <row r="20826" ht="14.4" customHeight="1" x14ac:dyDescent="0.3"/>
    <row r="20827" ht="14.4" customHeight="1" x14ac:dyDescent="0.3"/>
    <row r="20828" ht="14.4" customHeight="1" x14ac:dyDescent="0.3"/>
    <row r="20829" ht="14.4" customHeight="1" x14ac:dyDescent="0.3"/>
    <row r="20830" ht="14.4" customHeight="1" x14ac:dyDescent="0.3"/>
    <row r="20831" ht="14.4" customHeight="1" x14ac:dyDescent="0.3"/>
    <row r="20832" ht="14.4" customHeight="1" x14ac:dyDescent="0.3"/>
    <row r="20833" ht="14.4" customHeight="1" x14ac:dyDescent="0.3"/>
    <row r="20834" ht="14.4" customHeight="1" x14ac:dyDescent="0.3"/>
    <row r="20835" ht="14.4" customHeight="1" x14ac:dyDescent="0.3"/>
    <row r="20836" ht="14.4" customHeight="1" x14ac:dyDescent="0.3"/>
    <row r="20837" ht="14.4" customHeight="1" x14ac:dyDescent="0.3"/>
    <row r="20838" ht="14.4" customHeight="1" x14ac:dyDescent="0.3"/>
    <row r="20839" ht="14.4" customHeight="1" x14ac:dyDescent="0.3"/>
    <row r="20840" ht="14.4" customHeight="1" x14ac:dyDescent="0.3"/>
    <row r="20841" ht="14.4" customHeight="1" x14ac:dyDescent="0.3"/>
    <row r="20842" ht="14.4" customHeight="1" x14ac:dyDescent="0.3"/>
    <row r="20843" ht="14.4" customHeight="1" x14ac:dyDescent="0.3"/>
    <row r="20844" ht="14.4" customHeight="1" x14ac:dyDescent="0.3"/>
    <row r="20845" ht="14.4" customHeight="1" x14ac:dyDescent="0.3"/>
    <row r="20846" ht="14.4" customHeight="1" x14ac:dyDescent="0.3"/>
    <row r="20847" ht="14.4" customHeight="1" x14ac:dyDescent="0.3"/>
    <row r="20848" ht="14.4" customHeight="1" x14ac:dyDescent="0.3"/>
    <row r="20849" ht="14.4" customHeight="1" x14ac:dyDescent="0.3"/>
    <row r="20850" ht="14.4" customHeight="1" x14ac:dyDescent="0.3"/>
    <row r="20851" ht="14.4" customHeight="1" x14ac:dyDescent="0.3"/>
    <row r="20852" ht="14.4" customHeight="1" x14ac:dyDescent="0.3"/>
    <row r="20853" ht="14.4" customHeight="1" x14ac:dyDescent="0.3"/>
    <row r="20854" ht="14.4" customHeight="1" x14ac:dyDescent="0.3"/>
    <row r="20855" ht="14.4" customHeight="1" x14ac:dyDescent="0.3"/>
    <row r="20856" ht="14.4" customHeight="1" x14ac:dyDescent="0.3"/>
    <row r="20857" ht="14.4" customHeight="1" x14ac:dyDescent="0.3"/>
    <row r="20858" ht="14.4" customHeight="1" x14ac:dyDescent="0.3"/>
    <row r="20859" ht="14.4" customHeight="1" x14ac:dyDescent="0.3"/>
    <row r="20860" ht="14.4" customHeight="1" x14ac:dyDescent="0.3"/>
    <row r="20861" ht="14.4" customHeight="1" x14ac:dyDescent="0.3"/>
    <row r="20862" ht="14.4" customHeight="1" x14ac:dyDescent="0.3"/>
    <row r="20863" ht="14.4" customHeight="1" x14ac:dyDescent="0.3"/>
    <row r="20864" ht="14.4" customHeight="1" x14ac:dyDescent="0.3"/>
    <row r="20865" ht="14.4" customHeight="1" x14ac:dyDescent="0.3"/>
    <row r="20866" ht="14.4" customHeight="1" x14ac:dyDescent="0.3"/>
    <row r="20867" ht="14.4" customHeight="1" x14ac:dyDescent="0.3"/>
    <row r="20868" ht="14.4" customHeight="1" x14ac:dyDescent="0.3"/>
    <row r="20869" ht="14.4" customHeight="1" x14ac:dyDescent="0.3"/>
    <row r="20870" ht="14.4" customHeight="1" x14ac:dyDescent="0.3"/>
    <row r="20871" ht="14.4" customHeight="1" x14ac:dyDescent="0.3"/>
    <row r="20872" ht="14.4" customHeight="1" x14ac:dyDescent="0.3"/>
    <row r="20873" ht="14.4" customHeight="1" x14ac:dyDescent="0.3"/>
    <row r="20874" ht="14.4" customHeight="1" x14ac:dyDescent="0.3"/>
    <row r="20875" ht="14.4" customHeight="1" x14ac:dyDescent="0.3"/>
    <row r="20876" ht="14.4" customHeight="1" x14ac:dyDescent="0.3"/>
    <row r="20877" ht="14.4" customHeight="1" x14ac:dyDescent="0.3"/>
    <row r="20878" ht="14.4" customHeight="1" x14ac:dyDescent="0.3"/>
    <row r="20879" ht="14.4" customHeight="1" x14ac:dyDescent="0.3"/>
    <row r="20880" ht="14.4" customHeight="1" x14ac:dyDescent="0.3"/>
    <row r="20881" ht="14.4" customHeight="1" x14ac:dyDescent="0.3"/>
    <row r="20882" ht="14.4" customHeight="1" x14ac:dyDescent="0.3"/>
    <row r="20883" ht="14.4" customHeight="1" x14ac:dyDescent="0.3"/>
    <row r="20884" ht="14.4" customHeight="1" x14ac:dyDescent="0.3"/>
    <row r="20885" ht="14.4" customHeight="1" x14ac:dyDescent="0.3"/>
    <row r="20886" ht="14.4" customHeight="1" x14ac:dyDescent="0.3"/>
    <row r="20887" ht="14.4" customHeight="1" x14ac:dyDescent="0.3"/>
    <row r="20888" ht="14.4" customHeight="1" x14ac:dyDescent="0.3"/>
    <row r="20889" ht="14.4" customHeight="1" x14ac:dyDescent="0.3"/>
    <row r="20890" ht="14.4" customHeight="1" x14ac:dyDescent="0.3"/>
    <row r="20891" ht="14.4" customHeight="1" x14ac:dyDescent="0.3"/>
    <row r="20892" ht="14.4" customHeight="1" x14ac:dyDescent="0.3"/>
    <row r="20893" ht="14.4" customHeight="1" x14ac:dyDescent="0.3"/>
    <row r="20894" ht="14.4" customHeight="1" x14ac:dyDescent="0.3"/>
    <row r="20895" ht="14.4" customHeight="1" x14ac:dyDescent="0.3"/>
    <row r="20896" ht="14.4" customHeight="1" x14ac:dyDescent="0.3"/>
    <row r="20897" ht="14.4" customHeight="1" x14ac:dyDescent="0.3"/>
    <row r="20898" ht="14.4" customHeight="1" x14ac:dyDescent="0.3"/>
    <row r="20899" ht="14.4" customHeight="1" x14ac:dyDescent="0.3"/>
    <row r="20900" ht="14.4" customHeight="1" x14ac:dyDescent="0.3"/>
    <row r="20901" ht="14.4" customHeight="1" x14ac:dyDescent="0.3"/>
    <row r="20902" ht="14.4" customHeight="1" x14ac:dyDescent="0.3"/>
    <row r="20903" ht="14.4" customHeight="1" x14ac:dyDescent="0.3"/>
    <row r="20904" ht="14.4" customHeight="1" x14ac:dyDescent="0.3"/>
    <row r="20905" ht="14.4" customHeight="1" x14ac:dyDescent="0.3"/>
    <row r="20906" ht="14.4" customHeight="1" x14ac:dyDescent="0.3"/>
    <row r="20907" ht="14.4" customHeight="1" x14ac:dyDescent="0.3"/>
    <row r="20908" ht="14.4" customHeight="1" x14ac:dyDescent="0.3"/>
    <row r="20909" ht="14.4" customHeight="1" x14ac:dyDescent="0.3"/>
    <row r="20910" ht="14.4" customHeight="1" x14ac:dyDescent="0.3"/>
    <row r="20911" ht="14.4" customHeight="1" x14ac:dyDescent="0.3"/>
    <row r="20912" ht="14.4" customHeight="1" x14ac:dyDescent="0.3"/>
    <row r="20913" ht="14.4" customHeight="1" x14ac:dyDescent="0.3"/>
    <row r="20914" ht="14.4" customHeight="1" x14ac:dyDescent="0.3"/>
    <row r="20915" ht="14.4" customHeight="1" x14ac:dyDescent="0.3"/>
    <row r="20916" ht="14.4" customHeight="1" x14ac:dyDescent="0.3"/>
    <row r="20917" ht="14.4" customHeight="1" x14ac:dyDescent="0.3"/>
    <row r="20918" ht="14.4" customHeight="1" x14ac:dyDescent="0.3"/>
    <row r="20919" ht="14.4" customHeight="1" x14ac:dyDescent="0.3"/>
    <row r="20920" ht="14.4" customHeight="1" x14ac:dyDescent="0.3"/>
    <row r="20921" ht="14.4" customHeight="1" x14ac:dyDescent="0.3"/>
    <row r="20922" ht="14.4" customHeight="1" x14ac:dyDescent="0.3"/>
    <row r="20923" ht="14.4" customHeight="1" x14ac:dyDescent="0.3"/>
    <row r="20924" ht="14.4" customHeight="1" x14ac:dyDescent="0.3"/>
    <row r="20925" ht="14.4" customHeight="1" x14ac:dyDescent="0.3"/>
    <row r="20926" ht="14.4" customHeight="1" x14ac:dyDescent="0.3"/>
    <row r="20927" ht="14.4" customHeight="1" x14ac:dyDescent="0.3"/>
    <row r="20928" ht="14.4" customHeight="1" x14ac:dyDescent="0.3"/>
    <row r="20929" ht="14.4" customHeight="1" x14ac:dyDescent="0.3"/>
    <row r="20930" ht="14.4" customHeight="1" x14ac:dyDescent="0.3"/>
    <row r="20931" ht="14.4" customHeight="1" x14ac:dyDescent="0.3"/>
    <row r="20932" ht="14.4" customHeight="1" x14ac:dyDescent="0.3"/>
    <row r="20933" ht="14.4" customHeight="1" x14ac:dyDescent="0.3"/>
    <row r="20934" ht="14.4" customHeight="1" x14ac:dyDescent="0.3"/>
    <row r="20935" ht="14.4" customHeight="1" x14ac:dyDescent="0.3"/>
    <row r="20936" ht="14.4" customHeight="1" x14ac:dyDescent="0.3"/>
    <row r="20937" ht="14.4" customHeight="1" x14ac:dyDescent="0.3"/>
    <row r="20938" ht="14.4" customHeight="1" x14ac:dyDescent="0.3"/>
    <row r="20939" ht="14.4" customHeight="1" x14ac:dyDescent="0.3"/>
    <row r="20940" ht="14.4" customHeight="1" x14ac:dyDescent="0.3"/>
    <row r="20941" ht="14.4" customHeight="1" x14ac:dyDescent="0.3"/>
    <row r="20942" ht="14.4" customHeight="1" x14ac:dyDescent="0.3"/>
    <row r="20943" ht="14.4" customHeight="1" x14ac:dyDescent="0.3"/>
    <row r="20944" ht="14.4" customHeight="1" x14ac:dyDescent="0.3"/>
    <row r="20945" ht="14.4" customHeight="1" x14ac:dyDescent="0.3"/>
    <row r="20946" ht="14.4" customHeight="1" x14ac:dyDescent="0.3"/>
    <row r="20947" ht="14.4" customHeight="1" x14ac:dyDescent="0.3"/>
    <row r="20948" ht="14.4" customHeight="1" x14ac:dyDescent="0.3"/>
    <row r="20949" ht="14.4" customHeight="1" x14ac:dyDescent="0.3"/>
    <row r="20950" ht="14.4" customHeight="1" x14ac:dyDescent="0.3"/>
    <row r="20951" ht="14.4" customHeight="1" x14ac:dyDescent="0.3"/>
    <row r="20952" ht="14.4" customHeight="1" x14ac:dyDescent="0.3"/>
    <row r="20953" ht="14.4" customHeight="1" x14ac:dyDescent="0.3"/>
    <row r="20954" ht="14.4" customHeight="1" x14ac:dyDescent="0.3"/>
    <row r="20955" ht="14.4" customHeight="1" x14ac:dyDescent="0.3"/>
    <row r="20956" ht="14.4" customHeight="1" x14ac:dyDescent="0.3"/>
    <row r="20957" ht="14.4" customHeight="1" x14ac:dyDescent="0.3"/>
    <row r="20958" ht="14.4" customHeight="1" x14ac:dyDescent="0.3"/>
    <row r="20959" ht="14.4" customHeight="1" x14ac:dyDescent="0.3"/>
    <row r="20960" ht="14.4" customHeight="1" x14ac:dyDescent="0.3"/>
    <row r="20961" ht="14.4" customHeight="1" x14ac:dyDescent="0.3"/>
    <row r="20962" ht="14.4" customHeight="1" x14ac:dyDescent="0.3"/>
    <row r="20963" ht="14.4" customHeight="1" x14ac:dyDescent="0.3"/>
    <row r="20964" ht="14.4" customHeight="1" x14ac:dyDescent="0.3"/>
    <row r="20965" ht="14.4" customHeight="1" x14ac:dyDescent="0.3"/>
    <row r="20966" ht="14.4" customHeight="1" x14ac:dyDescent="0.3"/>
    <row r="20967" ht="14.4" customHeight="1" x14ac:dyDescent="0.3"/>
    <row r="20968" ht="14.4" customHeight="1" x14ac:dyDescent="0.3"/>
    <row r="20969" ht="14.4" customHeight="1" x14ac:dyDescent="0.3"/>
    <row r="20970" ht="14.4" customHeight="1" x14ac:dyDescent="0.3"/>
    <row r="20971" ht="14.4" customHeight="1" x14ac:dyDescent="0.3"/>
    <row r="20972" ht="14.4" customHeight="1" x14ac:dyDescent="0.3"/>
    <row r="20973" ht="14.4" customHeight="1" x14ac:dyDescent="0.3"/>
    <row r="20974" ht="14.4" customHeight="1" x14ac:dyDescent="0.3"/>
    <row r="20975" ht="14.4" customHeight="1" x14ac:dyDescent="0.3"/>
    <row r="20976" ht="14.4" customHeight="1" x14ac:dyDescent="0.3"/>
    <row r="20977" ht="14.4" customHeight="1" x14ac:dyDescent="0.3"/>
    <row r="20978" ht="14.4" customHeight="1" x14ac:dyDescent="0.3"/>
    <row r="20979" ht="14.4" customHeight="1" x14ac:dyDescent="0.3"/>
    <row r="20980" ht="14.4" customHeight="1" x14ac:dyDescent="0.3"/>
    <row r="20981" ht="14.4" customHeight="1" x14ac:dyDescent="0.3"/>
    <row r="20982" ht="14.4" customHeight="1" x14ac:dyDescent="0.3"/>
    <row r="20983" ht="14.4" customHeight="1" x14ac:dyDescent="0.3"/>
    <row r="20984" ht="14.4" customHeight="1" x14ac:dyDescent="0.3"/>
    <row r="20985" ht="14.4" customHeight="1" x14ac:dyDescent="0.3"/>
    <row r="20986" ht="14.4" customHeight="1" x14ac:dyDescent="0.3"/>
    <row r="20987" ht="14.4" customHeight="1" x14ac:dyDescent="0.3"/>
    <row r="20988" ht="14.4" customHeight="1" x14ac:dyDescent="0.3"/>
    <row r="20989" ht="14.4" customHeight="1" x14ac:dyDescent="0.3"/>
    <row r="20990" ht="14.4" customHeight="1" x14ac:dyDescent="0.3"/>
    <row r="20991" ht="14.4" customHeight="1" x14ac:dyDescent="0.3"/>
    <row r="20992" ht="14.4" customHeight="1" x14ac:dyDescent="0.3"/>
    <row r="20993" ht="14.4" customHeight="1" x14ac:dyDescent="0.3"/>
    <row r="20994" ht="14.4" customHeight="1" x14ac:dyDescent="0.3"/>
    <row r="20995" ht="14.4" customHeight="1" x14ac:dyDescent="0.3"/>
    <row r="20996" ht="14.4" customHeight="1" x14ac:dyDescent="0.3"/>
    <row r="20997" ht="14.4" customHeight="1" x14ac:dyDescent="0.3"/>
    <row r="20998" ht="14.4" customHeight="1" x14ac:dyDescent="0.3"/>
    <row r="20999" ht="14.4" customHeight="1" x14ac:dyDescent="0.3"/>
    <row r="21000" ht="14.4" customHeight="1" x14ac:dyDescent="0.3"/>
    <row r="21001" ht="14.4" customHeight="1" x14ac:dyDescent="0.3"/>
    <row r="21002" ht="14.4" customHeight="1" x14ac:dyDescent="0.3"/>
    <row r="21003" ht="14.4" customHeight="1" x14ac:dyDescent="0.3"/>
    <row r="21004" ht="14.4" customHeight="1" x14ac:dyDescent="0.3"/>
    <row r="21005" ht="14.4" customHeight="1" x14ac:dyDescent="0.3"/>
    <row r="21006" ht="14.4" customHeight="1" x14ac:dyDescent="0.3"/>
    <row r="21007" ht="14.4" customHeight="1" x14ac:dyDescent="0.3"/>
    <row r="21008" ht="14.4" customHeight="1" x14ac:dyDescent="0.3"/>
    <row r="21009" ht="14.4" customHeight="1" x14ac:dyDescent="0.3"/>
    <row r="21010" ht="14.4" customHeight="1" x14ac:dyDescent="0.3"/>
    <row r="21011" ht="14.4" customHeight="1" x14ac:dyDescent="0.3"/>
    <row r="21012" ht="14.4" customHeight="1" x14ac:dyDescent="0.3"/>
    <row r="21013" ht="14.4" customHeight="1" x14ac:dyDescent="0.3"/>
    <row r="21014" ht="14.4" customHeight="1" x14ac:dyDescent="0.3"/>
    <row r="21015" ht="14.4" customHeight="1" x14ac:dyDescent="0.3"/>
    <row r="21016" ht="14.4" customHeight="1" x14ac:dyDescent="0.3"/>
    <row r="21017" ht="14.4" customHeight="1" x14ac:dyDescent="0.3"/>
    <row r="21018" ht="14.4" customHeight="1" x14ac:dyDescent="0.3"/>
    <row r="21019" ht="14.4" customHeight="1" x14ac:dyDescent="0.3"/>
    <row r="21020" ht="14.4" customHeight="1" x14ac:dyDescent="0.3"/>
    <row r="21021" ht="14.4" customHeight="1" x14ac:dyDescent="0.3"/>
    <row r="21022" ht="14.4" customHeight="1" x14ac:dyDescent="0.3"/>
    <row r="21023" ht="14.4" customHeight="1" x14ac:dyDescent="0.3"/>
    <row r="21024" ht="14.4" customHeight="1" x14ac:dyDescent="0.3"/>
    <row r="21025" ht="14.4" customHeight="1" x14ac:dyDescent="0.3"/>
    <row r="21026" ht="14.4" customHeight="1" x14ac:dyDescent="0.3"/>
    <row r="21027" ht="14.4" customHeight="1" x14ac:dyDescent="0.3"/>
    <row r="21028" ht="14.4" customHeight="1" x14ac:dyDescent="0.3"/>
    <row r="21029" ht="14.4" customHeight="1" x14ac:dyDescent="0.3"/>
    <row r="21030" ht="14.4" customHeight="1" x14ac:dyDescent="0.3"/>
    <row r="21031" ht="14.4" customHeight="1" x14ac:dyDescent="0.3"/>
    <row r="21032" ht="14.4" customHeight="1" x14ac:dyDescent="0.3"/>
    <row r="21033" ht="14.4" customHeight="1" x14ac:dyDescent="0.3"/>
    <row r="21034" ht="14.4" customHeight="1" x14ac:dyDescent="0.3"/>
    <row r="21035" ht="14.4" customHeight="1" x14ac:dyDescent="0.3"/>
    <row r="21036" ht="14.4" customHeight="1" x14ac:dyDescent="0.3"/>
    <row r="21037" ht="14.4" customHeight="1" x14ac:dyDescent="0.3"/>
    <row r="21038" ht="14.4" customHeight="1" x14ac:dyDescent="0.3"/>
    <row r="21039" ht="14.4" customHeight="1" x14ac:dyDescent="0.3"/>
    <row r="21040" ht="14.4" customHeight="1" x14ac:dyDescent="0.3"/>
    <row r="21041" ht="14.4" customHeight="1" x14ac:dyDescent="0.3"/>
    <row r="21042" ht="14.4" customHeight="1" x14ac:dyDescent="0.3"/>
    <row r="21043" ht="14.4" customHeight="1" x14ac:dyDescent="0.3"/>
    <row r="21044" ht="14.4" customHeight="1" x14ac:dyDescent="0.3"/>
    <row r="21045" ht="14.4" customHeight="1" x14ac:dyDescent="0.3"/>
    <row r="21046" ht="14.4" customHeight="1" x14ac:dyDescent="0.3"/>
    <row r="21047" ht="14.4" customHeight="1" x14ac:dyDescent="0.3"/>
    <row r="21048" ht="14.4" customHeight="1" x14ac:dyDescent="0.3"/>
    <row r="21049" ht="14.4" customHeight="1" x14ac:dyDescent="0.3"/>
    <row r="21050" ht="14.4" customHeight="1" x14ac:dyDescent="0.3"/>
    <row r="21051" ht="14.4" customHeight="1" x14ac:dyDescent="0.3"/>
    <row r="21052" ht="14.4" customHeight="1" x14ac:dyDescent="0.3"/>
    <row r="21053" ht="14.4" customHeight="1" x14ac:dyDescent="0.3"/>
    <row r="21054" ht="14.4" customHeight="1" x14ac:dyDescent="0.3"/>
    <row r="21055" ht="14.4" customHeight="1" x14ac:dyDescent="0.3"/>
    <row r="21056" ht="14.4" customHeight="1" x14ac:dyDescent="0.3"/>
    <row r="21057" ht="14.4" customHeight="1" x14ac:dyDescent="0.3"/>
    <row r="21058" ht="14.4" customHeight="1" x14ac:dyDescent="0.3"/>
    <row r="21059" ht="14.4" customHeight="1" x14ac:dyDescent="0.3"/>
    <row r="21060" ht="14.4" customHeight="1" x14ac:dyDescent="0.3"/>
    <row r="21061" ht="14.4" customHeight="1" x14ac:dyDescent="0.3"/>
    <row r="21062" ht="14.4" customHeight="1" x14ac:dyDescent="0.3"/>
    <row r="21063" ht="14.4" customHeight="1" x14ac:dyDescent="0.3"/>
    <row r="21064" ht="14.4" customHeight="1" x14ac:dyDescent="0.3"/>
    <row r="21065" ht="14.4" customHeight="1" x14ac:dyDescent="0.3"/>
    <row r="21066" ht="14.4" customHeight="1" x14ac:dyDescent="0.3"/>
    <row r="21067" ht="14.4" customHeight="1" x14ac:dyDescent="0.3"/>
    <row r="21068" ht="14.4" customHeight="1" x14ac:dyDescent="0.3"/>
    <row r="21069" ht="14.4" customHeight="1" x14ac:dyDescent="0.3"/>
    <row r="21070" ht="14.4" customHeight="1" x14ac:dyDescent="0.3"/>
    <row r="21071" ht="14.4" customHeight="1" x14ac:dyDescent="0.3"/>
    <row r="21072" ht="14.4" customHeight="1" x14ac:dyDescent="0.3"/>
    <row r="21073" ht="14.4" customHeight="1" x14ac:dyDescent="0.3"/>
    <row r="21074" ht="14.4" customHeight="1" x14ac:dyDescent="0.3"/>
    <row r="21075" ht="14.4" customHeight="1" x14ac:dyDescent="0.3"/>
    <row r="21076" ht="14.4" customHeight="1" x14ac:dyDescent="0.3"/>
    <row r="21077" ht="14.4" customHeight="1" x14ac:dyDescent="0.3"/>
    <row r="21078" ht="14.4" customHeight="1" x14ac:dyDescent="0.3"/>
    <row r="21079" ht="14.4" customHeight="1" x14ac:dyDescent="0.3"/>
    <row r="21080" ht="14.4" customHeight="1" x14ac:dyDescent="0.3"/>
    <row r="21081" ht="14.4" customHeight="1" x14ac:dyDescent="0.3"/>
    <row r="21082" ht="14.4" customHeight="1" x14ac:dyDescent="0.3"/>
    <row r="21083" ht="14.4" customHeight="1" x14ac:dyDescent="0.3"/>
    <row r="21084" ht="14.4" customHeight="1" x14ac:dyDescent="0.3"/>
    <row r="21085" ht="14.4" customHeight="1" x14ac:dyDescent="0.3"/>
    <row r="21086" ht="14.4" customHeight="1" x14ac:dyDescent="0.3"/>
    <row r="21087" ht="14.4" customHeight="1" x14ac:dyDescent="0.3"/>
    <row r="21088" ht="14.4" customHeight="1" x14ac:dyDescent="0.3"/>
    <row r="21089" ht="14.4" customHeight="1" x14ac:dyDescent="0.3"/>
    <row r="21090" ht="14.4" customHeight="1" x14ac:dyDescent="0.3"/>
    <row r="21091" ht="14.4" customHeight="1" x14ac:dyDescent="0.3"/>
    <row r="21092" ht="14.4" customHeight="1" x14ac:dyDescent="0.3"/>
    <row r="21093" ht="14.4" customHeight="1" x14ac:dyDescent="0.3"/>
    <row r="21094" ht="14.4" customHeight="1" x14ac:dyDescent="0.3"/>
    <row r="21095" ht="14.4" customHeight="1" x14ac:dyDescent="0.3"/>
    <row r="21096" ht="14.4" customHeight="1" x14ac:dyDescent="0.3"/>
    <row r="21097" ht="14.4" customHeight="1" x14ac:dyDescent="0.3"/>
    <row r="21098" ht="14.4" customHeight="1" x14ac:dyDescent="0.3"/>
    <row r="21099" ht="14.4" customHeight="1" x14ac:dyDescent="0.3"/>
    <row r="21100" ht="14.4" customHeight="1" x14ac:dyDescent="0.3"/>
    <row r="21101" ht="14.4" customHeight="1" x14ac:dyDescent="0.3"/>
    <row r="21102" ht="14.4" customHeight="1" x14ac:dyDescent="0.3"/>
    <row r="21103" ht="14.4" customHeight="1" x14ac:dyDescent="0.3"/>
    <row r="21104" ht="14.4" customHeight="1" x14ac:dyDescent="0.3"/>
    <row r="21105" ht="14.4" customHeight="1" x14ac:dyDescent="0.3"/>
    <row r="21106" ht="14.4" customHeight="1" x14ac:dyDescent="0.3"/>
    <row r="21107" ht="14.4" customHeight="1" x14ac:dyDescent="0.3"/>
    <row r="21108" ht="14.4" customHeight="1" x14ac:dyDescent="0.3"/>
    <row r="21109" ht="14.4" customHeight="1" x14ac:dyDescent="0.3"/>
    <row r="21110" ht="14.4" customHeight="1" x14ac:dyDescent="0.3"/>
    <row r="21111" ht="14.4" customHeight="1" x14ac:dyDescent="0.3"/>
    <row r="21112" ht="14.4" customHeight="1" x14ac:dyDescent="0.3"/>
    <row r="21113" ht="14.4" customHeight="1" x14ac:dyDescent="0.3"/>
    <row r="21114" ht="14.4" customHeight="1" x14ac:dyDescent="0.3"/>
    <row r="21115" ht="14.4" customHeight="1" x14ac:dyDescent="0.3"/>
    <row r="21116" ht="14.4" customHeight="1" x14ac:dyDescent="0.3"/>
    <row r="21117" ht="14.4" customHeight="1" x14ac:dyDescent="0.3"/>
    <row r="21118" ht="14.4" customHeight="1" x14ac:dyDescent="0.3"/>
    <row r="21119" ht="14.4" customHeight="1" x14ac:dyDescent="0.3"/>
    <row r="21120" ht="14.4" customHeight="1" x14ac:dyDescent="0.3"/>
    <row r="21121" ht="14.4" customHeight="1" x14ac:dyDescent="0.3"/>
    <row r="21122" ht="14.4" customHeight="1" x14ac:dyDescent="0.3"/>
    <row r="21123" ht="14.4" customHeight="1" x14ac:dyDescent="0.3"/>
    <row r="21124" ht="14.4" customHeight="1" x14ac:dyDescent="0.3"/>
    <row r="21125" ht="14.4" customHeight="1" x14ac:dyDescent="0.3"/>
    <row r="21126" ht="14.4" customHeight="1" x14ac:dyDescent="0.3"/>
    <row r="21127" ht="14.4" customHeight="1" x14ac:dyDescent="0.3"/>
    <row r="21128" ht="14.4" customHeight="1" x14ac:dyDescent="0.3"/>
    <row r="21129" ht="14.4" customHeight="1" x14ac:dyDescent="0.3"/>
    <row r="21130" ht="14.4" customHeight="1" x14ac:dyDescent="0.3"/>
    <row r="21131" ht="14.4" customHeight="1" x14ac:dyDescent="0.3"/>
    <row r="21132" ht="14.4" customHeight="1" x14ac:dyDescent="0.3"/>
    <row r="21133" ht="14.4" customHeight="1" x14ac:dyDescent="0.3"/>
    <row r="21134" ht="14.4" customHeight="1" x14ac:dyDescent="0.3"/>
    <row r="21135" ht="14.4" customHeight="1" x14ac:dyDescent="0.3"/>
    <row r="21136" ht="14.4" customHeight="1" x14ac:dyDescent="0.3"/>
    <row r="21137" ht="14.4" customHeight="1" x14ac:dyDescent="0.3"/>
    <row r="21138" ht="14.4" customHeight="1" x14ac:dyDescent="0.3"/>
    <row r="21139" ht="14.4" customHeight="1" x14ac:dyDescent="0.3"/>
    <row r="21140" ht="14.4" customHeight="1" x14ac:dyDescent="0.3"/>
    <row r="21141" ht="14.4" customHeight="1" x14ac:dyDescent="0.3"/>
    <row r="21142" ht="14.4" customHeight="1" x14ac:dyDescent="0.3"/>
    <row r="21143" ht="14.4" customHeight="1" x14ac:dyDescent="0.3"/>
    <row r="21144" ht="14.4" customHeight="1" x14ac:dyDescent="0.3"/>
    <row r="21145" ht="14.4" customHeight="1" x14ac:dyDescent="0.3"/>
    <row r="21146" ht="14.4" customHeight="1" x14ac:dyDescent="0.3"/>
    <row r="21147" ht="14.4" customHeight="1" x14ac:dyDescent="0.3"/>
    <row r="21148" ht="14.4" customHeight="1" x14ac:dyDescent="0.3"/>
    <row r="21149" ht="14.4" customHeight="1" x14ac:dyDescent="0.3"/>
    <row r="21150" ht="14.4" customHeight="1" x14ac:dyDescent="0.3"/>
    <row r="21151" ht="14.4" customHeight="1" x14ac:dyDescent="0.3"/>
    <row r="21152" ht="14.4" customHeight="1" x14ac:dyDescent="0.3"/>
    <row r="21153" ht="14.4" customHeight="1" x14ac:dyDescent="0.3"/>
    <row r="21154" ht="14.4" customHeight="1" x14ac:dyDescent="0.3"/>
    <row r="21155" ht="14.4" customHeight="1" x14ac:dyDescent="0.3"/>
    <row r="21156" ht="14.4" customHeight="1" x14ac:dyDescent="0.3"/>
    <row r="21157" ht="14.4" customHeight="1" x14ac:dyDescent="0.3"/>
    <row r="21158" ht="14.4" customHeight="1" x14ac:dyDescent="0.3"/>
    <row r="21159" ht="14.4" customHeight="1" x14ac:dyDescent="0.3"/>
    <row r="21160" ht="14.4" customHeight="1" x14ac:dyDescent="0.3"/>
    <row r="21161" ht="14.4" customHeight="1" x14ac:dyDescent="0.3"/>
    <row r="21162" ht="14.4" customHeight="1" x14ac:dyDescent="0.3"/>
    <row r="21163" ht="14.4" customHeight="1" x14ac:dyDescent="0.3"/>
    <row r="21164" ht="14.4" customHeight="1" x14ac:dyDescent="0.3"/>
    <row r="21165" ht="14.4" customHeight="1" x14ac:dyDescent="0.3"/>
    <row r="21166" ht="14.4" customHeight="1" x14ac:dyDescent="0.3"/>
    <row r="21167" ht="14.4" customHeight="1" x14ac:dyDescent="0.3"/>
    <row r="21168" ht="14.4" customHeight="1" x14ac:dyDescent="0.3"/>
    <row r="21169" ht="14.4" customHeight="1" x14ac:dyDescent="0.3"/>
    <row r="21170" ht="14.4" customHeight="1" x14ac:dyDescent="0.3"/>
    <row r="21171" ht="14.4" customHeight="1" x14ac:dyDescent="0.3"/>
    <row r="21172" ht="14.4" customHeight="1" x14ac:dyDescent="0.3"/>
    <row r="21173" ht="14.4" customHeight="1" x14ac:dyDescent="0.3"/>
    <row r="21174" ht="14.4" customHeight="1" x14ac:dyDescent="0.3"/>
    <row r="21175" ht="14.4" customHeight="1" x14ac:dyDescent="0.3"/>
    <row r="21176" ht="14.4" customHeight="1" x14ac:dyDescent="0.3"/>
    <row r="21177" ht="14.4" customHeight="1" x14ac:dyDescent="0.3"/>
    <row r="21178" ht="14.4" customHeight="1" x14ac:dyDescent="0.3"/>
    <row r="21179" ht="14.4" customHeight="1" x14ac:dyDescent="0.3"/>
    <row r="21180" ht="14.4" customHeight="1" x14ac:dyDescent="0.3"/>
    <row r="21181" ht="14.4" customHeight="1" x14ac:dyDescent="0.3"/>
    <row r="21182" ht="14.4" customHeight="1" x14ac:dyDescent="0.3"/>
    <row r="21183" ht="14.4" customHeight="1" x14ac:dyDescent="0.3"/>
    <row r="21184" ht="14.4" customHeight="1" x14ac:dyDescent="0.3"/>
    <row r="21185" ht="14.4" customHeight="1" x14ac:dyDescent="0.3"/>
    <row r="21186" ht="14.4" customHeight="1" x14ac:dyDescent="0.3"/>
    <row r="21187" ht="14.4" customHeight="1" x14ac:dyDescent="0.3"/>
    <row r="21188" ht="14.4" customHeight="1" x14ac:dyDescent="0.3"/>
    <row r="21189" ht="14.4" customHeight="1" x14ac:dyDescent="0.3"/>
    <row r="21190" ht="14.4" customHeight="1" x14ac:dyDescent="0.3"/>
    <row r="21191" ht="14.4" customHeight="1" x14ac:dyDescent="0.3"/>
    <row r="21192" ht="14.4" customHeight="1" x14ac:dyDescent="0.3"/>
    <row r="21193" ht="14.4" customHeight="1" x14ac:dyDescent="0.3"/>
    <row r="21194" ht="14.4" customHeight="1" x14ac:dyDescent="0.3"/>
    <row r="21195" ht="14.4" customHeight="1" x14ac:dyDescent="0.3"/>
    <row r="21196" ht="14.4" customHeight="1" x14ac:dyDescent="0.3"/>
    <row r="21197" ht="14.4" customHeight="1" x14ac:dyDescent="0.3"/>
    <row r="21198" ht="14.4" customHeight="1" x14ac:dyDescent="0.3"/>
    <row r="21199" ht="14.4" customHeight="1" x14ac:dyDescent="0.3"/>
    <row r="21200" ht="14.4" customHeight="1" x14ac:dyDescent="0.3"/>
    <row r="21201" ht="14.4" customHeight="1" x14ac:dyDescent="0.3"/>
    <row r="21202" ht="14.4" customHeight="1" x14ac:dyDescent="0.3"/>
    <row r="21203" ht="14.4" customHeight="1" x14ac:dyDescent="0.3"/>
    <row r="21204" ht="14.4" customHeight="1" x14ac:dyDescent="0.3"/>
    <row r="21205" ht="14.4" customHeight="1" x14ac:dyDescent="0.3"/>
    <row r="21206" ht="14.4" customHeight="1" x14ac:dyDescent="0.3"/>
    <row r="21207" ht="14.4" customHeight="1" x14ac:dyDescent="0.3"/>
    <row r="21208" ht="14.4" customHeight="1" x14ac:dyDescent="0.3"/>
    <row r="21209" ht="14.4" customHeight="1" x14ac:dyDescent="0.3"/>
    <row r="21210" ht="14.4" customHeight="1" x14ac:dyDescent="0.3"/>
    <row r="21211" ht="14.4" customHeight="1" x14ac:dyDescent="0.3"/>
    <row r="21212" ht="14.4" customHeight="1" x14ac:dyDescent="0.3"/>
    <row r="21213" ht="14.4" customHeight="1" x14ac:dyDescent="0.3"/>
    <row r="21214" ht="14.4" customHeight="1" x14ac:dyDescent="0.3"/>
    <row r="21215" ht="14.4" customHeight="1" x14ac:dyDescent="0.3"/>
    <row r="21216" ht="14.4" customHeight="1" x14ac:dyDescent="0.3"/>
    <row r="21217" ht="14.4" customHeight="1" x14ac:dyDescent="0.3"/>
    <row r="21218" ht="14.4" customHeight="1" x14ac:dyDescent="0.3"/>
    <row r="21219" ht="14.4" customHeight="1" x14ac:dyDescent="0.3"/>
    <row r="21220" ht="14.4" customHeight="1" x14ac:dyDescent="0.3"/>
    <row r="21221" ht="14.4" customHeight="1" x14ac:dyDescent="0.3"/>
    <row r="21222" ht="14.4" customHeight="1" x14ac:dyDescent="0.3"/>
    <row r="21223" ht="14.4" customHeight="1" x14ac:dyDescent="0.3"/>
    <row r="21224" ht="14.4" customHeight="1" x14ac:dyDescent="0.3"/>
    <row r="21225" ht="14.4" customHeight="1" x14ac:dyDescent="0.3"/>
    <row r="21226" ht="14.4" customHeight="1" x14ac:dyDescent="0.3"/>
    <row r="21227" ht="14.4" customHeight="1" x14ac:dyDescent="0.3"/>
    <row r="21228" ht="14.4" customHeight="1" x14ac:dyDescent="0.3"/>
    <row r="21229" ht="14.4" customHeight="1" x14ac:dyDescent="0.3"/>
    <row r="21230" ht="14.4" customHeight="1" x14ac:dyDescent="0.3"/>
    <row r="21231" ht="14.4" customHeight="1" x14ac:dyDescent="0.3"/>
    <row r="21232" ht="14.4" customHeight="1" x14ac:dyDescent="0.3"/>
    <row r="21233" ht="14.4" customHeight="1" x14ac:dyDescent="0.3"/>
    <row r="21234" ht="14.4" customHeight="1" x14ac:dyDescent="0.3"/>
    <row r="21235" ht="14.4" customHeight="1" x14ac:dyDescent="0.3"/>
    <row r="21236" ht="14.4" customHeight="1" x14ac:dyDescent="0.3"/>
    <row r="21237" ht="14.4" customHeight="1" x14ac:dyDescent="0.3"/>
    <row r="21238" ht="14.4" customHeight="1" x14ac:dyDescent="0.3"/>
    <row r="21239" ht="14.4" customHeight="1" x14ac:dyDescent="0.3"/>
    <row r="21240" ht="14.4" customHeight="1" x14ac:dyDescent="0.3"/>
    <row r="21241" ht="14.4" customHeight="1" x14ac:dyDescent="0.3"/>
    <row r="21242" ht="14.4" customHeight="1" x14ac:dyDescent="0.3"/>
    <row r="21243" ht="14.4" customHeight="1" x14ac:dyDescent="0.3"/>
    <row r="21244" ht="14.4" customHeight="1" x14ac:dyDescent="0.3"/>
    <row r="21245" ht="14.4" customHeight="1" x14ac:dyDescent="0.3"/>
    <row r="21246" ht="14.4" customHeight="1" x14ac:dyDescent="0.3"/>
    <row r="21247" ht="14.4" customHeight="1" x14ac:dyDescent="0.3"/>
    <row r="21248" ht="14.4" customHeight="1" x14ac:dyDescent="0.3"/>
    <row r="21249" ht="14.4" customHeight="1" x14ac:dyDescent="0.3"/>
    <row r="21250" ht="14.4" customHeight="1" x14ac:dyDescent="0.3"/>
    <row r="21251" ht="14.4" customHeight="1" x14ac:dyDescent="0.3"/>
    <row r="21252" ht="14.4" customHeight="1" x14ac:dyDescent="0.3"/>
    <row r="21253" ht="14.4" customHeight="1" x14ac:dyDescent="0.3"/>
    <row r="21254" ht="14.4" customHeight="1" x14ac:dyDescent="0.3"/>
    <row r="21255" ht="14.4" customHeight="1" x14ac:dyDescent="0.3"/>
    <row r="21256" ht="14.4" customHeight="1" x14ac:dyDescent="0.3"/>
    <row r="21257" ht="14.4" customHeight="1" x14ac:dyDescent="0.3"/>
    <row r="21258" ht="14.4" customHeight="1" x14ac:dyDescent="0.3"/>
    <row r="21259" ht="14.4" customHeight="1" x14ac:dyDescent="0.3"/>
    <row r="21260" ht="14.4" customHeight="1" x14ac:dyDescent="0.3"/>
    <row r="21261" ht="14.4" customHeight="1" x14ac:dyDescent="0.3"/>
    <row r="21262" ht="14.4" customHeight="1" x14ac:dyDescent="0.3"/>
    <row r="21263" ht="14.4" customHeight="1" x14ac:dyDescent="0.3"/>
    <row r="21264" ht="14.4" customHeight="1" x14ac:dyDescent="0.3"/>
    <row r="21265" ht="14.4" customHeight="1" x14ac:dyDescent="0.3"/>
    <row r="21266" ht="14.4" customHeight="1" x14ac:dyDescent="0.3"/>
    <row r="21267" ht="14.4" customHeight="1" x14ac:dyDescent="0.3"/>
    <row r="21268" ht="14.4" customHeight="1" x14ac:dyDescent="0.3"/>
    <row r="21269" ht="14.4" customHeight="1" x14ac:dyDescent="0.3"/>
    <row r="21270" ht="14.4" customHeight="1" x14ac:dyDescent="0.3"/>
    <row r="21271" ht="14.4" customHeight="1" x14ac:dyDescent="0.3"/>
    <row r="21272" ht="14.4" customHeight="1" x14ac:dyDescent="0.3"/>
    <row r="21273" ht="14.4" customHeight="1" x14ac:dyDescent="0.3"/>
    <row r="21274" ht="14.4" customHeight="1" x14ac:dyDescent="0.3"/>
    <row r="21275" ht="14.4" customHeight="1" x14ac:dyDescent="0.3"/>
    <row r="21276" ht="14.4" customHeight="1" x14ac:dyDescent="0.3"/>
    <row r="21277" ht="14.4" customHeight="1" x14ac:dyDescent="0.3"/>
    <row r="21278" ht="14.4" customHeight="1" x14ac:dyDescent="0.3"/>
    <row r="21279" ht="14.4" customHeight="1" x14ac:dyDescent="0.3"/>
    <row r="21280" ht="14.4" customHeight="1" x14ac:dyDescent="0.3"/>
    <row r="21281" ht="14.4" customHeight="1" x14ac:dyDescent="0.3"/>
    <row r="21282" ht="14.4" customHeight="1" x14ac:dyDescent="0.3"/>
    <row r="21283" ht="14.4" customHeight="1" x14ac:dyDescent="0.3"/>
    <row r="21284" ht="14.4" customHeight="1" x14ac:dyDescent="0.3"/>
    <row r="21285" ht="14.4" customHeight="1" x14ac:dyDescent="0.3"/>
    <row r="21286" ht="14.4" customHeight="1" x14ac:dyDescent="0.3"/>
    <row r="21287" ht="14.4" customHeight="1" x14ac:dyDescent="0.3"/>
    <row r="21288" ht="14.4" customHeight="1" x14ac:dyDescent="0.3"/>
    <row r="21289" ht="14.4" customHeight="1" x14ac:dyDescent="0.3"/>
    <row r="21290" ht="14.4" customHeight="1" x14ac:dyDescent="0.3"/>
    <row r="21291" ht="14.4" customHeight="1" x14ac:dyDescent="0.3"/>
    <row r="21292" ht="14.4" customHeight="1" x14ac:dyDescent="0.3"/>
    <row r="21293" ht="14.4" customHeight="1" x14ac:dyDescent="0.3"/>
    <row r="21294" ht="14.4" customHeight="1" x14ac:dyDescent="0.3"/>
    <row r="21295" ht="14.4" customHeight="1" x14ac:dyDescent="0.3"/>
    <row r="21296" ht="14.4" customHeight="1" x14ac:dyDescent="0.3"/>
    <row r="21297" ht="14.4" customHeight="1" x14ac:dyDescent="0.3"/>
    <row r="21298" ht="14.4" customHeight="1" x14ac:dyDescent="0.3"/>
    <row r="21299" ht="14.4" customHeight="1" x14ac:dyDescent="0.3"/>
    <row r="21300" ht="14.4" customHeight="1" x14ac:dyDescent="0.3"/>
    <row r="21301" ht="14.4" customHeight="1" x14ac:dyDescent="0.3"/>
    <row r="21302" ht="14.4" customHeight="1" x14ac:dyDescent="0.3"/>
    <row r="21303" ht="14.4" customHeight="1" x14ac:dyDescent="0.3"/>
    <row r="21304" ht="14.4" customHeight="1" x14ac:dyDescent="0.3"/>
    <row r="21305" ht="14.4" customHeight="1" x14ac:dyDescent="0.3"/>
    <row r="21306" ht="14.4" customHeight="1" x14ac:dyDescent="0.3"/>
    <row r="21307" ht="14.4" customHeight="1" x14ac:dyDescent="0.3"/>
    <row r="21308" ht="14.4" customHeight="1" x14ac:dyDescent="0.3"/>
    <row r="21309" ht="14.4" customHeight="1" x14ac:dyDescent="0.3"/>
    <row r="21310" ht="14.4" customHeight="1" x14ac:dyDescent="0.3"/>
    <row r="21311" ht="14.4" customHeight="1" x14ac:dyDescent="0.3"/>
    <row r="21312" ht="14.4" customHeight="1" x14ac:dyDescent="0.3"/>
    <row r="21313" ht="14.4" customHeight="1" x14ac:dyDescent="0.3"/>
    <row r="21314" ht="14.4" customHeight="1" x14ac:dyDescent="0.3"/>
    <row r="21315" ht="14.4" customHeight="1" x14ac:dyDescent="0.3"/>
    <row r="21316" ht="14.4" customHeight="1" x14ac:dyDescent="0.3"/>
    <row r="21317" ht="14.4" customHeight="1" x14ac:dyDescent="0.3"/>
    <row r="21318" ht="14.4" customHeight="1" x14ac:dyDescent="0.3"/>
    <row r="21319" ht="14.4" customHeight="1" x14ac:dyDescent="0.3"/>
    <row r="21320" ht="14.4" customHeight="1" x14ac:dyDescent="0.3"/>
    <row r="21321" ht="14.4" customHeight="1" x14ac:dyDescent="0.3"/>
    <row r="21322" ht="14.4" customHeight="1" x14ac:dyDescent="0.3"/>
    <row r="21323" ht="14.4" customHeight="1" x14ac:dyDescent="0.3"/>
    <row r="21324" ht="14.4" customHeight="1" x14ac:dyDescent="0.3"/>
    <row r="21325" ht="14.4" customHeight="1" x14ac:dyDescent="0.3"/>
    <row r="21326" ht="14.4" customHeight="1" x14ac:dyDescent="0.3"/>
    <row r="21327" ht="14.4" customHeight="1" x14ac:dyDescent="0.3"/>
    <row r="21328" ht="14.4" customHeight="1" x14ac:dyDescent="0.3"/>
    <row r="21329" ht="14.4" customHeight="1" x14ac:dyDescent="0.3"/>
    <row r="21330" ht="14.4" customHeight="1" x14ac:dyDescent="0.3"/>
    <row r="21331" ht="14.4" customHeight="1" x14ac:dyDescent="0.3"/>
    <row r="21332" ht="14.4" customHeight="1" x14ac:dyDescent="0.3"/>
    <row r="21333" ht="14.4" customHeight="1" x14ac:dyDescent="0.3"/>
    <row r="21334" ht="14.4" customHeight="1" x14ac:dyDescent="0.3"/>
    <row r="21335" ht="14.4" customHeight="1" x14ac:dyDescent="0.3"/>
    <row r="21336" ht="14.4" customHeight="1" x14ac:dyDescent="0.3"/>
    <row r="21337" ht="14.4" customHeight="1" x14ac:dyDescent="0.3"/>
    <row r="21338" ht="14.4" customHeight="1" x14ac:dyDescent="0.3"/>
    <row r="21339" ht="14.4" customHeight="1" x14ac:dyDescent="0.3"/>
    <row r="21340" ht="14.4" customHeight="1" x14ac:dyDescent="0.3"/>
    <row r="21341" ht="14.4" customHeight="1" x14ac:dyDescent="0.3"/>
    <row r="21342" ht="14.4" customHeight="1" x14ac:dyDescent="0.3"/>
    <row r="21343" ht="14.4" customHeight="1" x14ac:dyDescent="0.3"/>
    <row r="21344" ht="14.4" customHeight="1" x14ac:dyDescent="0.3"/>
    <row r="21345" ht="14.4" customHeight="1" x14ac:dyDescent="0.3"/>
    <row r="21346" ht="14.4" customHeight="1" x14ac:dyDescent="0.3"/>
    <row r="21347" ht="14.4" customHeight="1" x14ac:dyDescent="0.3"/>
    <row r="21348" ht="14.4" customHeight="1" x14ac:dyDescent="0.3"/>
    <row r="21349" ht="14.4" customHeight="1" x14ac:dyDescent="0.3"/>
    <row r="21350" ht="14.4" customHeight="1" x14ac:dyDescent="0.3"/>
    <row r="21351" ht="14.4" customHeight="1" x14ac:dyDescent="0.3"/>
    <row r="21352" ht="14.4" customHeight="1" x14ac:dyDescent="0.3"/>
    <row r="21353" ht="14.4" customHeight="1" x14ac:dyDescent="0.3"/>
    <row r="21354" ht="14.4" customHeight="1" x14ac:dyDescent="0.3"/>
    <row r="21355" ht="14.4" customHeight="1" x14ac:dyDescent="0.3"/>
    <row r="21356" ht="14.4" customHeight="1" x14ac:dyDescent="0.3"/>
    <row r="21357" ht="14.4" customHeight="1" x14ac:dyDescent="0.3"/>
    <row r="21358" ht="14.4" customHeight="1" x14ac:dyDescent="0.3"/>
    <row r="21359" ht="14.4" customHeight="1" x14ac:dyDescent="0.3"/>
    <row r="21360" ht="14.4" customHeight="1" x14ac:dyDescent="0.3"/>
    <row r="21361" ht="14.4" customHeight="1" x14ac:dyDescent="0.3"/>
    <row r="21362" ht="14.4" customHeight="1" x14ac:dyDescent="0.3"/>
    <row r="21363" ht="14.4" customHeight="1" x14ac:dyDescent="0.3"/>
    <row r="21364" ht="14.4" customHeight="1" x14ac:dyDescent="0.3"/>
    <row r="21365" ht="14.4" customHeight="1" x14ac:dyDescent="0.3"/>
    <row r="21366" ht="14.4" customHeight="1" x14ac:dyDescent="0.3"/>
    <row r="21367" ht="14.4" customHeight="1" x14ac:dyDescent="0.3"/>
    <row r="21368" ht="14.4" customHeight="1" x14ac:dyDescent="0.3"/>
    <row r="21369" ht="14.4" customHeight="1" x14ac:dyDescent="0.3"/>
    <row r="21370" ht="14.4" customHeight="1" x14ac:dyDescent="0.3"/>
    <row r="21371" ht="14.4" customHeight="1" x14ac:dyDescent="0.3"/>
    <row r="21372" ht="14.4" customHeight="1" x14ac:dyDescent="0.3"/>
    <row r="21373" ht="14.4" customHeight="1" x14ac:dyDescent="0.3"/>
    <row r="21374" ht="14.4" customHeight="1" x14ac:dyDescent="0.3"/>
    <row r="21375" ht="14.4" customHeight="1" x14ac:dyDescent="0.3"/>
    <row r="21376" ht="14.4" customHeight="1" x14ac:dyDescent="0.3"/>
    <row r="21377" ht="14.4" customHeight="1" x14ac:dyDescent="0.3"/>
    <row r="21378" ht="14.4" customHeight="1" x14ac:dyDescent="0.3"/>
    <row r="21379" ht="14.4" customHeight="1" x14ac:dyDescent="0.3"/>
    <row r="21380" ht="14.4" customHeight="1" x14ac:dyDescent="0.3"/>
    <row r="21381" ht="14.4" customHeight="1" x14ac:dyDescent="0.3"/>
    <row r="21382" ht="14.4" customHeight="1" x14ac:dyDescent="0.3"/>
    <row r="21383" ht="14.4" customHeight="1" x14ac:dyDescent="0.3"/>
    <row r="21384" ht="14.4" customHeight="1" x14ac:dyDescent="0.3"/>
    <row r="21385" ht="14.4" customHeight="1" x14ac:dyDescent="0.3"/>
    <row r="21386" ht="14.4" customHeight="1" x14ac:dyDescent="0.3"/>
    <row r="21387" ht="14.4" customHeight="1" x14ac:dyDescent="0.3"/>
    <row r="21388" ht="14.4" customHeight="1" x14ac:dyDescent="0.3"/>
    <row r="21389" ht="14.4" customHeight="1" x14ac:dyDescent="0.3"/>
    <row r="21390" ht="14.4" customHeight="1" x14ac:dyDescent="0.3"/>
    <row r="21391" ht="14.4" customHeight="1" x14ac:dyDescent="0.3"/>
    <row r="21392" ht="14.4" customHeight="1" x14ac:dyDescent="0.3"/>
    <row r="21393" ht="14.4" customHeight="1" x14ac:dyDescent="0.3"/>
    <row r="21394" ht="14.4" customHeight="1" x14ac:dyDescent="0.3"/>
    <row r="21395" ht="14.4" customHeight="1" x14ac:dyDescent="0.3"/>
    <row r="21396" ht="14.4" customHeight="1" x14ac:dyDescent="0.3"/>
    <row r="21397" ht="14.4" customHeight="1" x14ac:dyDescent="0.3"/>
    <row r="21398" ht="14.4" customHeight="1" x14ac:dyDescent="0.3"/>
    <row r="21399" ht="14.4" customHeight="1" x14ac:dyDescent="0.3"/>
    <row r="21400" ht="14.4" customHeight="1" x14ac:dyDescent="0.3"/>
    <row r="21401" ht="14.4" customHeight="1" x14ac:dyDescent="0.3"/>
    <row r="21402" ht="14.4" customHeight="1" x14ac:dyDescent="0.3"/>
    <row r="21403" ht="14.4" customHeight="1" x14ac:dyDescent="0.3"/>
    <row r="21404" ht="14.4" customHeight="1" x14ac:dyDescent="0.3"/>
    <row r="21405" ht="14.4" customHeight="1" x14ac:dyDescent="0.3"/>
    <row r="21406" ht="14.4" customHeight="1" x14ac:dyDescent="0.3"/>
    <row r="21407" ht="14.4" customHeight="1" x14ac:dyDescent="0.3"/>
    <row r="21408" ht="14.4" customHeight="1" x14ac:dyDescent="0.3"/>
    <row r="21409" ht="14.4" customHeight="1" x14ac:dyDescent="0.3"/>
    <row r="21410" ht="14.4" customHeight="1" x14ac:dyDescent="0.3"/>
    <row r="21411" ht="14.4" customHeight="1" x14ac:dyDescent="0.3"/>
    <row r="21412" ht="14.4" customHeight="1" x14ac:dyDescent="0.3"/>
    <row r="21413" ht="14.4" customHeight="1" x14ac:dyDescent="0.3"/>
    <row r="21414" ht="14.4" customHeight="1" x14ac:dyDescent="0.3"/>
    <row r="21415" ht="14.4" customHeight="1" x14ac:dyDescent="0.3"/>
    <row r="21416" ht="14.4" customHeight="1" x14ac:dyDescent="0.3"/>
    <row r="21417" ht="14.4" customHeight="1" x14ac:dyDescent="0.3"/>
    <row r="21418" ht="14.4" customHeight="1" x14ac:dyDescent="0.3"/>
    <row r="21419" ht="14.4" customHeight="1" x14ac:dyDescent="0.3"/>
    <row r="21420" ht="14.4" customHeight="1" x14ac:dyDescent="0.3"/>
    <row r="21421" ht="14.4" customHeight="1" x14ac:dyDescent="0.3"/>
    <row r="21422" ht="14.4" customHeight="1" x14ac:dyDescent="0.3"/>
    <row r="21423" ht="14.4" customHeight="1" x14ac:dyDescent="0.3"/>
    <row r="21424" ht="14.4" customHeight="1" x14ac:dyDescent="0.3"/>
    <row r="21425" ht="14.4" customHeight="1" x14ac:dyDescent="0.3"/>
    <row r="21426" ht="14.4" customHeight="1" x14ac:dyDescent="0.3"/>
    <row r="21427" ht="14.4" customHeight="1" x14ac:dyDescent="0.3"/>
    <row r="21428" ht="14.4" customHeight="1" x14ac:dyDescent="0.3"/>
    <row r="21429" ht="14.4" customHeight="1" x14ac:dyDescent="0.3"/>
    <row r="21430" ht="14.4" customHeight="1" x14ac:dyDescent="0.3"/>
    <row r="21431" ht="14.4" customHeight="1" x14ac:dyDescent="0.3"/>
    <row r="21432" ht="14.4" customHeight="1" x14ac:dyDescent="0.3"/>
    <row r="21433" ht="14.4" customHeight="1" x14ac:dyDescent="0.3"/>
    <row r="21434" ht="14.4" customHeight="1" x14ac:dyDescent="0.3"/>
    <row r="21435" ht="14.4" customHeight="1" x14ac:dyDescent="0.3"/>
    <row r="21436" ht="14.4" customHeight="1" x14ac:dyDescent="0.3"/>
    <row r="21437" ht="14.4" customHeight="1" x14ac:dyDescent="0.3"/>
    <row r="21438" ht="14.4" customHeight="1" x14ac:dyDescent="0.3"/>
    <row r="21439" ht="14.4" customHeight="1" x14ac:dyDescent="0.3"/>
    <row r="21440" ht="14.4" customHeight="1" x14ac:dyDescent="0.3"/>
    <row r="21441" ht="14.4" customHeight="1" x14ac:dyDescent="0.3"/>
    <row r="21442" ht="14.4" customHeight="1" x14ac:dyDescent="0.3"/>
    <row r="21443" ht="14.4" customHeight="1" x14ac:dyDescent="0.3"/>
    <row r="21444" ht="14.4" customHeight="1" x14ac:dyDescent="0.3"/>
    <row r="21445" ht="14.4" customHeight="1" x14ac:dyDescent="0.3"/>
    <row r="21446" ht="14.4" customHeight="1" x14ac:dyDescent="0.3"/>
    <row r="21447" ht="14.4" customHeight="1" x14ac:dyDescent="0.3"/>
    <row r="21448" ht="14.4" customHeight="1" x14ac:dyDescent="0.3"/>
    <row r="21449" ht="14.4" customHeight="1" x14ac:dyDescent="0.3"/>
    <row r="21450" ht="14.4" customHeight="1" x14ac:dyDescent="0.3"/>
    <row r="21451" ht="14.4" customHeight="1" x14ac:dyDescent="0.3"/>
    <row r="21452" ht="14.4" customHeight="1" x14ac:dyDescent="0.3"/>
    <row r="21453" ht="14.4" customHeight="1" x14ac:dyDescent="0.3"/>
    <row r="21454" ht="14.4" customHeight="1" x14ac:dyDescent="0.3"/>
    <row r="21455" ht="14.4" customHeight="1" x14ac:dyDescent="0.3"/>
    <row r="21456" ht="14.4" customHeight="1" x14ac:dyDescent="0.3"/>
    <row r="21457" ht="14.4" customHeight="1" x14ac:dyDescent="0.3"/>
    <row r="21458" ht="14.4" customHeight="1" x14ac:dyDescent="0.3"/>
    <row r="21459" ht="14.4" customHeight="1" x14ac:dyDescent="0.3"/>
    <row r="21460" ht="14.4" customHeight="1" x14ac:dyDescent="0.3"/>
    <row r="21461" ht="14.4" customHeight="1" x14ac:dyDescent="0.3"/>
    <row r="21462" ht="14.4" customHeight="1" x14ac:dyDescent="0.3"/>
    <row r="21463" ht="14.4" customHeight="1" x14ac:dyDescent="0.3"/>
    <row r="21464" ht="14.4" customHeight="1" x14ac:dyDescent="0.3"/>
    <row r="21465" ht="14.4" customHeight="1" x14ac:dyDescent="0.3"/>
    <row r="21466" ht="14.4" customHeight="1" x14ac:dyDescent="0.3"/>
    <row r="21467" ht="14.4" customHeight="1" x14ac:dyDescent="0.3"/>
    <row r="21468" ht="14.4" customHeight="1" x14ac:dyDescent="0.3"/>
    <row r="21469" ht="14.4" customHeight="1" x14ac:dyDescent="0.3"/>
    <row r="21470" ht="14.4" customHeight="1" x14ac:dyDescent="0.3"/>
    <row r="21471" ht="14.4" customHeight="1" x14ac:dyDescent="0.3"/>
    <row r="21472" ht="14.4" customHeight="1" x14ac:dyDescent="0.3"/>
    <row r="21473" ht="14.4" customHeight="1" x14ac:dyDescent="0.3"/>
    <row r="21474" ht="14.4" customHeight="1" x14ac:dyDescent="0.3"/>
    <row r="21475" ht="14.4" customHeight="1" x14ac:dyDescent="0.3"/>
    <row r="21476" ht="14.4" customHeight="1" x14ac:dyDescent="0.3"/>
    <row r="21477" ht="14.4" customHeight="1" x14ac:dyDescent="0.3"/>
    <row r="21478" ht="14.4" customHeight="1" x14ac:dyDescent="0.3"/>
    <row r="21479" ht="14.4" customHeight="1" x14ac:dyDescent="0.3"/>
    <row r="21480" ht="14.4" customHeight="1" x14ac:dyDescent="0.3"/>
    <row r="21481" ht="14.4" customHeight="1" x14ac:dyDescent="0.3"/>
    <row r="21482" ht="14.4" customHeight="1" x14ac:dyDescent="0.3"/>
    <row r="21483" ht="14.4" customHeight="1" x14ac:dyDescent="0.3"/>
    <row r="21484" ht="14.4" customHeight="1" x14ac:dyDescent="0.3"/>
    <row r="21485" ht="14.4" customHeight="1" x14ac:dyDescent="0.3"/>
    <row r="21486" ht="14.4" customHeight="1" x14ac:dyDescent="0.3"/>
    <row r="21487" ht="14.4" customHeight="1" x14ac:dyDescent="0.3"/>
    <row r="21488" ht="14.4" customHeight="1" x14ac:dyDescent="0.3"/>
    <row r="21489" ht="14.4" customHeight="1" x14ac:dyDescent="0.3"/>
    <row r="21490" ht="14.4" customHeight="1" x14ac:dyDescent="0.3"/>
    <row r="21491" ht="14.4" customHeight="1" x14ac:dyDescent="0.3"/>
    <row r="21492" ht="14.4" customHeight="1" x14ac:dyDescent="0.3"/>
    <row r="21493" ht="14.4" customHeight="1" x14ac:dyDescent="0.3"/>
    <row r="21494" ht="14.4" customHeight="1" x14ac:dyDescent="0.3"/>
    <row r="21495" ht="14.4" customHeight="1" x14ac:dyDescent="0.3"/>
    <row r="21496" ht="14.4" customHeight="1" x14ac:dyDescent="0.3"/>
    <row r="21497" ht="14.4" customHeight="1" x14ac:dyDescent="0.3"/>
    <row r="21498" ht="14.4" customHeight="1" x14ac:dyDescent="0.3"/>
    <row r="21499" ht="14.4" customHeight="1" x14ac:dyDescent="0.3"/>
    <row r="21500" ht="14.4" customHeight="1" x14ac:dyDescent="0.3"/>
    <row r="21501" ht="14.4" customHeight="1" x14ac:dyDescent="0.3"/>
    <row r="21502" ht="14.4" customHeight="1" x14ac:dyDescent="0.3"/>
    <row r="21503" ht="14.4" customHeight="1" x14ac:dyDescent="0.3"/>
    <row r="21504" ht="14.4" customHeight="1" x14ac:dyDescent="0.3"/>
    <row r="21505" ht="14.4" customHeight="1" x14ac:dyDescent="0.3"/>
    <row r="21506" ht="14.4" customHeight="1" x14ac:dyDescent="0.3"/>
    <row r="21507" ht="14.4" customHeight="1" x14ac:dyDescent="0.3"/>
    <row r="21508" ht="14.4" customHeight="1" x14ac:dyDescent="0.3"/>
    <row r="21509" ht="14.4" customHeight="1" x14ac:dyDescent="0.3"/>
    <row r="21510" ht="14.4" customHeight="1" x14ac:dyDescent="0.3"/>
    <row r="21511" ht="14.4" customHeight="1" x14ac:dyDescent="0.3"/>
    <row r="21512" ht="14.4" customHeight="1" x14ac:dyDescent="0.3"/>
    <row r="21513" ht="14.4" customHeight="1" x14ac:dyDescent="0.3"/>
    <row r="21514" ht="14.4" customHeight="1" x14ac:dyDescent="0.3"/>
    <row r="21515" ht="14.4" customHeight="1" x14ac:dyDescent="0.3"/>
    <row r="21516" ht="14.4" customHeight="1" x14ac:dyDescent="0.3"/>
    <row r="21517" ht="14.4" customHeight="1" x14ac:dyDescent="0.3"/>
    <row r="21518" ht="14.4" customHeight="1" x14ac:dyDescent="0.3"/>
    <row r="21519" ht="14.4" customHeight="1" x14ac:dyDescent="0.3"/>
    <row r="21520" ht="14.4" customHeight="1" x14ac:dyDescent="0.3"/>
    <row r="21521" ht="14.4" customHeight="1" x14ac:dyDescent="0.3"/>
    <row r="21522" ht="14.4" customHeight="1" x14ac:dyDescent="0.3"/>
    <row r="21523" ht="14.4" customHeight="1" x14ac:dyDescent="0.3"/>
    <row r="21524" ht="14.4" customHeight="1" x14ac:dyDescent="0.3"/>
    <row r="21525" ht="14.4" customHeight="1" x14ac:dyDescent="0.3"/>
    <row r="21526" ht="14.4" customHeight="1" x14ac:dyDescent="0.3"/>
    <row r="21527" ht="14.4" customHeight="1" x14ac:dyDescent="0.3"/>
    <row r="21528" ht="14.4" customHeight="1" x14ac:dyDescent="0.3"/>
    <row r="21529" ht="14.4" customHeight="1" x14ac:dyDescent="0.3"/>
    <row r="21530" ht="14.4" customHeight="1" x14ac:dyDescent="0.3"/>
    <row r="21531" ht="14.4" customHeight="1" x14ac:dyDescent="0.3"/>
    <row r="21532" ht="14.4" customHeight="1" x14ac:dyDescent="0.3"/>
    <row r="21533" ht="14.4" customHeight="1" x14ac:dyDescent="0.3"/>
    <row r="21534" ht="14.4" customHeight="1" x14ac:dyDescent="0.3"/>
    <row r="21535" ht="14.4" customHeight="1" x14ac:dyDescent="0.3"/>
    <row r="21536" ht="14.4" customHeight="1" x14ac:dyDescent="0.3"/>
    <row r="21537" ht="14.4" customHeight="1" x14ac:dyDescent="0.3"/>
    <row r="21538" ht="14.4" customHeight="1" x14ac:dyDescent="0.3"/>
    <row r="21539" ht="14.4" customHeight="1" x14ac:dyDescent="0.3"/>
    <row r="21540" ht="14.4" customHeight="1" x14ac:dyDescent="0.3"/>
    <row r="21541" ht="14.4" customHeight="1" x14ac:dyDescent="0.3"/>
    <row r="21542" ht="14.4" customHeight="1" x14ac:dyDescent="0.3"/>
    <row r="21543" ht="14.4" customHeight="1" x14ac:dyDescent="0.3"/>
    <row r="21544" ht="14.4" customHeight="1" x14ac:dyDescent="0.3"/>
    <row r="21545" ht="14.4" customHeight="1" x14ac:dyDescent="0.3"/>
    <row r="21546" ht="14.4" customHeight="1" x14ac:dyDescent="0.3"/>
    <row r="21547" ht="14.4" customHeight="1" x14ac:dyDescent="0.3"/>
    <row r="21548" ht="14.4" customHeight="1" x14ac:dyDescent="0.3"/>
    <row r="21549" ht="14.4" customHeight="1" x14ac:dyDescent="0.3"/>
    <row r="21550" ht="14.4" customHeight="1" x14ac:dyDescent="0.3"/>
    <row r="21551" ht="14.4" customHeight="1" x14ac:dyDescent="0.3"/>
    <row r="21552" ht="14.4" customHeight="1" x14ac:dyDescent="0.3"/>
    <row r="21553" ht="14.4" customHeight="1" x14ac:dyDescent="0.3"/>
    <row r="21554" ht="14.4" customHeight="1" x14ac:dyDescent="0.3"/>
    <row r="21555" ht="14.4" customHeight="1" x14ac:dyDescent="0.3"/>
    <row r="21556" ht="14.4" customHeight="1" x14ac:dyDescent="0.3"/>
    <row r="21557" ht="14.4" customHeight="1" x14ac:dyDescent="0.3"/>
    <row r="21558" ht="14.4" customHeight="1" x14ac:dyDescent="0.3"/>
    <row r="21559" ht="14.4" customHeight="1" x14ac:dyDescent="0.3"/>
    <row r="21560" ht="14.4" customHeight="1" x14ac:dyDescent="0.3"/>
    <row r="21561" ht="14.4" customHeight="1" x14ac:dyDescent="0.3"/>
    <row r="21562" ht="14.4" customHeight="1" x14ac:dyDescent="0.3"/>
    <row r="21563" ht="14.4" customHeight="1" x14ac:dyDescent="0.3"/>
    <row r="21564" ht="14.4" customHeight="1" x14ac:dyDescent="0.3"/>
    <row r="21565" ht="14.4" customHeight="1" x14ac:dyDescent="0.3"/>
    <row r="21566" ht="14.4" customHeight="1" x14ac:dyDescent="0.3"/>
    <row r="21567" ht="14.4" customHeight="1" x14ac:dyDescent="0.3"/>
    <row r="21568" ht="14.4" customHeight="1" x14ac:dyDescent="0.3"/>
    <row r="21569" ht="14.4" customHeight="1" x14ac:dyDescent="0.3"/>
    <row r="21570" ht="14.4" customHeight="1" x14ac:dyDescent="0.3"/>
    <row r="21571" ht="14.4" customHeight="1" x14ac:dyDescent="0.3"/>
    <row r="21572" ht="14.4" customHeight="1" x14ac:dyDescent="0.3"/>
    <row r="21573" ht="14.4" customHeight="1" x14ac:dyDescent="0.3"/>
    <row r="21574" ht="14.4" customHeight="1" x14ac:dyDescent="0.3"/>
    <row r="21575" ht="14.4" customHeight="1" x14ac:dyDescent="0.3"/>
    <row r="21576" ht="14.4" customHeight="1" x14ac:dyDescent="0.3"/>
    <row r="21577" ht="14.4" customHeight="1" x14ac:dyDescent="0.3"/>
    <row r="21578" ht="14.4" customHeight="1" x14ac:dyDescent="0.3"/>
    <row r="21579" ht="14.4" customHeight="1" x14ac:dyDescent="0.3"/>
    <row r="21580" ht="14.4" customHeight="1" x14ac:dyDescent="0.3"/>
    <row r="21581" ht="14.4" customHeight="1" x14ac:dyDescent="0.3"/>
    <row r="21582" ht="14.4" customHeight="1" x14ac:dyDescent="0.3"/>
    <row r="21583" ht="14.4" customHeight="1" x14ac:dyDescent="0.3"/>
    <row r="21584" ht="14.4" customHeight="1" x14ac:dyDescent="0.3"/>
    <row r="21585" ht="14.4" customHeight="1" x14ac:dyDescent="0.3"/>
    <row r="21586" ht="14.4" customHeight="1" x14ac:dyDescent="0.3"/>
    <row r="21587" ht="14.4" customHeight="1" x14ac:dyDescent="0.3"/>
    <row r="21588" ht="14.4" customHeight="1" x14ac:dyDescent="0.3"/>
    <row r="21589" ht="14.4" customHeight="1" x14ac:dyDescent="0.3"/>
    <row r="21590" ht="14.4" customHeight="1" x14ac:dyDescent="0.3"/>
    <row r="21591" ht="14.4" customHeight="1" x14ac:dyDescent="0.3"/>
    <row r="21592" ht="14.4" customHeight="1" x14ac:dyDescent="0.3"/>
    <row r="21593" ht="14.4" customHeight="1" x14ac:dyDescent="0.3"/>
    <row r="21594" ht="14.4" customHeight="1" x14ac:dyDescent="0.3"/>
    <row r="21595" ht="14.4" customHeight="1" x14ac:dyDescent="0.3"/>
    <row r="21596" ht="14.4" customHeight="1" x14ac:dyDescent="0.3"/>
    <row r="21597" ht="14.4" customHeight="1" x14ac:dyDescent="0.3"/>
    <row r="21598" ht="14.4" customHeight="1" x14ac:dyDescent="0.3"/>
    <row r="21599" ht="14.4" customHeight="1" x14ac:dyDescent="0.3"/>
    <row r="21600" ht="14.4" customHeight="1" x14ac:dyDescent="0.3"/>
    <row r="21601" ht="14.4" customHeight="1" x14ac:dyDescent="0.3"/>
    <row r="21602" ht="14.4" customHeight="1" x14ac:dyDescent="0.3"/>
    <row r="21603" ht="14.4" customHeight="1" x14ac:dyDescent="0.3"/>
    <row r="21604" ht="14.4" customHeight="1" x14ac:dyDescent="0.3"/>
    <row r="21605" ht="14.4" customHeight="1" x14ac:dyDescent="0.3"/>
    <row r="21606" ht="14.4" customHeight="1" x14ac:dyDescent="0.3"/>
    <row r="21607" ht="14.4" customHeight="1" x14ac:dyDescent="0.3"/>
    <row r="21608" ht="14.4" customHeight="1" x14ac:dyDescent="0.3"/>
    <row r="21609" ht="14.4" customHeight="1" x14ac:dyDescent="0.3"/>
    <row r="21610" ht="14.4" customHeight="1" x14ac:dyDescent="0.3"/>
    <row r="21611" ht="14.4" customHeight="1" x14ac:dyDescent="0.3"/>
    <row r="21612" ht="14.4" customHeight="1" x14ac:dyDescent="0.3"/>
    <row r="21613" ht="14.4" customHeight="1" x14ac:dyDescent="0.3"/>
    <row r="21614" ht="14.4" customHeight="1" x14ac:dyDescent="0.3"/>
    <row r="21615" ht="14.4" customHeight="1" x14ac:dyDescent="0.3"/>
    <row r="21616" ht="14.4" customHeight="1" x14ac:dyDescent="0.3"/>
    <row r="21617" ht="14.4" customHeight="1" x14ac:dyDescent="0.3"/>
    <row r="21618" ht="14.4" customHeight="1" x14ac:dyDescent="0.3"/>
    <row r="21619" ht="14.4" customHeight="1" x14ac:dyDescent="0.3"/>
    <row r="21620" ht="14.4" customHeight="1" x14ac:dyDescent="0.3"/>
    <row r="21621" ht="14.4" customHeight="1" x14ac:dyDescent="0.3"/>
    <row r="21622" ht="14.4" customHeight="1" x14ac:dyDescent="0.3"/>
    <row r="21623" ht="14.4" customHeight="1" x14ac:dyDescent="0.3"/>
    <row r="21624" ht="14.4" customHeight="1" x14ac:dyDescent="0.3"/>
    <row r="21625" ht="14.4" customHeight="1" x14ac:dyDescent="0.3"/>
    <row r="21626" ht="14.4" customHeight="1" x14ac:dyDescent="0.3"/>
    <row r="21627" ht="14.4" customHeight="1" x14ac:dyDescent="0.3"/>
    <row r="21628" ht="14.4" customHeight="1" x14ac:dyDescent="0.3"/>
    <row r="21629" ht="14.4" customHeight="1" x14ac:dyDescent="0.3"/>
    <row r="21630" ht="14.4" customHeight="1" x14ac:dyDescent="0.3"/>
    <row r="21631" ht="14.4" customHeight="1" x14ac:dyDescent="0.3"/>
    <row r="21632" ht="14.4" customHeight="1" x14ac:dyDescent="0.3"/>
    <row r="21633" ht="14.4" customHeight="1" x14ac:dyDescent="0.3"/>
    <row r="21634" ht="14.4" customHeight="1" x14ac:dyDescent="0.3"/>
    <row r="21635" ht="14.4" customHeight="1" x14ac:dyDescent="0.3"/>
    <row r="21636" ht="14.4" customHeight="1" x14ac:dyDescent="0.3"/>
    <row r="21637" ht="14.4" customHeight="1" x14ac:dyDescent="0.3"/>
    <row r="21638" ht="14.4" customHeight="1" x14ac:dyDescent="0.3"/>
    <row r="21639" ht="14.4" customHeight="1" x14ac:dyDescent="0.3"/>
    <row r="21640" ht="14.4" customHeight="1" x14ac:dyDescent="0.3"/>
    <row r="21641" ht="14.4" customHeight="1" x14ac:dyDescent="0.3"/>
    <row r="21642" ht="14.4" customHeight="1" x14ac:dyDescent="0.3"/>
    <row r="21643" ht="14.4" customHeight="1" x14ac:dyDescent="0.3"/>
    <row r="21644" ht="14.4" customHeight="1" x14ac:dyDescent="0.3"/>
    <row r="21645" ht="14.4" customHeight="1" x14ac:dyDescent="0.3"/>
    <row r="21646" ht="14.4" customHeight="1" x14ac:dyDescent="0.3"/>
    <row r="21647" ht="14.4" customHeight="1" x14ac:dyDescent="0.3"/>
    <row r="21648" ht="14.4" customHeight="1" x14ac:dyDescent="0.3"/>
    <row r="21649" ht="14.4" customHeight="1" x14ac:dyDescent="0.3"/>
    <row r="21650" ht="14.4" customHeight="1" x14ac:dyDescent="0.3"/>
    <row r="21651" ht="14.4" customHeight="1" x14ac:dyDescent="0.3"/>
    <row r="21652" ht="14.4" customHeight="1" x14ac:dyDescent="0.3"/>
    <row r="21653" ht="14.4" customHeight="1" x14ac:dyDescent="0.3"/>
    <row r="21654" ht="14.4" customHeight="1" x14ac:dyDescent="0.3"/>
    <row r="21655" ht="14.4" customHeight="1" x14ac:dyDescent="0.3"/>
    <row r="21656" ht="14.4" customHeight="1" x14ac:dyDescent="0.3"/>
    <row r="21657" ht="14.4" customHeight="1" x14ac:dyDescent="0.3"/>
    <row r="21658" ht="14.4" customHeight="1" x14ac:dyDescent="0.3"/>
    <row r="21659" ht="14.4" customHeight="1" x14ac:dyDescent="0.3"/>
    <row r="21660" ht="14.4" customHeight="1" x14ac:dyDescent="0.3"/>
    <row r="21661" ht="14.4" customHeight="1" x14ac:dyDescent="0.3"/>
    <row r="21662" ht="14.4" customHeight="1" x14ac:dyDescent="0.3"/>
    <row r="21663" ht="14.4" customHeight="1" x14ac:dyDescent="0.3"/>
    <row r="21664" ht="14.4" customHeight="1" x14ac:dyDescent="0.3"/>
    <row r="21665" ht="14.4" customHeight="1" x14ac:dyDescent="0.3"/>
    <row r="21666" ht="14.4" customHeight="1" x14ac:dyDescent="0.3"/>
    <row r="21667" ht="14.4" customHeight="1" x14ac:dyDescent="0.3"/>
    <row r="21668" ht="14.4" customHeight="1" x14ac:dyDescent="0.3"/>
    <row r="21669" ht="14.4" customHeight="1" x14ac:dyDescent="0.3"/>
    <row r="21670" ht="14.4" customHeight="1" x14ac:dyDescent="0.3"/>
    <row r="21671" ht="14.4" customHeight="1" x14ac:dyDescent="0.3"/>
    <row r="21672" ht="14.4" customHeight="1" x14ac:dyDescent="0.3"/>
    <row r="21673" ht="14.4" customHeight="1" x14ac:dyDescent="0.3"/>
    <row r="21674" ht="14.4" customHeight="1" x14ac:dyDescent="0.3"/>
    <row r="21675" ht="14.4" customHeight="1" x14ac:dyDescent="0.3"/>
    <row r="21676" ht="14.4" customHeight="1" x14ac:dyDescent="0.3"/>
    <row r="21677" ht="14.4" customHeight="1" x14ac:dyDescent="0.3"/>
    <row r="21678" ht="14.4" customHeight="1" x14ac:dyDescent="0.3"/>
    <row r="21679" ht="14.4" customHeight="1" x14ac:dyDescent="0.3"/>
    <row r="21680" ht="14.4" customHeight="1" x14ac:dyDescent="0.3"/>
    <row r="21681" ht="14.4" customHeight="1" x14ac:dyDescent="0.3"/>
    <row r="21682" ht="14.4" customHeight="1" x14ac:dyDescent="0.3"/>
    <row r="21683" ht="14.4" customHeight="1" x14ac:dyDescent="0.3"/>
    <row r="21684" ht="14.4" customHeight="1" x14ac:dyDescent="0.3"/>
    <row r="21685" ht="14.4" customHeight="1" x14ac:dyDescent="0.3"/>
    <row r="21686" ht="14.4" customHeight="1" x14ac:dyDescent="0.3"/>
    <row r="21687" ht="14.4" customHeight="1" x14ac:dyDescent="0.3"/>
    <row r="21688" ht="14.4" customHeight="1" x14ac:dyDescent="0.3"/>
    <row r="21689" ht="14.4" customHeight="1" x14ac:dyDescent="0.3"/>
    <row r="21690" ht="14.4" customHeight="1" x14ac:dyDescent="0.3"/>
    <row r="21691" ht="14.4" customHeight="1" x14ac:dyDescent="0.3"/>
    <row r="21692" ht="14.4" customHeight="1" x14ac:dyDescent="0.3"/>
    <row r="21693" ht="14.4" customHeight="1" x14ac:dyDescent="0.3"/>
    <row r="21694" ht="14.4" customHeight="1" x14ac:dyDescent="0.3"/>
    <row r="21695" ht="14.4" customHeight="1" x14ac:dyDescent="0.3"/>
    <row r="21696" ht="14.4" customHeight="1" x14ac:dyDescent="0.3"/>
    <row r="21697" ht="14.4" customHeight="1" x14ac:dyDescent="0.3"/>
    <row r="21698" ht="14.4" customHeight="1" x14ac:dyDescent="0.3"/>
    <row r="21699" ht="14.4" customHeight="1" x14ac:dyDescent="0.3"/>
    <row r="21700" ht="14.4" customHeight="1" x14ac:dyDescent="0.3"/>
    <row r="21701" ht="14.4" customHeight="1" x14ac:dyDescent="0.3"/>
    <row r="21702" ht="14.4" customHeight="1" x14ac:dyDescent="0.3"/>
    <row r="21703" ht="14.4" customHeight="1" x14ac:dyDescent="0.3"/>
    <row r="21704" ht="14.4" customHeight="1" x14ac:dyDescent="0.3"/>
    <row r="21705" ht="14.4" customHeight="1" x14ac:dyDescent="0.3"/>
    <row r="21706" ht="14.4" customHeight="1" x14ac:dyDescent="0.3"/>
    <row r="21707" ht="14.4" customHeight="1" x14ac:dyDescent="0.3"/>
    <row r="21708" ht="14.4" customHeight="1" x14ac:dyDescent="0.3"/>
    <row r="21709" ht="14.4" customHeight="1" x14ac:dyDescent="0.3"/>
    <row r="21710" ht="14.4" customHeight="1" x14ac:dyDescent="0.3"/>
    <row r="21711" ht="14.4" customHeight="1" x14ac:dyDescent="0.3"/>
    <row r="21712" ht="14.4" customHeight="1" x14ac:dyDescent="0.3"/>
    <row r="21713" ht="14.4" customHeight="1" x14ac:dyDescent="0.3"/>
    <row r="21714" ht="14.4" customHeight="1" x14ac:dyDescent="0.3"/>
    <row r="21715" ht="14.4" customHeight="1" x14ac:dyDescent="0.3"/>
    <row r="21716" ht="14.4" customHeight="1" x14ac:dyDescent="0.3"/>
    <row r="21717" ht="14.4" customHeight="1" x14ac:dyDescent="0.3"/>
    <row r="21718" ht="14.4" customHeight="1" x14ac:dyDescent="0.3"/>
    <row r="21719" ht="14.4" customHeight="1" x14ac:dyDescent="0.3"/>
    <row r="21720" ht="14.4" customHeight="1" x14ac:dyDescent="0.3"/>
    <row r="21721" ht="14.4" customHeight="1" x14ac:dyDescent="0.3"/>
    <row r="21722" ht="14.4" customHeight="1" x14ac:dyDescent="0.3"/>
    <row r="21723" ht="14.4" customHeight="1" x14ac:dyDescent="0.3"/>
    <row r="21724" ht="14.4" customHeight="1" x14ac:dyDescent="0.3"/>
    <row r="21725" ht="14.4" customHeight="1" x14ac:dyDescent="0.3"/>
    <row r="21726" ht="14.4" customHeight="1" x14ac:dyDescent="0.3"/>
    <row r="21727" ht="14.4" customHeight="1" x14ac:dyDescent="0.3"/>
    <row r="21728" ht="14.4" customHeight="1" x14ac:dyDescent="0.3"/>
    <row r="21729" ht="14.4" customHeight="1" x14ac:dyDescent="0.3"/>
    <row r="21730" ht="14.4" customHeight="1" x14ac:dyDescent="0.3"/>
    <row r="21731" ht="14.4" customHeight="1" x14ac:dyDescent="0.3"/>
    <row r="21732" ht="14.4" customHeight="1" x14ac:dyDescent="0.3"/>
    <row r="21733" ht="14.4" customHeight="1" x14ac:dyDescent="0.3"/>
    <row r="21734" ht="14.4" customHeight="1" x14ac:dyDescent="0.3"/>
    <row r="21735" ht="14.4" customHeight="1" x14ac:dyDescent="0.3"/>
    <row r="21736" ht="14.4" customHeight="1" x14ac:dyDescent="0.3"/>
    <row r="21737" ht="14.4" customHeight="1" x14ac:dyDescent="0.3"/>
    <row r="21738" ht="14.4" customHeight="1" x14ac:dyDescent="0.3"/>
    <row r="21739" ht="14.4" customHeight="1" x14ac:dyDescent="0.3"/>
    <row r="21740" ht="14.4" customHeight="1" x14ac:dyDescent="0.3"/>
    <row r="21741" ht="14.4" customHeight="1" x14ac:dyDescent="0.3"/>
    <row r="21742" ht="14.4" customHeight="1" x14ac:dyDescent="0.3"/>
    <row r="21743" ht="14.4" customHeight="1" x14ac:dyDescent="0.3"/>
    <row r="21744" ht="14.4" customHeight="1" x14ac:dyDescent="0.3"/>
    <row r="21745" ht="14.4" customHeight="1" x14ac:dyDescent="0.3"/>
    <row r="21746" ht="14.4" customHeight="1" x14ac:dyDescent="0.3"/>
    <row r="21747" ht="14.4" customHeight="1" x14ac:dyDescent="0.3"/>
    <row r="21748" ht="14.4" customHeight="1" x14ac:dyDescent="0.3"/>
    <row r="21749" ht="14.4" customHeight="1" x14ac:dyDescent="0.3"/>
    <row r="21750" ht="14.4" customHeight="1" x14ac:dyDescent="0.3"/>
    <row r="21751" ht="14.4" customHeight="1" x14ac:dyDescent="0.3"/>
    <row r="21752" ht="14.4" customHeight="1" x14ac:dyDescent="0.3"/>
    <row r="21753" ht="14.4" customHeight="1" x14ac:dyDescent="0.3"/>
    <row r="21754" ht="14.4" customHeight="1" x14ac:dyDescent="0.3"/>
    <row r="21755" ht="14.4" customHeight="1" x14ac:dyDescent="0.3"/>
    <row r="21756" ht="14.4" customHeight="1" x14ac:dyDescent="0.3"/>
    <row r="21757" ht="14.4" customHeight="1" x14ac:dyDescent="0.3"/>
    <row r="21758" ht="14.4" customHeight="1" x14ac:dyDescent="0.3"/>
    <row r="21759" ht="14.4" customHeight="1" x14ac:dyDescent="0.3"/>
    <row r="21760" ht="14.4" customHeight="1" x14ac:dyDescent="0.3"/>
    <row r="21761" ht="14.4" customHeight="1" x14ac:dyDescent="0.3"/>
    <row r="21762" ht="14.4" customHeight="1" x14ac:dyDescent="0.3"/>
    <row r="21763" ht="14.4" customHeight="1" x14ac:dyDescent="0.3"/>
    <row r="21764" ht="14.4" customHeight="1" x14ac:dyDescent="0.3"/>
    <row r="21765" ht="14.4" customHeight="1" x14ac:dyDescent="0.3"/>
    <row r="21766" ht="14.4" customHeight="1" x14ac:dyDescent="0.3"/>
    <row r="21767" ht="14.4" customHeight="1" x14ac:dyDescent="0.3"/>
    <row r="21768" ht="14.4" customHeight="1" x14ac:dyDescent="0.3"/>
    <row r="21769" ht="14.4" customHeight="1" x14ac:dyDescent="0.3"/>
    <row r="21770" ht="14.4" customHeight="1" x14ac:dyDescent="0.3"/>
    <row r="21771" ht="14.4" customHeight="1" x14ac:dyDescent="0.3"/>
    <row r="21772" ht="14.4" customHeight="1" x14ac:dyDescent="0.3"/>
    <row r="21773" ht="14.4" customHeight="1" x14ac:dyDescent="0.3"/>
    <row r="21774" ht="14.4" customHeight="1" x14ac:dyDescent="0.3"/>
    <row r="21775" ht="14.4" customHeight="1" x14ac:dyDescent="0.3"/>
    <row r="21776" ht="14.4" customHeight="1" x14ac:dyDescent="0.3"/>
    <row r="21777" ht="14.4" customHeight="1" x14ac:dyDescent="0.3"/>
    <row r="21778" ht="14.4" customHeight="1" x14ac:dyDescent="0.3"/>
    <row r="21779" ht="14.4" customHeight="1" x14ac:dyDescent="0.3"/>
    <row r="21780" ht="14.4" customHeight="1" x14ac:dyDescent="0.3"/>
    <row r="21781" ht="14.4" customHeight="1" x14ac:dyDescent="0.3"/>
    <row r="21782" ht="14.4" customHeight="1" x14ac:dyDescent="0.3"/>
    <row r="21783" ht="14.4" customHeight="1" x14ac:dyDescent="0.3"/>
    <row r="21784" ht="14.4" customHeight="1" x14ac:dyDescent="0.3"/>
    <row r="21785" ht="14.4" customHeight="1" x14ac:dyDescent="0.3"/>
    <row r="21786" ht="14.4" customHeight="1" x14ac:dyDescent="0.3"/>
    <row r="21787" ht="14.4" customHeight="1" x14ac:dyDescent="0.3"/>
    <row r="21788" ht="14.4" customHeight="1" x14ac:dyDescent="0.3"/>
    <row r="21789" ht="14.4" customHeight="1" x14ac:dyDescent="0.3"/>
    <row r="21790" ht="14.4" customHeight="1" x14ac:dyDescent="0.3"/>
    <row r="21791" ht="14.4" customHeight="1" x14ac:dyDescent="0.3"/>
    <row r="21792" ht="14.4" customHeight="1" x14ac:dyDescent="0.3"/>
    <row r="21793" ht="14.4" customHeight="1" x14ac:dyDescent="0.3"/>
    <row r="21794" ht="14.4" customHeight="1" x14ac:dyDescent="0.3"/>
    <row r="21795" ht="14.4" customHeight="1" x14ac:dyDescent="0.3"/>
    <row r="21796" ht="14.4" customHeight="1" x14ac:dyDescent="0.3"/>
    <row r="21797" ht="14.4" customHeight="1" x14ac:dyDescent="0.3"/>
    <row r="21798" ht="14.4" customHeight="1" x14ac:dyDescent="0.3"/>
    <row r="21799" ht="14.4" customHeight="1" x14ac:dyDescent="0.3"/>
    <row r="21800" ht="14.4" customHeight="1" x14ac:dyDescent="0.3"/>
    <row r="21801" ht="14.4" customHeight="1" x14ac:dyDescent="0.3"/>
    <row r="21802" ht="14.4" customHeight="1" x14ac:dyDescent="0.3"/>
    <row r="21803" ht="14.4" customHeight="1" x14ac:dyDescent="0.3"/>
    <row r="21804" ht="14.4" customHeight="1" x14ac:dyDescent="0.3"/>
    <row r="21805" ht="14.4" customHeight="1" x14ac:dyDescent="0.3"/>
    <row r="21806" ht="14.4" customHeight="1" x14ac:dyDescent="0.3"/>
    <row r="21807" ht="14.4" customHeight="1" x14ac:dyDescent="0.3"/>
    <row r="21808" ht="14.4" customHeight="1" x14ac:dyDescent="0.3"/>
    <row r="21809" ht="14.4" customHeight="1" x14ac:dyDescent="0.3"/>
    <row r="21810" ht="14.4" customHeight="1" x14ac:dyDescent="0.3"/>
    <row r="21811" ht="14.4" customHeight="1" x14ac:dyDescent="0.3"/>
    <row r="21812" ht="14.4" customHeight="1" x14ac:dyDescent="0.3"/>
    <row r="21813" ht="14.4" customHeight="1" x14ac:dyDescent="0.3"/>
    <row r="21814" ht="14.4" customHeight="1" x14ac:dyDescent="0.3"/>
    <row r="21815" ht="14.4" customHeight="1" x14ac:dyDescent="0.3"/>
    <row r="21816" ht="14.4" customHeight="1" x14ac:dyDescent="0.3"/>
    <row r="21817" ht="14.4" customHeight="1" x14ac:dyDescent="0.3"/>
    <row r="21818" ht="14.4" customHeight="1" x14ac:dyDescent="0.3"/>
    <row r="21819" ht="14.4" customHeight="1" x14ac:dyDescent="0.3"/>
    <row r="21820" ht="14.4" customHeight="1" x14ac:dyDescent="0.3"/>
    <row r="21821" ht="14.4" customHeight="1" x14ac:dyDescent="0.3"/>
    <row r="21822" ht="14.4" customHeight="1" x14ac:dyDescent="0.3"/>
    <row r="21823" ht="14.4" customHeight="1" x14ac:dyDescent="0.3"/>
    <row r="21824" ht="14.4" customHeight="1" x14ac:dyDescent="0.3"/>
    <row r="21825" ht="14.4" customHeight="1" x14ac:dyDescent="0.3"/>
    <row r="21826" ht="14.4" customHeight="1" x14ac:dyDescent="0.3"/>
    <row r="21827" ht="14.4" customHeight="1" x14ac:dyDescent="0.3"/>
    <row r="21828" ht="14.4" customHeight="1" x14ac:dyDescent="0.3"/>
    <row r="21829" ht="14.4" customHeight="1" x14ac:dyDescent="0.3"/>
    <row r="21830" ht="14.4" customHeight="1" x14ac:dyDescent="0.3"/>
    <row r="21831" ht="14.4" customHeight="1" x14ac:dyDescent="0.3"/>
    <row r="21832" ht="14.4" customHeight="1" x14ac:dyDescent="0.3"/>
    <row r="21833" ht="14.4" customHeight="1" x14ac:dyDescent="0.3"/>
    <row r="21834" ht="14.4" customHeight="1" x14ac:dyDescent="0.3"/>
    <row r="21835" ht="14.4" customHeight="1" x14ac:dyDescent="0.3"/>
    <row r="21836" ht="14.4" customHeight="1" x14ac:dyDescent="0.3"/>
    <row r="21837" ht="14.4" customHeight="1" x14ac:dyDescent="0.3"/>
    <row r="21838" ht="14.4" customHeight="1" x14ac:dyDescent="0.3"/>
    <row r="21839" ht="14.4" customHeight="1" x14ac:dyDescent="0.3"/>
    <row r="21840" ht="14.4" customHeight="1" x14ac:dyDescent="0.3"/>
    <row r="21841" ht="14.4" customHeight="1" x14ac:dyDescent="0.3"/>
    <row r="21842" ht="14.4" customHeight="1" x14ac:dyDescent="0.3"/>
    <row r="21843" ht="14.4" customHeight="1" x14ac:dyDescent="0.3"/>
    <row r="21844" ht="14.4" customHeight="1" x14ac:dyDescent="0.3"/>
    <row r="21845" ht="14.4" customHeight="1" x14ac:dyDescent="0.3"/>
    <row r="21846" ht="14.4" customHeight="1" x14ac:dyDescent="0.3"/>
    <row r="21847" ht="14.4" customHeight="1" x14ac:dyDescent="0.3"/>
    <row r="21848" ht="14.4" customHeight="1" x14ac:dyDescent="0.3"/>
    <row r="21849" ht="14.4" customHeight="1" x14ac:dyDescent="0.3"/>
    <row r="21850" ht="14.4" customHeight="1" x14ac:dyDescent="0.3"/>
    <row r="21851" ht="14.4" customHeight="1" x14ac:dyDescent="0.3"/>
    <row r="21852" ht="14.4" customHeight="1" x14ac:dyDescent="0.3"/>
    <row r="21853" ht="14.4" customHeight="1" x14ac:dyDescent="0.3"/>
    <row r="21854" ht="14.4" customHeight="1" x14ac:dyDescent="0.3"/>
    <row r="21855" ht="14.4" customHeight="1" x14ac:dyDescent="0.3"/>
    <row r="21856" ht="14.4" customHeight="1" x14ac:dyDescent="0.3"/>
    <row r="21857" ht="14.4" customHeight="1" x14ac:dyDescent="0.3"/>
    <row r="21858" ht="14.4" customHeight="1" x14ac:dyDescent="0.3"/>
    <row r="21859" ht="14.4" customHeight="1" x14ac:dyDescent="0.3"/>
    <row r="21860" ht="14.4" customHeight="1" x14ac:dyDescent="0.3"/>
    <row r="21861" ht="14.4" customHeight="1" x14ac:dyDescent="0.3"/>
    <row r="21862" ht="14.4" customHeight="1" x14ac:dyDescent="0.3"/>
    <row r="21863" ht="14.4" customHeight="1" x14ac:dyDescent="0.3"/>
    <row r="21864" ht="14.4" customHeight="1" x14ac:dyDescent="0.3"/>
    <row r="21865" ht="14.4" customHeight="1" x14ac:dyDescent="0.3"/>
    <row r="21866" ht="14.4" customHeight="1" x14ac:dyDescent="0.3"/>
    <row r="21867" ht="14.4" customHeight="1" x14ac:dyDescent="0.3"/>
    <row r="21868" ht="14.4" customHeight="1" x14ac:dyDescent="0.3"/>
    <row r="21869" ht="14.4" customHeight="1" x14ac:dyDescent="0.3"/>
    <row r="21870" ht="14.4" customHeight="1" x14ac:dyDescent="0.3"/>
    <row r="21871" ht="14.4" customHeight="1" x14ac:dyDescent="0.3"/>
    <row r="21872" ht="14.4" customHeight="1" x14ac:dyDescent="0.3"/>
    <row r="21873" ht="14.4" customHeight="1" x14ac:dyDescent="0.3"/>
    <row r="21874" ht="14.4" customHeight="1" x14ac:dyDescent="0.3"/>
    <row r="21875" ht="14.4" customHeight="1" x14ac:dyDescent="0.3"/>
    <row r="21876" ht="14.4" customHeight="1" x14ac:dyDescent="0.3"/>
    <row r="21877" ht="14.4" customHeight="1" x14ac:dyDescent="0.3"/>
    <row r="21878" ht="14.4" customHeight="1" x14ac:dyDescent="0.3"/>
    <row r="21879" ht="14.4" customHeight="1" x14ac:dyDescent="0.3"/>
    <row r="21880" ht="14.4" customHeight="1" x14ac:dyDescent="0.3"/>
    <row r="21881" ht="14.4" customHeight="1" x14ac:dyDescent="0.3"/>
    <row r="21882" ht="14.4" customHeight="1" x14ac:dyDescent="0.3"/>
    <row r="21883" ht="14.4" customHeight="1" x14ac:dyDescent="0.3"/>
    <row r="21884" ht="14.4" customHeight="1" x14ac:dyDescent="0.3"/>
    <row r="21885" ht="14.4" customHeight="1" x14ac:dyDescent="0.3"/>
    <row r="21886" ht="14.4" customHeight="1" x14ac:dyDescent="0.3"/>
    <row r="21887" ht="14.4" customHeight="1" x14ac:dyDescent="0.3"/>
    <row r="21888" ht="14.4" customHeight="1" x14ac:dyDescent="0.3"/>
    <row r="21889" ht="14.4" customHeight="1" x14ac:dyDescent="0.3"/>
    <row r="21890" ht="14.4" customHeight="1" x14ac:dyDescent="0.3"/>
    <row r="21891" ht="14.4" customHeight="1" x14ac:dyDescent="0.3"/>
    <row r="21892" ht="14.4" customHeight="1" x14ac:dyDescent="0.3"/>
    <row r="21893" ht="14.4" customHeight="1" x14ac:dyDescent="0.3"/>
    <row r="21894" ht="14.4" customHeight="1" x14ac:dyDescent="0.3"/>
    <row r="21895" ht="14.4" customHeight="1" x14ac:dyDescent="0.3"/>
    <row r="21896" ht="14.4" customHeight="1" x14ac:dyDescent="0.3"/>
    <row r="21897" ht="14.4" customHeight="1" x14ac:dyDescent="0.3"/>
    <row r="21898" ht="14.4" customHeight="1" x14ac:dyDescent="0.3"/>
    <row r="21899" ht="14.4" customHeight="1" x14ac:dyDescent="0.3"/>
    <row r="21900" ht="14.4" customHeight="1" x14ac:dyDescent="0.3"/>
    <row r="21901" ht="14.4" customHeight="1" x14ac:dyDescent="0.3"/>
    <row r="21902" ht="14.4" customHeight="1" x14ac:dyDescent="0.3"/>
    <row r="21903" ht="14.4" customHeight="1" x14ac:dyDescent="0.3"/>
    <row r="21904" ht="14.4" customHeight="1" x14ac:dyDescent="0.3"/>
    <row r="21905" ht="14.4" customHeight="1" x14ac:dyDescent="0.3"/>
    <row r="21906" ht="14.4" customHeight="1" x14ac:dyDescent="0.3"/>
    <row r="21907" ht="14.4" customHeight="1" x14ac:dyDescent="0.3"/>
    <row r="21908" ht="14.4" customHeight="1" x14ac:dyDescent="0.3"/>
    <row r="21909" ht="14.4" customHeight="1" x14ac:dyDescent="0.3"/>
    <row r="21910" ht="14.4" customHeight="1" x14ac:dyDescent="0.3"/>
    <row r="21911" ht="14.4" customHeight="1" x14ac:dyDescent="0.3"/>
    <row r="21912" ht="14.4" customHeight="1" x14ac:dyDescent="0.3"/>
    <row r="21913" ht="14.4" customHeight="1" x14ac:dyDescent="0.3"/>
    <row r="21914" ht="14.4" customHeight="1" x14ac:dyDescent="0.3"/>
    <row r="21915" ht="14.4" customHeight="1" x14ac:dyDescent="0.3"/>
    <row r="21916" ht="14.4" customHeight="1" x14ac:dyDescent="0.3"/>
    <row r="21917" ht="14.4" customHeight="1" x14ac:dyDescent="0.3"/>
    <row r="21918" ht="14.4" customHeight="1" x14ac:dyDescent="0.3"/>
    <row r="21919" ht="14.4" customHeight="1" x14ac:dyDescent="0.3"/>
    <row r="21920" ht="14.4" customHeight="1" x14ac:dyDescent="0.3"/>
    <row r="21921" ht="14.4" customHeight="1" x14ac:dyDescent="0.3"/>
    <row r="21922" ht="14.4" customHeight="1" x14ac:dyDescent="0.3"/>
    <row r="21923" ht="14.4" customHeight="1" x14ac:dyDescent="0.3"/>
    <row r="21924" ht="14.4" customHeight="1" x14ac:dyDescent="0.3"/>
    <row r="21925" ht="14.4" customHeight="1" x14ac:dyDescent="0.3"/>
    <row r="21926" ht="14.4" customHeight="1" x14ac:dyDescent="0.3"/>
    <row r="21927" ht="14.4" customHeight="1" x14ac:dyDescent="0.3"/>
    <row r="21928" ht="14.4" customHeight="1" x14ac:dyDescent="0.3"/>
    <row r="21929" ht="14.4" customHeight="1" x14ac:dyDescent="0.3"/>
    <row r="21930" ht="14.4" customHeight="1" x14ac:dyDescent="0.3"/>
    <row r="21931" ht="14.4" customHeight="1" x14ac:dyDescent="0.3"/>
    <row r="21932" ht="14.4" customHeight="1" x14ac:dyDescent="0.3"/>
    <row r="21933" ht="14.4" customHeight="1" x14ac:dyDescent="0.3"/>
    <row r="21934" ht="14.4" customHeight="1" x14ac:dyDescent="0.3"/>
    <row r="21935" ht="14.4" customHeight="1" x14ac:dyDescent="0.3"/>
    <row r="21936" ht="14.4" customHeight="1" x14ac:dyDescent="0.3"/>
    <row r="21937" ht="14.4" customHeight="1" x14ac:dyDescent="0.3"/>
    <row r="21938" ht="14.4" customHeight="1" x14ac:dyDescent="0.3"/>
    <row r="21939" ht="14.4" customHeight="1" x14ac:dyDescent="0.3"/>
    <row r="21940" ht="14.4" customHeight="1" x14ac:dyDescent="0.3"/>
    <row r="21941" ht="14.4" customHeight="1" x14ac:dyDescent="0.3"/>
    <row r="21942" ht="14.4" customHeight="1" x14ac:dyDescent="0.3"/>
    <row r="21943" ht="14.4" customHeight="1" x14ac:dyDescent="0.3"/>
    <row r="21944" ht="14.4" customHeight="1" x14ac:dyDescent="0.3"/>
    <row r="21945" ht="14.4" customHeight="1" x14ac:dyDescent="0.3"/>
    <row r="21946" ht="14.4" customHeight="1" x14ac:dyDescent="0.3"/>
    <row r="21947" ht="14.4" customHeight="1" x14ac:dyDescent="0.3"/>
    <row r="21948" ht="14.4" customHeight="1" x14ac:dyDescent="0.3"/>
    <row r="21949" ht="14.4" customHeight="1" x14ac:dyDescent="0.3"/>
    <row r="21950" ht="14.4" customHeight="1" x14ac:dyDescent="0.3"/>
    <row r="21951" ht="14.4" customHeight="1" x14ac:dyDescent="0.3"/>
    <row r="21952" ht="14.4" customHeight="1" x14ac:dyDescent="0.3"/>
    <row r="21953" ht="14.4" customHeight="1" x14ac:dyDescent="0.3"/>
    <row r="21954" ht="14.4" customHeight="1" x14ac:dyDescent="0.3"/>
    <row r="21955" ht="14.4" customHeight="1" x14ac:dyDescent="0.3"/>
    <row r="21956" ht="14.4" customHeight="1" x14ac:dyDescent="0.3"/>
    <row r="21957" ht="14.4" customHeight="1" x14ac:dyDescent="0.3"/>
    <row r="21958" ht="14.4" customHeight="1" x14ac:dyDescent="0.3"/>
    <row r="21959" ht="14.4" customHeight="1" x14ac:dyDescent="0.3"/>
    <row r="21960" ht="14.4" customHeight="1" x14ac:dyDescent="0.3"/>
    <row r="21961" ht="14.4" customHeight="1" x14ac:dyDescent="0.3"/>
    <row r="21962" ht="14.4" customHeight="1" x14ac:dyDescent="0.3"/>
    <row r="21963" ht="14.4" customHeight="1" x14ac:dyDescent="0.3"/>
    <row r="21964" ht="14.4" customHeight="1" x14ac:dyDescent="0.3"/>
    <row r="21965" ht="14.4" customHeight="1" x14ac:dyDescent="0.3"/>
    <row r="21966" ht="14.4" customHeight="1" x14ac:dyDescent="0.3"/>
    <row r="21967" ht="14.4" customHeight="1" x14ac:dyDescent="0.3"/>
    <row r="21968" ht="14.4" customHeight="1" x14ac:dyDescent="0.3"/>
    <row r="21969" ht="14.4" customHeight="1" x14ac:dyDescent="0.3"/>
    <row r="21970" ht="14.4" customHeight="1" x14ac:dyDescent="0.3"/>
    <row r="21971" ht="14.4" customHeight="1" x14ac:dyDescent="0.3"/>
    <row r="21972" ht="14.4" customHeight="1" x14ac:dyDescent="0.3"/>
    <row r="21973" ht="14.4" customHeight="1" x14ac:dyDescent="0.3"/>
    <row r="21974" ht="14.4" customHeight="1" x14ac:dyDescent="0.3"/>
    <row r="21975" ht="14.4" customHeight="1" x14ac:dyDescent="0.3"/>
    <row r="21976" ht="14.4" customHeight="1" x14ac:dyDescent="0.3"/>
    <row r="21977" ht="14.4" customHeight="1" x14ac:dyDescent="0.3"/>
    <row r="21978" ht="14.4" customHeight="1" x14ac:dyDescent="0.3"/>
    <row r="21979" ht="14.4" customHeight="1" x14ac:dyDescent="0.3"/>
    <row r="21980" ht="14.4" customHeight="1" x14ac:dyDescent="0.3"/>
    <row r="21981" ht="14.4" customHeight="1" x14ac:dyDescent="0.3"/>
    <row r="21982" ht="14.4" customHeight="1" x14ac:dyDescent="0.3"/>
    <row r="21983" ht="14.4" customHeight="1" x14ac:dyDescent="0.3"/>
    <row r="21984" ht="14.4" customHeight="1" x14ac:dyDescent="0.3"/>
    <row r="21985" ht="14.4" customHeight="1" x14ac:dyDescent="0.3"/>
    <row r="21986" ht="14.4" customHeight="1" x14ac:dyDescent="0.3"/>
    <row r="21987" ht="14.4" customHeight="1" x14ac:dyDescent="0.3"/>
    <row r="21988" ht="14.4" customHeight="1" x14ac:dyDescent="0.3"/>
    <row r="21989" ht="14.4" customHeight="1" x14ac:dyDescent="0.3"/>
    <row r="21990" ht="14.4" customHeight="1" x14ac:dyDescent="0.3"/>
    <row r="21991" ht="14.4" customHeight="1" x14ac:dyDescent="0.3"/>
    <row r="21992" ht="14.4" customHeight="1" x14ac:dyDescent="0.3"/>
    <row r="21993" ht="14.4" customHeight="1" x14ac:dyDescent="0.3"/>
    <row r="21994" ht="14.4" customHeight="1" x14ac:dyDescent="0.3"/>
    <row r="21995" ht="14.4" customHeight="1" x14ac:dyDescent="0.3"/>
    <row r="21996" ht="14.4" customHeight="1" x14ac:dyDescent="0.3"/>
    <row r="21997" ht="14.4" customHeight="1" x14ac:dyDescent="0.3"/>
    <row r="21998" ht="14.4" customHeight="1" x14ac:dyDescent="0.3"/>
    <row r="21999" ht="14.4" customHeight="1" x14ac:dyDescent="0.3"/>
    <row r="22000" ht="14.4" customHeight="1" x14ac:dyDescent="0.3"/>
    <row r="22001" ht="14.4" customHeight="1" x14ac:dyDescent="0.3"/>
    <row r="22002" ht="14.4" customHeight="1" x14ac:dyDescent="0.3"/>
    <row r="22003" ht="14.4" customHeight="1" x14ac:dyDescent="0.3"/>
    <row r="22004" ht="14.4" customHeight="1" x14ac:dyDescent="0.3"/>
    <row r="22005" ht="14.4" customHeight="1" x14ac:dyDescent="0.3"/>
    <row r="22006" ht="14.4" customHeight="1" x14ac:dyDescent="0.3"/>
    <row r="22007" ht="14.4" customHeight="1" x14ac:dyDescent="0.3"/>
    <row r="22008" ht="14.4" customHeight="1" x14ac:dyDescent="0.3"/>
    <row r="22009" ht="14.4" customHeight="1" x14ac:dyDescent="0.3"/>
    <row r="22010" ht="14.4" customHeight="1" x14ac:dyDescent="0.3"/>
    <row r="22011" ht="14.4" customHeight="1" x14ac:dyDescent="0.3"/>
    <row r="22012" ht="14.4" customHeight="1" x14ac:dyDescent="0.3"/>
    <row r="22013" ht="14.4" customHeight="1" x14ac:dyDescent="0.3"/>
    <row r="22014" ht="14.4" customHeight="1" x14ac:dyDescent="0.3"/>
    <row r="22015" ht="14.4" customHeight="1" x14ac:dyDescent="0.3"/>
    <row r="22016" ht="14.4" customHeight="1" x14ac:dyDescent="0.3"/>
    <row r="22017" ht="14.4" customHeight="1" x14ac:dyDescent="0.3"/>
    <row r="22018" ht="14.4" customHeight="1" x14ac:dyDescent="0.3"/>
    <row r="22019" ht="14.4" customHeight="1" x14ac:dyDescent="0.3"/>
    <row r="22020" ht="14.4" customHeight="1" x14ac:dyDescent="0.3"/>
    <row r="22021" ht="14.4" customHeight="1" x14ac:dyDescent="0.3"/>
    <row r="22022" ht="14.4" customHeight="1" x14ac:dyDescent="0.3"/>
    <row r="22023" ht="14.4" customHeight="1" x14ac:dyDescent="0.3"/>
    <row r="22024" ht="14.4" customHeight="1" x14ac:dyDescent="0.3"/>
    <row r="22025" ht="14.4" customHeight="1" x14ac:dyDescent="0.3"/>
    <row r="22026" ht="14.4" customHeight="1" x14ac:dyDescent="0.3"/>
    <row r="22027" ht="14.4" customHeight="1" x14ac:dyDescent="0.3"/>
    <row r="22028" ht="14.4" customHeight="1" x14ac:dyDescent="0.3"/>
    <row r="22029" ht="14.4" customHeight="1" x14ac:dyDescent="0.3"/>
    <row r="22030" ht="14.4" customHeight="1" x14ac:dyDescent="0.3"/>
    <row r="22031" ht="14.4" customHeight="1" x14ac:dyDescent="0.3"/>
    <row r="22032" ht="14.4" customHeight="1" x14ac:dyDescent="0.3"/>
    <row r="22033" ht="14.4" customHeight="1" x14ac:dyDescent="0.3"/>
    <row r="22034" ht="14.4" customHeight="1" x14ac:dyDescent="0.3"/>
    <row r="22035" ht="14.4" customHeight="1" x14ac:dyDescent="0.3"/>
    <row r="22036" ht="14.4" customHeight="1" x14ac:dyDescent="0.3"/>
    <row r="22037" ht="14.4" customHeight="1" x14ac:dyDescent="0.3"/>
    <row r="22038" ht="14.4" customHeight="1" x14ac:dyDescent="0.3"/>
    <row r="22039" ht="14.4" customHeight="1" x14ac:dyDescent="0.3"/>
    <row r="22040" ht="14.4" customHeight="1" x14ac:dyDescent="0.3"/>
    <row r="22041" ht="14.4" customHeight="1" x14ac:dyDescent="0.3"/>
    <row r="22042" ht="14.4" customHeight="1" x14ac:dyDescent="0.3"/>
    <row r="22043" ht="14.4" customHeight="1" x14ac:dyDescent="0.3"/>
    <row r="22044" ht="14.4" customHeight="1" x14ac:dyDescent="0.3"/>
    <row r="22045" ht="14.4" customHeight="1" x14ac:dyDescent="0.3"/>
    <row r="22046" ht="14.4" customHeight="1" x14ac:dyDescent="0.3"/>
    <row r="22047" ht="14.4" customHeight="1" x14ac:dyDescent="0.3"/>
    <row r="22048" ht="14.4" customHeight="1" x14ac:dyDescent="0.3"/>
    <row r="22049" ht="14.4" customHeight="1" x14ac:dyDescent="0.3"/>
    <row r="22050" ht="14.4" customHeight="1" x14ac:dyDescent="0.3"/>
    <row r="22051" ht="14.4" customHeight="1" x14ac:dyDescent="0.3"/>
    <row r="22052" ht="14.4" customHeight="1" x14ac:dyDescent="0.3"/>
    <row r="22053" ht="14.4" customHeight="1" x14ac:dyDescent="0.3"/>
    <row r="22054" ht="14.4" customHeight="1" x14ac:dyDescent="0.3"/>
    <row r="22055" ht="14.4" customHeight="1" x14ac:dyDescent="0.3"/>
    <row r="22056" ht="14.4" customHeight="1" x14ac:dyDescent="0.3"/>
    <row r="22057" ht="14.4" customHeight="1" x14ac:dyDescent="0.3"/>
    <row r="22058" ht="14.4" customHeight="1" x14ac:dyDescent="0.3"/>
    <row r="22059" ht="14.4" customHeight="1" x14ac:dyDescent="0.3"/>
    <row r="22060" ht="14.4" customHeight="1" x14ac:dyDescent="0.3"/>
    <row r="22061" ht="14.4" customHeight="1" x14ac:dyDescent="0.3"/>
    <row r="22062" ht="14.4" customHeight="1" x14ac:dyDescent="0.3"/>
    <row r="22063" ht="14.4" customHeight="1" x14ac:dyDescent="0.3"/>
    <row r="22064" ht="14.4" customHeight="1" x14ac:dyDescent="0.3"/>
    <row r="22065" ht="14.4" customHeight="1" x14ac:dyDescent="0.3"/>
    <row r="22066" ht="14.4" customHeight="1" x14ac:dyDescent="0.3"/>
    <row r="22067" ht="14.4" customHeight="1" x14ac:dyDescent="0.3"/>
    <row r="22068" ht="14.4" customHeight="1" x14ac:dyDescent="0.3"/>
    <row r="22069" ht="14.4" customHeight="1" x14ac:dyDescent="0.3"/>
    <row r="22070" ht="14.4" customHeight="1" x14ac:dyDescent="0.3"/>
    <row r="22071" ht="14.4" customHeight="1" x14ac:dyDescent="0.3"/>
    <row r="22072" ht="14.4" customHeight="1" x14ac:dyDescent="0.3"/>
    <row r="22073" ht="14.4" customHeight="1" x14ac:dyDescent="0.3"/>
    <row r="22074" ht="14.4" customHeight="1" x14ac:dyDescent="0.3"/>
    <row r="22075" ht="14.4" customHeight="1" x14ac:dyDescent="0.3"/>
    <row r="22076" ht="14.4" customHeight="1" x14ac:dyDescent="0.3"/>
    <row r="22077" ht="14.4" customHeight="1" x14ac:dyDescent="0.3"/>
    <row r="22078" ht="14.4" customHeight="1" x14ac:dyDescent="0.3"/>
    <row r="22079" ht="14.4" customHeight="1" x14ac:dyDescent="0.3"/>
    <row r="22080" ht="14.4" customHeight="1" x14ac:dyDescent="0.3"/>
    <row r="22081" ht="14.4" customHeight="1" x14ac:dyDescent="0.3"/>
    <row r="22082" ht="14.4" customHeight="1" x14ac:dyDescent="0.3"/>
    <row r="22083" ht="14.4" customHeight="1" x14ac:dyDescent="0.3"/>
    <row r="22084" ht="14.4" customHeight="1" x14ac:dyDescent="0.3"/>
    <row r="22085" ht="14.4" customHeight="1" x14ac:dyDescent="0.3"/>
    <row r="22086" ht="14.4" customHeight="1" x14ac:dyDescent="0.3"/>
    <row r="22087" ht="14.4" customHeight="1" x14ac:dyDescent="0.3"/>
    <row r="22088" ht="14.4" customHeight="1" x14ac:dyDescent="0.3"/>
    <row r="22089" ht="14.4" customHeight="1" x14ac:dyDescent="0.3"/>
    <row r="22090" ht="14.4" customHeight="1" x14ac:dyDescent="0.3"/>
    <row r="22091" ht="14.4" customHeight="1" x14ac:dyDescent="0.3"/>
    <row r="22092" ht="14.4" customHeight="1" x14ac:dyDescent="0.3"/>
    <row r="22093" ht="14.4" customHeight="1" x14ac:dyDescent="0.3"/>
    <row r="22094" ht="14.4" customHeight="1" x14ac:dyDescent="0.3"/>
    <row r="22095" ht="14.4" customHeight="1" x14ac:dyDescent="0.3"/>
    <row r="22096" ht="14.4" customHeight="1" x14ac:dyDescent="0.3"/>
    <row r="22097" ht="14.4" customHeight="1" x14ac:dyDescent="0.3"/>
    <row r="22098" ht="14.4" customHeight="1" x14ac:dyDescent="0.3"/>
    <row r="22099" ht="14.4" customHeight="1" x14ac:dyDescent="0.3"/>
    <row r="22100" ht="14.4" customHeight="1" x14ac:dyDescent="0.3"/>
    <row r="22101" ht="14.4" customHeight="1" x14ac:dyDescent="0.3"/>
    <row r="22102" ht="14.4" customHeight="1" x14ac:dyDescent="0.3"/>
    <row r="22103" ht="14.4" customHeight="1" x14ac:dyDescent="0.3"/>
    <row r="22104" ht="14.4" customHeight="1" x14ac:dyDescent="0.3"/>
    <row r="22105" ht="14.4" customHeight="1" x14ac:dyDescent="0.3"/>
    <row r="22106" ht="14.4" customHeight="1" x14ac:dyDescent="0.3"/>
    <row r="22107" ht="14.4" customHeight="1" x14ac:dyDescent="0.3"/>
    <row r="22108" ht="14.4" customHeight="1" x14ac:dyDescent="0.3"/>
    <row r="22109" ht="14.4" customHeight="1" x14ac:dyDescent="0.3"/>
    <row r="22110" ht="14.4" customHeight="1" x14ac:dyDescent="0.3"/>
    <row r="22111" ht="14.4" customHeight="1" x14ac:dyDescent="0.3"/>
    <row r="22112" ht="14.4" customHeight="1" x14ac:dyDescent="0.3"/>
    <row r="22113" ht="14.4" customHeight="1" x14ac:dyDescent="0.3"/>
    <row r="22114" ht="14.4" customHeight="1" x14ac:dyDescent="0.3"/>
    <row r="22115" ht="14.4" customHeight="1" x14ac:dyDescent="0.3"/>
    <row r="22116" ht="14.4" customHeight="1" x14ac:dyDescent="0.3"/>
    <row r="22117" ht="14.4" customHeight="1" x14ac:dyDescent="0.3"/>
    <row r="22118" ht="14.4" customHeight="1" x14ac:dyDescent="0.3"/>
    <row r="22119" ht="14.4" customHeight="1" x14ac:dyDescent="0.3"/>
    <row r="22120" ht="14.4" customHeight="1" x14ac:dyDescent="0.3"/>
    <row r="22121" ht="14.4" customHeight="1" x14ac:dyDescent="0.3"/>
    <row r="22122" ht="14.4" customHeight="1" x14ac:dyDescent="0.3"/>
    <row r="22123" ht="14.4" customHeight="1" x14ac:dyDescent="0.3"/>
    <row r="22124" ht="14.4" customHeight="1" x14ac:dyDescent="0.3"/>
    <row r="22125" ht="14.4" customHeight="1" x14ac:dyDescent="0.3"/>
    <row r="22126" ht="14.4" customHeight="1" x14ac:dyDescent="0.3"/>
    <row r="22127" ht="14.4" customHeight="1" x14ac:dyDescent="0.3"/>
    <row r="22128" ht="14.4" customHeight="1" x14ac:dyDescent="0.3"/>
    <row r="22129" ht="14.4" customHeight="1" x14ac:dyDescent="0.3"/>
    <row r="22130" ht="14.4" customHeight="1" x14ac:dyDescent="0.3"/>
    <row r="22131" ht="14.4" customHeight="1" x14ac:dyDescent="0.3"/>
    <row r="22132" ht="14.4" customHeight="1" x14ac:dyDescent="0.3"/>
    <row r="22133" ht="14.4" customHeight="1" x14ac:dyDescent="0.3"/>
    <row r="22134" ht="14.4" customHeight="1" x14ac:dyDescent="0.3"/>
    <row r="22135" ht="14.4" customHeight="1" x14ac:dyDescent="0.3"/>
    <row r="22136" ht="14.4" customHeight="1" x14ac:dyDescent="0.3"/>
    <row r="22137" ht="14.4" customHeight="1" x14ac:dyDescent="0.3"/>
    <row r="22138" ht="14.4" customHeight="1" x14ac:dyDescent="0.3"/>
    <row r="22139" ht="14.4" customHeight="1" x14ac:dyDescent="0.3"/>
    <row r="22140" ht="14.4" customHeight="1" x14ac:dyDescent="0.3"/>
    <row r="22141" ht="14.4" customHeight="1" x14ac:dyDescent="0.3"/>
    <row r="22142" ht="14.4" customHeight="1" x14ac:dyDescent="0.3"/>
    <row r="22143" ht="14.4" customHeight="1" x14ac:dyDescent="0.3"/>
    <row r="22144" ht="14.4" customHeight="1" x14ac:dyDescent="0.3"/>
    <row r="22145" ht="14.4" customHeight="1" x14ac:dyDescent="0.3"/>
    <row r="22146" ht="14.4" customHeight="1" x14ac:dyDescent="0.3"/>
    <row r="22147" ht="14.4" customHeight="1" x14ac:dyDescent="0.3"/>
    <row r="22148" ht="14.4" customHeight="1" x14ac:dyDescent="0.3"/>
    <row r="22149" ht="14.4" customHeight="1" x14ac:dyDescent="0.3"/>
    <row r="22150" ht="14.4" customHeight="1" x14ac:dyDescent="0.3"/>
    <row r="22151" ht="14.4" customHeight="1" x14ac:dyDescent="0.3"/>
    <row r="22152" ht="14.4" customHeight="1" x14ac:dyDescent="0.3"/>
    <row r="22153" ht="14.4" customHeight="1" x14ac:dyDescent="0.3"/>
    <row r="22154" ht="14.4" customHeight="1" x14ac:dyDescent="0.3"/>
    <row r="22155" ht="14.4" customHeight="1" x14ac:dyDescent="0.3"/>
    <row r="22156" ht="14.4" customHeight="1" x14ac:dyDescent="0.3"/>
    <row r="22157" ht="14.4" customHeight="1" x14ac:dyDescent="0.3"/>
    <row r="22158" ht="14.4" customHeight="1" x14ac:dyDescent="0.3"/>
    <row r="22159" ht="14.4" customHeight="1" x14ac:dyDescent="0.3"/>
    <row r="22160" ht="14.4" customHeight="1" x14ac:dyDescent="0.3"/>
    <row r="22161" ht="14.4" customHeight="1" x14ac:dyDescent="0.3"/>
    <row r="22162" ht="14.4" customHeight="1" x14ac:dyDescent="0.3"/>
    <row r="22163" ht="14.4" customHeight="1" x14ac:dyDescent="0.3"/>
    <row r="22164" ht="14.4" customHeight="1" x14ac:dyDescent="0.3"/>
    <row r="22165" ht="14.4" customHeight="1" x14ac:dyDescent="0.3"/>
    <row r="22166" ht="14.4" customHeight="1" x14ac:dyDescent="0.3"/>
    <row r="22167" ht="14.4" customHeight="1" x14ac:dyDescent="0.3"/>
    <row r="22168" ht="14.4" customHeight="1" x14ac:dyDescent="0.3"/>
    <row r="22169" ht="14.4" customHeight="1" x14ac:dyDescent="0.3"/>
    <row r="22170" ht="14.4" customHeight="1" x14ac:dyDescent="0.3"/>
    <row r="22171" ht="14.4" customHeight="1" x14ac:dyDescent="0.3"/>
    <row r="22172" ht="14.4" customHeight="1" x14ac:dyDescent="0.3"/>
    <row r="22173" ht="14.4" customHeight="1" x14ac:dyDescent="0.3"/>
    <row r="22174" ht="14.4" customHeight="1" x14ac:dyDescent="0.3"/>
    <row r="22175" ht="14.4" customHeight="1" x14ac:dyDescent="0.3"/>
    <row r="22176" ht="14.4" customHeight="1" x14ac:dyDescent="0.3"/>
    <row r="22177" ht="14.4" customHeight="1" x14ac:dyDescent="0.3"/>
    <row r="22178" ht="14.4" customHeight="1" x14ac:dyDescent="0.3"/>
    <row r="22179" ht="14.4" customHeight="1" x14ac:dyDescent="0.3"/>
    <row r="22180" ht="14.4" customHeight="1" x14ac:dyDescent="0.3"/>
    <row r="22181" ht="14.4" customHeight="1" x14ac:dyDescent="0.3"/>
    <row r="22182" ht="14.4" customHeight="1" x14ac:dyDescent="0.3"/>
    <row r="22183" ht="14.4" customHeight="1" x14ac:dyDescent="0.3"/>
    <row r="22184" ht="14.4" customHeight="1" x14ac:dyDescent="0.3"/>
    <row r="22185" ht="14.4" customHeight="1" x14ac:dyDescent="0.3"/>
    <row r="22186" ht="14.4" customHeight="1" x14ac:dyDescent="0.3"/>
    <row r="22187" ht="14.4" customHeight="1" x14ac:dyDescent="0.3"/>
    <row r="22188" ht="14.4" customHeight="1" x14ac:dyDescent="0.3"/>
    <row r="22189" ht="14.4" customHeight="1" x14ac:dyDescent="0.3"/>
    <row r="22190" ht="14.4" customHeight="1" x14ac:dyDescent="0.3"/>
    <row r="22191" ht="14.4" customHeight="1" x14ac:dyDescent="0.3"/>
    <row r="22192" ht="14.4" customHeight="1" x14ac:dyDescent="0.3"/>
    <row r="22193" ht="14.4" customHeight="1" x14ac:dyDescent="0.3"/>
    <row r="22194" ht="14.4" customHeight="1" x14ac:dyDescent="0.3"/>
    <row r="22195" ht="14.4" customHeight="1" x14ac:dyDescent="0.3"/>
    <row r="22196" ht="14.4" customHeight="1" x14ac:dyDescent="0.3"/>
    <row r="22197" ht="14.4" customHeight="1" x14ac:dyDescent="0.3"/>
    <row r="22198" ht="14.4" customHeight="1" x14ac:dyDescent="0.3"/>
    <row r="22199" ht="14.4" customHeight="1" x14ac:dyDescent="0.3"/>
    <row r="22200" ht="14.4" customHeight="1" x14ac:dyDescent="0.3"/>
    <row r="22201" ht="14.4" customHeight="1" x14ac:dyDescent="0.3"/>
    <row r="22202" ht="14.4" customHeight="1" x14ac:dyDescent="0.3"/>
    <row r="22203" ht="14.4" customHeight="1" x14ac:dyDescent="0.3"/>
    <row r="22204" ht="14.4" customHeight="1" x14ac:dyDescent="0.3"/>
    <row r="22205" ht="14.4" customHeight="1" x14ac:dyDescent="0.3"/>
    <row r="22206" ht="14.4" customHeight="1" x14ac:dyDescent="0.3"/>
    <row r="22207" ht="14.4" customHeight="1" x14ac:dyDescent="0.3"/>
    <row r="22208" ht="14.4" customHeight="1" x14ac:dyDescent="0.3"/>
    <row r="22209" ht="14.4" customHeight="1" x14ac:dyDescent="0.3"/>
    <row r="22210" ht="14.4" customHeight="1" x14ac:dyDescent="0.3"/>
    <row r="22211" ht="14.4" customHeight="1" x14ac:dyDescent="0.3"/>
    <row r="22212" ht="14.4" customHeight="1" x14ac:dyDescent="0.3"/>
    <row r="22213" ht="14.4" customHeight="1" x14ac:dyDescent="0.3"/>
    <row r="22214" ht="14.4" customHeight="1" x14ac:dyDescent="0.3"/>
    <row r="22215" ht="14.4" customHeight="1" x14ac:dyDescent="0.3"/>
    <row r="22216" ht="14.4" customHeight="1" x14ac:dyDescent="0.3"/>
    <row r="22217" ht="14.4" customHeight="1" x14ac:dyDescent="0.3"/>
    <row r="22218" ht="14.4" customHeight="1" x14ac:dyDescent="0.3"/>
    <row r="22219" ht="14.4" customHeight="1" x14ac:dyDescent="0.3"/>
    <row r="22220" ht="14.4" customHeight="1" x14ac:dyDescent="0.3"/>
    <row r="22221" ht="14.4" customHeight="1" x14ac:dyDescent="0.3"/>
    <row r="22222" ht="14.4" customHeight="1" x14ac:dyDescent="0.3"/>
    <row r="22223" ht="14.4" customHeight="1" x14ac:dyDescent="0.3"/>
    <row r="22224" ht="14.4" customHeight="1" x14ac:dyDescent="0.3"/>
    <row r="22225" ht="14.4" customHeight="1" x14ac:dyDescent="0.3"/>
    <row r="22226" ht="14.4" customHeight="1" x14ac:dyDescent="0.3"/>
    <row r="22227" ht="14.4" customHeight="1" x14ac:dyDescent="0.3"/>
    <row r="22228" ht="14.4" customHeight="1" x14ac:dyDescent="0.3"/>
    <row r="22229" ht="14.4" customHeight="1" x14ac:dyDescent="0.3"/>
    <row r="22230" ht="14.4" customHeight="1" x14ac:dyDescent="0.3"/>
    <row r="22231" ht="14.4" customHeight="1" x14ac:dyDescent="0.3"/>
    <row r="22232" ht="14.4" customHeight="1" x14ac:dyDescent="0.3"/>
    <row r="22233" ht="14.4" customHeight="1" x14ac:dyDescent="0.3"/>
    <row r="22234" ht="14.4" customHeight="1" x14ac:dyDescent="0.3"/>
    <row r="22235" ht="14.4" customHeight="1" x14ac:dyDescent="0.3"/>
    <row r="22236" ht="14.4" customHeight="1" x14ac:dyDescent="0.3"/>
    <row r="22237" ht="14.4" customHeight="1" x14ac:dyDescent="0.3"/>
    <row r="22238" ht="14.4" customHeight="1" x14ac:dyDescent="0.3"/>
    <row r="22239" ht="14.4" customHeight="1" x14ac:dyDescent="0.3"/>
    <row r="22240" ht="14.4" customHeight="1" x14ac:dyDescent="0.3"/>
    <row r="22241" ht="14.4" customHeight="1" x14ac:dyDescent="0.3"/>
    <row r="22242" ht="14.4" customHeight="1" x14ac:dyDescent="0.3"/>
    <row r="22243" ht="14.4" customHeight="1" x14ac:dyDescent="0.3"/>
    <row r="22244" ht="14.4" customHeight="1" x14ac:dyDescent="0.3"/>
    <row r="22245" ht="14.4" customHeight="1" x14ac:dyDescent="0.3"/>
    <row r="22246" ht="14.4" customHeight="1" x14ac:dyDescent="0.3"/>
    <row r="22247" ht="14.4" customHeight="1" x14ac:dyDescent="0.3"/>
    <row r="22248" ht="14.4" customHeight="1" x14ac:dyDescent="0.3"/>
    <row r="22249" ht="14.4" customHeight="1" x14ac:dyDescent="0.3"/>
    <row r="22250" ht="14.4" customHeight="1" x14ac:dyDescent="0.3"/>
    <row r="22251" ht="14.4" customHeight="1" x14ac:dyDescent="0.3"/>
    <row r="22252" ht="14.4" customHeight="1" x14ac:dyDescent="0.3"/>
    <row r="22253" ht="14.4" customHeight="1" x14ac:dyDescent="0.3"/>
    <row r="22254" ht="14.4" customHeight="1" x14ac:dyDescent="0.3"/>
    <row r="22255" ht="14.4" customHeight="1" x14ac:dyDescent="0.3"/>
    <row r="22256" ht="14.4" customHeight="1" x14ac:dyDescent="0.3"/>
    <row r="22257" ht="14.4" customHeight="1" x14ac:dyDescent="0.3"/>
    <row r="22258" ht="14.4" customHeight="1" x14ac:dyDescent="0.3"/>
    <row r="22259" ht="14.4" customHeight="1" x14ac:dyDescent="0.3"/>
    <row r="22260" ht="14.4" customHeight="1" x14ac:dyDescent="0.3"/>
    <row r="22261" ht="14.4" customHeight="1" x14ac:dyDescent="0.3"/>
    <row r="22262" ht="14.4" customHeight="1" x14ac:dyDescent="0.3"/>
    <row r="22263" ht="14.4" customHeight="1" x14ac:dyDescent="0.3"/>
    <row r="22264" ht="14.4" customHeight="1" x14ac:dyDescent="0.3"/>
    <row r="22265" ht="14.4" customHeight="1" x14ac:dyDescent="0.3"/>
    <row r="22266" ht="14.4" customHeight="1" x14ac:dyDescent="0.3"/>
    <row r="22267" ht="14.4" customHeight="1" x14ac:dyDescent="0.3"/>
    <row r="22268" ht="14.4" customHeight="1" x14ac:dyDescent="0.3"/>
    <row r="22269" ht="14.4" customHeight="1" x14ac:dyDescent="0.3"/>
    <row r="22270" ht="14.4" customHeight="1" x14ac:dyDescent="0.3"/>
    <row r="22271" ht="14.4" customHeight="1" x14ac:dyDescent="0.3"/>
    <row r="22272" ht="14.4" customHeight="1" x14ac:dyDescent="0.3"/>
    <row r="22273" ht="14.4" customHeight="1" x14ac:dyDescent="0.3"/>
    <row r="22274" ht="14.4" customHeight="1" x14ac:dyDescent="0.3"/>
    <row r="22275" ht="14.4" customHeight="1" x14ac:dyDescent="0.3"/>
    <row r="22276" ht="14.4" customHeight="1" x14ac:dyDescent="0.3"/>
    <row r="22277" ht="14.4" customHeight="1" x14ac:dyDescent="0.3"/>
    <row r="22278" ht="14.4" customHeight="1" x14ac:dyDescent="0.3"/>
    <row r="22279" ht="14.4" customHeight="1" x14ac:dyDescent="0.3"/>
    <row r="22280" ht="14.4" customHeight="1" x14ac:dyDescent="0.3"/>
    <row r="22281" ht="14.4" customHeight="1" x14ac:dyDescent="0.3"/>
    <row r="22282" ht="14.4" customHeight="1" x14ac:dyDescent="0.3"/>
    <row r="22283" ht="14.4" customHeight="1" x14ac:dyDescent="0.3"/>
    <row r="22284" ht="14.4" customHeight="1" x14ac:dyDescent="0.3"/>
    <row r="22285" ht="14.4" customHeight="1" x14ac:dyDescent="0.3"/>
    <row r="22286" ht="14.4" customHeight="1" x14ac:dyDescent="0.3"/>
    <row r="22287" ht="14.4" customHeight="1" x14ac:dyDescent="0.3"/>
    <row r="22288" ht="14.4" customHeight="1" x14ac:dyDescent="0.3"/>
    <row r="22289" ht="14.4" customHeight="1" x14ac:dyDescent="0.3"/>
    <row r="22290" ht="14.4" customHeight="1" x14ac:dyDescent="0.3"/>
    <row r="22291" ht="14.4" customHeight="1" x14ac:dyDescent="0.3"/>
    <row r="22292" ht="14.4" customHeight="1" x14ac:dyDescent="0.3"/>
    <row r="22293" ht="14.4" customHeight="1" x14ac:dyDescent="0.3"/>
    <row r="22294" ht="14.4" customHeight="1" x14ac:dyDescent="0.3"/>
    <row r="22295" ht="14.4" customHeight="1" x14ac:dyDescent="0.3"/>
    <row r="22296" ht="14.4" customHeight="1" x14ac:dyDescent="0.3"/>
    <row r="22297" ht="14.4" customHeight="1" x14ac:dyDescent="0.3"/>
    <row r="22298" ht="14.4" customHeight="1" x14ac:dyDescent="0.3"/>
    <row r="22299" ht="14.4" customHeight="1" x14ac:dyDescent="0.3"/>
    <row r="22300" ht="14.4" customHeight="1" x14ac:dyDescent="0.3"/>
    <row r="22301" ht="14.4" customHeight="1" x14ac:dyDescent="0.3"/>
    <row r="22302" ht="14.4" customHeight="1" x14ac:dyDescent="0.3"/>
    <row r="22303" ht="14.4" customHeight="1" x14ac:dyDescent="0.3"/>
    <row r="22304" ht="14.4" customHeight="1" x14ac:dyDescent="0.3"/>
    <row r="22305" ht="14.4" customHeight="1" x14ac:dyDescent="0.3"/>
    <row r="22306" ht="14.4" customHeight="1" x14ac:dyDescent="0.3"/>
    <row r="22307" ht="14.4" customHeight="1" x14ac:dyDescent="0.3"/>
    <row r="22308" ht="14.4" customHeight="1" x14ac:dyDescent="0.3"/>
    <row r="22309" ht="14.4" customHeight="1" x14ac:dyDescent="0.3"/>
    <row r="22310" ht="14.4" customHeight="1" x14ac:dyDescent="0.3"/>
    <row r="22311" ht="14.4" customHeight="1" x14ac:dyDescent="0.3"/>
    <row r="22312" ht="14.4" customHeight="1" x14ac:dyDescent="0.3"/>
    <row r="22313" ht="14.4" customHeight="1" x14ac:dyDescent="0.3"/>
    <row r="22314" ht="14.4" customHeight="1" x14ac:dyDescent="0.3"/>
    <row r="22315" ht="14.4" customHeight="1" x14ac:dyDescent="0.3"/>
    <row r="22316" ht="14.4" customHeight="1" x14ac:dyDescent="0.3"/>
    <row r="22317" ht="14.4" customHeight="1" x14ac:dyDescent="0.3"/>
    <row r="22318" ht="14.4" customHeight="1" x14ac:dyDescent="0.3"/>
    <row r="22319" ht="14.4" customHeight="1" x14ac:dyDescent="0.3"/>
    <row r="22320" ht="14.4" customHeight="1" x14ac:dyDescent="0.3"/>
    <row r="22321" ht="14.4" customHeight="1" x14ac:dyDescent="0.3"/>
    <row r="22322" ht="14.4" customHeight="1" x14ac:dyDescent="0.3"/>
    <row r="22323" ht="14.4" customHeight="1" x14ac:dyDescent="0.3"/>
    <row r="22324" ht="14.4" customHeight="1" x14ac:dyDescent="0.3"/>
    <row r="22325" ht="14.4" customHeight="1" x14ac:dyDescent="0.3"/>
    <row r="22326" ht="14.4" customHeight="1" x14ac:dyDescent="0.3"/>
    <row r="22327" ht="14.4" customHeight="1" x14ac:dyDescent="0.3"/>
    <row r="22328" ht="14.4" customHeight="1" x14ac:dyDescent="0.3"/>
    <row r="22329" ht="14.4" customHeight="1" x14ac:dyDescent="0.3"/>
    <row r="22330" ht="14.4" customHeight="1" x14ac:dyDescent="0.3"/>
    <row r="22331" ht="14.4" customHeight="1" x14ac:dyDescent="0.3"/>
    <row r="22332" ht="14.4" customHeight="1" x14ac:dyDescent="0.3"/>
    <row r="22333" ht="14.4" customHeight="1" x14ac:dyDescent="0.3"/>
    <row r="22334" ht="14.4" customHeight="1" x14ac:dyDescent="0.3"/>
    <row r="22335" ht="14.4" customHeight="1" x14ac:dyDescent="0.3"/>
    <row r="22336" ht="14.4" customHeight="1" x14ac:dyDescent="0.3"/>
    <row r="22337" ht="14.4" customHeight="1" x14ac:dyDescent="0.3"/>
    <row r="22338" ht="14.4" customHeight="1" x14ac:dyDescent="0.3"/>
    <row r="22339" ht="14.4" customHeight="1" x14ac:dyDescent="0.3"/>
    <row r="22340" ht="14.4" customHeight="1" x14ac:dyDescent="0.3"/>
    <row r="22341" ht="14.4" customHeight="1" x14ac:dyDescent="0.3"/>
    <row r="22342" ht="14.4" customHeight="1" x14ac:dyDescent="0.3"/>
    <row r="22343" ht="14.4" customHeight="1" x14ac:dyDescent="0.3"/>
    <row r="22344" ht="14.4" customHeight="1" x14ac:dyDescent="0.3"/>
    <row r="22345" ht="14.4" customHeight="1" x14ac:dyDescent="0.3"/>
    <row r="22346" ht="14.4" customHeight="1" x14ac:dyDescent="0.3"/>
    <row r="22347" ht="14.4" customHeight="1" x14ac:dyDescent="0.3"/>
    <row r="22348" ht="14.4" customHeight="1" x14ac:dyDescent="0.3"/>
    <row r="22349" ht="14.4" customHeight="1" x14ac:dyDescent="0.3"/>
    <row r="22350" ht="14.4" customHeight="1" x14ac:dyDescent="0.3"/>
    <row r="22351" ht="14.4" customHeight="1" x14ac:dyDescent="0.3"/>
    <row r="22352" ht="14.4" customHeight="1" x14ac:dyDescent="0.3"/>
    <row r="22353" ht="14.4" customHeight="1" x14ac:dyDescent="0.3"/>
    <row r="22354" ht="14.4" customHeight="1" x14ac:dyDescent="0.3"/>
    <row r="22355" ht="14.4" customHeight="1" x14ac:dyDescent="0.3"/>
    <row r="22356" ht="14.4" customHeight="1" x14ac:dyDescent="0.3"/>
    <row r="22357" ht="14.4" customHeight="1" x14ac:dyDescent="0.3"/>
    <row r="22358" ht="14.4" customHeight="1" x14ac:dyDescent="0.3"/>
    <row r="22359" ht="14.4" customHeight="1" x14ac:dyDescent="0.3"/>
    <row r="22360" ht="14.4" customHeight="1" x14ac:dyDescent="0.3"/>
    <row r="22361" ht="14.4" customHeight="1" x14ac:dyDescent="0.3"/>
    <row r="22362" ht="14.4" customHeight="1" x14ac:dyDescent="0.3"/>
    <row r="22363" ht="14.4" customHeight="1" x14ac:dyDescent="0.3"/>
    <row r="22364" ht="14.4" customHeight="1" x14ac:dyDescent="0.3"/>
    <row r="22365" ht="14.4" customHeight="1" x14ac:dyDescent="0.3"/>
    <row r="22366" ht="14.4" customHeight="1" x14ac:dyDescent="0.3"/>
    <row r="22367" ht="14.4" customHeight="1" x14ac:dyDescent="0.3"/>
    <row r="22368" ht="14.4" customHeight="1" x14ac:dyDescent="0.3"/>
    <row r="22369" ht="14.4" customHeight="1" x14ac:dyDescent="0.3"/>
    <row r="22370" ht="14.4" customHeight="1" x14ac:dyDescent="0.3"/>
    <row r="22371" ht="14.4" customHeight="1" x14ac:dyDescent="0.3"/>
    <row r="22372" ht="14.4" customHeight="1" x14ac:dyDescent="0.3"/>
    <row r="22373" ht="14.4" customHeight="1" x14ac:dyDescent="0.3"/>
    <row r="22374" ht="14.4" customHeight="1" x14ac:dyDescent="0.3"/>
    <row r="22375" ht="14.4" customHeight="1" x14ac:dyDescent="0.3"/>
    <row r="22376" ht="14.4" customHeight="1" x14ac:dyDescent="0.3"/>
    <row r="22377" ht="14.4" customHeight="1" x14ac:dyDescent="0.3"/>
    <row r="22378" ht="14.4" customHeight="1" x14ac:dyDescent="0.3"/>
    <row r="22379" ht="14.4" customHeight="1" x14ac:dyDescent="0.3"/>
    <row r="22380" ht="14.4" customHeight="1" x14ac:dyDescent="0.3"/>
    <row r="22381" ht="14.4" customHeight="1" x14ac:dyDescent="0.3"/>
    <row r="22382" ht="14.4" customHeight="1" x14ac:dyDescent="0.3"/>
    <row r="22383" ht="14.4" customHeight="1" x14ac:dyDescent="0.3"/>
    <row r="22384" ht="14.4" customHeight="1" x14ac:dyDescent="0.3"/>
    <row r="22385" ht="14.4" customHeight="1" x14ac:dyDescent="0.3"/>
    <row r="22386" ht="14.4" customHeight="1" x14ac:dyDescent="0.3"/>
    <row r="22387" ht="14.4" customHeight="1" x14ac:dyDescent="0.3"/>
    <row r="22388" ht="14.4" customHeight="1" x14ac:dyDescent="0.3"/>
    <row r="22389" ht="14.4" customHeight="1" x14ac:dyDescent="0.3"/>
    <row r="22390" ht="14.4" customHeight="1" x14ac:dyDescent="0.3"/>
    <row r="22391" ht="14.4" customHeight="1" x14ac:dyDescent="0.3"/>
    <row r="22392" ht="14.4" customHeight="1" x14ac:dyDescent="0.3"/>
    <row r="22393" ht="14.4" customHeight="1" x14ac:dyDescent="0.3"/>
    <row r="22394" ht="14.4" customHeight="1" x14ac:dyDescent="0.3"/>
    <row r="22395" ht="14.4" customHeight="1" x14ac:dyDescent="0.3"/>
    <row r="22396" ht="14.4" customHeight="1" x14ac:dyDescent="0.3"/>
    <row r="22397" ht="14.4" customHeight="1" x14ac:dyDescent="0.3"/>
    <row r="22398" ht="14.4" customHeight="1" x14ac:dyDescent="0.3"/>
    <row r="22399" ht="14.4" customHeight="1" x14ac:dyDescent="0.3"/>
    <row r="22400" ht="14.4" customHeight="1" x14ac:dyDescent="0.3"/>
    <row r="22401" ht="14.4" customHeight="1" x14ac:dyDescent="0.3"/>
    <row r="22402" ht="14.4" customHeight="1" x14ac:dyDescent="0.3"/>
    <row r="22403" ht="14.4" customHeight="1" x14ac:dyDescent="0.3"/>
    <row r="22404" ht="14.4" customHeight="1" x14ac:dyDescent="0.3"/>
    <row r="22405" ht="14.4" customHeight="1" x14ac:dyDescent="0.3"/>
    <row r="22406" ht="14.4" customHeight="1" x14ac:dyDescent="0.3"/>
    <row r="22407" ht="14.4" customHeight="1" x14ac:dyDescent="0.3"/>
    <row r="22408" ht="14.4" customHeight="1" x14ac:dyDescent="0.3"/>
    <row r="22409" ht="14.4" customHeight="1" x14ac:dyDescent="0.3"/>
    <row r="22410" ht="14.4" customHeight="1" x14ac:dyDescent="0.3"/>
    <row r="22411" ht="14.4" customHeight="1" x14ac:dyDescent="0.3"/>
    <row r="22412" ht="14.4" customHeight="1" x14ac:dyDescent="0.3"/>
    <row r="22413" ht="14.4" customHeight="1" x14ac:dyDescent="0.3"/>
    <row r="22414" ht="14.4" customHeight="1" x14ac:dyDescent="0.3"/>
    <row r="22415" ht="14.4" customHeight="1" x14ac:dyDescent="0.3"/>
    <row r="22416" ht="14.4" customHeight="1" x14ac:dyDescent="0.3"/>
    <row r="22417" ht="14.4" customHeight="1" x14ac:dyDescent="0.3"/>
    <row r="22418" ht="14.4" customHeight="1" x14ac:dyDescent="0.3"/>
    <row r="22419" ht="14.4" customHeight="1" x14ac:dyDescent="0.3"/>
    <row r="22420" ht="14.4" customHeight="1" x14ac:dyDescent="0.3"/>
    <row r="22421" ht="14.4" customHeight="1" x14ac:dyDescent="0.3"/>
    <row r="22422" ht="14.4" customHeight="1" x14ac:dyDescent="0.3"/>
    <row r="22423" ht="14.4" customHeight="1" x14ac:dyDescent="0.3"/>
    <row r="22424" ht="14.4" customHeight="1" x14ac:dyDescent="0.3"/>
    <row r="22425" ht="14.4" customHeight="1" x14ac:dyDescent="0.3"/>
    <row r="22426" ht="14.4" customHeight="1" x14ac:dyDescent="0.3"/>
    <row r="22427" ht="14.4" customHeight="1" x14ac:dyDescent="0.3"/>
    <row r="22428" ht="14.4" customHeight="1" x14ac:dyDescent="0.3"/>
    <row r="22429" ht="14.4" customHeight="1" x14ac:dyDescent="0.3"/>
    <row r="22430" ht="14.4" customHeight="1" x14ac:dyDescent="0.3"/>
    <row r="22431" ht="14.4" customHeight="1" x14ac:dyDescent="0.3"/>
    <row r="22432" ht="14.4" customHeight="1" x14ac:dyDescent="0.3"/>
    <row r="22433" ht="14.4" customHeight="1" x14ac:dyDescent="0.3"/>
    <row r="22434" ht="14.4" customHeight="1" x14ac:dyDescent="0.3"/>
    <row r="22435" ht="14.4" customHeight="1" x14ac:dyDescent="0.3"/>
    <row r="22436" ht="14.4" customHeight="1" x14ac:dyDescent="0.3"/>
    <row r="22437" ht="14.4" customHeight="1" x14ac:dyDescent="0.3"/>
    <row r="22438" ht="14.4" customHeight="1" x14ac:dyDescent="0.3"/>
    <row r="22439" ht="14.4" customHeight="1" x14ac:dyDescent="0.3"/>
    <row r="22440" ht="14.4" customHeight="1" x14ac:dyDescent="0.3"/>
    <row r="22441" ht="14.4" customHeight="1" x14ac:dyDescent="0.3"/>
    <row r="22442" ht="14.4" customHeight="1" x14ac:dyDescent="0.3"/>
    <row r="22443" ht="14.4" customHeight="1" x14ac:dyDescent="0.3"/>
    <row r="22444" ht="14.4" customHeight="1" x14ac:dyDescent="0.3"/>
    <row r="22445" ht="14.4" customHeight="1" x14ac:dyDescent="0.3"/>
    <row r="22446" ht="14.4" customHeight="1" x14ac:dyDescent="0.3"/>
    <row r="22447" ht="14.4" customHeight="1" x14ac:dyDescent="0.3"/>
    <row r="22448" ht="14.4" customHeight="1" x14ac:dyDescent="0.3"/>
    <row r="22449" ht="14.4" customHeight="1" x14ac:dyDescent="0.3"/>
    <row r="22450" ht="14.4" customHeight="1" x14ac:dyDescent="0.3"/>
    <row r="22451" ht="14.4" customHeight="1" x14ac:dyDescent="0.3"/>
    <row r="22452" ht="14.4" customHeight="1" x14ac:dyDescent="0.3"/>
    <row r="22453" ht="14.4" customHeight="1" x14ac:dyDescent="0.3"/>
    <row r="22454" ht="14.4" customHeight="1" x14ac:dyDescent="0.3"/>
    <row r="22455" ht="14.4" customHeight="1" x14ac:dyDescent="0.3"/>
    <row r="22456" ht="14.4" customHeight="1" x14ac:dyDescent="0.3"/>
    <row r="22457" ht="14.4" customHeight="1" x14ac:dyDescent="0.3"/>
    <row r="22458" ht="14.4" customHeight="1" x14ac:dyDescent="0.3"/>
    <row r="22459" ht="14.4" customHeight="1" x14ac:dyDescent="0.3"/>
    <row r="22460" ht="14.4" customHeight="1" x14ac:dyDescent="0.3"/>
    <row r="22461" ht="14.4" customHeight="1" x14ac:dyDescent="0.3"/>
    <row r="22462" ht="14.4" customHeight="1" x14ac:dyDescent="0.3"/>
    <row r="22463" ht="14.4" customHeight="1" x14ac:dyDescent="0.3"/>
    <row r="22464" ht="14.4" customHeight="1" x14ac:dyDescent="0.3"/>
    <row r="22465" ht="14.4" customHeight="1" x14ac:dyDescent="0.3"/>
    <row r="22466" ht="14.4" customHeight="1" x14ac:dyDescent="0.3"/>
    <row r="22467" ht="14.4" customHeight="1" x14ac:dyDescent="0.3"/>
    <row r="22468" ht="14.4" customHeight="1" x14ac:dyDescent="0.3"/>
    <row r="22469" ht="14.4" customHeight="1" x14ac:dyDescent="0.3"/>
    <row r="22470" ht="14.4" customHeight="1" x14ac:dyDescent="0.3"/>
    <row r="22471" ht="14.4" customHeight="1" x14ac:dyDescent="0.3"/>
    <row r="22472" ht="14.4" customHeight="1" x14ac:dyDescent="0.3"/>
    <row r="22473" ht="14.4" customHeight="1" x14ac:dyDescent="0.3"/>
    <row r="22474" ht="14.4" customHeight="1" x14ac:dyDescent="0.3"/>
    <row r="22475" ht="14.4" customHeight="1" x14ac:dyDescent="0.3"/>
    <row r="22476" ht="14.4" customHeight="1" x14ac:dyDescent="0.3"/>
    <row r="22477" ht="14.4" customHeight="1" x14ac:dyDescent="0.3"/>
    <row r="22478" ht="14.4" customHeight="1" x14ac:dyDescent="0.3"/>
    <row r="22479" ht="14.4" customHeight="1" x14ac:dyDescent="0.3"/>
    <row r="22480" ht="14.4" customHeight="1" x14ac:dyDescent="0.3"/>
    <row r="22481" ht="14.4" customHeight="1" x14ac:dyDescent="0.3"/>
    <row r="22482" ht="14.4" customHeight="1" x14ac:dyDescent="0.3"/>
    <row r="22483" ht="14.4" customHeight="1" x14ac:dyDescent="0.3"/>
    <row r="22484" ht="14.4" customHeight="1" x14ac:dyDescent="0.3"/>
    <row r="22485" ht="14.4" customHeight="1" x14ac:dyDescent="0.3"/>
    <row r="22486" ht="14.4" customHeight="1" x14ac:dyDescent="0.3"/>
    <row r="22487" ht="14.4" customHeight="1" x14ac:dyDescent="0.3"/>
    <row r="22488" ht="14.4" customHeight="1" x14ac:dyDescent="0.3"/>
    <row r="22489" ht="14.4" customHeight="1" x14ac:dyDescent="0.3"/>
    <row r="22490" ht="14.4" customHeight="1" x14ac:dyDescent="0.3"/>
    <row r="22491" ht="14.4" customHeight="1" x14ac:dyDescent="0.3"/>
    <row r="22492" ht="14.4" customHeight="1" x14ac:dyDescent="0.3"/>
    <row r="22493" ht="14.4" customHeight="1" x14ac:dyDescent="0.3"/>
    <row r="22494" ht="14.4" customHeight="1" x14ac:dyDescent="0.3"/>
    <row r="22495" ht="14.4" customHeight="1" x14ac:dyDescent="0.3"/>
    <row r="22496" ht="14.4" customHeight="1" x14ac:dyDescent="0.3"/>
    <row r="22497" ht="14.4" customHeight="1" x14ac:dyDescent="0.3"/>
    <row r="22498" ht="14.4" customHeight="1" x14ac:dyDescent="0.3"/>
    <row r="22499" ht="14.4" customHeight="1" x14ac:dyDescent="0.3"/>
    <row r="22500" ht="14.4" customHeight="1" x14ac:dyDescent="0.3"/>
    <row r="22501" ht="14.4" customHeight="1" x14ac:dyDescent="0.3"/>
    <row r="22502" ht="14.4" customHeight="1" x14ac:dyDescent="0.3"/>
    <row r="22503" ht="14.4" customHeight="1" x14ac:dyDescent="0.3"/>
    <row r="22504" ht="14.4" customHeight="1" x14ac:dyDescent="0.3"/>
    <row r="22505" ht="14.4" customHeight="1" x14ac:dyDescent="0.3"/>
    <row r="22506" ht="14.4" customHeight="1" x14ac:dyDescent="0.3"/>
    <row r="22507" ht="14.4" customHeight="1" x14ac:dyDescent="0.3"/>
    <row r="22508" ht="14.4" customHeight="1" x14ac:dyDescent="0.3"/>
    <row r="22509" ht="14.4" customHeight="1" x14ac:dyDescent="0.3"/>
    <row r="22510" ht="14.4" customHeight="1" x14ac:dyDescent="0.3"/>
    <row r="22511" ht="14.4" customHeight="1" x14ac:dyDescent="0.3"/>
    <row r="22512" ht="14.4" customHeight="1" x14ac:dyDescent="0.3"/>
    <row r="22513" ht="14.4" customHeight="1" x14ac:dyDescent="0.3"/>
    <row r="22514" ht="14.4" customHeight="1" x14ac:dyDescent="0.3"/>
    <row r="22515" ht="14.4" customHeight="1" x14ac:dyDescent="0.3"/>
    <row r="22516" ht="14.4" customHeight="1" x14ac:dyDescent="0.3"/>
    <row r="22517" ht="14.4" customHeight="1" x14ac:dyDescent="0.3"/>
    <row r="22518" ht="14.4" customHeight="1" x14ac:dyDescent="0.3"/>
    <row r="22519" ht="14.4" customHeight="1" x14ac:dyDescent="0.3"/>
    <row r="22520" ht="14.4" customHeight="1" x14ac:dyDescent="0.3"/>
    <row r="22521" ht="14.4" customHeight="1" x14ac:dyDescent="0.3"/>
    <row r="22522" ht="14.4" customHeight="1" x14ac:dyDescent="0.3"/>
    <row r="22523" ht="14.4" customHeight="1" x14ac:dyDescent="0.3"/>
    <row r="22524" ht="14.4" customHeight="1" x14ac:dyDescent="0.3"/>
    <row r="22525" ht="14.4" customHeight="1" x14ac:dyDescent="0.3"/>
    <row r="22526" ht="14.4" customHeight="1" x14ac:dyDescent="0.3"/>
    <row r="22527" ht="14.4" customHeight="1" x14ac:dyDescent="0.3"/>
    <row r="22528" ht="14.4" customHeight="1" x14ac:dyDescent="0.3"/>
    <row r="22529" ht="14.4" customHeight="1" x14ac:dyDescent="0.3"/>
    <row r="22530" ht="14.4" customHeight="1" x14ac:dyDescent="0.3"/>
    <row r="22531" ht="14.4" customHeight="1" x14ac:dyDescent="0.3"/>
    <row r="22532" ht="14.4" customHeight="1" x14ac:dyDescent="0.3"/>
    <row r="22533" ht="14.4" customHeight="1" x14ac:dyDescent="0.3"/>
    <row r="22534" ht="14.4" customHeight="1" x14ac:dyDescent="0.3"/>
    <row r="22535" ht="14.4" customHeight="1" x14ac:dyDescent="0.3"/>
    <row r="22536" ht="14.4" customHeight="1" x14ac:dyDescent="0.3"/>
    <row r="22537" ht="14.4" customHeight="1" x14ac:dyDescent="0.3"/>
    <row r="22538" ht="14.4" customHeight="1" x14ac:dyDescent="0.3"/>
    <row r="22539" ht="14.4" customHeight="1" x14ac:dyDescent="0.3"/>
    <row r="22540" ht="14.4" customHeight="1" x14ac:dyDescent="0.3"/>
    <row r="22541" ht="14.4" customHeight="1" x14ac:dyDescent="0.3"/>
    <row r="22542" ht="14.4" customHeight="1" x14ac:dyDescent="0.3"/>
    <row r="22543" ht="14.4" customHeight="1" x14ac:dyDescent="0.3"/>
    <row r="22544" ht="14.4" customHeight="1" x14ac:dyDescent="0.3"/>
    <row r="22545" ht="14.4" customHeight="1" x14ac:dyDescent="0.3"/>
    <row r="22546" ht="14.4" customHeight="1" x14ac:dyDescent="0.3"/>
    <row r="22547" ht="14.4" customHeight="1" x14ac:dyDescent="0.3"/>
    <row r="22548" ht="14.4" customHeight="1" x14ac:dyDescent="0.3"/>
    <row r="22549" ht="14.4" customHeight="1" x14ac:dyDescent="0.3"/>
    <row r="22550" ht="14.4" customHeight="1" x14ac:dyDescent="0.3"/>
    <row r="22551" ht="14.4" customHeight="1" x14ac:dyDescent="0.3"/>
    <row r="22552" ht="14.4" customHeight="1" x14ac:dyDescent="0.3"/>
    <row r="22553" ht="14.4" customHeight="1" x14ac:dyDescent="0.3"/>
    <row r="22554" ht="14.4" customHeight="1" x14ac:dyDescent="0.3"/>
    <row r="22555" ht="14.4" customHeight="1" x14ac:dyDescent="0.3"/>
    <row r="22556" ht="14.4" customHeight="1" x14ac:dyDescent="0.3"/>
    <row r="22557" ht="14.4" customHeight="1" x14ac:dyDescent="0.3"/>
    <row r="22558" ht="14.4" customHeight="1" x14ac:dyDescent="0.3"/>
    <row r="22559" ht="14.4" customHeight="1" x14ac:dyDescent="0.3"/>
    <row r="22560" ht="14.4" customHeight="1" x14ac:dyDescent="0.3"/>
    <row r="22561" ht="14.4" customHeight="1" x14ac:dyDescent="0.3"/>
    <row r="22562" ht="14.4" customHeight="1" x14ac:dyDescent="0.3"/>
    <row r="22563" ht="14.4" customHeight="1" x14ac:dyDescent="0.3"/>
    <row r="22564" ht="14.4" customHeight="1" x14ac:dyDescent="0.3"/>
    <row r="22565" ht="14.4" customHeight="1" x14ac:dyDescent="0.3"/>
    <row r="22566" ht="14.4" customHeight="1" x14ac:dyDescent="0.3"/>
    <row r="22567" ht="14.4" customHeight="1" x14ac:dyDescent="0.3"/>
    <row r="22568" ht="14.4" customHeight="1" x14ac:dyDescent="0.3"/>
    <row r="22569" ht="14.4" customHeight="1" x14ac:dyDescent="0.3"/>
    <row r="22570" ht="14.4" customHeight="1" x14ac:dyDescent="0.3"/>
    <row r="22571" ht="14.4" customHeight="1" x14ac:dyDescent="0.3"/>
    <row r="22572" ht="14.4" customHeight="1" x14ac:dyDescent="0.3"/>
    <row r="22573" ht="14.4" customHeight="1" x14ac:dyDescent="0.3"/>
    <row r="22574" ht="14.4" customHeight="1" x14ac:dyDescent="0.3"/>
    <row r="22575" ht="14.4" customHeight="1" x14ac:dyDescent="0.3"/>
    <row r="22576" ht="14.4" customHeight="1" x14ac:dyDescent="0.3"/>
    <row r="22577" ht="14.4" customHeight="1" x14ac:dyDescent="0.3"/>
    <row r="22578" ht="14.4" customHeight="1" x14ac:dyDescent="0.3"/>
    <row r="22579" ht="14.4" customHeight="1" x14ac:dyDescent="0.3"/>
    <row r="22580" ht="14.4" customHeight="1" x14ac:dyDescent="0.3"/>
    <row r="22581" ht="14.4" customHeight="1" x14ac:dyDescent="0.3"/>
    <row r="22582" ht="14.4" customHeight="1" x14ac:dyDescent="0.3"/>
    <row r="22583" ht="14.4" customHeight="1" x14ac:dyDescent="0.3"/>
    <row r="22584" ht="14.4" customHeight="1" x14ac:dyDescent="0.3"/>
    <row r="22585" ht="14.4" customHeight="1" x14ac:dyDescent="0.3"/>
    <row r="22586" ht="14.4" customHeight="1" x14ac:dyDescent="0.3"/>
    <row r="22587" ht="14.4" customHeight="1" x14ac:dyDescent="0.3"/>
    <row r="22588" ht="14.4" customHeight="1" x14ac:dyDescent="0.3"/>
    <row r="22589" ht="14.4" customHeight="1" x14ac:dyDescent="0.3"/>
    <row r="22590" ht="14.4" customHeight="1" x14ac:dyDescent="0.3"/>
    <row r="22591" ht="14.4" customHeight="1" x14ac:dyDescent="0.3"/>
    <row r="22592" ht="14.4" customHeight="1" x14ac:dyDescent="0.3"/>
    <row r="22593" ht="14.4" customHeight="1" x14ac:dyDescent="0.3"/>
    <row r="22594" ht="14.4" customHeight="1" x14ac:dyDescent="0.3"/>
    <row r="22595" ht="14.4" customHeight="1" x14ac:dyDescent="0.3"/>
    <row r="22596" ht="14.4" customHeight="1" x14ac:dyDescent="0.3"/>
    <row r="22597" ht="14.4" customHeight="1" x14ac:dyDescent="0.3"/>
    <row r="22598" ht="14.4" customHeight="1" x14ac:dyDescent="0.3"/>
    <row r="22599" ht="14.4" customHeight="1" x14ac:dyDescent="0.3"/>
    <row r="22600" ht="14.4" customHeight="1" x14ac:dyDescent="0.3"/>
    <row r="22601" ht="14.4" customHeight="1" x14ac:dyDescent="0.3"/>
    <row r="22602" ht="14.4" customHeight="1" x14ac:dyDescent="0.3"/>
    <row r="22603" ht="14.4" customHeight="1" x14ac:dyDescent="0.3"/>
    <row r="22604" ht="14.4" customHeight="1" x14ac:dyDescent="0.3"/>
    <row r="22605" ht="14.4" customHeight="1" x14ac:dyDescent="0.3"/>
    <row r="22606" ht="14.4" customHeight="1" x14ac:dyDescent="0.3"/>
    <row r="22607" ht="14.4" customHeight="1" x14ac:dyDescent="0.3"/>
    <row r="22608" ht="14.4" customHeight="1" x14ac:dyDescent="0.3"/>
    <row r="22609" ht="14.4" customHeight="1" x14ac:dyDescent="0.3"/>
    <row r="22610" ht="14.4" customHeight="1" x14ac:dyDescent="0.3"/>
    <row r="22611" ht="14.4" customHeight="1" x14ac:dyDescent="0.3"/>
    <row r="22612" ht="14.4" customHeight="1" x14ac:dyDescent="0.3"/>
    <row r="22613" ht="14.4" customHeight="1" x14ac:dyDescent="0.3"/>
    <row r="22614" ht="14.4" customHeight="1" x14ac:dyDescent="0.3"/>
    <row r="22615" ht="14.4" customHeight="1" x14ac:dyDescent="0.3"/>
    <row r="22616" ht="14.4" customHeight="1" x14ac:dyDescent="0.3"/>
    <row r="22617" ht="14.4" customHeight="1" x14ac:dyDescent="0.3"/>
    <row r="22618" ht="14.4" customHeight="1" x14ac:dyDescent="0.3"/>
    <row r="22619" ht="14.4" customHeight="1" x14ac:dyDescent="0.3"/>
    <row r="22620" ht="14.4" customHeight="1" x14ac:dyDescent="0.3"/>
    <row r="22621" ht="14.4" customHeight="1" x14ac:dyDescent="0.3"/>
    <row r="22622" ht="14.4" customHeight="1" x14ac:dyDescent="0.3"/>
    <row r="22623" ht="14.4" customHeight="1" x14ac:dyDescent="0.3"/>
    <row r="22624" ht="14.4" customHeight="1" x14ac:dyDescent="0.3"/>
    <row r="22625" ht="14.4" customHeight="1" x14ac:dyDescent="0.3"/>
    <row r="22626" ht="14.4" customHeight="1" x14ac:dyDescent="0.3"/>
    <row r="22627" ht="14.4" customHeight="1" x14ac:dyDescent="0.3"/>
    <row r="22628" ht="14.4" customHeight="1" x14ac:dyDescent="0.3"/>
    <row r="22629" ht="14.4" customHeight="1" x14ac:dyDescent="0.3"/>
    <row r="22630" ht="14.4" customHeight="1" x14ac:dyDescent="0.3"/>
    <row r="22631" ht="14.4" customHeight="1" x14ac:dyDescent="0.3"/>
    <row r="22632" ht="14.4" customHeight="1" x14ac:dyDescent="0.3"/>
    <row r="22633" ht="14.4" customHeight="1" x14ac:dyDescent="0.3"/>
    <row r="22634" ht="14.4" customHeight="1" x14ac:dyDescent="0.3"/>
    <row r="22635" ht="14.4" customHeight="1" x14ac:dyDescent="0.3"/>
    <row r="22636" ht="14.4" customHeight="1" x14ac:dyDescent="0.3"/>
    <row r="22637" ht="14.4" customHeight="1" x14ac:dyDescent="0.3"/>
    <row r="22638" ht="14.4" customHeight="1" x14ac:dyDescent="0.3"/>
    <row r="22639" ht="14.4" customHeight="1" x14ac:dyDescent="0.3"/>
    <row r="22640" ht="14.4" customHeight="1" x14ac:dyDescent="0.3"/>
    <row r="22641" ht="14.4" customHeight="1" x14ac:dyDescent="0.3"/>
    <row r="22642" ht="14.4" customHeight="1" x14ac:dyDescent="0.3"/>
    <row r="22643" ht="14.4" customHeight="1" x14ac:dyDescent="0.3"/>
    <row r="22644" ht="14.4" customHeight="1" x14ac:dyDescent="0.3"/>
    <row r="22645" ht="14.4" customHeight="1" x14ac:dyDescent="0.3"/>
    <row r="22646" ht="14.4" customHeight="1" x14ac:dyDescent="0.3"/>
    <row r="22647" ht="14.4" customHeight="1" x14ac:dyDescent="0.3"/>
    <row r="22648" ht="14.4" customHeight="1" x14ac:dyDescent="0.3"/>
    <row r="22649" ht="14.4" customHeight="1" x14ac:dyDescent="0.3"/>
    <row r="22650" ht="14.4" customHeight="1" x14ac:dyDescent="0.3"/>
    <row r="22651" ht="14.4" customHeight="1" x14ac:dyDescent="0.3"/>
    <row r="22652" ht="14.4" customHeight="1" x14ac:dyDescent="0.3"/>
    <row r="22653" ht="14.4" customHeight="1" x14ac:dyDescent="0.3"/>
    <row r="22654" ht="14.4" customHeight="1" x14ac:dyDescent="0.3"/>
    <row r="22655" ht="14.4" customHeight="1" x14ac:dyDescent="0.3"/>
    <row r="22656" ht="14.4" customHeight="1" x14ac:dyDescent="0.3"/>
    <row r="22657" ht="14.4" customHeight="1" x14ac:dyDescent="0.3"/>
    <row r="22658" ht="14.4" customHeight="1" x14ac:dyDescent="0.3"/>
    <row r="22659" ht="14.4" customHeight="1" x14ac:dyDescent="0.3"/>
    <row r="22660" ht="14.4" customHeight="1" x14ac:dyDescent="0.3"/>
    <row r="22661" ht="14.4" customHeight="1" x14ac:dyDescent="0.3"/>
    <row r="22662" ht="14.4" customHeight="1" x14ac:dyDescent="0.3"/>
    <row r="22663" ht="14.4" customHeight="1" x14ac:dyDescent="0.3"/>
    <row r="22664" ht="14.4" customHeight="1" x14ac:dyDescent="0.3"/>
    <row r="22665" ht="14.4" customHeight="1" x14ac:dyDescent="0.3"/>
    <row r="22666" ht="14.4" customHeight="1" x14ac:dyDescent="0.3"/>
    <row r="22667" ht="14.4" customHeight="1" x14ac:dyDescent="0.3"/>
    <row r="22668" ht="14.4" customHeight="1" x14ac:dyDescent="0.3"/>
    <row r="22669" ht="14.4" customHeight="1" x14ac:dyDescent="0.3"/>
    <row r="22670" ht="14.4" customHeight="1" x14ac:dyDescent="0.3"/>
    <row r="22671" ht="14.4" customHeight="1" x14ac:dyDescent="0.3"/>
    <row r="22672" ht="14.4" customHeight="1" x14ac:dyDescent="0.3"/>
    <row r="22673" ht="14.4" customHeight="1" x14ac:dyDescent="0.3"/>
    <row r="22674" ht="14.4" customHeight="1" x14ac:dyDescent="0.3"/>
    <row r="22675" ht="14.4" customHeight="1" x14ac:dyDescent="0.3"/>
    <row r="22676" ht="14.4" customHeight="1" x14ac:dyDescent="0.3"/>
    <row r="22677" ht="14.4" customHeight="1" x14ac:dyDescent="0.3"/>
    <row r="22678" ht="14.4" customHeight="1" x14ac:dyDescent="0.3"/>
    <row r="22679" ht="14.4" customHeight="1" x14ac:dyDescent="0.3"/>
    <row r="22680" ht="14.4" customHeight="1" x14ac:dyDescent="0.3"/>
    <row r="22681" ht="14.4" customHeight="1" x14ac:dyDescent="0.3"/>
    <row r="22682" ht="14.4" customHeight="1" x14ac:dyDescent="0.3"/>
    <row r="22683" ht="14.4" customHeight="1" x14ac:dyDescent="0.3"/>
    <row r="22684" ht="14.4" customHeight="1" x14ac:dyDescent="0.3"/>
    <row r="22685" ht="14.4" customHeight="1" x14ac:dyDescent="0.3"/>
    <row r="22686" ht="14.4" customHeight="1" x14ac:dyDescent="0.3"/>
    <row r="22687" ht="14.4" customHeight="1" x14ac:dyDescent="0.3"/>
    <row r="22688" ht="14.4" customHeight="1" x14ac:dyDescent="0.3"/>
    <row r="22689" ht="14.4" customHeight="1" x14ac:dyDescent="0.3"/>
    <row r="22690" ht="14.4" customHeight="1" x14ac:dyDescent="0.3"/>
    <row r="22691" ht="14.4" customHeight="1" x14ac:dyDescent="0.3"/>
    <row r="22692" ht="14.4" customHeight="1" x14ac:dyDescent="0.3"/>
    <row r="22693" ht="14.4" customHeight="1" x14ac:dyDescent="0.3"/>
    <row r="22694" ht="14.4" customHeight="1" x14ac:dyDescent="0.3"/>
    <row r="22695" ht="14.4" customHeight="1" x14ac:dyDescent="0.3"/>
    <row r="22696" ht="14.4" customHeight="1" x14ac:dyDescent="0.3"/>
    <row r="22697" ht="14.4" customHeight="1" x14ac:dyDescent="0.3"/>
    <row r="22698" ht="14.4" customHeight="1" x14ac:dyDescent="0.3"/>
    <row r="22699" ht="14.4" customHeight="1" x14ac:dyDescent="0.3"/>
    <row r="22700" ht="14.4" customHeight="1" x14ac:dyDescent="0.3"/>
    <row r="22701" ht="14.4" customHeight="1" x14ac:dyDescent="0.3"/>
    <row r="22702" ht="14.4" customHeight="1" x14ac:dyDescent="0.3"/>
    <row r="22703" ht="14.4" customHeight="1" x14ac:dyDescent="0.3"/>
    <row r="22704" ht="14.4" customHeight="1" x14ac:dyDescent="0.3"/>
    <row r="22705" ht="14.4" customHeight="1" x14ac:dyDescent="0.3"/>
    <row r="22706" ht="14.4" customHeight="1" x14ac:dyDescent="0.3"/>
    <row r="22707" ht="14.4" customHeight="1" x14ac:dyDescent="0.3"/>
    <row r="22708" ht="14.4" customHeight="1" x14ac:dyDescent="0.3"/>
    <row r="22709" ht="14.4" customHeight="1" x14ac:dyDescent="0.3"/>
    <row r="22710" ht="14.4" customHeight="1" x14ac:dyDescent="0.3"/>
    <row r="22711" ht="14.4" customHeight="1" x14ac:dyDescent="0.3"/>
    <row r="22712" ht="14.4" customHeight="1" x14ac:dyDescent="0.3"/>
    <row r="22713" ht="14.4" customHeight="1" x14ac:dyDescent="0.3"/>
    <row r="22714" ht="14.4" customHeight="1" x14ac:dyDescent="0.3"/>
    <row r="22715" ht="14.4" customHeight="1" x14ac:dyDescent="0.3"/>
    <row r="22716" ht="14.4" customHeight="1" x14ac:dyDescent="0.3"/>
    <row r="22717" ht="14.4" customHeight="1" x14ac:dyDescent="0.3"/>
    <row r="22718" ht="14.4" customHeight="1" x14ac:dyDescent="0.3"/>
    <row r="22719" ht="14.4" customHeight="1" x14ac:dyDescent="0.3"/>
    <row r="22720" ht="14.4" customHeight="1" x14ac:dyDescent="0.3"/>
    <row r="22721" ht="14.4" customHeight="1" x14ac:dyDescent="0.3"/>
    <row r="22722" ht="14.4" customHeight="1" x14ac:dyDescent="0.3"/>
    <row r="22723" ht="14.4" customHeight="1" x14ac:dyDescent="0.3"/>
    <row r="22724" ht="14.4" customHeight="1" x14ac:dyDescent="0.3"/>
    <row r="22725" ht="14.4" customHeight="1" x14ac:dyDescent="0.3"/>
    <row r="22726" ht="14.4" customHeight="1" x14ac:dyDescent="0.3"/>
    <row r="22727" ht="14.4" customHeight="1" x14ac:dyDescent="0.3"/>
    <row r="22728" ht="14.4" customHeight="1" x14ac:dyDescent="0.3"/>
    <row r="22729" ht="14.4" customHeight="1" x14ac:dyDescent="0.3"/>
    <row r="22730" ht="14.4" customHeight="1" x14ac:dyDescent="0.3"/>
    <row r="22731" ht="14.4" customHeight="1" x14ac:dyDescent="0.3"/>
    <row r="22732" ht="14.4" customHeight="1" x14ac:dyDescent="0.3"/>
    <row r="22733" ht="14.4" customHeight="1" x14ac:dyDescent="0.3"/>
    <row r="22734" ht="14.4" customHeight="1" x14ac:dyDescent="0.3"/>
    <row r="22735" ht="14.4" customHeight="1" x14ac:dyDescent="0.3"/>
    <row r="22736" ht="14.4" customHeight="1" x14ac:dyDescent="0.3"/>
    <row r="22737" ht="14.4" customHeight="1" x14ac:dyDescent="0.3"/>
    <row r="22738" ht="14.4" customHeight="1" x14ac:dyDescent="0.3"/>
    <row r="22739" ht="14.4" customHeight="1" x14ac:dyDescent="0.3"/>
    <row r="22740" ht="14.4" customHeight="1" x14ac:dyDescent="0.3"/>
    <row r="22741" ht="14.4" customHeight="1" x14ac:dyDescent="0.3"/>
    <row r="22742" ht="14.4" customHeight="1" x14ac:dyDescent="0.3"/>
    <row r="22743" ht="14.4" customHeight="1" x14ac:dyDescent="0.3"/>
    <row r="22744" ht="14.4" customHeight="1" x14ac:dyDescent="0.3"/>
    <row r="22745" ht="14.4" customHeight="1" x14ac:dyDescent="0.3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039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4" customHeight="1" x14ac:dyDescent="0.3"/>
  <cols>
    <col min="1" max="2" width="3.6640625" style="2" customWidth="1"/>
    <col min="3" max="3" width="16" style="2" customWidth="1"/>
    <col min="4" max="4" width="10.5546875" style="2" customWidth="1"/>
    <col min="5" max="5" width="10.33203125" style="2" customWidth="1"/>
    <col min="6" max="6" width="14.77734375" style="2" customWidth="1"/>
    <col min="7" max="8" width="3.6640625" style="2" customWidth="1"/>
    <col min="9" max="22" width="0" style="2" hidden="1"/>
    <col min="23" max="16384" width="8.77734375" style="2" hidden="1"/>
  </cols>
  <sheetData>
    <row r="1" spans="1:8" x14ac:dyDescent="0.3">
      <c r="A1" s="3"/>
      <c r="B1" s="3"/>
      <c r="C1" s="3"/>
      <c r="D1" s="3"/>
      <c r="E1" s="3"/>
      <c r="F1" s="3"/>
      <c r="G1" s="3"/>
      <c r="H1" s="3"/>
    </row>
    <row r="2" spans="1:8" x14ac:dyDescent="0.3">
      <c r="A2" s="3"/>
      <c r="B2" s="3"/>
      <c r="C2" s="3"/>
      <c r="D2" s="3"/>
      <c r="E2" s="3"/>
      <c r="F2" s="3"/>
      <c r="G2" s="3"/>
      <c r="H2" s="3"/>
    </row>
    <row r="3" spans="1:8" x14ac:dyDescent="0.3">
      <c r="A3" s="3"/>
      <c r="B3" s="3"/>
      <c r="C3" s="3"/>
      <c r="D3" s="3"/>
      <c r="E3" s="3"/>
      <c r="F3" s="3"/>
      <c r="G3" s="3"/>
      <c r="H3" s="3"/>
    </row>
    <row r="4" spans="1:8" ht="15" thickBot="1" x14ac:dyDescent="0.35">
      <c r="A4" s="4"/>
      <c r="B4" s="5"/>
      <c r="C4" s="5"/>
      <c r="D4" s="5"/>
      <c r="E4" s="5"/>
      <c r="F4" s="5"/>
      <c r="G4" s="5"/>
      <c r="H4" s="3"/>
    </row>
    <row r="5" spans="1:8" s="9" customFormat="1" ht="15" thickTop="1" x14ac:dyDescent="0.3">
      <c r="A5" s="6"/>
      <c r="B5" s="8"/>
      <c r="C5" s="8"/>
      <c r="D5" s="8"/>
      <c r="E5" s="8"/>
      <c r="F5" s="8"/>
      <c r="G5" s="8"/>
    </row>
    <row r="6" spans="1:8" x14ac:dyDescent="0.3">
      <c r="C6" s="10" t="s">
        <v>764</v>
      </c>
      <c r="D6" s="10" t="s">
        <v>29</v>
      </c>
      <c r="E6" s="10" t="s">
        <v>765</v>
      </c>
      <c r="F6" s="10" t="s">
        <v>766</v>
      </c>
    </row>
    <row r="7" spans="1:8" ht="14.4" customHeight="1" x14ac:dyDescent="0.3">
      <c r="C7" s="2">
        <v>100</v>
      </c>
      <c r="D7" s="2" t="s">
        <v>510</v>
      </c>
      <c r="E7" s="2" t="s">
        <v>772</v>
      </c>
      <c r="F7" s="101">
        <v>231</v>
      </c>
    </row>
    <row r="8" spans="1:8" ht="14.4" customHeight="1" x14ac:dyDescent="0.3">
      <c r="C8" s="2">
        <v>100</v>
      </c>
      <c r="D8" s="2" t="s">
        <v>512</v>
      </c>
      <c r="E8" s="2" t="s">
        <v>769</v>
      </c>
      <c r="F8" s="101">
        <v>41167</v>
      </c>
    </row>
    <row r="9" spans="1:8" ht="14.4" customHeight="1" x14ac:dyDescent="0.3">
      <c r="C9" s="2">
        <v>100</v>
      </c>
      <c r="D9" s="2" t="s">
        <v>485</v>
      </c>
      <c r="E9" s="2" t="s">
        <v>773</v>
      </c>
      <c r="F9" s="101">
        <v>3762</v>
      </c>
    </row>
    <row r="10" spans="1:8" ht="14.4" customHeight="1" x14ac:dyDescent="0.3">
      <c r="C10" s="2">
        <v>100</v>
      </c>
      <c r="D10" s="2" t="s">
        <v>651</v>
      </c>
      <c r="E10" s="2" t="s">
        <v>769</v>
      </c>
      <c r="F10" s="101">
        <v>54158</v>
      </c>
    </row>
    <row r="11" spans="1:8" ht="14.4" customHeight="1" x14ac:dyDescent="0.3">
      <c r="C11" s="2">
        <v>100</v>
      </c>
      <c r="D11" s="2" t="s">
        <v>363</v>
      </c>
      <c r="E11" s="2" t="s">
        <v>771</v>
      </c>
      <c r="F11" s="101">
        <v>22209</v>
      </c>
    </row>
    <row r="12" spans="1:8" ht="14.4" customHeight="1" x14ac:dyDescent="0.3">
      <c r="C12" s="2">
        <v>100</v>
      </c>
      <c r="D12" s="2" t="s">
        <v>661</v>
      </c>
      <c r="E12" s="2" t="s">
        <v>771</v>
      </c>
      <c r="F12" s="101">
        <v>630</v>
      </c>
    </row>
    <row r="13" spans="1:8" ht="14.4" customHeight="1" x14ac:dyDescent="0.3">
      <c r="C13" s="2">
        <v>100</v>
      </c>
      <c r="D13" s="2" t="s">
        <v>696</v>
      </c>
      <c r="E13" s="2" t="s">
        <v>771</v>
      </c>
      <c r="F13" s="101">
        <v>1695</v>
      </c>
    </row>
    <row r="14" spans="1:8" ht="14.4" customHeight="1" x14ac:dyDescent="0.3">
      <c r="C14" s="2">
        <v>100</v>
      </c>
      <c r="D14" s="2" t="s">
        <v>701</v>
      </c>
      <c r="E14" s="2" t="s">
        <v>774</v>
      </c>
      <c r="F14" s="101">
        <v>440</v>
      </c>
    </row>
    <row r="15" spans="1:8" ht="14.4" customHeight="1" x14ac:dyDescent="0.3">
      <c r="C15" s="2">
        <v>100</v>
      </c>
      <c r="D15" s="2" t="s">
        <v>316</v>
      </c>
      <c r="E15" s="2" t="s">
        <v>775</v>
      </c>
      <c r="F15" s="101">
        <v>27</v>
      </c>
    </row>
    <row r="16" spans="1:8" ht="14.4" customHeight="1" x14ac:dyDescent="0.3">
      <c r="C16" s="2">
        <v>100</v>
      </c>
      <c r="D16" s="2" t="s">
        <v>264</v>
      </c>
      <c r="E16" s="2" t="s">
        <v>775</v>
      </c>
      <c r="F16" s="101">
        <v>3</v>
      </c>
    </row>
    <row r="17" spans="3:6" ht="14.4" customHeight="1" x14ac:dyDescent="0.3">
      <c r="C17" s="2">
        <v>100</v>
      </c>
      <c r="D17" s="2" t="s">
        <v>408</v>
      </c>
      <c r="E17" s="2" t="s">
        <v>773</v>
      </c>
      <c r="F17" s="101">
        <v>821</v>
      </c>
    </row>
    <row r="18" spans="3:6" ht="14.4" customHeight="1" x14ac:dyDescent="0.3">
      <c r="C18" s="2">
        <v>100</v>
      </c>
      <c r="D18" s="2" t="s">
        <v>394</v>
      </c>
      <c r="E18" s="2" t="s">
        <v>774</v>
      </c>
      <c r="F18" s="101">
        <v>5511</v>
      </c>
    </row>
    <row r="19" spans="3:6" ht="14.4" customHeight="1" x14ac:dyDescent="0.3">
      <c r="C19" s="2">
        <v>100</v>
      </c>
      <c r="D19" s="2" t="s">
        <v>385</v>
      </c>
      <c r="E19" s="2" t="s">
        <v>772</v>
      </c>
      <c r="F19" s="101">
        <v>13411</v>
      </c>
    </row>
    <row r="20" spans="3:6" ht="14.4" customHeight="1" x14ac:dyDescent="0.3">
      <c r="C20" s="2">
        <v>100</v>
      </c>
      <c r="D20" s="2" t="s">
        <v>316</v>
      </c>
      <c r="E20" s="2" t="s">
        <v>770</v>
      </c>
      <c r="F20" s="101">
        <v>8534</v>
      </c>
    </row>
    <row r="21" spans="3:6" ht="14.4" customHeight="1" x14ac:dyDescent="0.3">
      <c r="C21" s="2">
        <v>100</v>
      </c>
      <c r="D21" s="2" t="s">
        <v>483</v>
      </c>
      <c r="E21" s="2" t="s">
        <v>775</v>
      </c>
      <c r="F21" s="101">
        <v>185</v>
      </c>
    </row>
    <row r="22" spans="3:6" ht="14.4" customHeight="1" x14ac:dyDescent="0.3">
      <c r="C22" s="2">
        <v>100</v>
      </c>
      <c r="D22" s="2" t="s">
        <v>264</v>
      </c>
      <c r="E22" s="2" t="s">
        <v>770</v>
      </c>
      <c r="F22" s="101">
        <v>4382</v>
      </c>
    </row>
    <row r="23" spans="3:6" ht="14.4" customHeight="1" x14ac:dyDescent="0.3">
      <c r="C23" s="2">
        <v>100</v>
      </c>
      <c r="D23" s="2" t="s">
        <v>681</v>
      </c>
      <c r="E23" s="2" t="s">
        <v>773</v>
      </c>
      <c r="F23" s="101">
        <v>673</v>
      </c>
    </row>
    <row r="24" spans="3:6" ht="14.4" customHeight="1" x14ac:dyDescent="0.3">
      <c r="C24" s="2">
        <v>100</v>
      </c>
      <c r="D24" s="2" t="s">
        <v>577</v>
      </c>
      <c r="E24" s="2" t="s">
        <v>770</v>
      </c>
      <c r="F24" s="101">
        <v>143</v>
      </c>
    </row>
    <row r="25" spans="3:6" ht="14.4" customHeight="1" x14ac:dyDescent="0.3">
      <c r="C25" s="2">
        <v>100</v>
      </c>
      <c r="D25" s="2" t="s">
        <v>558</v>
      </c>
      <c r="E25" s="2" t="s">
        <v>774</v>
      </c>
      <c r="F25" s="101">
        <v>-5543</v>
      </c>
    </row>
    <row r="26" spans="3:6" ht="14.4" customHeight="1" x14ac:dyDescent="0.3">
      <c r="C26" s="2">
        <v>100</v>
      </c>
      <c r="D26" s="2" t="s">
        <v>645</v>
      </c>
      <c r="E26" s="2" t="s">
        <v>769</v>
      </c>
      <c r="F26" s="101">
        <v>17922</v>
      </c>
    </row>
    <row r="27" spans="3:6" ht="14.4" customHeight="1" x14ac:dyDescent="0.3">
      <c r="C27" s="2">
        <v>100</v>
      </c>
      <c r="D27" s="2" t="s">
        <v>486</v>
      </c>
      <c r="E27" s="2" t="s">
        <v>769</v>
      </c>
      <c r="F27" s="101">
        <v>175461</v>
      </c>
    </row>
    <row r="28" spans="3:6" ht="14.4" customHeight="1" x14ac:dyDescent="0.3">
      <c r="C28" s="2">
        <v>100</v>
      </c>
      <c r="D28" s="2" t="s">
        <v>527</v>
      </c>
      <c r="E28" s="2" t="s">
        <v>769</v>
      </c>
      <c r="F28" s="101">
        <v>26578</v>
      </c>
    </row>
    <row r="29" spans="3:6" ht="14.4" customHeight="1" x14ac:dyDescent="0.3">
      <c r="C29" s="2">
        <v>100</v>
      </c>
      <c r="D29" s="2" t="s">
        <v>512</v>
      </c>
      <c r="E29" s="2" t="s">
        <v>777</v>
      </c>
      <c r="F29" s="101">
        <v>17031</v>
      </c>
    </row>
    <row r="30" spans="3:6" ht="14.4" customHeight="1" x14ac:dyDescent="0.3">
      <c r="C30" s="2">
        <v>100</v>
      </c>
      <c r="D30" s="2" t="s">
        <v>289</v>
      </c>
      <c r="E30" s="2" t="s">
        <v>774</v>
      </c>
      <c r="F30" s="101">
        <v>1976</v>
      </c>
    </row>
    <row r="31" spans="3:6" ht="14.4" customHeight="1" x14ac:dyDescent="0.3">
      <c r="C31" s="2">
        <v>100</v>
      </c>
      <c r="D31" s="2" t="s">
        <v>477</v>
      </c>
      <c r="E31" s="2" t="s">
        <v>773</v>
      </c>
      <c r="F31" s="101">
        <v>1129</v>
      </c>
    </row>
    <row r="32" spans="3:6" ht="14.4" customHeight="1" x14ac:dyDescent="0.3">
      <c r="C32" s="2">
        <v>100</v>
      </c>
      <c r="D32" s="2" t="s">
        <v>465</v>
      </c>
      <c r="E32" s="2" t="s">
        <v>775</v>
      </c>
      <c r="F32" s="101">
        <v>11554</v>
      </c>
    </row>
    <row r="33" spans="3:6" ht="14.4" customHeight="1" x14ac:dyDescent="0.3">
      <c r="C33" s="2">
        <v>100</v>
      </c>
      <c r="D33" s="2" t="s">
        <v>428</v>
      </c>
      <c r="E33" s="2" t="s">
        <v>771</v>
      </c>
      <c r="F33" s="101">
        <v>32383</v>
      </c>
    </row>
    <row r="34" spans="3:6" ht="14.4" customHeight="1" x14ac:dyDescent="0.3">
      <c r="C34" s="2">
        <v>100</v>
      </c>
      <c r="D34" s="2" t="s">
        <v>553</v>
      </c>
      <c r="E34" s="2" t="s">
        <v>769</v>
      </c>
      <c r="F34" s="101">
        <v>91841</v>
      </c>
    </row>
    <row r="35" spans="3:6" ht="14.4" customHeight="1" x14ac:dyDescent="0.3">
      <c r="C35" s="2">
        <v>100</v>
      </c>
      <c r="D35" s="2" t="s">
        <v>599</v>
      </c>
      <c r="E35" s="2" t="s">
        <v>775</v>
      </c>
      <c r="F35" s="101">
        <v>2036</v>
      </c>
    </row>
    <row r="36" spans="3:6" ht="14.4" customHeight="1" x14ac:dyDescent="0.3">
      <c r="C36" s="2">
        <v>100</v>
      </c>
      <c r="D36" s="2" t="s">
        <v>440</v>
      </c>
      <c r="E36" s="2" t="s">
        <v>777</v>
      </c>
      <c r="F36" s="101">
        <v>10274</v>
      </c>
    </row>
    <row r="37" spans="3:6" ht="14.4" customHeight="1" x14ac:dyDescent="0.3">
      <c r="C37" s="2">
        <v>100</v>
      </c>
      <c r="D37" s="2" t="s">
        <v>423</v>
      </c>
      <c r="E37" s="2" t="s">
        <v>773</v>
      </c>
      <c r="F37" s="101">
        <v>3861</v>
      </c>
    </row>
    <row r="38" spans="3:6" ht="14.4" customHeight="1" x14ac:dyDescent="0.3">
      <c r="C38" s="2">
        <v>100</v>
      </c>
      <c r="D38" s="2" t="s">
        <v>409</v>
      </c>
      <c r="E38" s="2" t="s">
        <v>771</v>
      </c>
      <c r="F38" s="101">
        <v>2885</v>
      </c>
    </row>
    <row r="39" spans="3:6" ht="14.4" customHeight="1" x14ac:dyDescent="0.3">
      <c r="C39" s="2">
        <v>100</v>
      </c>
      <c r="D39" s="2" t="s">
        <v>236</v>
      </c>
      <c r="E39" s="2" t="s">
        <v>774</v>
      </c>
      <c r="F39" s="101">
        <v>43023</v>
      </c>
    </row>
    <row r="40" spans="3:6" ht="14.4" customHeight="1" x14ac:dyDescent="0.3">
      <c r="C40" s="2">
        <v>100</v>
      </c>
      <c r="D40" s="2" t="s">
        <v>686</v>
      </c>
      <c r="E40" s="2" t="s">
        <v>773</v>
      </c>
      <c r="F40" s="101">
        <v>18254</v>
      </c>
    </row>
    <row r="41" spans="3:6" ht="14.4" customHeight="1" x14ac:dyDescent="0.3">
      <c r="C41" s="2">
        <v>100</v>
      </c>
      <c r="D41" s="2" t="s">
        <v>397</v>
      </c>
      <c r="E41" s="2" t="s">
        <v>769</v>
      </c>
      <c r="F41" s="101">
        <v>115910</v>
      </c>
    </row>
    <row r="42" spans="3:6" ht="14.4" customHeight="1" x14ac:dyDescent="0.3">
      <c r="C42" s="2">
        <v>100</v>
      </c>
      <c r="D42" s="2" t="s">
        <v>544</v>
      </c>
      <c r="E42" s="2" t="s">
        <v>770</v>
      </c>
      <c r="F42" s="101">
        <v>1489</v>
      </c>
    </row>
    <row r="43" spans="3:6" ht="14.4" customHeight="1" x14ac:dyDescent="0.3">
      <c r="C43" s="2">
        <v>100</v>
      </c>
      <c r="D43" s="2" t="s">
        <v>517</v>
      </c>
      <c r="E43" s="2" t="s">
        <v>774</v>
      </c>
      <c r="F43" s="101">
        <v>0</v>
      </c>
    </row>
    <row r="44" spans="3:6" ht="14.4" customHeight="1" x14ac:dyDescent="0.3">
      <c r="C44" s="2">
        <v>100</v>
      </c>
      <c r="D44" s="2" t="s">
        <v>358</v>
      </c>
      <c r="E44" s="2" t="s">
        <v>769</v>
      </c>
      <c r="F44" s="101">
        <v>32138</v>
      </c>
    </row>
    <row r="45" spans="3:6" ht="14.4" customHeight="1" x14ac:dyDescent="0.3">
      <c r="C45" s="2">
        <v>100</v>
      </c>
      <c r="D45" s="2" t="s">
        <v>230</v>
      </c>
      <c r="E45" s="2" t="s">
        <v>774</v>
      </c>
      <c r="F45" s="101">
        <v>4062</v>
      </c>
    </row>
    <row r="46" spans="3:6" ht="14.4" customHeight="1" x14ac:dyDescent="0.3">
      <c r="C46" s="2">
        <v>100</v>
      </c>
      <c r="D46" s="2" t="s">
        <v>544</v>
      </c>
      <c r="E46" s="2" t="s">
        <v>775</v>
      </c>
      <c r="F46" s="101">
        <v>4726</v>
      </c>
    </row>
    <row r="47" spans="3:6" ht="14.4" customHeight="1" x14ac:dyDescent="0.3">
      <c r="C47" s="2">
        <v>100</v>
      </c>
      <c r="D47" s="2" t="s">
        <v>296</v>
      </c>
      <c r="E47" s="2" t="s">
        <v>773</v>
      </c>
      <c r="F47" s="101">
        <v>15817</v>
      </c>
    </row>
    <row r="48" spans="3:6" ht="14.4" customHeight="1" x14ac:dyDescent="0.3">
      <c r="C48" s="2">
        <v>100</v>
      </c>
      <c r="D48" s="2" t="s">
        <v>432</v>
      </c>
      <c r="E48" s="2" t="s">
        <v>774</v>
      </c>
      <c r="F48" s="101">
        <v>23846</v>
      </c>
    </row>
    <row r="49" spans="3:6" ht="14.4" customHeight="1" x14ac:dyDescent="0.3">
      <c r="C49" s="2">
        <v>100</v>
      </c>
      <c r="D49" s="2" t="s">
        <v>391</v>
      </c>
      <c r="E49" s="2" t="s">
        <v>770</v>
      </c>
      <c r="F49" s="101">
        <v>305</v>
      </c>
    </row>
    <row r="50" spans="3:6" ht="14.4" customHeight="1" x14ac:dyDescent="0.3">
      <c r="C50" s="2">
        <v>100</v>
      </c>
      <c r="D50" s="2" t="s">
        <v>409</v>
      </c>
      <c r="E50" s="2" t="s">
        <v>773</v>
      </c>
      <c r="F50" s="101">
        <v>655</v>
      </c>
    </row>
    <row r="51" spans="3:6" ht="14.4" customHeight="1" x14ac:dyDescent="0.3">
      <c r="C51" s="2">
        <v>100</v>
      </c>
      <c r="D51" s="2" t="s">
        <v>639</v>
      </c>
      <c r="E51" s="2" t="s">
        <v>773</v>
      </c>
      <c r="F51" s="101">
        <v>72</v>
      </c>
    </row>
    <row r="52" spans="3:6" ht="14.4" customHeight="1" x14ac:dyDescent="0.3">
      <c r="C52" s="2">
        <v>100</v>
      </c>
      <c r="D52" s="2" t="s">
        <v>405</v>
      </c>
      <c r="E52" s="2" t="s">
        <v>775</v>
      </c>
      <c r="F52" s="101">
        <v>26034</v>
      </c>
    </row>
    <row r="53" spans="3:6" ht="14.4" customHeight="1" x14ac:dyDescent="0.3">
      <c r="C53" s="2">
        <v>100</v>
      </c>
      <c r="D53" s="2" t="s">
        <v>375</v>
      </c>
      <c r="E53" s="2" t="s">
        <v>769</v>
      </c>
      <c r="F53" s="101">
        <v>48610</v>
      </c>
    </row>
    <row r="54" spans="3:6" ht="14.4" customHeight="1" x14ac:dyDescent="0.3">
      <c r="C54" s="2">
        <v>100</v>
      </c>
      <c r="D54" s="2" t="s">
        <v>710</v>
      </c>
      <c r="E54" s="2" t="s">
        <v>769</v>
      </c>
      <c r="F54" s="101">
        <v>6572</v>
      </c>
    </row>
    <row r="55" spans="3:6" ht="14.4" customHeight="1" x14ac:dyDescent="0.3">
      <c r="C55" s="2">
        <v>100</v>
      </c>
      <c r="D55" s="2" t="s">
        <v>519</v>
      </c>
      <c r="E55" s="2" t="s">
        <v>771</v>
      </c>
      <c r="F55" s="101">
        <v>48149</v>
      </c>
    </row>
    <row r="56" spans="3:6" ht="14.4" customHeight="1" x14ac:dyDescent="0.3">
      <c r="C56" s="2">
        <v>100</v>
      </c>
      <c r="D56" s="2" t="s">
        <v>519</v>
      </c>
      <c r="E56" s="2" t="s">
        <v>770</v>
      </c>
      <c r="F56" s="101">
        <v>1298</v>
      </c>
    </row>
    <row r="57" spans="3:6" ht="14.4" customHeight="1" x14ac:dyDescent="0.3">
      <c r="C57" s="2">
        <v>100</v>
      </c>
      <c r="D57" s="2" t="s">
        <v>464</v>
      </c>
      <c r="E57" s="2" t="s">
        <v>774</v>
      </c>
      <c r="F57" s="101">
        <v>222</v>
      </c>
    </row>
    <row r="58" spans="3:6" ht="14.4" customHeight="1" x14ac:dyDescent="0.3">
      <c r="C58" s="2">
        <v>100</v>
      </c>
      <c r="D58" s="2" t="s">
        <v>305</v>
      </c>
      <c r="E58" s="2" t="s">
        <v>771</v>
      </c>
      <c r="F58" s="101">
        <v>11811</v>
      </c>
    </row>
    <row r="59" spans="3:6" ht="14.4" customHeight="1" x14ac:dyDescent="0.3">
      <c r="C59" s="2">
        <v>100</v>
      </c>
      <c r="D59" s="2" t="s">
        <v>640</v>
      </c>
      <c r="E59" s="2" t="s">
        <v>775</v>
      </c>
      <c r="F59" s="101">
        <v>3</v>
      </c>
    </row>
    <row r="60" spans="3:6" ht="14.4" customHeight="1" x14ac:dyDescent="0.3">
      <c r="C60" s="2">
        <v>100</v>
      </c>
      <c r="D60" s="2" t="s">
        <v>266</v>
      </c>
      <c r="E60" s="2" t="s">
        <v>773</v>
      </c>
      <c r="F60" s="101">
        <v>3609</v>
      </c>
    </row>
    <row r="61" spans="3:6" ht="14.4" customHeight="1" x14ac:dyDescent="0.3">
      <c r="C61" s="2">
        <v>100</v>
      </c>
      <c r="D61" s="2" t="s">
        <v>720</v>
      </c>
      <c r="E61" s="2" t="s">
        <v>769</v>
      </c>
      <c r="F61" s="101">
        <v>14347</v>
      </c>
    </row>
    <row r="62" spans="3:6" ht="14.4" customHeight="1" x14ac:dyDescent="0.3">
      <c r="C62" s="2">
        <v>100</v>
      </c>
      <c r="D62" s="2" t="s">
        <v>321</v>
      </c>
      <c r="E62" s="2" t="s">
        <v>771</v>
      </c>
      <c r="F62" s="101">
        <v>7448</v>
      </c>
    </row>
    <row r="63" spans="3:6" ht="14.4" customHeight="1" x14ac:dyDescent="0.3">
      <c r="C63" s="2">
        <v>100</v>
      </c>
      <c r="D63" s="2" t="s">
        <v>611</v>
      </c>
      <c r="E63" s="2" t="s">
        <v>777</v>
      </c>
      <c r="F63" s="101">
        <v>233</v>
      </c>
    </row>
    <row r="64" spans="3:6" ht="14.4" customHeight="1" x14ac:dyDescent="0.3">
      <c r="C64" s="2">
        <v>100</v>
      </c>
      <c r="D64" s="2" t="s">
        <v>522</v>
      </c>
      <c r="E64" s="2" t="s">
        <v>775</v>
      </c>
      <c r="F64" s="101">
        <v>40</v>
      </c>
    </row>
    <row r="65" spans="3:6" ht="14.4" customHeight="1" x14ac:dyDescent="0.3">
      <c r="C65" s="2">
        <v>100</v>
      </c>
      <c r="D65" s="2" t="s">
        <v>732</v>
      </c>
      <c r="E65" s="2" t="s">
        <v>770</v>
      </c>
      <c r="F65" s="101">
        <v>559</v>
      </c>
    </row>
    <row r="66" spans="3:6" ht="14.4" customHeight="1" x14ac:dyDescent="0.3">
      <c r="C66" s="2">
        <v>100</v>
      </c>
      <c r="D66" s="2" t="s">
        <v>306</v>
      </c>
      <c r="E66" s="2" t="s">
        <v>773</v>
      </c>
      <c r="F66" s="101">
        <v>37</v>
      </c>
    </row>
    <row r="67" spans="3:6" ht="14.4" customHeight="1" x14ac:dyDescent="0.3">
      <c r="C67" s="2">
        <v>100</v>
      </c>
      <c r="D67" s="2" t="s">
        <v>290</v>
      </c>
      <c r="E67" s="2" t="s">
        <v>774</v>
      </c>
      <c r="F67" s="101">
        <v>1754</v>
      </c>
    </row>
    <row r="68" spans="3:6" ht="14.4" customHeight="1" x14ac:dyDescent="0.3">
      <c r="C68" s="2">
        <v>100</v>
      </c>
      <c r="D68" s="2" t="s">
        <v>412</v>
      </c>
      <c r="E68" s="2" t="s">
        <v>770</v>
      </c>
      <c r="F68" s="101">
        <v>517</v>
      </c>
    </row>
    <row r="69" spans="3:6" ht="14.4" customHeight="1" x14ac:dyDescent="0.3">
      <c r="C69" s="2">
        <v>100</v>
      </c>
      <c r="D69" s="2" t="s">
        <v>442</v>
      </c>
      <c r="E69" s="2" t="s">
        <v>770</v>
      </c>
      <c r="F69" s="101">
        <v>10141</v>
      </c>
    </row>
    <row r="70" spans="3:6" ht="14.4" customHeight="1" x14ac:dyDescent="0.3">
      <c r="C70" s="2">
        <v>100</v>
      </c>
      <c r="D70" s="2" t="s">
        <v>442</v>
      </c>
      <c r="E70" s="2" t="s">
        <v>771</v>
      </c>
      <c r="F70" s="101">
        <v>17636</v>
      </c>
    </row>
    <row r="71" spans="3:6" ht="14.4" customHeight="1" x14ac:dyDescent="0.3">
      <c r="C71" s="2">
        <v>100</v>
      </c>
      <c r="D71" s="2" t="s">
        <v>336</v>
      </c>
      <c r="E71" s="2" t="s">
        <v>770</v>
      </c>
      <c r="F71" s="101">
        <v>38710</v>
      </c>
    </row>
    <row r="72" spans="3:6" ht="14.4" customHeight="1" x14ac:dyDescent="0.3">
      <c r="C72" s="2">
        <v>100</v>
      </c>
      <c r="D72" s="2" t="s">
        <v>293</v>
      </c>
      <c r="E72" s="2" t="s">
        <v>774</v>
      </c>
      <c r="F72" s="101">
        <v>1381</v>
      </c>
    </row>
    <row r="73" spans="3:6" ht="14.4" customHeight="1" x14ac:dyDescent="0.3">
      <c r="C73" s="2">
        <v>100</v>
      </c>
      <c r="D73" s="2" t="s">
        <v>505</v>
      </c>
      <c r="E73" s="2" t="s">
        <v>769</v>
      </c>
      <c r="F73" s="101">
        <v>42783</v>
      </c>
    </row>
    <row r="74" spans="3:6" ht="14.4" customHeight="1" x14ac:dyDescent="0.3">
      <c r="C74" s="2">
        <v>100</v>
      </c>
      <c r="D74" s="2" t="s">
        <v>255</v>
      </c>
      <c r="E74" s="2" t="s">
        <v>774</v>
      </c>
      <c r="F74" s="101">
        <v>4851</v>
      </c>
    </row>
    <row r="75" spans="3:6" ht="14.4" customHeight="1" x14ac:dyDescent="0.3">
      <c r="C75" s="2">
        <v>100</v>
      </c>
      <c r="D75" s="2" t="s">
        <v>446</v>
      </c>
      <c r="E75" s="2" t="s">
        <v>769</v>
      </c>
      <c r="F75" s="101">
        <v>27876</v>
      </c>
    </row>
    <row r="76" spans="3:6" ht="14.4" customHeight="1" x14ac:dyDescent="0.3">
      <c r="C76" s="2">
        <v>100</v>
      </c>
      <c r="D76" s="2" t="s">
        <v>384</v>
      </c>
      <c r="E76" s="2" t="s">
        <v>775</v>
      </c>
      <c r="F76" s="101">
        <v>13763</v>
      </c>
    </row>
    <row r="77" spans="3:6" ht="14.4" customHeight="1" x14ac:dyDescent="0.3">
      <c r="C77" s="2">
        <v>100</v>
      </c>
      <c r="D77" s="2" t="s">
        <v>522</v>
      </c>
      <c r="E77" s="2" t="s">
        <v>770</v>
      </c>
      <c r="F77" s="101">
        <v>4028</v>
      </c>
    </row>
    <row r="78" spans="3:6" ht="14.4" customHeight="1" x14ac:dyDescent="0.3">
      <c r="C78" s="2">
        <v>100</v>
      </c>
      <c r="D78" s="2" t="s">
        <v>732</v>
      </c>
      <c r="E78" s="2" t="s">
        <v>773</v>
      </c>
      <c r="F78" s="101">
        <v>547</v>
      </c>
    </row>
    <row r="79" spans="3:6" ht="14.4" customHeight="1" x14ac:dyDescent="0.3">
      <c r="C79" s="2">
        <v>100</v>
      </c>
      <c r="D79" s="2" t="s">
        <v>320</v>
      </c>
      <c r="E79" s="2" t="s">
        <v>775</v>
      </c>
      <c r="F79" s="101">
        <v>64</v>
      </c>
    </row>
    <row r="80" spans="3:6" ht="14.4" customHeight="1" x14ac:dyDescent="0.3">
      <c r="C80" s="2">
        <v>100</v>
      </c>
      <c r="D80" s="2" t="s">
        <v>623</v>
      </c>
      <c r="E80" s="2" t="s">
        <v>769</v>
      </c>
      <c r="F80" s="101">
        <v>1827632</v>
      </c>
    </row>
    <row r="81" spans="3:6" ht="14.4" customHeight="1" x14ac:dyDescent="0.3">
      <c r="C81" s="2">
        <v>100</v>
      </c>
      <c r="D81" s="2" t="s">
        <v>532</v>
      </c>
      <c r="E81" s="2" t="s">
        <v>777</v>
      </c>
      <c r="F81" s="101">
        <v>13411</v>
      </c>
    </row>
    <row r="82" spans="3:6" ht="14.4" customHeight="1" x14ac:dyDescent="0.3">
      <c r="C82" s="2">
        <v>100</v>
      </c>
      <c r="D82" s="2" t="s">
        <v>444</v>
      </c>
      <c r="E82" s="2" t="s">
        <v>773</v>
      </c>
      <c r="F82" s="101">
        <v>93</v>
      </c>
    </row>
    <row r="83" spans="3:6" ht="14.4" customHeight="1" x14ac:dyDescent="0.3">
      <c r="C83" s="2">
        <v>100</v>
      </c>
      <c r="D83" s="2" t="s">
        <v>267</v>
      </c>
      <c r="E83" s="2" t="s">
        <v>774</v>
      </c>
      <c r="F83" s="101">
        <v>7983</v>
      </c>
    </row>
    <row r="84" spans="3:6" ht="14.4" customHeight="1" x14ac:dyDescent="0.3">
      <c r="C84" s="2">
        <v>100</v>
      </c>
      <c r="D84" s="2" t="s">
        <v>444</v>
      </c>
      <c r="E84" s="2" t="s">
        <v>775</v>
      </c>
      <c r="F84" s="101">
        <v>40248</v>
      </c>
    </row>
    <row r="85" spans="3:6" ht="14.4" customHeight="1" x14ac:dyDescent="0.3">
      <c r="C85" s="2">
        <v>100</v>
      </c>
      <c r="D85" s="2" t="s">
        <v>667</v>
      </c>
      <c r="E85" s="2" t="s">
        <v>774</v>
      </c>
      <c r="F85" s="101">
        <v>321</v>
      </c>
    </row>
    <row r="86" spans="3:6" ht="14.4" customHeight="1" x14ac:dyDescent="0.3">
      <c r="C86" s="2">
        <v>100</v>
      </c>
      <c r="D86" s="2" t="s">
        <v>414</v>
      </c>
      <c r="E86" s="2" t="s">
        <v>775</v>
      </c>
      <c r="F86" s="101">
        <v>14894</v>
      </c>
    </row>
    <row r="87" spans="3:6" ht="14.4" customHeight="1" x14ac:dyDescent="0.3">
      <c r="C87" s="2">
        <v>100</v>
      </c>
      <c r="D87" s="2" t="s">
        <v>490</v>
      </c>
      <c r="E87" s="2" t="s">
        <v>773</v>
      </c>
      <c r="F87" s="101">
        <v>0</v>
      </c>
    </row>
    <row r="88" spans="3:6" ht="14.4" customHeight="1" x14ac:dyDescent="0.3">
      <c r="C88" s="2">
        <v>100</v>
      </c>
      <c r="D88" s="2" t="s">
        <v>658</v>
      </c>
      <c r="E88" s="2" t="s">
        <v>771</v>
      </c>
      <c r="F88" s="101">
        <v>164</v>
      </c>
    </row>
    <row r="89" spans="3:6" ht="14.4" customHeight="1" x14ac:dyDescent="0.3">
      <c r="C89" s="2">
        <v>100</v>
      </c>
      <c r="D89" s="2" t="s">
        <v>331</v>
      </c>
      <c r="E89" s="2" t="s">
        <v>773</v>
      </c>
      <c r="F89" s="101">
        <v>8222</v>
      </c>
    </row>
    <row r="90" spans="3:6" ht="14.4" customHeight="1" x14ac:dyDescent="0.3">
      <c r="C90" s="2">
        <v>100</v>
      </c>
      <c r="D90" s="2" t="s">
        <v>466</v>
      </c>
      <c r="E90" s="2" t="s">
        <v>772</v>
      </c>
      <c r="F90" s="101">
        <v>704</v>
      </c>
    </row>
    <row r="91" spans="3:6" ht="14.4" customHeight="1" x14ac:dyDescent="0.3">
      <c r="C91" s="2">
        <v>100</v>
      </c>
      <c r="D91" s="2" t="s">
        <v>331</v>
      </c>
      <c r="E91" s="2" t="s">
        <v>775</v>
      </c>
      <c r="F91" s="101">
        <v>14153</v>
      </c>
    </row>
    <row r="92" spans="3:6" ht="14.4" customHeight="1" x14ac:dyDescent="0.3">
      <c r="C92" s="2">
        <v>100</v>
      </c>
      <c r="D92" s="2" t="s">
        <v>425</v>
      </c>
      <c r="E92" s="2" t="s">
        <v>771</v>
      </c>
      <c r="F92" s="101">
        <v>124</v>
      </c>
    </row>
    <row r="93" spans="3:6" ht="14.4" customHeight="1" x14ac:dyDescent="0.3">
      <c r="C93" s="2">
        <v>100</v>
      </c>
      <c r="D93" s="2" t="s">
        <v>560</v>
      </c>
      <c r="E93" s="2" t="s">
        <v>769</v>
      </c>
      <c r="F93" s="101">
        <v>30647</v>
      </c>
    </row>
    <row r="94" spans="3:6" ht="14.4" customHeight="1" x14ac:dyDescent="0.3">
      <c r="C94" s="2">
        <v>100</v>
      </c>
      <c r="D94" s="2" t="s">
        <v>278</v>
      </c>
      <c r="E94" s="2" t="s">
        <v>773</v>
      </c>
      <c r="F94" s="101">
        <v>6816</v>
      </c>
    </row>
    <row r="95" spans="3:6" ht="14.4" customHeight="1" x14ac:dyDescent="0.3">
      <c r="C95" s="2">
        <v>100</v>
      </c>
      <c r="D95" s="2" t="s">
        <v>576</v>
      </c>
      <c r="E95" s="2" t="s">
        <v>770</v>
      </c>
      <c r="F95" s="101">
        <v>27</v>
      </c>
    </row>
    <row r="96" spans="3:6" ht="14.4" customHeight="1" x14ac:dyDescent="0.3">
      <c r="C96" s="2">
        <v>100</v>
      </c>
      <c r="D96" s="2" t="s">
        <v>551</v>
      </c>
      <c r="E96" s="2" t="s">
        <v>773</v>
      </c>
      <c r="F96" s="101">
        <v>1690</v>
      </c>
    </row>
    <row r="97" spans="3:6" ht="14.4" customHeight="1" x14ac:dyDescent="0.3">
      <c r="C97" s="2">
        <v>100</v>
      </c>
      <c r="D97" s="2" t="s">
        <v>338</v>
      </c>
      <c r="E97" s="2" t="s">
        <v>773</v>
      </c>
      <c r="F97" s="101">
        <v>195</v>
      </c>
    </row>
    <row r="98" spans="3:6" ht="14.4" customHeight="1" x14ac:dyDescent="0.3">
      <c r="C98" s="2">
        <v>100</v>
      </c>
      <c r="D98" s="2" t="s">
        <v>794</v>
      </c>
      <c r="E98" s="2" t="s">
        <v>769</v>
      </c>
      <c r="F98" s="101">
        <v>160</v>
      </c>
    </row>
    <row r="99" spans="3:6" ht="14.4" customHeight="1" x14ac:dyDescent="0.3">
      <c r="C99" s="2">
        <v>100</v>
      </c>
      <c r="D99" s="2" t="s">
        <v>450</v>
      </c>
      <c r="E99" s="2" t="s">
        <v>773</v>
      </c>
      <c r="F99" s="101">
        <v>740</v>
      </c>
    </row>
    <row r="100" spans="3:6" ht="14.4" customHeight="1" x14ac:dyDescent="0.3">
      <c r="C100" s="2">
        <v>100</v>
      </c>
      <c r="D100" s="2" t="s">
        <v>652</v>
      </c>
      <c r="E100" s="2" t="s">
        <v>771</v>
      </c>
      <c r="F100" s="101">
        <v>840</v>
      </c>
    </row>
    <row r="101" spans="3:6" ht="14.4" customHeight="1" x14ac:dyDescent="0.3">
      <c r="C101" s="2">
        <v>100</v>
      </c>
      <c r="D101" s="2" t="s">
        <v>430</v>
      </c>
      <c r="E101" s="2" t="s">
        <v>772</v>
      </c>
      <c r="F101" s="101">
        <v>580</v>
      </c>
    </row>
    <row r="102" spans="3:6" ht="14.4" customHeight="1" x14ac:dyDescent="0.3">
      <c r="C102" s="2">
        <v>100</v>
      </c>
      <c r="D102" s="2" t="s">
        <v>219</v>
      </c>
      <c r="E102" s="2" t="s">
        <v>774</v>
      </c>
      <c r="F102" s="101">
        <v>424097</v>
      </c>
    </row>
    <row r="103" spans="3:6" ht="14.4" customHeight="1" x14ac:dyDescent="0.3">
      <c r="C103" s="2">
        <v>100</v>
      </c>
      <c r="D103" s="2" t="s">
        <v>729</v>
      </c>
      <c r="E103" s="2" t="s">
        <v>769</v>
      </c>
      <c r="F103" s="101">
        <v>151</v>
      </c>
    </row>
    <row r="104" spans="3:6" ht="14.4" customHeight="1" x14ac:dyDescent="0.3">
      <c r="C104" s="2">
        <v>100</v>
      </c>
      <c r="D104" s="2" t="s">
        <v>302</v>
      </c>
      <c r="E104" s="2" t="s">
        <v>775</v>
      </c>
      <c r="F104" s="101">
        <v>48805</v>
      </c>
    </row>
    <row r="105" spans="3:6" ht="14.4" customHeight="1" x14ac:dyDescent="0.3">
      <c r="C105" s="2">
        <v>100</v>
      </c>
      <c r="D105" s="2" t="s">
        <v>215</v>
      </c>
      <c r="E105" s="2" t="s">
        <v>775</v>
      </c>
      <c r="F105" s="101">
        <v>10293</v>
      </c>
    </row>
    <row r="106" spans="3:6" ht="14.4" customHeight="1" x14ac:dyDescent="0.3">
      <c r="C106" s="2">
        <v>100</v>
      </c>
      <c r="D106" s="2" t="s">
        <v>331</v>
      </c>
      <c r="E106" s="2" t="s">
        <v>770</v>
      </c>
      <c r="F106" s="101">
        <v>11955</v>
      </c>
    </row>
    <row r="107" spans="3:6" ht="14.4" customHeight="1" x14ac:dyDescent="0.3">
      <c r="C107" s="2">
        <v>100</v>
      </c>
      <c r="D107" s="2" t="s">
        <v>620</v>
      </c>
      <c r="E107" s="2" t="s">
        <v>774</v>
      </c>
      <c r="F107" s="101">
        <v>186</v>
      </c>
    </row>
    <row r="108" spans="3:6" ht="14.4" customHeight="1" x14ac:dyDescent="0.3">
      <c r="C108" s="2">
        <v>100</v>
      </c>
      <c r="D108" s="2" t="s">
        <v>524</v>
      </c>
      <c r="E108" s="2" t="s">
        <v>771</v>
      </c>
      <c r="F108" s="101">
        <v>47112</v>
      </c>
    </row>
    <row r="109" spans="3:6" ht="14.4" customHeight="1" x14ac:dyDescent="0.3">
      <c r="C109" s="2">
        <v>100</v>
      </c>
      <c r="D109" s="2" t="s">
        <v>439</v>
      </c>
      <c r="E109" s="2" t="s">
        <v>775</v>
      </c>
      <c r="F109" s="101">
        <v>87</v>
      </c>
    </row>
    <row r="110" spans="3:6" ht="14.4" customHeight="1" x14ac:dyDescent="0.3">
      <c r="C110" s="2">
        <v>100</v>
      </c>
      <c r="D110" s="2" t="s">
        <v>647</v>
      </c>
      <c r="E110" s="2" t="s">
        <v>774</v>
      </c>
      <c r="F110" s="101">
        <v>244</v>
      </c>
    </row>
    <row r="111" spans="3:6" ht="14.4" customHeight="1" x14ac:dyDescent="0.3">
      <c r="C111" s="2">
        <v>100</v>
      </c>
      <c r="D111" s="2" t="s">
        <v>692</v>
      </c>
      <c r="E111" s="2" t="s">
        <v>774</v>
      </c>
      <c r="F111" s="101">
        <v>54</v>
      </c>
    </row>
    <row r="112" spans="3:6" ht="14.4" customHeight="1" x14ac:dyDescent="0.3">
      <c r="C112" s="2">
        <v>100</v>
      </c>
      <c r="D112" s="2" t="s">
        <v>498</v>
      </c>
      <c r="E112" s="2" t="s">
        <v>769</v>
      </c>
      <c r="F112" s="101">
        <v>92151</v>
      </c>
    </row>
    <row r="113" spans="3:6" ht="14.4" customHeight="1" x14ac:dyDescent="0.3">
      <c r="C113" s="2">
        <v>100</v>
      </c>
      <c r="D113" s="2" t="s">
        <v>640</v>
      </c>
      <c r="E113" s="2" t="s">
        <v>769</v>
      </c>
      <c r="F113" s="101">
        <v>34333</v>
      </c>
    </row>
    <row r="114" spans="3:6" ht="14.4" customHeight="1" x14ac:dyDescent="0.3">
      <c r="C114" s="2">
        <v>100</v>
      </c>
      <c r="D114" s="2" t="s">
        <v>623</v>
      </c>
      <c r="E114" s="2" t="s">
        <v>770</v>
      </c>
      <c r="F114" s="101">
        <v>83</v>
      </c>
    </row>
    <row r="115" spans="3:6" ht="14.4" customHeight="1" x14ac:dyDescent="0.3">
      <c r="C115" s="2">
        <v>100</v>
      </c>
      <c r="D115" s="2" t="s">
        <v>565</v>
      </c>
      <c r="E115" s="2" t="s">
        <v>773</v>
      </c>
      <c r="F115" s="101">
        <v>174</v>
      </c>
    </row>
    <row r="116" spans="3:6" ht="14.4" customHeight="1" x14ac:dyDescent="0.3">
      <c r="C116" s="2">
        <v>100</v>
      </c>
      <c r="D116" s="2" t="s">
        <v>222</v>
      </c>
      <c r="E116" s="2" t="s">
        <v>769</v>
      </c>
      <c r="F116" s="101">
        <v>75006</v>
      </c>
    </row>
    <row r="117" spans="3:6" ht="14.4" customHeight="1" x14ac:dyDescent="0.3">
      <c r="C117" s="2">
        <v>100</v>
      </c>
      <c r="D117" s="2" t="s">
        <v>282</v>
      </c>
      <c r="E117" s="2" t="s">
        <v>775</v>
      </c>
      <c r="F117" s="101">
        <v>33</v>
      </c>
    </row>
    <row r="118" spans="3:6" ht="14.4" customHeight="1" x14ac:dyDescent="0.3">
      <c r="C118" s="2">
        <v>100</v>
      </c>
      <c r="D118" s="2" t="s">
        <v>218</v>
      </c>
      <c r="E118" s="2" t="s">
        <v>775</v>
      </c>
      <c r="F118" s="101">
        <v>1301</v>
      </c>
    </row>
    <row r="119" spans="3:6" ht="14.4" customHeight="1" x14ac:dyDescent="0.3">
      <c r="C119" s="2">
        <v>100</v>
      </c>
      <c r="D119" s="2" t="s">
        <v>322</v>
      </c>
      <c r="E119" s="2" t="s">
        <v>775</v>
      </c>
      <c r="F119" s="101">
        <v>1998</v>
      </c>
    </row>
    <row r="120" spans="3:6" ht="14.4" customHeight="1" x14ac:dyDescent="0.3">
      <c r="C120" s="2">
        <v>100</v>
      </c>
      <c r="D120" s="2" t="s">
        <v>328</v>
      </c>
      <c r="E120" s="2" t="s">
        <v>774</v>
      </c>
      <c r="F120" s="101">
        <v>467</v>
      </c>
    </row>
    <row r="121" spans="3:6" ht="14.4" customHeight="1" x14ac:dyDescent="0.3">
      <c r="C121" s="2">
        <v>100</v>
      </c>
      <c r="D121" s="2" t="s">
        <v>719</v>
      </c>
      <c r="E121" s="2" t="s">
        <v>772</v>
      </c>
      <c r="F121" s="101">
        <v>4256</v>
      </c>
    </row>
    <row r="122" spans="3:6" ht="14.4" customHeight="1" x14ac:dyDescent="0.3">
      <c r="C122" s="2">
        <v>100</v>
      </c>
      <c r="D122" s="2" t="s">
        <v>559</v>
      </c>
      <c r="E122" s="2" t="s">
        <v>774</v>
      </c>
      <c r="F122" s="101">
        <v>2013</v>
      </c>
    </row>
    <row r="123" spans="3:6" ht="14.4" customHeight="1" x14ac:dyDescent="0.3">
      <c r="C123" s="2">
        <v>100</v>
      </c>
      <c r="D123" s="2" t="s">
        <v>554</v>
      </c>
      <c r="E123" s="2" t="s">
        <v>772</v>
      </c>
      <c r="F123" s="101">
        <v>155</v>
      </c>
    </row>
    <row r="124" spans="3:6" ht="14.4" customHeight="1" x14ac:dyDescent="0.3">
      <c r="C124" s="2">
        <v>100</v>
      </c>
      <c r="D124" s="2" t="s">
        <v>687</v>
      </c>
      <c r="E124" s="2" t="s">
        <v>775</v>
      </c>
      <c r="F124" s="101">
        <v>183091</v>
      </c>
    </row>
    <row r="125" spans="3:6" ht="14.4" customHeight="1" x14ac:dyDescent="0.3">
      <c r="C125" s="2">
        <v>100</v>
      </c>
      <c r="D125" s="2" t="s">
        <v>336</v>
      </c>
      <c r="E125" s="2" t="s">
        <v>769</v>
      </c>
      <c r="F125" s="101">
        <v>746362</v>
      </c>
    </row>
    <row r="126" spans="3:6" ht="14.4" customHeight="1" x14ac:dyDescent="0.3">
      <c r="C126" s="2">
        <v>100</v>
      </c>
      <c r="D126" s="2" t="s">
        <v>505</v>
      </c>
      <c r="E126" s="2" t="s">
        <v>771</v>
      </c>
      <c r="F126" s="101">
        <v>5594</v>
      </c>
    </row>
    <row r="127" spans="3:6" ht="14.4" customHeight="1" x14ac:dyDescent="0.3">
      <c r="C127" s="2">
        <v>100</v>
      </c>
      <c r="D127" s="2" t="s">
        <v>356</v>
      </c>
      <c r="E127" s="2" t="s">
        <v>770</v>
      </c>
      <c r="F127" s="101">
        <v>7142</v>
      </c>
    </row>
    <row r="128" spans="3:6" ht="14.4" customHeight="1" x14ac:dyDescent="0.3">
      <c r="C128" s="2">
        <v>100</v>
      </c>
      <c r="D128" s="2" t="s">
        <v>716</v>
      </c>
      <c r="E128" s="2" t="s">
        <v>777</v>
      </c>
      <c r="F128" s="101">
        <v>59850</v>
      </c>
    </row>
    <row r="129" spans="3:6" ht="14.4" customHeight="1" x14ac:dyDescent="0.3">
      <c r="C129" s="2">
        <v>100</v>
      </c>
      <c r="D129" s="2" t="s">
        <v>463</v>
      </c>
      <c r="E129" s="2" t="s">
        <v>775</v>
      </c>
      <c r="F129" s="101">
        <v>2000</v>
      </c>
    </row>
    <row r="130" spans="3:6" ht="14.4" customHeight="1" x14ac:dyDescent="0.3">
      <c r="C130" s="2">
        <v>100</v>
      </c>
      <c r="D130" s="2" t="s">
        <v>748</v>
      </c>
      <c r="E130" s="2" t="s">
        <v>769</v>
      </c>
      <c r="F130" s="101">
        <v>31824</v>
      </c>
    </row>
    <row r="131" spans="3:6" ht="14.4" customHeight="1" x14ac:dyDescent="0.3">
      <c r="C131" s="2">
        <v>100</v>
      </c>
      <c r="D131" s="2" t="s">
        <v>730</v>
      </c>
      <c r="E131" s="2" t="s">
        <v>770</v>
      </c>
      <c r="F131" s="101">
        <v>508</v>
      </c>
    </row>
    <row r="132" spans="3:6" ht="14.4" customHeight="1" x14ac:dyDescent="0.3">
      <c r="C132" s="2">
        <v>100</v>
      </c>
      <c r="D132" s="2" t="s">
        <v>736</v>
      </c>
      <c r="E132" s="2" t="s">
        <v>771</v>
      </c>
      <c r="F132" s="101">
        <v>73</v>
      </c>
    </row>
    <row r="133" spans="3:6" ht="14.4" customHeight="1" x14ac:dyDescent="0.3">
      <c r="C133" s="2">
        <v>100</v>
      </c>
      <c r="D133" s="2" t="s">
        <v>332</v>
      </c>
      <c r="E133" s="2" t="s">
        <v>774</v>
      </c>
      <c r="F133" s="101">
        <v>24564</v>
      </c>
    </row>
    <row r="134" spans="3:6" ht="14.4" customHeight="1" x14ac:dyDescent="0.3">
      <c r="C134" s="2">
        <v>100</v>
      </c>
      <c r="D134" s="2" t="s">
        <v>318</v>
      </c>
      <c r="E134" s="2" t="s">
        <v>770</v>
      </c>
      <c r="F134" s="101">
        <v>3195</v>
      </c>
    </row>
    <row r="135" spans="3:6" ht="14.4" customHeight="1" x14ac:dyDescent="0.3">
      <c r="C135" s="2">
        <v>100</v>
      </c>
      <c r="D135" s="2" t="s">
        <v>320</v>
      </c>
      <c r="E135" s="2" t="s">
        <v>769</v>
      </c>
      <c r="F135" s="101">
        <v>280294</v>
      </c>
    </row>
    <row r="136" spans="3:6" ht="14.4" customHeight="1" x14ac:dyDescent="0.3">
      <c r="C136" s="2">
        <v>100</v>
      </c>
      <c r="D136" s="2" t="s">
        <v>318</v>
      </c>
      <c r="E136" s="2" t="s">
        <v>771</v>
      </c>
      <c r="F136" s="101">
        <v>6797</v>
      </c>
    </row>
    <row r="137" spans="3:6" ht="14.4" customHeight="1" x14ac:dyDescent="0.3">
      <c r="C137" s="2">
        <v>100</v>
      </c>
      <c r="D137" s="2" t="s">
        <v>565</v>
      </c>
      <c r="E137" s="2" t="s">
        <v>770</v>
      </c>
      <c r="F137" s="101">
        <v>266</v>
      </c>
    </row>
    <row r="138" spans="3:6" ht="14.4" customHeight="1" x14ac:dyDescent="0.3">
      <c r="C138" s="2">
        <v>100</v>
      </c>
      <c r="D138" s="2" t="s">
        <v>751</v>
      </c>
      <c r="E138" s="2" t="s">
        <v>772</v>
      </c>
      <c r="F138" s="101">
        <v>346</v>
      </c>
    </row>
    <row r="139" spans="3:6" ht="14.4" customHeight="1" x14ac:dyDescent="0.3">
      <c r="C139" s="2">
        <v>100</v>
      </c>
      <c r="D139" s="2" t="s">
        <v>556</v>
      </c>
      <c r="E139" s="2" t="s">
        <v>773</v>
      </c>
      <c r="F139" s="101">
        <v>24</v>
      </c>
    </row>
    <row r="140" spans="3:6" ht="14.4" customHeight="1" x14ac:dyDescent="0.3">
      <c r="C140" s="2">
        <v>100</v>
      </c>
      <c r="D140" s="2" t="s">
        <v>497</v>
      </c>
      <c r="E140" s="2" t="s">
        <v>770</v>
      </c>
      <c r="F140" s="101">
        <v>211</v>
      </c>
    </row>
    <row r="141" spans="3:6" ht="14.4" customHeight="1" x14ac:dyDescent="0.3">
      <c r="C141" s="2">
        <v>100</v>
      </c>
      <c r="D141" s="2" t="s">
        <v>630</v>
      </c>
      <c r="E141" s="2" t="s">
        <v>774</v>
      </c>
      <c r="F141" s="101">
        <v>415</v>
      </c>
    </row>
    <row r="142" spans="3:6" ht="14.4" customHeight="1" x14ac:dyDescent="0.3">
      <c r="C142" s="2">
        <v>100</v>
      </c>
      <c r="D142" s="2" t="s">
        <v>658</v>
      </c>
      <c r="E142" s="2" t="s">
        <v>777</v>
      </c>
      <c r="F142" s="101">
        <v>1343</v>
      </c>
    </row>
    <row r="143" spans="3:6" ht="14.4" customHeight="1" x14ac:dyDescent="0.3">
      <c r="C143" s="2">
        <v>100</v>
      </c>
      <c r="D143" s="2" t="s">
        <v>501</v>
      </c>
      <c r="E143" s="2" t="s">
        <v>774</v>
      </c>
      <c r="F143" s="101">
        <v>16214</v>
      </c>
    </row>
    <row r="144" spans="3:6" ht="14.4" customHeight="1" x14ac:dyDescent="0.3">
      <c r="C144" s="2">
        <v>100</v>
      </c>
      <c r="D144" s="2" t="s">
        <v>377</v>
      </c>
      <c r="E144" s="2" t="s">
        <v>771</v>
      </c>
      <c r="F144" s="101">
        <v>64487</v>
      </c>
    </row>
    <row r="145" spans="3:6" ht="14.4" customHeight="1" x14ac:dyDescent="0.3">
      <c r="C145" s="2">
        <v>100</v>
      </c>
      <c r="D145" s="2" t="s">
        <v>560</v>
      </c>
      <c r="E145" s="2" t="s">
        <v>773</v>
      </c>
      <c r="F145" s="101">
        <v>9500</v>
      </c>
    </row>
    <row r="146" spans="3:6" ht="14.4" customHeight="1" x14ac:dyDescent="0.3">
      <c r="C146" s="2">
        <v>100</v>
      </c>
      <c r="D146" s="2" t="s">
        <v>593</v>
      </c>
      <c r="E146" s="2" t="s">
        <v>769</v>
      </c>
      <c r="F146" s="101">
        <v>17904</v>
      </c>
    </row>
    <row r="147" spans="3:6" ht="14.4" customHeight="1" x14ac:dyDescent="0.3">
      <c r="C147" s="2">
        <v>100</v>
      </c>
      <c r="D147" s="2" t="s">
        <v>303</v>
      </c>
      <c r="E147" s="2" t="s">
        <v>783</v>
      </c>
      <c r="F147" s="101">
        <v>454</v>
      </c>
    </row>
    <row r="148" spans="3:6" ht="14.4" customHeight="1" x14ac:dyDescent="0.3">
      <c r="C148" s="2">
        <v>100</v>
      </c>
      <c r="D148" s="2" t="s">
        <v>535</v>
      </c>
      <c r="E148" s="2" t="s">
        <v>771</v>
      </c>
      <c r="F148" s="101">
        <v>2118</v>
      </c>
    </row>
    <row r="149" spans="3:6" ht="14.4" customHeight="1" x14ac:dyDescent="0.3">
      <c r="C149" s="2">
        <v>100</v>
      </c>
      <c r="D149" s="2" t="s">
        <v>747</v>
      </c>
      <c r="E149" s="2" t="s">
        <v>774</v>
      </c>
      <c r="F149" s="101">
        <v>0</v>
      </c>
    </row>
    <row r="150" spans="3:6" ht="14.4" customHeight="1" x14ac:dyDescent="0.3">
      <c r="C150" s="2">
        <v>100</v>
      </c>
      <c r="D150" s="2" t="s">
        <v>325</v>
      </c>
      <c r="E150" s="2" t="s">
        <v>769</v>
      </c>
      <c r="F150" s="101">
        <v>35072</v>
      </c>
    </row>
    <row r="151" spans="3:6" ht="14.4" customHeight="1" x14ac:dyDescent="0.3">
      <c r="C151" s="2">
        <v>280</v>
      </c>
      <c r="D151" s="2" t="s">
        <v>263</v>
      </c>
      <c r="E151" s="2" t="s">
        <v>775</v>
      </c>
      <c r="F151" s="101">
        <v>97339</v>
      </c>
    </row>
    <row r="152" spans="3:6" ht="14.4" customHeight="1" x14ac:dyDescent="0.3">
      <c r="C152" s="2">
        <v>100</v>
      </c>
      <c r="D152" s="2" t="s">
        <v>455</v>
      </c>
      <c r="E152" s="2" t="s">
        <v>770</v>
      </c>
      <c r="F152" s="101">
        <v>1188</v>
      </c>
    </row>
    <row r="153" spans="3:6" ht="14.4" customHeight="1" x14ac:dyDescent="0.3">
      <c r="C153" s="2">
        <v>100</v>
      </c>
      <c r="D153" s="2" t="s">
        <v>302</v>
      </c>
      <c r="E153" s="2" t="s">
        <v>769</v>
      </c>
      <c r="F153" s="101">
        <v>366157</v>
      </c>
    </row>
    <row r="154" spans="3:6" ht="14.4" customHeight="1" x14ac:dyDescent="0.3">
      <c r="C154" s="2">
        <v>100</v>
      </c>
      <c r="D154" s="2" t="s">
        <v>252</v>
      </c>
      <c r="E154" s="2" t="s">
        <v>774</v>
      </c>
      <c r="F154" s="101">
        <v>602</v>
      </c>
    </row>
    <row r="155" spans="3:6" ht="14.4" customHeight="1" x14ac:dyDescent="0.3">
      <c r="C155" s="2">
        <v>100</v>
      </c>
      <c r="D155" s="2" t="s">
        <v>277</v>
      </c>
      <c r="E155" s="2" t="s">
        <v>775</v>
      </c>
      <c r="F155" s="101">
        <v>4497</v>
      </c>
    </row>
    <row r="156" spans="3:6" ht="14.4" customHeight="1" x14ac:dyDescent="0.3">
      <c r="C156" s="2">
        <v>100</v>
      </c>
      <c r="D156" s="2" t="s">
        <v>642</v>
      </c>
      <c r="E156" s="2" t="s">
        <v>774</v>
      </c>
      <c r="F156" s="101">
        <v>236</v>
      </c>
    </row>
    <row r="157" spans="3:6" ht="14.4" customHeight="1" x14ac:dyDescent="0.3">
      <c r="C157" s="2">
        <v>100</v>
      </c>
      <c r="D157" s="2" t="s">
        <v>331</v>
      </c>
      <c r="E157" s="2" t="s">
        <v>777</v>
      </c>
      <c r="F157" s="101">
        <v>105</v>
      </c>
    </row>
    <row r="158" spans="3:6" ht="14.4" customHeight="1" x14ac:dyDescent="0.3">
      <c r="C158" s="2">
        <v>100</v>
      </c>
      <c r="D158" s="2" t="s">
        <v>425</v>
      </c>
      <c r="E158" s="2" t="s">
        <v>769</v>
      </c>
      <c r="F158" s="101">
        <v>3464</v>
      </c>
    </row>
    <row r="159" spans="3:6" ht="14.4" customHeight="1" x14ac:dyDescent="0.3">
      <c r="C159" s="2">
        <v>100</v>
      </c>
      <c r="D159" s="2" t="s">
        <v>280</v>
      </c>
      <c r="E159" s="2" t="s">
        <v>773</v>
      </c>
      <c r="F159" s="101">
        <v>2011</v>
      </c>
    </row>
    <row r="160" spans="3:6" ht="14.4" customHeight="1" x14ac:dyDescent="0.3">
      <c r="C160" s="2">
        <v>100</v>
      </c>
      <c r="D160" s="2" t="s">
        <v>298</v>
      </c>
      <c r="E160" s="2" t="s">
        <v>775</v>
      </c>
      <c r="F160" s="101">
        <v>1997</v>
      </c>
    </row>
    <row r="161" spans="3:6" ht="14.4" customHeight="1" x14ac:dyDescent="0.3">
      <c r="C161" s="2">
        <v>100</v>
      </c>
      <c r="D161" s="2" t="s">
        <v>298</v>
      </c>
      <c r="E161" s="2" t="s">
        <v>773</v>
      </c>
      <c r="F161" s="101">
        <v>24</v>
      </c>
    </row>
    <row r="162" spans="3:6" ht="14.4" customHeight="1" x14ac:dyDescent="0.3">
      <c r="C162" s="2">
        <v>100</v>
      </c>
      <c r="D162" s="2" t="s">
        <v>527</v>
      </c>
      <c r="E162" s="2" t="s">
        <v>770</v>
      </c>
      <c r="F162" s="101">
        <v>1241</v>
      </c>
    </row>
    <row r="163" spans="3:6" ht="14.4" customHeight="1" x14ac:dyDescent="0.3">
      <c r="C163" s="2">
        <v>100</v>
      </c>
      <c r="D163" s="2" t="s">
        <v>339</v>
      </c>
      <c r="E163" s="2" t="s">
        <v>774</v>
      </c>
      <c r="F163" s="101">
        <v>16199</v>
      </c>
    </row>
    <row r="164" spans="3:6" ht="14.4" customHeight="1" x14ac:dyDescent="0.3">
      <c r="C164" s="2">
        <v>100</v>
      </c>
      <c r="D164" s="2" t="s">
        <v>399</v>
      </c>
      <c r="E164" s="2" t="s">
        <v>773</v>
      </c>
      <c r="F164" s="101">
        <v>1949</v>
      </c>
    </row>
    <row r="165" spans="3:6" ht="14.4" customHeight="1" x14ac:dyDescent="0.3">
      <c r="C165" s="2">
        <v>100</v>
      </c>
      <c r="D165" s="2" t="s">
        <v>795</v>
      </c>
      <c r="E165" s="2" t="s">
        <v>771</v>
      </c>
      <c r="F165" s="101">
        <v>42</v>
      </c>
    </row>
    <row r="166" spans="3:6" ht="14.4" customHeight="1" x14ac:dyDescent="0.3">
      <c r="C166" s="2">
        <v>100</v>
      </c>
      <c r="D166" s="2" t="s">
        <v>512</v>
      </c>
      <c r="E166" s="2" t="s">
        <v>775</v>
      </c>
      <c r="F166" s="101">
        <v>24328</v>
      </c>
    </row>
    <row r="167" spans="3:6" ht="14.4" customHeight="1" x14ac:dyDescent="0.3">
      <c r="C167" s="2">
        <v>100</v>
      </c>
      <c r="D167" s="2" t="s">
        <v>651</v>
      </c>
      <c r="E167" s="2" t="s">
        <v>775</v>
      </c>
      <c r="F167" s="101">
        <v>3</v>
      </c>
    </row>
    <row r="168" spans="3:6" ht="14.4" customHeight="1" x14ac:dyDescent="0.3">
      <c r="C168" s="2">
        <v>100</v>
      </c>
      <c r="D168" s="2" t="s">
        <v>586</v>
      </c>
      <c r="E168" s="2" t="s">
        <v>772</v>
      </c>
      <c r="F168" s="101">
        <v>350</v>
      </c>
    </row>
    <row r="169" spans="3:6" ht="14.4" customHeight="1" x14ac:dyDescent="0.3">
      <c r="C169" s="2">
        <v>100</v>
      </c>
      <c r="D169" s="2" t="s">
        <v>363</v>
      </c>
      <c r="E169" s="2" t="s">
        <v>777</v>
      </c>
      <c r="F169" s="101">
        <v>2200</v>
      </c>
    </row>
    <row r="170" spans="3:6" ht="14.4" customHeight="1" x14ac:dyDescent="0.3">
      <c r="C170" s="2">
        <v>100</v>
      </c>
      <c r="D170" s="2" t="s">
        <v>646</v>
      </c>
      <c r="E170" s="2" t="s">
        <v>772</v>
      </c>
      <c r="F170" s="101">
        <v>304</v>
      </c>
    </row>
    <row r="171" spans="3:6" ht="14.4" customHeight="1" x14ac:dyDescent="0.3">
      <c r="C171" s="2">
        <v>100</v>
      </c>
      <c r="D171" s="2" t="s">
        <v>426</v>
      </c>
      <c r="E171" s="2" t="s">
        <v>769</v>
      </c>
      <c r="F171" s="101">
        <v>11198</v>
      </c>
    </row>
    <row r="172" spans="3:6" ht="14.4" customHeight="1" x14ac:dyDescent="0.3">
      <c r="C172" s="2">
        <v>100</v>
      </c>
      <c r="D172" s="2" t="s">
        <v>335</v>
      </c>
      <c r="E172" s="2" t="s">
        <v>774</v>
      </c>
      <c r="F172" s="101">
        <v>-30</v>
      </c>
    </row>
    <row r="173" spans="3:6" ht="14.4" customHeight="1" x14ac:dyDescent="0.3">
      <c r="C173" s="2">
        <v>100</v>
      </c>
      <c r="D173" s="2" t="s">
        <v>285</v>
      </c>
      <c r="E173" s="2" t="s">
        <v>769</v>
      </c>
      <c r="F173" s="101">
        <v>279178</v>
      </c>
    </row>
    <row r="174" spans="3:6" ht="14.4" customHeight="1" x14ac:dyDescent="0.3">
      <c r="C174" s="2">
        <v>100</v>
      </c>
      <c r="D174" s="2" t="s">
        <v>357</v>
      </c>
      <c r="E174" s="2" t="s">
        <v>770</v>
      </c>
      <c r="F174" s="101">
        <v>68</v>
      </c>
    </row>
    <row r="175" spans="3:6" ht="14.4" customHeight="1" x14ac:dyDescent="0.3">
      <c r="C175" s="2">
        <v>100</v>
      </c>
      <c r="D175" s="2" t="s">
        <v>415</v>
      </c>
      <c r="E175" s="2" t="s">
        <v>773</v>
      </c>
      <c r="F175" s="101">
        <v>455</v>
      </c>
    </row>
    <row r="176" spans="3:6" ht="14.4" customHeight="1" x14ac:dyDescent="0.3">
      <c r="C176" s="2">
        <v>100</v>
      </c>
      <c r="D176" s="2" t="s">
        <v>506</v>
      </c>
      <c r="E176" s="2" t="s">
        <v>771</v>
      </c>
      <c r="F176" s="101">
        <v>3552</v>
      </c>
    </row>
    <row r="177" spans="3:6" ht="14.4" customHeight="1" x14ac:dyDescent="0.3">
      <c r="C177" s="2">
        <v>100</v>
      </c>
      <c r="D177" s="2" t="s">
        <v>382</v>
      </c>
      <c r="E177" s="2" t="s">
        <v>774</v>
      </c>
      <c r="F177" s="101">
        <v>99</v>
      </c>
    </row>
    <row r="178" spans="3:6" ht="14.4" customHeight="1" x14ac:dyDescent="0.3">
      <c r="C178" s="2">
        <v>100</v>
      </c>
      <c r="D178" s="2" t="s">
        <v>376</v>
      </c>
      <c r="E178" s="2" t="s">
        <v>786</v>
      </c>
      <c r="F178" s="101">
        <v>65038</v>
      </c>
    </row>
    <row r="179" spans="3:6" ht="14.4" customHeight="1" x14ac:dyDescent="0.3">
      <c r="C179" s="2">
        <v>100</v>
      </c>
      <c r="D179" s="2" t="s">
        <v>493</v>
      </c>
      <c r="E179" s="2" t="s">
        <v>771</v>
      </c>
      <c r="F179" s="101">
        <v>72679</v>
      </c>
    </row>
    <row r="180" spans="3:6" ht="14.4" customHeight="1" x14ac:dyDescent="0.3">
      <c r="C180" s="2">
        <v>100</v>
      </c>
      <c r="D180" s="2" t="s">
        <v>618</v>
      </c>
      <c r="E180" s="2" t="s">
        <v>769</v>
      </c>
      <c r="F180" s="101">
        <v>13218</v>
      </c>
    </row>
    <row r="181" spans="3:6" ht="14.4" customHeight="1" x14ac:dyDescent="0.3">
      <c r="C181" s="2">
        <v>100</v>
      </c>
      <c r="D181" s="2" t="s">
        <v>271</v>
      </c>
      <c r="E181" s="2" t="s">
        <v>770</v>
      </c>
      <c r="F181" s="101">
        <v>4140</v>
      </c>
    </row>
    <row r="182" spans="3:6" ht="14.4" customHeight="1" x14ac:dyDescent="0.3">
      <c r="C182" s="2">
        <v>100</v>
      </c>
      <c r="D182" s="2" t="s">
        <v>272</v>
      </c>
      <c r="E182" s="2" t="s">
        <v>774</v>
      </c>
      <c r="F182" s="101">
        <v>3298</v>
      </c>
    </row>
    <row r="183" spans="3:6" ht="14.4" customHeight="1" x14ac:dyDescent="0.3">
      <c r="C183" s="2">
        <v>100</v>
      </c>
      <c r="D183" s="2" t="s">
        <v>512</v>
      </c>
      <c r="E183" s="2" t="s">
        <v>771</v>
      </c>
      <c r="F183" s="101">
        <v>6801</v>
      </c>
    </row>
    <row r="184" spans="3:6" ht="14.4" customHeight="1" x14ac:dyDescent="0.3">
      <c r="C184" s="2">
        <v>100</v>
      </c>
      <c r="D184" s="2" t="s">
        <v>574</v>
      </c>
      <c r="E184" s="2" t="s">
        <v>775</v>
      </c>
      <c r="F184" s="101">
        <v>19</v>
      </c>
    </row>
    <row r="185" spans="3:6" ht="14.4" customHeight="1" x14ac:dyDescent="0.3">
      <c r="C185" s="2">
        <v>100</v>
      </c>
      <c r="D185" s="2" t="s">
        <v>462</v>
      </c>
      <c r="E185" s="2" t="s">
        <v>774</v>
      </c>
      <c r="F185" s="101">
        <v>2266</v>
      </c>
    </row>
    <row r="186" spans="3:6" ht="14.4" customHeight="1" x14ac:dyDescent="0.3">
      <c r="C186" s="2">
        <v>100</v>
      </c>
      <c r="D186" s="2" t="s">
        <v>552</v>
      </c>
      <c r="E186" s="2" t="s">
        <v>774</v>
      </c>
      <c r="F186" s="101">
        <v>3985</v>
      </c>
    </row>
    <row r="187" spans="3:6" ht="14.4" customHeight="1" x14ac:dyDescent="0.3">
      <c r="C187" s="2">
        <v>100</v>
      </c>
      <c r="D187" s="2" t="s">
        <v>731</v>
      </c>
      <c r="E187" s="2" t="s">
        <v>770</v>
      </c>
      <c r="F187" s="101">
        <v>9150</v>
      </c>
    </row>
    <row r="188" spans="3:6" ht="14.4" customHeight="1" x14ac:dyDescent="0.3">
      <c r="C188" s="2">
        <v>100</v>
      </c>
      <c r="D188" s="2" t="s">
        <v>599</v>
      </c>
      <c r="E188" s="2" t="s">
        <v>769</v>
      </c>
      <c r="F188" s="101">
        <v>50299</v>
      </c>
    </row>
    <row r="189" spans="3:6" ht="14.4" customHeight="1" x14ac:dyDescent="0.3">
      <c r="C189" s="2">
        <v>100</v>
      </c>
      <c r="D189" s="2" t="s">
        <v>440</v>
      </c>
      <c r="E189" s="2" t="s">
        <v>770</v>
      </c>
      <c r="F189" s="101">
        <v>195</v>
      </c>
    </row>
    <row r="190" spans="3:6" ht="14.4" customHeight="1" x14ac:dyDescent="0.3">
      <c r="C190" s="2">
        <v>100</v>
      </c>
      <c r="D190" s="2" t="s">
        <v>538</v>
      </c>
      <c r="E190" s="2" t="s">
        <v>771</v>
      </c>
      <c r="F190" s="101">
        <v>69</v>
      </c>
    </row>
    <row r="191" spans="3:6" ht="14.4" customHeight="1" x14ac:dyDescent="0.3">
      <c r="C191" s="2">
        <v>100</v>
      </c>
      <c r="D191" s="2" t="s">
        <v>592</v>
      </c>
      <c r="E191" s="2" t="s">
        <v>775</v>
      </c>
      <c r="F191" s="101">
        <v>1</v>
      </c>
    </row>
    <row r="192" spans="3:6" ht="14.4" customHeight="1" x14ac:dyDescent="0.3">
      <c r="C192" s="2">
        <v>100</v>
      </c>
      <c r="D192" s="2" t="s">
        <v>494</v>
      </c>
      <c r="E192" s="2" t="s">
        <v>775</v>
      </c>
      <c r="F192" s="101">
        <v>540</v>
      </c>
    </row>
    <row r="193" spans="3:6" ht="14.4" customHeight="1" x14ac:dyDescent="0.3">
      <c r="C193" s="2">
        <v>100</v>
      </c>
      <c r="D193" s="2" t="s">
        <v>204</v>
      </c>
      <c r="E193" s="2" t="s">
        <v>769</v>
      </c>
      <c r="F193" s="101">
        <v>143958</v>
      </c>
    </row>
    <row r="194" spans="3:6" ht="14.4" customHeight="1" x14ac:dyDescent="0.3">
      <c r="C194" s="2">
        <v>100</v>
      </c>
      <c r="D194" s="2" t="s">
        <v>592</v>
      </c>
      <c r="E194" s="2" t="s">
        <v>771</v>
      </c>
      <c r="F194" s="101">
        <v>1285</v>
      </c>
    </row>
    <row r="195" spans="3:6" ht="14.4" customHeight="1" x14ac:dyDescent="0.3">
      <c r="C195" s="2">
        <v>100</v>
      </c>
      <c r="D195" s="2" t="s">
        <v>544</v>
      </c>
      <c r="E195" s="2" t="s">
        <v>769</v>
      </c>
      <c r="F195" s="101">
        <v>349728</v>
      </c>
    </row>
    <row r="196" spans="3:6" ht="14.4" customHeight="1" x14ac:dyDescent="0.3">
      <c r="C196" s="2">
        <v>100</v>
      </c>
      <c r="D196" s="2" t="s">
        <v>501</v>
      </c>
      <c r="E196" s="2" t="s">
        <v>772</v>
      </c>
      <c r="F196" s="101">
        <v>387</v>
      </c>
    </row>
    <row r="197" spans="3:6" ht="14.4" customHeight="1" x14ac:dyDescent="0.3">
      <c r="C197" s="2">
        <v>100</v>
      </c>
      <c r="D197" s="2" t="s">
        <v>440</v>
      </c>
      <c r="E197" s="2" t="s">
        <v>773</v>
      </c>
      <c r="F197" s="101">
        <v>2268</v>
      </c>
    </row>
    <row r="198" spans="3:6" ht="14.4" customHeight="1" x14ac:dyDescent="0.3">
      <c r="C198" s="2">
        <v>100</v>
      </c>
      <c r="D198" s="2" t="s">
        <v>755</v>
      </c>
      <c r="E198" s="2" t="s">
        <v>769</v>
      </c>
      <c r="F198" s="101">
        <v>423</v>
      </c>
    </row>
    <row r="199" spans="3:6" ht="14.4" customHeight="1" x14ac:dyDescent="0.3">
      <c r="C199" s="2">
        <v>100</v>
      </c>
      <c r="D199" s="2" t="s">
        <v>405</v>
      </c>
      <c r="E199" s="2" t="s">
        <v>769</v>
      </c>
      <c r="F199" s="101">
        <v>79618</v>
      </c>
    </row>
    <row r="200" spans="3:6" ht="14.4" customHeight="1" x14ac:dyDescent="0.3">
      <c r="C200" s="2">
        <v>100</v>
      </c>
      <c r="D200" s="2" t="s">
        <v>553</v>
      </c>
      <c r="E200" s="2" t="s">
        <v>770</v>
      </c>
      <c r="F200" s="101">
        <v>3656</v>
      </c>
    </row>
    <row r="201" spans="3:6" ht="14.4" customHeight="1" x14ac:dyDescent="0.3">
      <c r="C201" s="2">
        <v>100</v>
      </c>
      <c r="D201" s="2" t="s">
        <v>259</v>
      </c>
      <c r="E201" s="2" t="s">
        <v>771</v>
      </c>
      <c r="F201" s="101">
        <v>64722</v>
      </c>
    </row>
    <row r="202" spans="3:6" ht="14.4" customHeight="1" x14ac:dyDescent="0.3">
      <c r="C202" s="2">
        <v>100</v>
      </c>
      <c r="D202" s="2" t="s">
        <v>488</v>
      </c>
      <c r="E202" s="2" t="s">
        <v>774</v>
      </c>
      <c r="F202" s="101">
        <v>1326</v>
      </c>
    </row>
    <row r="203" spans="3:6" ht="14.4" customHeight="1" x14ac:dyDescent="0.3">
      <c r="C203" s="2">
        <v>100</v>
      </c>
      <c r="D203" s="2" t="s">
        <v>721</v>
      </c>
      <c r="E203" s="2" t="s">
        <v>775</v>
      </c>
      <c r="F203" s="101">
        <v>33</v>
      </c>
    </row>
    <row r="204" spans="3:6" ht="14.4" customHeight="1" x14ac:dyDescent="0.3">
      <c r="C204" s="2">
        <v>100</v>
      </c>
      <c r="D204" s="2" t="s">
        <v>513</v>
      </c>
      <c r="E204" s="2" t="s">
        <v>770</v>
      </c>
      <c r="F204" s="101">
        <v>13042</v>
      </c>
    </row>
    <row r="205" spans="3:6" ht="14.4" customHeight="1" x14ac:dyDescent="0.3">
      <c r="C205" s="2">
        <v>100</v>
      </c>
      <c r="D205" s="2" t="s">
        <v>550</v>
      </c>
      <c r="E205" s="2" t="s">
        <v>773</v>
      </c>
      <c r="F205" s="101">
        <v>646</v>
      </c>
    </row>
    <row r="206" spans="3:6" ht="14.4" customHeight="1" x14ac:dyDescent="0.3">
      <c r="C206" s="2">
        <v>100</v>
      </c>
      <c r="D206" s="2" t="s">
        <v>588</v>
      </c>
      <c r="E206" s="2" t="s">
        <v>769</v>
      </c>
      <c r="F206" s="101">
        <v>3658</v>
      </c>
    </row>
    <row r="207" spans="3:6" ht="14.4" customHeight="1" x14ac:dyDescent="0.3">
      <c r="C207" s="2">
        <v>100</v>
      </c>
      <c r="D207" s="2" t="s">
        <v>509</v>
      </c>
      <c r="E207" s="2" t="s">
        <v>771</v>
      </c>
      <c r="F207" s="101">
        <v>11891</v>
      </c>
    </row>
    <row r="208" spans="3:6" ht="14.4" customHeight="1" x14ac:dyDescent="0.3">
      <c r="C208" s="2">
        <v>100</v>
      </c>
      <c r="D208" s="2" t="s">
        <v>575</v>
      </c>
      <c r="E208" s="2" t="s">
        <v>771</v>
      </c>
      <c r="F208" s="101">
        <v>69</v>
      </c>
    </row>
    <row r="209" spans="3:6" ht="14.4" customHeight="1" x14ac:dyDescent="0.3">
      <c r="C209" s="2">
        <v>100</v>
      </c>
      <c r="D209" s="2" t="s">
        <v>352</v>
      </c>
      <c r="E209" s="2" t="s">
        <v>771</v>
      </c>
      <c r="F209" s="101">
        <v>32603</v>
      </c>
    </row>
    <row r="210" spans="3:6" ht="14.4" customHeight="1" x14ac:dyDescent="0.3">
      <c r="C210" s="2">
        <v>100</v>
      </c>
      <c r="D210" s="2" t="s">
        <v>253</v>
      </c>
      <c r="E210" s="2" t="s">
        <v>769</v>
      </c>
      <c r="F210" s="101">
        <v>5758061</v>
      </c>
    </row>
    <row r="211" spans="3:6" ht="14.4" customHeight="1" x14ac:dyDescent="0.3">
      <c r="C211" s="2">
        <v>100</v>
      </c>
      <c r="D211" s="2" t="s">
        <v>647</v>
      </c>
      <c r="E211" s="2" t="s">
        <v>775</v>
      </c>
      <c r="F211" s="101">
        <v>30</v>
      </c>
    </row>
    <row r="212" spans="3:6" ht="14.4" customHeight="1" x14ac:dyDescent="0.3">
      <c r="C212" s="2">
        <v>100</v>
      </c>
      <c r="D212" s="2" t="s">
        <v>227</v>
      </c>
      <c r="E212" s="2" t="s">
        <v>773</v>
      </c>
      <c r="F212" s="101">
        <v>140</v>
      </c>
    </row>
    <row r="213" spans="3:6" ht="14.4" customHeight="1" x14ac:dyDescent="0.3">
      <c r="C213" s="2">
        <v>100</v>
      </c>
      <c r="D213" s="2" t="s">
        <v>365</v>
      </c>
      <c r="E213" s="2" t="s">
        <v>775</v>
      </c>
      <c r="F213" s="101">
        <v>18791</v>
      </c>
    </row>
    <row r="214" spans="3:6" ht="14.4" customHeight="1" x14ac:dyDescent="0.3">
      <c r="C214" s="2">
        <v>100</v>
      </c>
      <c r="D214" s="2" t="s">
        <v>206</v>
      </c>
      <c r="E214" s="2" t="s">
        <v>769</v>
      </c>
      <c r="F214" s="101">
        <v>170727</v>
      </c>
    </row>
    <row r="215" spans="3:6" ht="14.4" customHeight="1" x14ac:dyDescent="0.3">
      <c r="C215" s="2">
        <v>100</v>
      </c>
      <c r="D215" s="2" t="s">
        <v>631</v>
      </c>
      <c r="E215" s="2" t="s">
        <v>771</v>
      </c>
      <c r="F215" s="101">
        <v>6442</v>
      </c>
    </row>
    <row r="216" spans="3:6" ht="14.4" customHeight="1" x14ac:dyDescent="0.3">
      <c r="C216" s="2">
        <v>100</v>
      </c>
      <c r="D216" s="2" t="s">
        <v>240</v>
      </c>
      <c r="E216" s="2" t="s">
        <v>770</v>
      </c>
      <c r="F216" s="101">
        <v>34982</v>
      </c>
    </row>
    <row r="217" spans="3:6" ht="14.4" customHeight="1" x14ac:dyDescent="0.3">
      <c r="C217" s="2">
        <v>100</v>
      </c>
      <c r="D217" s="2" t="s">
        <v>423</v>
      </c>
      <c r="E217" s="2" t="s">
        <v>772</v>
      </c>
      <c r="F217" s="101">
        <v>5636</v>
      </c>
    </row>
    <row r="218" spans="3:6" ht="14.4" customHeight="1" x14ac:dyDescent="0.3">
      <c r="C218" s="2">
        <v>100</v>
      </c>
      <c r="D218" s="2" t="s">
        <v>329</v>
      </c>
      <c r="E218" s="2" t="s">
        <v>770</v>
      </c>
      <c r="F218" s="101">
        <v>44941</v>
      </c>
    </row>
    <row r="219" spans="3:6" ht="14.4" customHeight="1" x14ac:dyDescent="0.3">
      <c r="C219" s="2">
        <v>100</v>
      </c>
      <c r="D219" s="2" t="s">
        <v>427</v>
      </c>
      <c r="E219" s="2" t="s">
        <v>770</v>
      </c>
      <c r="F219" s="101">
        <v>2860</v>
      </c>
    </row>
    <row r="220" spans="3:6" ht="14.4" customHeight="1" x14ac:dyDescent="0.3">
      <c r="C220" s="2">
        <v>100</v>
      </c>
      <c r="D220" s="2" t="s">
        <v>252</v>
      </c>
      <c r="E220" s="2" t="s">
        <v>769</v>
      </c>
      <c r="F220" s="101">
        <v>220454</v>
      </c>
    </row>
    <row r="221" spans="3:6" ht="14.4" customHeight="1" x14ac:dyDescent="0.3">
      <c r="C221" s="2">
        <v>100</v>
      </c>
      <c r="D221" s="2" t="s">
        <v>511</v>
      </c>
      <c r="E221" s="2" t="s">
        <v>769</v>
      </c>
      <c r="F221" s="101">
        <v>87984</v>
      </c>
    </row>
    <row r="222" spans="3:6" ht="14.4" customHeight="1" x14ac:dyDescent="0.3">
      <c r="C222" s="2">
        <v>100</v>
      </c>
      <c r="D222" s="2" t="s">
        <v>219</v>
      </c>
      <c r="E222" s="2" t="s">
        <v>773</v>
      </c>
      <c r="F222" s="101">
        <v>11916</v>
      </c>
    </row>
    <row r="223" spans="3:6" ht="14.4" customHeight="1" x14ac:dyDescent="0.3">
      <c r="C223" s="2">
        <v>100</v>
      </c>
      <c r="D223" s="2" t="s">
        <v>211</v>
      </c>
      <c r="E223" s="2" t="s">
        <v>770</v>
      </c>
      <c r="F223" s="101">
        <v>20895</v>
      </c>
    </row>
    <row r="224" spans="3:6" ht="14.4" customHeight="1" x14ac:dyDescent="0.3">
      <c r="C224" s="2">
        <v>100</v>
      </c>
      <c r="D224" s="2" t="s">
        <v>465</v>
      </c>
      <c r="E224" s="2" t="s">
        <v>772</v>
      </c>
      <c r="F224" s="101">
        <v>3691</v>
      </c>
    </row>
    <row r="225" spans="3:6" ht="14.4" customHeight="1" x14ac:dyDescent="0.3">
      <c r="C225" s="2">
        <v>100</v>
      </c>
      <c r="D225" s="2" t="s">
        <v>635</v>
      </c>
      <c r="E225" s="2" t="s">
        <v>771</v>
      </c>
      <c r="F225" s="101">
        <v>142534</v>
      </c>
    </row>
    <row r="226" spans="3:6" ht="14.4" customHeight="1" x14ac:dyDescent="0.3">
      <c r="C226" s="2">
        <v>100</v>
      </c>
      <c r="D226" s="2" t="s">
        <v>511</v>
      </c>
      <c r="E226" s="2" t="s">
        <v>777</v>
      </c>
      <c r="F226" s="101">
        <v>46797</v>
      </c>
    </row>
    <row r="227" spans="3:6" ht="14.4" customHeight="1" x14ac:dyDescent="0.3">
      <c r="C227" s="2">
        <v>100</v>
      </c>
      <c r="D227" s="2" t="s">
        <v>323</v>
      </c>
      <c r="E227" s="2" t="s">
        <v>773</v>
      </c>
      <c r="F227" s="101">
        <v>335</v>
      </c>
    </row>
    <row r="228" spans="3:6" ht="14.4" customHeight="1" x14ac:dyDescent="0.3">
      <c r="C228" s="2">
        <v>100</v>
      </c>
      <c r="D228" s="2" t="s">
        <v>221</v>
      </c>
      <c r="E228" s="2" t="s">
        <v>769</v>
      </c>
      <c r="F228" s="101">
        <v>950303</v>
      </c>
    </row>
    <row r="229" spans="3:6" ht="14.4" customHeight="1" x14ac:dyDescent="0.3">
      <c r="C229" s="2">
        <v>100</v>
      </c>
      <c r="D229" s="2" t="s">
        <v>329</v>
      </c>
      <c r="E229" s="2" t="s">
        <v>775</v>
      </c>
      <c r="F229" s="101">
        <v>8271</v>
      </c>
    </row>
    <row r="230" spans="3:6" ht="14.4" customHeight="1" x14ac:dyDescent="0.3">
      <c r="C230" s="2">
        <v>100</v>
      </c>
      <c r="D230" s="2" t="s">
        <v>308</v>
      </c>
      <c r="E230" s="2" t="s">
        <v>771</v>
      </c>
      <c r="F230" s="101">
        <v>1206</v>
      </c>
    </row>
    <row r="231" spans="3:6" ht="14.4" customHeight="1" x14ac:dyDescent="0.3">
      <c r="C231" s="2">
        <v>100</v>
      </c>
      <c r="D231" s="2" t="s">
        <v>252</v>
      </c>
      <c r="E231" s="2" t="s">
        <v>777</v>
      </c>
      <c r="F231" s="101">
        <v>9546</v>
      </c>
    </row>
    <row r="232" spans="3:6" ht="14.4" customHeight="1" x14ac:dyDescent="0.3">
      <c r="C232" s="2">
        <v>100</v>
      </c>
      <c r="D232" s="2" t="s">
        <v>610</v>
      </c>
      <c r="E232" s="2" t="s">
        <v>773</v>
      </c>
      <c r="F232" s="101">
        <v>614</v>
      </c>
    </row>
    <row r="233" spans="3:6" ht="14.4" customHeight="1" x14ac:dyDescent="0.3">
      <c r="C233" s="2">
        <v>100</v>
      </c>
      <c r="D233" s="2" t="s">
        <v>259</v>
      </c>
      <c r="E233" s="2" t="s">
        <v>783</v>
      </c>
      <c r="F233" s="101">
        <v>77</v>
      </c>
    </row>
    <row r="234" spans="3:6" ht="14.4" customHeight="1" x14ac:dyDescent="0.3">
      <c r="C234" s="2">
        <v>100</v>
      </c>
      <c r="D234" s="2" t="s">
        <v>243</v>
      </c>
      <c r="E234" s="2" t="s">
        <v>771</v>
      </c>
      <c r="F234" s="101">
        <v>90803</v>
      </c>
    </row>
    <row r="235" spans="3:6" ht="14.4" customHeight="1" x14ac:dyDescent="0.3">
      <c r="C235" s="2">
        <v>100</v>
      </c>
      <c r="D235" s="2" t="s">
        <v>330</v>
      </c>
      <c r="E235" s="2" t="s">
        <v>771</v>
      </c>
      <c r="F235" s="101">
        <v>7523</v>
      </c>
    </row>
    <row r="236" spans="3:6" ht="14.4" customHeight="1" x14ac:dyDescent="0.3">
      <c r="C236" s="2">
        <v>100</v>
      </c>
      <c r="D236" s="2" t="s">
        <v>240</v>
      </c>
      <c r="E236" s="2" t="s">
        <v>775</v>
      </c>
      <c r="F236" s="101">
        <v>11</v>
      </c>
    </row>
    <row r="237" spans="3:6" ht="14.4" customHeight="1" x14ac:dyDescent="0.3">
      <c r="C237" s="2">
        <v>100</v>
      </c>
      <c r="D237" s="2" t="s">
        <v>502</v>
      </c>
      <c r="E237" s="2" t="s">
        <v>770</v>
      </c>
      <c r="F237" s="101">
        <v>1100</v>
      </c>
    </row>
    <row r="238" spans="3:6" ht="14.4" customHeight="1" x14ac:dyDescent="0.3">
      <c r="C238" s="2">
        <v>100</v>
      </c>
      <c r="D238" s="2" t="s">
        <v>706</v>
      </c>
      <c r="E238" s="2" t="s">
        <v>769</v>
      </c>
      <c r="F238" s="101">
        <v>4221</v>
      </c>
    </row>
    <row r="239" spans="3:6" ht="14.4" customHeight="1" x14ac:dyDescent="0.3">
      <c r="C239" s="2">
        <v>100</v>
      </c>
      <c r="D239" s="2" t="s">
        <v>624</v>
      </c>
      <c r="E239" s="2" t="s">
        <v>770</v>
      </c>
      <c r="F239" s="101">
        <v>686</v>
      </c>
    </row>
    <row r="240" spans="3:6" ht="14.4" customHeight="1" x14ac:dyDescent="0.3">
      <c r="C240" s="2">
        <v>100</v>
      </c>
      <c r="D240" s="2" t="s">
        <v>312</v>
      </c>
      <c r="E240" s="2" t="s">
        <v>775</v>
      </c>
      <c r="F240" s="101">
        <v>26364</v>
      </c>
    </row>
    <row r="241" spans="3:6" ht="14.4" customHeight="1" x14ac:dyDescent="0.3">
      <c r="C241" s="2">
        <v>100</v>
      </c>
      <c r="D241" s="2" t="s">
        <v>267</v>
      </c>
      <c r="E241" s="2" t="s">
        <v>773</v>
      </c>
      <c r="F241" s="101">
        <v>5654</v>
      </c>
    </row>
    <row r="242" spans="3:6" ht="14.4" customHeight="1" x14ac:dyDescent="0.3">
      <c r="C242" s="2">
        <v>100</v>
      </c>
      <c r="D242" s="2" t="s">
        <v>263</v>
      </c>
      <c r="E242" s="2" t="s">
        <v>770</v>
      </c>
      <c r="F242" s="101">
        <v>171394</v>
      </c>
    </row>
    <row r="243" spans="3:6" ht="14.4" customHeight="1" x14ac:dyDescent="0.3">
      <c r="C243" s="2">
        <v>100</v>
      </c>
      <c r="D243" s="2" t="s">
        <v>371</v>
      </c>
      <c r="E243" s="2" t="s">
        <v>775</v>
      </c>
      <c r="F243" s="101">
        <v>27</v>
      </c>
    </row>
    <row r="244" spans="3:6" ht="14.4" customHeight="1" x14ac:dyDescent="0.3">
      <c r="C244" s="2">
        <v>100</v>
      </c>
      <c r="D244" s="2" t="s">
        <v>695</v>
      </c>
      <c r="E244" s="2" t="s">
        <v>771</v>
      </c>
      <c r="F244" s="101">
        <v>566</v>
      </c>
    </row>
    <row r="245" spans="3:6" ht="14.4" customHeight="1" x14ac:dyDescent="0.3">
      <c r="C245" s="2">
        <v>100</v>
      </c>
      <c r="D245" s="2" t="s">
        <v>796</v>
      </c>
      <c r="E245" s="2" t="s">
        <v>771</v>
      </c>
      <c r="F245" s="101">
        <v>52</v>
      </c>
    </row>
    <row r="246" spans="3:6" ht="14.4" customHeight="1" x14ac:dyDescent="0.3">
      <c r="C246" s="2">
        <v>100</v>
      </c>
      <c r="D246" s="2" t="s">
        <v>503</v>
      </c>
      <c r="E246" s="2" t="s">
        <v>770</v>
      </c>
      <c r="F246" s="101">
        <v>457</v>
      </c>
    </row>
    <row r="247" spans="3:6" ht="14.4" customHeight="1" x14ac:dyDescent="0.3">
      <c r="C247" s="2">
        <v>100</v>
      </c>
      <c r="D247" s="2" t="s">
        <v>299</v>
      </c>
      <c r="E247" s="2" t="s">
        <v>773</v>
      </c>
      <c r="F247" s="101">
        <v>2852</v>
      </c>
    </row>
    <row r="248" spans="3:6" ht="14.4" customHeight="1" x14ac:dyDescent="0.3">
      <c r="C248" s="2">
        <v>100</v>
      </c>
      <c r="D248" s="2" t="s">
        <v>646</v>
      </c>
      <c r="E248" s="2" t="s">
        <v>769</v>
      </c>
      <c r="F248" s="101">
        <v>25898</v>
      </c>
    </row>
    <row r="249" spans="3:6" ht="14.4" customHeight="1" x14ac:dyDescent="0.3">
      <c r="C249" s="2">
        <v>100</v>
      </c>
      <c r="D249" s="2" t="s">
        <v>596</v>
      </c>
      <c r="E249" s="2" t="s">
        <v>769</v>
      </c>
      <c r="F249" s="101">
        <v>23685</v>
      </c>
    </row>
    <row r="250" spans="3:6" ht="14.4" customHeight="1" x14ac:dyDescent="0.3">
      <c r="C250" s="2">
        <v>100</v>
      </c>
      <c r="D250" s="2" t="s">
        <v>398</v>
      </c>
      <c r="E250" s="2" t="s">
        <v>769</v>
      </c>
      <c r="F250" s="101">
        <v>95788</v>
      </c>
    </row>
    <row r="251" spans="3:6" ht="14.4" customHeight="1" x14ac:dyDescent="0.3">
      <c r="C251" s="2">
        <v>100</v>
      </c>
      <c r="D251" s="2" t="s">
        <v>510</v>
      </c>
      <c r="E251" s="2" t="s">
        <v>773</v>
      </c>
      <c r="F251" s="101">
        <v>3591</v>
      </c>
    </row>
    <row r="252" spans="3:6" ht="14.4" customHeight="1" x14ac:dyDescent="0.3">
      <c r="C252" s="2">
        <v>100</v>
      </c>
      <c r="D252" s="2" t="s">
        <v>336</v>
      </c>
      <c r="E252" s="2" t="s">
        <v>774</v>
      </c>
      <c r="F252" s="101">
        <v>2865</v>
      </c>
    </row>
    <row r="253" spans="3:6" ht="14.4" customHeight="1" x14ac:dyDescent="0.3">
      <c r="C253" s="2">
        <v>100</v>
      </c>
      <c r="D253" s="2" t="s">
        <v>268</v>
      </c>
      <c r="E253" s="2" t="s">
        <v>774</v>
      </c>
      <c r="F253" s="101">
        <v>610</v>
      </c>
    </row>
    <row r="254" spans="3:6" ht="14.4" customHeight="1" x14ac:dyDescent="0.3">
      <c r="C254" s="2">
        <v>100</v>
      </c>
      <c r="D254" s="2" t="s">
        <v>326</v>
      </c>
      <c r="E254" s="2" t="s">
        <v>771</v>
      </c>
      <c r="F254" s="101">
        <v>6114</v>
      </c>
    </row>
    <row r="255" spans="3:6" ht="14.4" customHeight="1" x14ac:dyDescent="0.3">
      <c r="C255" s="2">
        <v>100</v>
      </c>
      <c r="D255" s="2" t="s">
        <v>47</v>
      </c>
      <c r="E255" s="2" t="s">
        <v>769</v>
      </c>
      <c r="F255" s="101">
        <v>531274</v>
      </c>
    </row>
    <row r="256" spans="3:6" ht="14.4" customHeight="1" x14ac:dyDescent="0.3">
      <c r="C256" s="2">
        <v>100</v>
      </c>
      <c r="D256" s="2" t="s">
        <v>585</v>
      </c>
      <c r="E256" s="2" t="s">
        <v>770</v>
      </c>
      <c r="F256" s="101">
        <v>13535</v>
      </c>
    </row>
    <row r="257" spans="3:6" ht="14.4" customHeight="1" x14ac:dyDescent="0.3">
      <c r="C257" s="2">
        <v>100</v>
      </c>
      <c r="D257" s="2" t="s">
        <v>498</v>
      </c>
      <c r="E257" s="2" t="s">
        <v>774</v>
      </c>
      <c r="F257" s="101">
        <v>-293</v>
      </c>
    </row>
    <row r="258" spans="3:6" ht="14.4" customHeight="1" x14ac:dyDescent="0.3">
      <c r="C258" s="2">
        <v>100</v>
      </c>
      <c r="D258" s="2" t="s">
        <v>385</v>
      </c>
      <c r="E258" s="2" t="s">
        <v>775</v>
      </c>
      <c r="F258" s="101">
        <v>783</v>
      </c>
    </row>
    <row r="259" spans="3:6" ht="14.4" customHeight="1" x14ac:dyDescent="0.3">
      <c r="C259" s="2">
        <v>100</v>
      </c>
      <c r="D259" s="2" t="s">
        <v>390</v>
      </c>
      <c r="E259" s="2" t="s">
        <v>769</v>
      </c>
      <c r="F259" s="101">
        <v>60613</v>
      </c>
    </row>
    <row r="260" spans="3:6" ht="14.4" customHeight="1" x14ac:dyDescent="0.3">
      <c r="C260" s="2">
        <v>100</v>
      </c>
      <c r="D260" s="2" t="s">
        <v>371</v>
      </c>
      <c r="E260" s="2" t="s">
        <v>771</v>
      </c>
      <c r="F260" s="101">
        <v>1146</v>
      </c>
    </row>
    <row r="261" spans="3:6" ht="14.4" customHeight="1" x14ac:dyDescent="0.3">
      <c r="C261" s="2">
        <v>100</v>
      </c>
      <c r="D261" s="2" t="s">
        <v>242</v>
      </c>
      <c r="E261" s="2" t="s">
        <v>773</v>
      </c>
      <c r="F261" s="101">
        <v>1442</v>
      </c>
    </row>
    <row r="262" spans="3:6" ht="14.4" customHeight="1" x14ac:dyDescent="0.3">
      <c r="C262" s="2">
        <v>100</v>
      </c>
      <c r="D262" s="2" t="s">
        <v>609</v>
      </c>
      <c r="E262" s="2" t="s">
        <v>770</v>
      </c>
      <c r="F262" s="101">
        <v>1887</v>
      </c>
    </row>
    <row r="263" spans="3:6" ht="14.4" customHeight="1" x14ac:dyDescent="0.3">
      <c r="C263" s="2">
        <v>100</v>
      </c>
      <c r="D263" s="2" t="s">
        <v>601</v>
      </c>
      <c r="E263" s="2" t="s">
        <v>777</v>
      </c>
      <c r="F263" s="101">
        <v>4361</v>
      </c>
    </row>
    <row r="264" spans="3:6" ht="14.4" customHeight="1" x14ac:dyDescent="0.3">
      <c r="C264" s="2">
        <v>100</v>
      </c>
      <c r="D264" s="2" t="s">
        <v>238</v>
      </c>
      <c r="E264" s="2" t="s">
        <v>769</v>
      </c>
      <c r="F264" s="101">
        <v>18251</v>
      </c>
    </row>
    <row r="265" spans="3:6" ht="14.4" customHeight="1" x14ac:dyDescent="0.3">
      <c r="C265" s="2">
        <v>100</v>
      </c>
      <c r="D265" s="2" t="s">
        <v>754</v>
      </c>
      <c r="E265" s="2" t="s">
        <v>769</v>
      </c>
      <c r="F265" s="101">
        <v>1041</v>
      </c>
    </row>
    <row r="266" spans="3:6" ht="14.4" customHeight="1" x14ac:dyDescent="0.3">
      <c r="C266" s="2">
        <v>100</v>
      </c>
      <c r="D266" s="2" t="s">
        <v>289</v>
      </c>
      <c r="E266" s="2" t="s">
        <v>771</v>
      </c>
      <c r="F266" s="101">
        <v>31545</v>
      </c>
    </row>
    <row r="267" spans="3:6" ht="14.4" customHeight="1" x14ac:dyDescent="0.3">
      <c r="C267" s="2">
        <v>100</v>
      </c>
      <c r="D267" s="2" t="s">
        <v>292</v>
      </c>
      <c r="E267" s="2" t="s">
        <v>769</v>
      </c>
      <c r="F267" s="101">
        <v>496886</v>
      </c>
    </row>
    <row r="268" spans="3:6" ht="14.4" customHeight="1" x14ac:dyDescent="0.3">
      <c r="C268" s="2">
        <v>100</v>
      </c>
      <c r="D268" s="2" t="s">
        <v>260</v>
      </c>
      <c r="E268" s="2" t="s">
        <v>769</v>
      </c>
      <c r="F268" s="101">
        <v>257298</v>
      </c>
    </row>
    <row r="269" spans="3:6" ht="14.4" customHeight="1" x14ac:dyDescent="0.3">
      <c r="C269" s="2">
        <v>100</v>
      </c>
      <c r="D269" s="2" t="s">
        <v>405</v>
      </c>
      <c r="E269" s="2" t="s">
        <v>774</v>
      </c>
      <c r="F269" s="101">
        <v>1954</v>
      </c>
    </row>
    <row r="270" spans="3:6" ht="14.4" customHeight="1" x14ac:dyDescent="0.3">
      <c r="C270" s="2">
        <v>100</v>
      </c>
      <c r="D270" s="2" t="s">
        <v>224</v>
      </c>
      <c r="E270" s="2" t="s">
        <v>777</v>
      </c>
      <c r="F270" s="101">
        <v>4167</v>
      </c>
    </row>
    <row r="271" spans="3:6" ht="14.4" customHeight="1" x14ac:dyDescent="0.3">
      <c r="C271" s="2">
        <v>100</v>
      </c>
      <c r="D271" s="2" t="s">
        <v>303</v>
      </c>
      <c r="E271" s="2" t="s">
        <v>771</v>
      </c>
      <c r="F271" s="101">
        <v>19037</v>
      </c>
    </row>
    <row r="272" spans="3:6" ht="14.4" customHeight="1" x14ac:dyDescent="0.3">
      <c r="C272" s="2">
        <v>100</v>
      </c>
      <c r="D272" s="2" t="s">
        <v>296</v>
      </c>
      <c r="E272" s="2" t="s">
        <v>774</v>
      </c>
      <c r="F272" s="101">
        <v>1462</v>
      </c>
    </row>
    <row r="273" spans="3:6" ht="14.4" customHeight="1" x14ac:dyDescent="0.3">
      <c r="C273" s="2">
        <v>100</v>
      </c>
      <c r="D273" s="2" t="s">
        <v>201</v>
      </c>
      <c r="E273" s="2" t="s">
        <v>775</v>
      </c>
      <c r="F273" s="101">
        <v>14337</v>
      </c>
    </row>
    <row r="274" spans="3:6" ht="14.4" customHeight="1" x14ac:dyDescent="0.3">
      <c r="C274" s="2">
        <v>100</v>
      </c>
      <c r="D274" s="2" t="s">
        <v>561</v>
      </c>
      <c r="E274" s="2" t="s">
        <v>771</v>
      </c>
      <c r="F274" s="101">
        <v>655</v>
      </c>
    </row>
    <row r="275" spans="3:6" ht="14.4" customHeight="1" x14ac:dyDescent="0.3">
      <c r="C275" s="2">
        <v>100</v>
      </c>
      <c r="D275" s="2" t="s">
        <v>381</v>
      </c>
      <c r="E275" s="2" t="s">
        <v>775</v>
      </c>
      <c r="F275" s="101">
        <v>2016</v>
      </c>
    </row>
    <row r="276" spans="3:6" ht="14.4" customHeight="1" x14ac:dyDescent="0.3">
      <c r="C276" s="2">
        <v>100</v>
      </c>
      <c r="D276" s="2" t="s">
        <v>636</v>
      </c>
      <c r="E276" s="2" t="s">
        <v>775</v>
      </c>
      <c r="F276" s="101">
        <v>108</v>
      </c>
    </row>
    <row r="277" spans="3:6" ht="14.4" customHeight="1" x14ac:dyDescent="0.3">
      <c r="C277" s="2">
        <v>100</v>
      </c>
      <c r="D277" s="2" t="s">
        <v>433</v>
      </c>
      <c r="E277" s="2" t="s">
        <v>769</v>
      </c>
      <c r="F277" s="101">
        <v>170117</v>
      </c>
    </row>
    <row r="278" spans="3:6" ht="14.4" customHeight="1" x14ac:dyDescent="0.3">
      <c r="C278" s="2">
        <v>100</v>
      </c>
      <c r="D278" s="2" t="s">
        <v>484</v>
      </c>
      <c r="E278" s="2" t="s">
        <v>770</v>
      </c>
      <c r="F278" s="101">
        <v>7075</v>
      </c>
    </row>
    <row r="279" spans="3:6" ht="14.4" customHeight="1" x14ac:dyDescent="0.3">
      <c r="C279" s="2">
        <v>100</v>
      </c>
      <c r="D279" s="2" t="s">
        <v>517</v>
      </c>
      <c r="E279" s="2" t="s">
        <v>771</v>
      </c>
      <c r="F279" s="101">
        <v>13085</v>
      </c>
    </row>
    <row r="280" spans="3:6" ht="14.4" customHeight="1" x14ac:dyDescent="0.3">
      <c r="C280" s="2">
        <v>100</v>
      </c>
      <c r="D280" s="2" t="s">
        <v>230</v>
      </c>
      <c r="E280" s="2" t="s">
        <v>770</v>
      </c>
      <c r="F280" s="101">
        <v>2220</v>
      </c>
    </row>
    <row r="281" spans="3:6" ht="14.4" customHeight="1" x14ac:dyDescent="0.3">
      <c r="C281" s="2">
        <v>100</v>
      </c>
      <c r="D281" s="2" t="s">
        <v>590</v>
      </c>
      <c r="E281" s="2" t="s">
        <v>769</v>
      </c>
      <c r="F281" s="101">
        <v>105307</v>
      </c>
    </row>
    <row r="282" spans="3:6" ht="14.4" customHeight="1" x14ac:dyDescent="0.3">
      <c r="C282" s="2">
        <v>100</v>
      </c>
      <c r="D282" s="2" t="s">
        <v>379</v>
      </c>
      <c r="E282" s="2" t="s">
        <v>769</v>
      </c>
      <c r="F282" s="101">
        <v>26721</v>
      </c>
    </row>
    <row r="283" spans="3:6" ht="14.4" customHeight="1" x14ac:dyDescent="0.3">
      <c r="C283" s="2">
        <v>100</v>
      </c>
      <c r="D283" s="2" t="s">
        <v>423</v>
      </c>
      <c r="E283" s="2" t="s">
        <v>774</v>
      </c>
      <c r="F283" s="101">
        <v>1474</v>
      </c>
    </row>
    <row r="284" spans="3:6" ht="14.4" customHeight="1" x14ac:dyDescent="0.3">
      <c r="C284" s="2">
        <v>100</v>
      </c>
      <c r="D284" s="2" t="s">
        <v>552</v>
      </c>
      <c r="E284" s="2" t="s">
        <v>769</v>
      </c>
      <c r="F284" s="101">
        <v>244951</v>
      </c>
    </row>
    <row r="285" spans="3:6" ht="14.4" customHeight="1" x14ac:dyDescent="0.3">
      <c r="C285" s="2">
        <v>100</v>
      </c>
      <c r="D285" s="2" t="s">
        <v>437</v>
      </c>
      <c r="E285" s="2" t="s">
        <v>770</v>
      </c>
      <c r="F285" s="101">
        <v>7897</v>
      </c>
    </row>
    <row r="286" spans="3:6" ht="14.4" customHeight="1" x14ac:dyDescent="0.3">
      <c r="C286" s="2">
        <v>100</v>
      </c>
      <c r="D286" s="2" t="s">
        <v>461</v>
      </c>
      <c r="E286" s="2" t="s">
        <v>771</v>
      </c>
      <c r="F286" s="101">
        <v>1970</v>
      </c>
    </row>
    <row r="287" spans="3:6" ht="14.4" customHeight="1" x14ac:dyDescent="0.3">
      <c r="C287" s="2">
        <v>100</v>
      </c>
      <c r="D287" s="2" t="s">
        <v>554</v>
      </c>
      <c r="E287" s="2" t="s">
        <v>769</v>
      </c>
      <c r="F287" s="101">
        <v>113555</v>
      </c>
    </row>
    <row r="288" spans="3:6" ht="14.4" customHeight="1" x14ac:dyDescent="0.3">
      <c r="C288" s="2">
        <v>100</v>
      </c>
      <c r="D288" s="2" t="s">
        <v>449</v>
      </c>
      <c r="E288" s="2" t="s">
        <v>770</v>
      </c>
      <c r="F288" s="101">
        <v>8883</v>
      </c>
    </row>
    <row r="289" spans="3:6" ht="14.4" customHeight="1" x14ac:dyDescent="0.3">
      <c r="C289" s="2">
        <v>100</v>
      </c>
      <c r="D289" s="2" t="s">
        <v>363</v>
      </c>
      <c r="E289" s="2" t="s">
        <v>774</v>
      </c>
      <c r="F289" s="101">
        <v>11549</v>
      </c>
    </row>
    <row r="290" spans="3:6" ht="14.4" customHeight="1" x14ac:dyDescent="0.3">
      <c r="C290" s="2">
        <v>100</v>
      </c>
      <c r="D290" s="2" t="s">
        <v>696</v>
      </c>
      <c r="E290" s="2" t="s">
        <v>774</v>
      </c>
      <c r="F290" s="101">
        <v>8125</v>
      </c>
    </row>
    <row r="291" spans="3:6" ht="14.4" customHeight="1" x14ac:dyDescent="0.3">
      <c r="C291" s="2">
        <v>100</v>
      </c>
      <c r="D291" s="2" t="s">
        <v>422</v>
      </c>
      <c r="E291" s="2" t="s">
        <v>775</v>
      </c>
      <c r="F291" s="101">
        <v>81</v>
      </c>
    </row>
    <row r="292" spans="3:6" ht="14.4" customHeight="1" x14ac:dyDescent="0.3">
      <c r="C292" s="2">
        <v>100</v>
      </c>
      <c r="D292" s="2" t="s">
        <v>641</v>
      </c>
      <c r="E292" s="2" t="s">
        <v>769</v>
      </c>
      <c r="F292" s="101">
        <v>2969</v>
      </c>
    </row>
    <row r="293" spans="3:6" ht="14.4" customHeight="1" x14ac:dyDescent="0.3">
      <c r="C293" s="2">
        <v>100</v>
      </c>
      <c r="D293" s="2" t="s">
        <v>413</v>
      </c>
      <c r="E293" s="2" t="s">
        <v>769</v>
      </c>
      <c r="F293" s="101">
        <v>4827</v>
      </c>
    </row>
    <row r="294" spans="3:6" ht="14.4" customHeight="1" x14ac:dyDescent="0.3">
      <c r="C294" s="2">
        <v>100</v>
      </c>
      <c r="D294" s="2" t="s">
        <v>522</v>
      </c>
      <c r="E294" s="2" t="s">
        <v>772</v>
      </c>
      <c r="F294" s="101">
        <v>405</v>
      </c>
    </row>
    <row r="295" spans="3:6" ht="14.4" customHeight="1" x14ac:dyDescent="0.3">
      <c r="C295" s="2">
        <v>100</v>
      </c>
      <c r="D295" s="2" t="s">
        <v>557</v>
      </c>
      <c r="E295" s="2" t="s">
        <v>773</v>
      </c>
      <c r="F295" s="101">
        <v>3194</v>
      </c>
    </row>
    <row r="296" spans="3:6" ht="14.4" customHeight="1" x14ac:dyDescent="0.3">
      <c r="C296" s="2">
        <v>100</v>
      </c>
      <c r="D296" s="2" t="s">
        <v>568</v>
      </c>
      <c r="E296" s="2" t="s">
        <v>770</v>
      </c>
      <c r="F296" s="101">
        <v>3590</v>
      </c>
    </row>
    <row r="297" spans="3:6" ht="14.4" customHeight="1" x14ac:dyDescent="0.3">
      <c r="C297" s="2">
        <v>100</v>
      </c>
      <c r="D297" s="2" t="s">
        <v>568</v>
      </c>
      <c r="E297" s="2" t="s">
        <v>773</v>
      </c>
      <c r="F297" s="101">
        <v>3446</v>
      </c>
    </row>
    <row r="298" spans="3:6" ht="14.4" customHeight="1" x14ac:dyDescent="0.3">
      <c r="C298" s="2">
        <v>100</v>
      </c>
      <c r="D298" s="2" t="s">
        <v>648</v>
      </c>
      <c r="E298" s="2" t="s">
        <v>771</v>
      </c>
      <c r="F298" s="101">
        <v>5994</v>
      </c>
    </row>
    <row r="299" spans="3:6" ht="14.4" customHeight="1" x14ac:dyDescent="0.3">
      <c r="C299" s="2">
        <v>100</v>
      </c>
      <c r="D299" s="2" t="s">
        <v>701</v>
      </c>
      <c r="E299" s="2" t="s">
        <v>773</v>
      </c>
      <c r="F299" s="101">
        <v>107</v>
      </c>
    </row>
    <row r="300" spans="3:6" ht="14.4" customHeight="1" x14ac:dyDescent="0.3">
      <c r="C300" s="2">
        <v>100</v>
      </c>
      <c r="D300" s="2" t="s">
        <v>480</v>
      </c>
      <c r="E300" s="2" t="s">
        <v>770</v>
      </c>
      <c r="F300" s="101">
        <v>607</v>
      </c>
    </row>
    <row r="301" spans="3:6" ht="14.4" customHeight="1" x14ac:dyDescent="0.3">
      <c r="C301" s="2">
        <v>100</v>
      </c>
      <c r="D301" s="2" t="s">
        <v>718</v>
      </c>
      <c r="E301" s="2" t="s">
        <v>769</v>
      </c>
      <c r="F301" s="101">
        <v>399049</v>
      </c>
    </row>
    <row r="302" spans="3:6" ht="14.4" customHeight="1" x14ac:dyDescent="0.3">
      <c r="C302" s="2">
        <v>100</v>
      </c>
      <c r="D302" s="2" t="s">
        <v>249</v>
      </c>
      <c r="E302" s="2" t="s">
        <v>773</v>
      </c>
      <c r="F302" s="101">
        <v>140</v>
      </c>
    </row>
    <row r="303" spans="3:6" ht="14.4" customHeight="1" x14ac:dyDescent="0.3">
      <c r="C303" s="2">
        <v>100</v>
      </c>
      <c r="D303" s="2" t="s">
        <v>393</v>
      </c>
      <c r="E303" s="2" t="s">
        <v>771</v>
      </c>
      <c r="F303" s="101">
        <v>4074</v>
      </c>
    </row>
    <row r="304" spans="3:6" ht="14.4" customHeight="1" x14ac:dyDescent="0.3">
      <c r="C304" s="2">
        <v>100</v>
      </c>
      <c r="D304" s="2" t="s">
        <v>562</v>
      </c>
      <c r="E304" s="2" t="s">
        <v>773</v>
      </c>
      <c r="F304" s="101">
        <v>3024</v>
      </c>
    </row>
    <row r="305" spans="3:6" ht="14.4" customHeight="1" x14ac:dyDescent="0.3">
      <c r="C305" s="2">
        <v>100</v>
      </c>
      <c r="D305" s="2" t="s">
        <v>210</v>
      </c>
      <c r="E305" s="2" t="s">
        <v>769</v>
      </c>
      <c r="F305" s="101">
        <v>64116</v>
      </c>
    </row>
    <row r="306" spans="3:6" ht="14.4" customHeight="1" x14ac:dyDescent="0.3">
      <c r="C306" s="2">
        <v>100</v>
      </c>
      <c r="D306" s="2" t="s">
        <v>613</v>
      </c>
      <c r="E306" s="2" t="s">
        <v>771</v>
      </c>
      <c r="F306" s="101">
        <v>2570</v>
      </c>
    </row>
    <row r="307" spans="3:6" ht="14.4" customHeight="1" x14ac:dyDescent="0.3">
      <c r="C307" s="2">
        <v>100</v>
      </c>
      <c r="D307" s="2" t="s">
        <v>449</v>
      </c>
      <c r="E307" s="2" t="s">
        <v>773</v>
      </c>
      <c r="F307" s="101">
        <v>5653</v>
      </c>
    </row>
    <row r="308" spans="3:6" ht="14.4" customHeight="1" x14ac:dyDescent="0.3">
      <c r="C308" s="2">
        <v>100</v>
      </c>
      <c r="D308" s="2" t="s">
        <v>304</v>
      </c>
      <c r="E308" s="2" t="s">
        <v>769</v>
      </c>
      <c r="F308" s="101">
        <v>320218</v>
      </c>
    </row>
    <row r="309" spans="3:6" ht="14.4" customHeight="1" x14ac:dyDescent="0.3">
      <c r="C309" s="2">
        <v>100</v>
      </c>
      <c r="D309" s="2" t="s">
        <v>400</v>
      </c>
      <c r="E309" s="2" t="s">
        <v>770</v>
      </c>
      <c r="F309" s="101">
        <v>2032</v>
      </c>
    </row>
    <row r="310" spans="3:6" ht="14.4" customHeight="1" x14ac:dyDescent="0.3">
      <c r="C310" s="2">
        <v>100</v>
      </c>
      <c r="D310" s="2" t="s">
        <v>473</v>
      </c>
      <c r="E310" s="2" t="s">
        <v>769</v>
      </c>
      <c r="F310" s="101">
        <v>300884</v>
      </c>
    </row>
    <row r="311" spans="3:6" ht="14.4" customHeight="1" x14ac:dyDescent="0.3">
      <c r="C311" s="2">
        <v>100</v>
      </c>
      <c r="D311" s="2" t="s">
        <v>401</v>
      </c>
      <c r="E311" s="2" t="s">
        <v>770</v>
      </c>
      <c r="F311" s="101">
        <v>4492</v>
      </c>
    </row>
    <row r="312" spans="3:6" ht="14.4" customHeight="1" x14ac:dyDescent="0.3">
      <c r="C312" s="2">
        <v>100</v>
      </c>
      <c r="D312" s="2" t="s">
        <v>437</v>
      </c>
      <c r="E312" s="2" t="s">
        <v>769</v>
      </c>
      <c r="F312" s="101">
        <v>89182</v>
      </c>
    </row>
    <row r="313" spans="3:6" ht="14.4" customHeight="1" x14ac:dyDescent="0.3">
      <c r="C313" s="2">
        <v>100</v>
      </c>
      <c r="D313" s="2" t="s">
        <v>731</v>
      </c>
      <c r="E313" s="2" t="s">
        <v>774</v>
      </c>
      <c r="F313" s="101">
        <v>0</v>
      </c>
    </row>
    <row r="314" spans="3:6" ht="14.4" customHeight="1" x14ac:dyDescent="0.3">
      <c r="C314" s="2">
        <v>100</v>
      </c>
      <c r="D314" s="2" t="s">
        <v>733</v>
      </c>
      <c r="E314" s="2" t="s">
        <v>775</v>
      </c>
      <c r="F314" s="101">
        <v>1698</v>
      </c>
    </row>
    <row r="315" spans="3:6" ht="14.4" customHeight="1" x14ac:dyDescent="0.3">
      <c r="C315" s="2">
        <v>100</v>
      </c>
      <c r="D315" s="2" t="s">
        <v>545</v>
      </c>
      <c r="E315" s="2" t="s">
        <v>773</v>
      </c>
      <c r="F315" s="101">
        <v>1902</v>
      </c>
    </row>
    <row r="316" spans="3:6" ht="14.4" customHeight="1" x14ac:dyDescent="0.3">
      <c r="C316" s="2">
        <v>100</v>
      </c>
      <c r="D316" s="2" t="s">
        <v>556</v>
      </c>
      <c r="E316" s="2" t="s">
        <v>772</v>
      </c>
      <c r="F316" s="101">
        <v>463</v>
      </c>
    </row>
    <row r="317" spans="3:6" ht="14.4" customHeight="1" x14ac:dyDescent="0.3">
      <c r="C317" s="2">
        <v>100</v>
      </c>
      <c r="D317" s="2" t="s">
        <v>515</v>
      </c>
      <c r="E317" s="2" t="s">
        <v>775</v>
      </c>
      <c r="F317" s="101">
        <v>3</v>
      </c>
    </row>
    <row r="318" spans="3:6" ht="14.4" customHeight="1" x14ac:dyDescent="0.3">
      <c r="C318" s="2">
        <v>100</v>
      </c>
      <c r="D318" s="2" t="s">
        <v>354</v>
      </c>
      <c r="E318" s="2" t="s">
        <v>772</v>
      </c>
      <c r="F318" s="101">
        <v>96</v>
      </c>
    </row>
    <row r="319" spans="3:6" ht="14.4" customHeight="1" x14ac:dyDescent="0.3">
      <c r="C319" s="2">
        <v>100</v>
      </c>
      <c r="D319" s="2" t="s">
        <v>662</v>
      </c>
      <c r="E319" s="2" t="s">
        <v>775</v>
      </c>
      <c r="F319" s="101">
        <v>773</v>
      </c>
    </row>
    <row r="320" spans="3:6" ht="14.4" customHeight="1" x14ac:dyDescent="0.3">
      <c r="C320" s="2">
        <v>100</v>
      </c>
      <c r="D320" s="2" t="s">
        <v>516</v>
      </c>
      <c r="E320" s="2" t="s">
        <v>773</v>
      </c>
      <c r="F320" s="101">
        <v>202</v>
      </c>
    </row>
    <row r="321" spans="3:6" ht="14.4" customHeight="1" x14ac:dyDescent="0.3">
      <c r="C321" s="2">
        <v>100</v>
      </c>
      <c r="D321" s="2" t="s">
        <v>515</v>
      </c>
      <c r="E321" s="2" t="s">
        <v>773</v>
      </c>
      <c r="F321" s="101">
        <v>798</v>
      </c>
    </row>
    <row r="322" spans="3:6" ht="14.4" customHeight="1" x14ac:dyDescent="0.3">
      <c r="C322" s="2">
        <v>100</v>
      </c>
      <c r="D322" s="2" t="s">
        <v>689</v>
      </c>
      <c r="E322" s="2" t="s">
        <v>769</v>
      </c>
      <c r="F322" s="101">
        <v>13276</v>
      </c>
    </row>
    <row r="323" spans="3:6" ht="14.4" customHeight="1" x14ac:dyDescent="0.3">
      <c r="C323" s="2">
        <v>100</v>
      </c>
      <c r="D323" s="2" t="s">
        <v>545</v>
      </c>
      <c r="E323" s="2" t="s">
        <v>771</v>
      </c>
      <c r="F323" s="101">
        <v>5621</v>
      </c>
    </row>
    <row r="324" spans="3:6" ht="14.4" customHeight="1" x14ac:dyDescent="0.3">
      <c r="C324" s="2">
        <v>100</v>
      </c>
      <c r="D324" s="2" t="s">
        <v>458</v>
      </c>
      <c r="E324" s="2" t="s">
        <v>769</v>
      </c>
      <c r="F324" s="101">
        <v>394618</v>
      </c>
    </row>
    <row r="325" spans="3:6" ht="14.4" customHeight="1" x14ac:dyDescent="0.3">
      <c r="C325" s="2">
        <v>100</v>
      </c>
      <c r="D325" s="2" t="s">
        <v>224</v>
      </c>
      <c r="E325" s="2" t="s">
        <v>773</v>
      </c>
      <c r="F325" s="101">
        <v>17013</v>
      </c>
    </row>
    <row r="326" spans="3:6" ht="14.4" customHeight="1" x14ac:dyDescent="0.3">
      <c r="C326" s="2">
        <v>100</v>
      </c>
      <c r="D326" s="2" t="s">
        <v>202</v>
      </c>
      <c r="E326" s="2" t="s">
        <v>770</v>
      </c>
      <c r="F326" s="101">
        <v>1648</v>
      </c>
    </row>
    <row r="327" spans="3:6" ht="14.4" customHeight="1" x14ac:dyDescent="0.3">
      <c r="C327" s="2">
        <v>100</v>
      </c>
      <c r="D327" s="2" t="s">
        <v>237</v>
      </c>
      <c r="E327" s="2" t="s">
        <v>775</v>
      </c>
      <c r="F327" s="101">
        <v>1847</v>
      </c>
    </row>
    <row r="328" spans="3:6" ht="14.4" customHeight="1" x14ac:dyDescent="0.3">
      <c r="C328" s="2">
        <v>100</v>
      </c>
      <c r="D328" s="2" t="s">
        <v>601</v>
      </c>
      <c r="E328" s="2" t="s">
        <v>773</v>
      </c>
      <c r="F328" s="101">
        <v>0</v>
      </c>
    </row>
    <row r="329" spans="3:6" ht="14.4" customHeight="1" x14ac:dyDescent="0.3">
      <c r="C329" s="2">
        <v>100</v>
      </c>
      <c r="D329" s="2" t="s">
        <v>574</v>
      </c>
      <c r="E329" s="2" t="s">
        <v>774</v>
      </c>
      <c r="F329" s="101">
        <v>1312</v>
      </c>
    </row>
    <row r="330" spans="3:6" ht="14.4" customHeight="1" x14ac:dyDescent="0.3">
      <c r="C330" s="2">
        <v>100</v>
      </c>
      <c r="D330" s="2" t="s">
        <v>436</v>
      </c>
      <c r="E330" s="2" t="s">
        <v>771</v>
      </c>
      <c r="F330" s="101">
        <v>453</v>
      </c>
    </row>
    <row r="331" spans="3:6" ht="14.4" customHeight="1" x14ac:dyDescent="0.3">
      <c r="C331" s="2">
        <v>100</v>
      </c>
      <c r="D331" s="2" t="s">
        <v>464</v>
      </c>
      <c r="E331" s="2" t="s">
        <v>777</v>
      </c>
      <c r="F331" s="101">
        <v>1013</v>
      </c>
    </row>
    <row r="332" spans="3:6" ht="14.4" customHeight="1" x14ac:dyDescent="0.3">
      <c r="C332" s="2">
        <v>100</v>
      </c>
      <c r="D332" s="2" t="s">
        <v>401</v>
      </c>
      <c r="E332" s="2" t="s">
        <v>773</v>
      </c>
      <c r="F332" s="101">
        <v>4557</v>
      </c>
    </row>
    <row r="333" spans="3:6" ht="14.4" customHeight="1" x14ac:dyDescent="0.3">
      <c r="C333" s="2">
        <v>100</v>
      </c>
      <c r="D333" s="2" t="s">
        <v>289</v>
      </c>
      <c r="E333" s="2" t="s">
        <v>769</v>
      </c>
      <c r="F333" s="101">
        <v>223872</v>
      </c>
    </row>
    <row r="334" spans="3:6" ht="14.4" customHeight="1" x14ac:dyDescent="0.3">
      <c r="C334" s="2">
        <v>100</v>
      </c>
      <c r="D334" s="2" t="s">
        <v>625</v>
      </c>
      <c r="E334" s="2" t="s">
        <v>773</v>
      </c>
      <c r="F334" s="101">
        <v>887</v>
      </c>
    </row>
    <row r="335" spans="3:6" ht="14.4" customHeight="1" x14ac:dyDescent="0.3">
      <c r="C335" s="2">
        <v>100</v>
      </c>
      <c r="D335" s="2" t="s">
        <v>430</v>
      </c>
      <c r="E335" s="2" t="s">
        <v>769</v>
      </c>
      <c r="F335" s="101">
        <v>569954</v>
      </c>
    </row>
    <row r="336" spans="3:6" ht="14.4" customHeight="1" x14ac:dyDescent="0.3">
      <c r="C336" s="2">
        <v>100</v>
      </c>
      <c r="D336" s="2" t="s">
        <v>527</v>
      </c>
      <c r="E336" s="2" t="s">
        <v>774</v>
      </c>
      <c r="F336" s="101">
        <v>107</v>
      </c>
    </row>
    <row r="337" spans="3:6" ht="14.4" customHeight="1" x14ac:dyDescent="0.3">
      <c r="C337" s="2">
        <v>100</v>
      </c>
      <c r="D337" s="2" t="s">
        <v>210</v>
      </c>
      <c r="E337" s="2" t="s">
        <v>771</v>
      </c>
      <c r="F337" s="101">
        <v>8906</v>
      </c>
    </row>
    <row r="338" spans="3:6" ht="14.4" customHeight="1" x14ac:dyDescent="0.3">
      <c r="C338" s="2">
        <v>100</v>
      </c>
      <c r="D338" s="2" t="s">
        <v>272</v>
      </c>
      <c r="E338" s="2" t="s">
        <v>773</v>
      </c>
      <c r="F338" s="101">
        <v>5955</v>
      </c>
    </row>
    <row r="339" spans="3:6" ht="14.4" customHeight="1" x14ac:dyDescent="0.3">
      <c r="C339" s="2">
        <v>100</v>
      </c>
      <c r="D339" s="2" t="s">
        <v>210</v>
      </c>
      <c r="E339" s="2" t="s">
        <v>770</v>
      </c>
      <c r="F339" s="101">
        <v>9168</v>
      </c>
    </row>
    <row r="340" spans="3:6" ht="14.4" customHeight="1" x14ac:dyDescent="0.3">
      <c r="C340" s="2">
        <v>100</v>
      </c>
      <c r="D340" s="2" t="s">
        <v>203</v>
      </c>
      <c r="E340" s="2" t="s">
        <v>769</v>
      </c>
      <c r="F340" s="101">
        <v>101060</v>
      </c>
    </row>
    <row r="341" spans="3:6" ht="14.4" customHeight="1" x14ac:dyDescent="0.3">
      <c r="C341" s="2">
        <v>100</v>
      </c>
      <c r="D341" s="2" t="s">
        <v>304</v>
      </c>
      <c r="E341" s="2" t="s">
        <v>771</v>
      </c>
      <c r="F341" s="101">
        <v>41798</v>
      </c>
    </row>
    <row r="342" spans="3:6" ht="14.4" customHeight="1" x14ac:dyDescent="0.3">
      <c r="C342" s="2">
        <v>100</v>
      </c>
      <c r="D342" s="2" t="s">
        <v>670</v>
      </c>
      <c r="E342" s="2" t="s">
        <v>775</v>
      </c>
      <c r="F342" s="101">
        <v>523</v>
      </c>
    </row>
    <row r="343" spans="3:6" ht="14.4" customHeight="1" x14ac:dyDescent="0.3">
      <c r="C343" s="2">
        <v>100</v>
      </c>
      <c r="D343" s="2" t="s">
        <v>613</v>
      </c>
      <c r="E343" s="2" t="s">
        <v>769</v>
      </c>
      <c r="F343" s="101">
        <v>32245</v>
      </c>
    </row>
    <row r="344" spans="3:6" ht="14.4" customHeight="1" x14ac:dyDescent="0.3">
      <c r="C344" s="2">
        <v>100</v>
      </c>
      <c r="D344" s="2" t="s">
        <v>656</v>
      </c>
      <c r="E344" s="2" t="s">
        <v>773</v>
      </c>
      <c r="F344" s="101">
        <v>1050</v>
      </c>
    </row>
    <row r="345" spans="3:6" ht="14.4" customHeight="1" x14ac:dyDescent="0.3">
      <c r="C345" s="2">
        <v>100</v>
      </c>
      <c r="D345" s="2" t="s">
        <v>393</v>
      </c>
      <c r="E345" s="2" t="s">
        <v>769</v>
      </c>
      <c r="F345" s="101">
        <v>45609</v>
      </c>
    </row>
    <row r="346" spans="3:6" ht="14.4" customHeight="1" x14ac:dyDescent="0.3">
      <c r="C346" s="2">
        <v>100</v>
      </c>
      <c r="D346" s="2" t="s">
        <v>641</v>
      </c>
      <c r="E346" s="2" t="s">
        <v>775</v>
      </c>
      <c r="F346" s="101">
        <v>8</v>
      </c>
    </row>
    <row r="347" spans="3:6" ht="14.4" customHeight="1" x14ac:dyDescent="0.3">
      <c r="C347" s="2">
        <v>100</v>
      </c>
      <c r="D347" s="2" t="s">
        <v>367</v>
      </c>
      <c r="E347" s="2" t="s">
        <v>770</v>
      </c>
      <c r="F347" s="101">
        <v>17321</v>
      </c>
    </row>
    <row r="348" spans="3:6" ht="14.4" customHeight="1" x14ac:dyDescent="0.3">
      <c r="C348" s="2">
        <v>100</v>
      </c>
      <c r="D348" s="2" t="s">
        <v>684</v>
      </c>
      <c r="E348" s="2" t="s">
        <v>774</v>
      </c>
      <c r="F348" s="101">
        <v>155</v>
      </c>
    </row>
    <row r="349" spans="3:6" ht="14.4" customHeight="1" x14ac:dyDescent="0.3">
      <c r="C349" s="2">
        <v>100</v>
      </c>
      <c r="D349" s="2" t="s">
        <v>288</v>
      </c>
      <c r="E349" s="2" t="s">
        <v>769</v>
      </c>
      <c r="F349" s="101">
        <v>6969</v>
      </c>
    </row>
    <row r="350" spans="3:6" ht="14.4" customHeight="1" x14ac:dyDescent="0.3">
      <c r="C350" s="2">
        <v>100</v>
      </c>
      <c r="D350" s="2" t="s">
        <v>322</v>
      </c>
      <c r="E350" s="2" t="s">
        <v>772</v>
      </c>
      <c r="F350" s="101">
        <v>300</v>
      </c>
    </row>
    <row r="351" spans="3:6" ht="14.4" customHeight="1" x14ac:dyDescent="0.3">
      <c r="C351" s="2">
        <v>100</v>
      </c>
      <c r="D351" s="2" t="s">
        <v>558</v>
      </c>
      <c r="E351" s="2" t="s">
        <v>769</v>
      </c>
      <c r="F351" s="101">
        <v>65873</v>
      </c>
    </row>
    <row r="352" spans="3:6" ht="14.4" customHeight="1" x14ac:dyDescent="0.3">
      <c r="C352" s="2">
        <v>100</v>
      </c>
      <c r="D352" s="2" t="s">
        <v>281</v>
      </c>
      <c r="E352" s="2" t="s">
        <v>771</v>
      </c>
      <c r="F352" s="101">
        <v>11340</v>
      </c>
    </row>
    <row r="353" spans="3:6" ht="14.4" customHeight="1" x14ac:dyDescent="0.3">
      <c r="C353" s="2">
        <v>100</v>
      </c>
      <c r="D353" s="2" t="s">
        <v>262</v>
      </c>
      <c r="E353" s="2" t="s">
        <v>774</v>
      </c>
      <c r="F353" s="101">
        <v>3391</v>
      </c>
    </row>
    <row r="354" spans="3:6" ht="14.4" customHeight="1" x14ac:dyDescent="0.3">
      <c r="C354" s="2">
        <v>100</v>
      </c>
      <c r="D354" s="2" t="s">
        <v>324</v>
      </c>
      <c r="E354" s="2" t="s">
        <v>773</v>
      </c>
      <c r="F354" s="101">
        <v>1592</v>
      </c>
    </row>
    <row r="355" spans="3:6" ht="14.4" customHeight="1" x14ac:dyDescent="0.3">
      <c r="C355" s="2">
        <v>100</v>
      </c>
      <c r="D355" s="2" t="s">
        <v>324</v>
      </c>
      <c r="E355" s="2" t="s">
        <v>775</v>
      </c>
      <c r="F355" s="101">
        <v>661</v>
      </c>
    </row>
    <row r="356" spans="3:6" ht="14.4" customHeight="1" x14ac:dyDescent="0.3">
      <c r="C356" s="2">
        <v>100</v>
      </c>
      <c r="D356" s="2" t="s">
        <v>441</v>
      </c>
      <c r="E356" s="2" t="s">
        <v>773</v>
      </c>
      <c r="F356" s="101">
        <v>5325</v>
      </c>
    </row>
    <row r="357" spans="3:6" ht="14.4" customHeight="1" x14ac:dyDescent="0.3">
      <c r="C357" s="2">
        <v>100</v>
      </c>
      <c r="D357" s="2" t="s">
        <v>606</v>
      </c>
      <c r="E357" s="2" t="s">
        <v>770</v>
      </c>
      <c r="F357" s="101">
        <v>5056</v>
      </c>
    </row>
    <row r="358" spans="3:6" ht="14.4" customHeight="1" x14ac:dyDescent="0.3">
      <c r="C358" s="2">
        <v>100</v>
      </c>
      <c r="D358" s="2" t="s">
        <v>479</v>
      </c>
      <c r="E358" s="2" t="s">
        <v>775</v>
      </c>
      <c r="F358" s="101">
        <v>8</v>
      </c>
    </row>
    <row r="359" spans="3:6" ht="14.4" customHeight="1" x14ac:dyDescent="0.3">
      <c r="C359" s="2">
        <v>100</v>
      </c>
      <c r="D359" s="2" t="s">
        <v>558</v>
      </c>
      <c r="E359" s="2" t="s">
        <v>777</v>
      </c>
      <c r="F359" s="101">
        <v>110455</v>
      </c>
    </row>
    <row r="360" spans="3:6" ht="14.4" customHeight="1" x14ac:dyDescent="0.3">
      <c r="C360" s="2">
        <v>100</v>
      </c>
      <c r="D360" s="2" t="s">
        <v>389</v>
      </c>
      <c r="E360" s="2" t="s">
        <v>769</v>
      </c>
      <c r="F360" s="101">
        <v>156516</v>
      </c>
    </row>
    <row r="361" spans="3:6" ht="14.4" customHeight="1" x14ac:dyDescent="0.3">
      <c r="C361" s="2">
        <v>100</v>
      </c>
      <c r="D361" s="2" t="s">
        <v>641</v>
      </c>
      <c r="E361" s="2" t="s">
        <v>770</v>
      </c>
      <c r="F361" s="101">
        <v>510</v>
      </c>
    </row>
    <row r="362" spans="3:6" ht="14.4" customHeight="1" x14ac:dyDescent="0.3">
      <c r="C362" s="2">
        <v>100</v>
      </c>
      <c r="D362" s="2" t="s">
        <v>257</v>
      </c>
      <c r="E362" s="2" t="s">
        <v>769</v>
      </c>
      <c r="F362" s="101">
        <v>175844</v>
      </c>
    </row>
    <row r="363" spans="3:6" ht="14.4" customHeight="1" x14ac:dyDescent="0.3">
      <c r="C363" s="2">
        <v>100</v>
      </c>
      <c r="D363" s="2" t="s">
        <v>562</v>
      </c>
      <c r="E363" s="2" t="s">
        <v>769</v>
      </c>
      <c r="F363" s="101">
        <v>139719</v>
      </c>
    </row>
    <row r="364" spans="3:6" ht="14.4" customHeight="1" x14ac:dyDescent="0.3">
      <c r="C364" s="2">
        <v>100</v>
      </c>
      <c r="D364" s="2" t="s">
        <v>210</v>
      </c>
      <c r="E364" s="2" t="s">
        <v>773</v>
      </c>
      <c r="F364" s="101">
        <v>9757</v>
      </c>
    </row>
    <row r="365" spans="3:6" ht="14.4" customHeight="1" x14ac:dyDescent="0.3">
      <c r="C365" s="2">
        <v>100</v>
      </c>
      <c r="D365" s="2" t="s">
        <v>526</v>
      </c>
      <c r="E365" s="2" t="s">
        <v>775</v>
      </c>
      <c r="F365" s="101">
        <v>825</v>
      </c>
    </row>
    <row r="366" spans="3:6" ht="14.4" customHeight="1" x14ac:dyDescent="0.3">
      <c r="C366" s="2">
        <v>100</v>
      </c>
      <c r="D366" s="2" t="s">
        <v>680</v>
      </c>
      <c r="E366" s="2" t="s">
        <v>771</v>
      </c>
      <c r="F366" s="101">
        <v>3804</v>
      </c>
    </row>
    <row r="367" spans="3:6" ht="14.4" customHeight="1" x14ac:dyDescent="0.3">
      <c r="C367" s="2">
        <v>100</v>
      </c>
      <c r="D367" s="2" t="s">
        <v>529</v>
      </c>
      <c r="E367" s="2" t="s">
        <v>769</v>
      </c>
      <c r="F367" s="101">
        <v>56740</v>
      </c>
    </row>
    <row r="368" spans="3:6" ht="14.4" customHeight="1" x14ac:dyDescent="0.3">
      <c r="C368" s="2">
        <v>100</v>
      </c>
      <c r="D368" s="2" t="s">
        <v>339</v>
      </c>
      <c r="E368" s="2" t="s">
        <v>775</v>
      </c>
      <c r="F368" s="101">
        <v>186</v>
      </c>
    </row>
    <row r="369" spans="3:6" ht="14.4" customHeight="1" x14ac:dyDescent="0.3">
      <c r="C369" s="2">
        <v>100</v>
      </c>
      <c r="D369" s="2" t="s">
        <v>584</v>
      </c>
      <c r="E369" s="2" t="s">
        <v>774</v>
      </c>
      <c r="F369" s="101">
        <v>1242</v>
      </c>
    </row>
    <row r="370" spans="3:6" ht="14.4" customHeight="1" x14ac:dyDescent="0.3">
      <c r="C370" s="2">
        <v>100</v>
      </c>
      <c r="D370" s="2" t="s">
        <v>239</v>
      </c>
      <c r="E370" s="2" t="s">
        <v>773</v>
      </c>
      <c r="F370" s="101">
        <v>19425</v>
      </c>
    </row>
    <row r="371" spans="3:6" ht="14.4" customHeight="1" x14ac:dyDescent="0.3">
      <c r="C371" s="2">
        <v>100</v>
      </c>
      <c r="D371" s="2" t="s">
        <v>512</v>
      </c>
      <c r="E371" s="2" t="s">
        <v>774</v>
      </c>
      <c r="F371" s="101">
        <v>0</v>
      </c>
    </row>
    <row r="372" spans="3:6" ht="14.4" customHeight="1" x14ac:dyDescent="0.3">
      <c r="C372" s="2">
        <v>100</v>
      </c>
      <c r="D372" s="2" t="s">
        <v>650</v>
      </c>
      <c r="E372" s="2" t="s">
        <v>773</v>
      </c>
      <c r="F372" s="101">
        <v>766</v>
      </c>
    </row>
    <row r="373" spans="3:6" ht="14.4" customHeight="1" x14ac:dyDescent="0.3">
      <c r="C373" s="2">
        <v>100</v>
      </c>
      <c r="D373" s="2" t="s">
        <v>227</v>
      </c>
      <c r="E373" s="2" t="s">
        <v>769</v>
      </c>
      <c r="F373" s="101">
        <v>83195</v>
      </c>
    </row>
    <row r="374" spans="3:6" ht="14.4" customHeight="1" x14ac:dyDescent="0.3">
      <c r="C374" s="2">
        <v>100</v>
      </c>
      <c r="D374" s="2" t="s">
        <v>692</v>
      </c>
      <c r="E374" s="2" t="s">
        <v>769</v>
      </c>
      <c r="F374" s="101">
        <v>15505</v>
      </c>
    </row>
    <row r="375" spans="3:6" ht="14.4" customHeight="1" x14ac:dyDescent="0.3">
      <c r="C375" s="2">
        <v>100</v>
      </c>
      <c r="D375" s="2" t="s">
        <v>365</v>
      </c>
      <c r="E375" s="2" t="s">
        <v>769</v>
      </c>
      <c r="F375" s="101">
        <v>670704</v>
      </c>
    </row>
    <row r="376" spans="3:6" ht="14.4" customHeight="1" x14ac:dyDescent="0.3">
      <c r="C376" s="2">
        <v>100</v>
      </c>
      <c r="D376" s="2" t="s">
        <v>280</v>
      </c>
      <c r="E376" s="2" t="s">
        <v>774</v>
      </c>
      <c r="F376" s="101">
        <v>0</v>
      </c>
    </row>
    <row r="377" spans="3:6" ht="14.4" customHeight="1" x14ac:dyDescent="0.3">
      <c r="C377" s="2">
        <v>100</v>
      </c>
      <c r="D377" s="2" t="s">
        <v>434</v>
      </c>
      <c r="E377" s="2" t="s">
        <v>775</v>
      </c>
      <c r="F377" s="101">
        <v>11710</v>
      </c>
    </row>
    <row r="378" spans="3:6" ht="14.4" customHeight="1" x14ac:dyDescent="0.3">
      <c r="C378" s="2">
        <v>100</v>
      </c>
      <c r="D378" s="2" t="s">
        <v>540</v>
      </c>
      <c r="E378" s="2" t="s">
        <v>773</v>
      </c>
      <c r="F378" s="101">
        <v>816</v>
      </c>
    </row>
    <row r="379" spans="3:6" ht="14.4" customHeight="1" x14ac:dyDescent="0.3">
      <c r="C379" s="2">
        <v>100</v>
      </c>
      <c r="D379" s="2" t="s">
        <v>665</v>
      </c>
      <c r="E379" s="2" t="s">
        <v>774</v>
      </c>
      <c r="F379" s="101">
        <v>267</v>
      </c>
    </row>
    <row r="380" spans="3:6" ht="14.4" customHeight="1" x14ac:dyDescent="0.3">
      <c r="C380" s="2">
        <v>100</v>
      </c>
      <c r="D380" s="2" t="s">
        <v>252</v>
      </c>
      <c r="E380" s="2" t="s">
        <v>773</v>
      </c>
      <c r="F380" s="101">
        <v>15243</v>
      </c>
    </row>
    <row r="381" spans="3:6" ht="14.4" customHeight="1" x14ac:dyDescent="0.3">
      <c r="C381" s="2">
        <v>100</v>
      </c>
      <c r="D381" s="2" t="s">
        <v>300</v>
      </c>
      <c r="E381" s="2" t="s">
        <v>770</v>
      </c>
      <c r="F381" s="101">
        <v>199</v>
      </c>
    </row>
    <row r="382" spans="3:6" ht="14.4" customHeight="1" x14ac:dyDescent="0.3">
      <c r="C382" s="2">
        <v>100</v>
      </c>
      <c r="D382" s="2" t="s">
        <v>580</v>
      </c>
      <c r="E382" s="2" t="s">
        <v>775</v>
      </c>
      <c r="F382" s="101">
        <v>217</v>
      </c>
    </row>
    <row r="383" spans="3:6" ht="14.4" customHeight="1" x14ac:dyDescent="0.3">
      <c r="C383" s="2">
        <v>100</v>
      </c>
      <c r="D383" s="2" t="s">
        <v>580</v>
      </c>
      <c r="E383" s="2" t="s">
        <v>773</v>
      </c>
      <c r="F383" s="101">
        <v>1076</v>
      </c>
    </row>
    <row r="384" spans="3:6" ht="14.4" customHeight="1" x14ac:dyDescent="0.3">
      <c r="C384" s="2">
        <v>100</v>
      </c>
      <c r="D384" s="2" t="s">
        <v>603</v>
      </c>
      <c r="E384" s="2" t="s">
        <v>773</v>
      </c>
      <c r="F384" s="101">
        <v>27</v>
      </c>
    </row>
    <row r="385" spans="3:6" ht="14.4" customHeight="1" x14ac:dyDescent="0.3">
      <c r="C385" s="2">
        <v>100</v>
      </c>
      <c r="D385" s="2" t="s">
        <v>604</v>
      </c>
      <c r="E385" s="2" t="s">
        <v>773</v>
      </c>
      <c r="F385" s="101">
        <v>6402</v>
      </c>
    </row>
    <row r="386" spans="3:6" ht="14.4" customHeight="1" x14ac:dyDescent="0.3">
      <c r="C386" s="2">
        <v>100</v>
      </c>
      <c r="D386" s="2" t="s">
        <v>721</v>
      </c>
      <c r="E386" s="2" t="s">
        <v>772</v>
      </c>
      <c r="F386" s="101">
        <v>97</v>
      </c>
    </row>
    <row r="387" spans="3:6" ht="14.4" customHeight="1" x14ac:dyDescent="0.3">
      <c r="C387" s="2">
        <v>100</v>
      </c>
      <c r="D387" s="2" t="s">
        <v>659</v>
      </c>
      <c r="E387" s="2" t="s">
        <v>770</v>
      </c>
      <c r="F387" s="101">
        <v>468</v>
      </c>
    </row>
    <row r="388" spans="3:6" ht="14.4" customHeight="1" x14ac:dyDescent="0.3">
      <c r="C388" s="2">
        <v>100</v>
      </c>
      <c r="D388" s="2" t="s">
        <v>427</v>
      </c>
      <c r="E388" s="2" t="s">
        <v>769</v>
      </c>
      <c r="F388" s="101">
        <v>63887</v>
      </c>
    </row>
    <row r="389" spans="3:6" ht="14.4" customHeight="1" x14ac:dyDescent="0.3">
      <c r="C389" s="2">
        <v>100</v>
      </c>
      <c r="D389" s="2" t="s">
        <v>213</v>
      </c>
      <c r="E389" s="2" t="s">
        <v>771</v>
      </c>
      <c r="F389" s="101">
        <v>6011</v>
      </c>
    </row>
    <row r="390" spans="3:6" ht="14.4" customHeight="1" x14ac:dyDescent="0.3">
      <c r="C390" s="2">
        <v>100</v>
      </c>
      <c r="D390" s="2" t="s">
        <v>283</v>
      </c>
      <c r="E390" s="2" t="s">
        <v>775</v>
      </c>
      <c r="F390" s="101">
        <v>3400</v>
      </c>
    </row>
    <row r="391" spans="3:6" ht="14.4" customHeight="1" x14ac:dyDescent="0.3">
      <c r="C391" s="2">
        <v>100</v>
      </c>
      <c r="D391" s="2" t="s">
        <v>642</v>
      </c>
      <c r="E391" s="2" t="s">
        <v>771</v>
      </c>
      <c r="F391" s="101">
        <v>7852</v>
      </c>
    </row>
    <row r="392" spans="3:6" ht="14.4" customHeight="1" x14ac:dyDescent="0.3">
      <c r="C392" s="2">
        <v>100</v>
      </c>
      <c r="D392" s="2" t="s">
        <v>700</v>
      </c>
      <c r="E392" s="2" t="s">
        <v>773</v>
      </c>
      <c r="F392" s="101">
        <v>0</v>
      </c>
    </row>
    <row r="393" spans="3:6" ht="14.4" customHeight="1" x14ac:dyDescent="0.3">
      <c r="C393" s="2">
        <v>100</v>
      </c>
      <c r="D393" s="2" t="s">
        <v>667</v>
      </c>
      <c r="E393" s="2" t="s">
        <v>769</v>
      </c>
      <c r="F393" s="101">
        <v>46914</v>
      </c>
    </row>
    <row r="394" spans="3:6" ht="14.4" customHeight="1" x14ac:dyDescent="0.3">
      <c r="C394" s="2">
        <v>100</v>
      </c>
      <c r="D394" s="2" t="s">
        <v>352</v>
      </c>
      <c r="E394" s="2" t="s">
        <v>769</v>
      </c>
      <c r="F394" s="101">
        <v>42623</v>
      </c>
    </row>
    <row r="395" spans="3:6" ht="14.4" customHeight="1" x14ac:dyDescent="0.3">
      <c r="C395" s="2">
        <v>100</v>
      </c>
      <c r="D395" s="2" t="s">
        <v>269</v>
      </c>
      <c r="E395" s="2" t="s">
        <v>772</v>
      </c>
      <c r="F395" s="101">
        <v>3152</v>
      </c>
    </row>
    <row r="396" spans="3:6" ht="14.4" customHeight="1" x14ac:dyDescent="0.3">
      <c r="C396" s="2">
        <v>100</v>
      </c>
      <c r="D396" s="2" t="s">
        <v>312</v>
      </c>
      <c r="E396" s="2" t="s">
        <v>769</v>
      </c>
      <c r="F396" s="101">
        <v>82147</v>
      </c>
    </row>
    <row r="397" spans="3:6" ht="14.4" customHeight="1" x14ac:dyDescent="0.3">
      <c r="C397" s="2">
        <v>100</v>
      </c>
      <c r="D397" s="2" t="s">
        <v>623</v>
      </c>
      <c r="E397" s="2" t="s">
        <v>774</v>
      </c>
      <c r="F397" s="101">
        <v>206416</v>
      </c>
    </row>
    <row r="398" spans="3:6" ht="14.4" customHeight="1" x14ac:dyDescent="0.3">
      <c r="C398" s="2">
        <v>100</v>
      </c>
      <c r="D398" s="2" t="s">
        <v>390</v>
      </c>
      <c r="E398" s="2" t="s">
        <v>771</v>
      </c>
      <c r="F398" s="101">
        <v>12298</v>
      </c>
    </row>
    <row r="399" spans="3:6" ht="14.4" customHeight="1" x14ac:dyDescent="0.3">
      <c r="C399" s="2">
        <v>100</v>
      </c>
      <c r="D399" s="2" t="s">
        <v>376</v>
      </c>
      <c r="E399" s="2" t="s">
        <v>773</v>
      </c>
      <c r="F399" s="101">
        <v>3547</v>
      </c>
    </row>
    <row r="400" spans="3:6" ht="14.4" customHeight="1" x14ac:dyDescent="0.3">
      <c r="C400" s="2">
        <v>100</v>
      </c>
      <c r="D400" s="2" t="s">
        <v>611</v>
      </c>
      <c r="E400" s="2" t="s">
        <v>774</v>
      </c>
      <c r="F400" s="101">
        <v>1742</v>
      </c>
    </row>
    <row r="401" spans="3:6" ht="14.4" customHeight="1" x14ac:dyDescent="0.3">
      <c r="C401" s="2">
        <v>100</v>
      </c>
      <c r="D401" s="2" t="s">
        <v>598</v>
      </c>
      <c r="E401" s="2" t="s">
        <v>771</v>
      </c>
      <c r="F401" s="101">
        <v>1403</v>
      </c>
    </row>
    <row r="402" spans="3:6" ht="14.4" customHeight="1" x14ac:dyDescent="0.3">
      <c r="C402" s="2">
        <v>100</v>
      </c>
      <c r="D402" s="2" t="s">
        <v>435</v>
      </c>
      <c r="E402" s="2" t="s">
        <v>771</v>
      </c>
      <c r="F402" s="101">
        <v>18092</v>
      </c>
    </row>
    <row r="403" spans="3:6" ht="14.4" customHeight="1" x14ac:dyDescent="0.3">
      <c r="C403" s="2">
        <v>100</v>
      </c>
      <c r="D403" s="2" t="s">
        <v>586</v>
      </c>
      <c r="E403" s="2" t="s">
        <v>775</v>
      </c>
      <c r="F403" s="101">
        <v>2182</v>
      </c>
    </row>
    <row r="404" spans="3:6" ht="14.4" customHeight="1" x14ac:dyDescent="0.3">
      <c r="C404" s="2">
        <v>100</v>
      </c>
      <c r="D404" s="2" t="s">
        <v>646</v>
      </c>
      <c r="E404" s="2" t="s">
        <v>773</v>
      </c>
      <c r="F404" s="101">
        <v>12</v>
      </c>
    </row>
    <row r="405" spans="3:6" ht="14.4" customHeight="1" x14ac:dyDescent="0.3">
      <c r="C405" s="2">
        <v>100</v>
      </c>
      <c r="D405" s="2" t="s">
        <v>334</v>
      </c>
      <c r="E405" s="2" t="s">
        <v>769</v>
      </c>
      <c r="F405" s="101">
        <v>246459</v>
      </c>
    </row>
    <row r="406" spans="3:6" ht="14.4" customHeight="1" x14ac:dyDescent="0.3">
      <c r="C406" s="2">
        <v>100</v>
      </c>
      <c r="D406" s="2" t="s">
        <v>559</v>
      </c>
      <c r="E406" s="2" t="s">
        <v>770</v>
      </c>
      <c r="F406" s="101">
        <v>2736</v>
      </c>
    </row>
    <row r="407" spans="3:6" ht="14.4" customHeight="1" x14ac:dyDescent="0.3">
      <c r="C407" s="2">
        <v>100</v>
      </c>
      <c r="D407" s="2" t="s">
        <v>626</v>
      </c>
      <c r="E407" s="2" t="s">
        <v>773</v>
      </c>
      <c r="F407" s="101">
        <v>807</v>
      </c>
    </row>
    <row r="408" spans="3:6" ht="14.4" customHeight="1" x14ac:dyDescent="0.3">
      <c r="C408" s="2">
        <v>100</v>
      </c>
      <c r="D408" s="2" t="s">
        <v>542</v>
      </c>
      <c r="E408" s="2" t="s">
        <v>769</v>
      </c>
      <c r="F408" s="101">
        <v>37505</v>
      </c>
    </row>
    <row r="409" spans="3:6" ht="14.4" customHeight="1" x14ac:dyDescent="0.3">
      <c r="C409" s="2">
        <v>100</v>
      </c>
      <c r="D409" s="2" t="s">
        <v>347</v>
      </c>
      <c r="E409" s="2" t="s">
        <v>771</v>
      </c>
      <c r="F409" s="101">
        <v>60094</v>
      </c>
    </row>
    <row r="410" spans="3:6" ht="14.4" customHeight="1" x14ac:dyDescent="0.3">
      <c r="C410" s="2">
        <v>100</v>
      </c>
      <c r="D410" s="2" t="s">
        <v>347</v>
      </c>
      <c r="E410" s="2" t="s">
        <v>770</v>
      </c>
      <c r="F410" s="101">
        <v>40227</v>
      </c>
    </row>
    <row r="411" spans="3:6" ht="14.4" customHeight="1" x14ac:dyDescent="0.3">
      <c r="C411" s="2">
        <v>100</v>
      </c>
      <c r="D411" s="2" t="s">
        <v>293</v>
      </c>
      <c r="E411" s="2" t="s">
        <v>777</v>
      </c>
      <c r="F411" s="101">
        <v>62184</v>
      </c>
    </row>
    <row r="412" spans="3:6" ht="14.4" customHeight="1" x14ac:dyDescent="0.3">
      <c r="C412" s="2">
        <v>100</v>
      </c>
      <c r="D412" s="2" t="s">
        <v>542</v>
      </c>
      <c r="E412" s="2" t="s">
        <v>777</v>
      </c>
      <c r="F412" s="101">
        <v>4670</v>
      </c>
    </row>
    <row r="413" spans="3:6" ht="14.4" customHeight="1" x14ac:dyDescent="0.3">
      <c r="C413" s="2">
        <v>100</v>
      </c>
      <c r="D413" s="2" t="s">
        <v>646</v>
      </c>
      <c r="E413" s="2" t="s">
        <v>770</v>
      </c>
      <c r="F413" s="101">
        <v>68</v>
      </c>
    </row>
    <row r="414" spans="3:6" ht="14.4" customHeight="1" x14ac:dyDescent="0.3">
      <c r="C414" s="2">
        <v>100</v>
      </c>
      <c r="D414" s="2" t="s">
        <v>586</v>
      </c>
      <c r="E414" s="2" t="s">
        <v>771</v>
      </c>
      <c r="F414" s="101">
        <v>278</v>
      </c>
    </row>
    <row r="415" spans="3:6" ht="14.4" customHeight="1" x14ac:dyDescent="0.3">
      <c r="C415" s="2">
        <v>100</v>
      </c>
      <c r="D415" s="2" t="s">
        <v>386</v>
      </c>
      <c r="E415" s="2" t="s">
        <v>773</v>
      </c>
      <c r="F415" s="101">
        <v>1544</v>
      </c>
    </row>
    <row r="416" spans="3:6" ht="14.4" customHeight="1" x14ac:dyDescent="0.3">
      <c r="C416" s="2">
        <v>100</v>
      </c>
      <c r="D416" s="2" t="s">
        <v>586</v>
      </c>
      <c r="E416" s="2" t="s">
        <v>770</v>
      </c>
      <c r="F416" s="101">
        <v>13</v>
      </c>
    </row>
    <row r="417" spans="3:6" ht="14.4" customHeight="1" x14ac:dyDescent="0.3">
      <c r="C417" s="2">
        <v>100</v>
      </c>
      <c r="D417" s="2" t="s">
        <v>646</v>
      </c>
      <c r="E417" s="2" t="s">
        <v>771</v>
      </c>
      <c r="F417" s="101">
        <v>1879</v>
      </c>
    </row>
    <row r="418" spans="3:6" ht="14.4" customHeight="1" x14ac:dyDescent="0.3">
      <c r="C418" s="2">
        <v>100</v>
      </c>
      <c r="D418" s="2" t="s">
        <v>220</v>
      </c>
      <c r="E418" s="2" t="s">
        <v>769</v>
      </c>
      <c r="F418" s="101">
        <v>80799</v>
      </c>
    </row>
    <row r="419" spans="3:6" ht="14.4" customHeight="1" x14ac:dyDescent="0.3">
      <c r="C419" s="2">
        <v>100</v>
      </c>
      <c r="D419" s="2" t="s">
        <v>334</v>
      </c>
      <c r="E419" s="2" t="s">
        <v>777</v>
      </c>
      <c r="F419" s="101">
        <v>38080</v>
      </c>
    </row>
    <row r="420" spans="3:6" ht="14.4" customHeight="1" x14ac:dyDescent="0.3">
      <c r="C420" s="2">
        <v>100</v>
      </c>
      <c r="D420" s="2" t="s">
        <v>301</v>
      </c>
      <c r="E420" s="2" t="s">
        <v>769</v>
      </c>
      <c r="F420" s="101">
        <v>814386</v>
      </c>
    </row>
    <row r="421" spans="3:6" ht="14.4" customHeight="1" x14ac:dyDescent="0.3">
      <c r="C421" s="2">
        <v>100</v>
      </c>
      <c r="D421" s="2" t="s">
        <v>226</v>
      </c>
      <c r="E421" s="2" t="s">
        <v>771</v>
      </c>
      <c r="F421" s="101">
        <v>62483</v>
      </c>
    </row>
    <row r="422" spans="3:6" ht="14.4" customHeight="1" x14ac:dyDescent="0.3">
      <c r="C422" s="2">
        <v>100</v>
      </c>
      <c r="D422" s="2" t="s">
        <v>602</v>
      </c>
      <c r="E422" s="2" t="s">
        <v>770</v>
      </c>
      <c r="F422" s="101">
        <v>1146</v>
      </c>
    </row>
    <row r="423" spans="3:6" ht="14.4" customHeight="1" x14ac:dyDescent="0.3">
      <c r="C423" s="2">
        <v>100</v>
      </c>
      <c r="D423" s="2" t="s">
        <v>353</v>
      </c>
      <c r="E423" s="2" t="s">
        <v>777</v>
      </c>
      <c r="F423" s="101">
        <v>-320</v>
      </c>
    </row>
    <row r="424" spans="3:6" ht="14.4" customHeight="1" x14ac:dyDescent="0.3">
      <c r="C424" s="2">
        <v>100</v>
      </c>
      <c r="D424" s="2" t="s">
        <v>275</v>
      </c>
      <c r="E424" s="2" t="s">
        <v>775</v>
      </c>
      <c r="F424" s="101">
        <v>20576</v>
      </c>
    </row>
    <row r="425" spans="3:6" ht="14.4" customHeight="1" x14ac:dyDescent="0.3">
      <c r="C425" s="2">
        <v>100</v>
      </c>
      <c r="D425" s="2" t="s">
        <v>332</v>
      </c>
      <c r="E425" s="2" t="s">
        <v>770</v>
      </c>
      <c r="F425" s="101">
        <v>355</v>
      </c>
    </row>
    <row r="426" spans="3:6" ht="14.4" customHeight="1" x14ac:dyDescent="0.3">
      <c r="C426" s="2">
        <v>100</v>
      </c>
      <c r="D426" s="2" t="s">
        <v>271</v>
      </c>
      <c r="E426" s="2" t="s">
        <v>769</v>
      </c>
      <c r="F426" s="101">
        <v>78501</v>
      </c>
    </row>
    <row r="427" spans="3:6" ht="14.4" customHeight="1" x14ac:dyDescent="0.3">
      <c r="C427" s="2">
        <v>100</v>
      </c>
      <c r="D427" s="2" t="s">
        <v>683</v>
      </c>
      <c r="E427" s="2" t="s">
        <v>769</v>
      </c>
      <c r="F427" s="101">
        <v>1347</v>
      </c>
    </row>
    <row r="428" spans="3:6" ht="14.4" customHeight="1" x14ac:dyDescent="0.3">
      <c r="C428" s="2">
        <v>100</v>
      </c>
      <c r="D428" s="2" t="s">
        <v>233</v>
      </c>
      <c r="E428" s="2" t="s">
        <v>769</v>
      </c>
      <c r="F428" s="101">
        <v>30464</v>
      </c>
    </row>
    <row r="429" spans="3:6" ht="14.4" customHeight="1" x14ac:dyDescent="0.3">
      <c r="C429" s="2">
        <v>100</v>
      </c>
      <c r="D429" s="2" t="s">
        <v>368</v>
      </c>
      <c r="E429" s="2" t="s">
        <v>772</v>
      </c>
      <c r="F429" s="101">
        <v>423</v>
      </c>
    </row>
    <row r="430" spans="3:6" ht="14.4" customHeight="1" x14ac:dyDescent="0.3">
      <c r="C430" s="2">
        <v>100</v>
      </c>
      <c r="D430" s="2" t="s">
        <v>205</v>
      </c>
      <c r="E430" s="2" t="s">
        <v>775</v>
      </c>
      <c r="F430" s="101">
        <v>216</v>
      </c>
    </row>
    <row r="431" spans="3:6" ht="14.4" customHeight="1" x14ac:dyDescent="0.3">
      <c r="C431" s="2">
        <v>100</v>
      </c>
      <c r="D431" s="2" t="s">
        <v>389</v>
      </c>
      <c r="E431" s="2" t="s">
        <v>774</v>
      </c>
      <c r="F431" s="101">
        <v>17232</v>
      </c>
    </row>
    <row r="432" spans="3:6" ht="14.4" customHeight="1" x14ac:dyDescent="0.3">
      <c r="C432" s="2">
        <v>100</v>
      </c>
      <c r="D432" s="2" t="s">
        <v>744</v>
      </c>
      <c r="E432" s="2" t="s">
        <v>774</v>
      </c>
      <c r="F432" s="101">
        <v>-1821</v>
      </c>
    </row>
    <row r="433" spans="3:6" ht="14.4" customHeight="1" x14ac:dyDescent="0.3">
      <c r="C433" s="2">
        <v>100</v>
      </c>
      <c r="D433" s="2" t="s">
        <v>426</v>
      </c>
      <c r="E433" s="2" t="s">
        <v>775</v>
      </c>
      <c r="F433" s="101">
        <v>8</v>
      </c>
    </row>
    <row r="434" spans="3:6" ht="14.4" customHeight="1" x14ac:dyDescent="0.3">
      <c r="C434" s="2">
        <v>100</v>
      </c>
      <c r="D434" s="2" t="s">
        <v>741</v>
      </c>
      <c r="E434" s="2" t="s">
        <v>775</v>
      </c>
      <c r="F434" s="101">
        <v>26</v>
      </c>
    </row>
    <row r="435" spans="3:6" ht="14.4" customHeight="1" x14ac:dyDescent="0.3">
      <c r="C435" s="2">
        <v>100</v>
      </c>
      <c r="D435" s="2" t="s">
        <v>459</v>
      </c>
      <c r="E435" s="2" t="s">
        <v>775</v>
      </c>
      <c r="F435" s="101">
        <v>193</v>
      </c>
    </row>
    <row r="436" spans="3:6" ht="14.4" customHeight="1" x14ac:dyDescent="0.3">
      <c r="C436" s="2">
        <v>100</v>
      </c>
      <c r="D436" s="2" t="s">
        <v>493</v>
      </c>
      <c r="E436" s="2" t="s">
        <v>769</v>
      </c>
      <c r="F436" s="101">
        <v>521473</v>
      </c>
    </row>
    <row r="437" spans="3:6" ht="14.4" customHeight="1" x14ac:dyDescent="0.3">
      <c r="C437" s="2">
        <v>100</v>
      </c>
      <c r="D437" s="2" t="s">
        <v>567</v>
      </c>
      <c r="E437" s="2" t="s">
        <v>774</v>
      </c>
      <c r="F437" s="101">
        <v>0</v>
      </c>
    </row>
    <row r="438" spans="3:6" ht="14.4" customHeight="1" x14ac:dyDescent="0.3">
      <c r="C438" s="2">
        <v>100</v>
      </c>
      <c r="D438" s="2" t="s">
        <v>357</v>
      </c>
      <c r="E438" s="2" t="s">
        <v>769</v>
      </c>
      <c r="F438" s="101">
        <v>98656</v>
      </c>
    </row>
    <row r="439" spans="3:6" ht="14.4" customHeight="1" x14ac:dyDescent="0.3">
      <c r="C439" s="2">
        <v>100</v>
      </c>
      <c r="D439" s="2" t="s">
        <v>408</v>
      </c>
      <c r="E439" s="2" t="s">
        <v>771</v>
      </c>
      <c r="F439" s="101">
        <v>3581</v>
      </c>
    </row>
    <row r="440" spans="3:6" ht="14.4" customHeight="1" x14ac:dyDescent="0.3">
      <c r="C440" s="2">
        <v>100</v>
      </c>
      <c r="D440" s="2" t="s">
        <v>317</v>
      </c>
      <c r="E440" s="2" t="s">
        <v>769</v>
      </c>
      <c r="F440" s="101">
        <v>60301</v>
      </c>
    </row>
    <row r="441" spans="3:6" ht="14.4" customHeight="1" x14ac:dyDescent="0.3">
      <c r="C441" s="2">
        <v>100</v>
      </c>
      <c r="D441" s="2" t="s">
        <v>541</v>
      </c>
      <c r="E441" s="2" t="s">
        <v>771</v>
      </c>
      <c r="F441" s="101">
        <v>59</v>
      </c>
    </row>
    <row r="442" spans="3:6" ht="14.4" customHeight="1" x14ac:dyDescent="0.3">
      <c r="C442" s="2">
        <v>100</v>
      </c>
      <c r="D442" s="2" t="s">
        <v>241</v>
      </c>
      <c r="E442" s="2" t="s">
        <v>770</v>
      </c>
      <c r="F442" s="101">
        <v>72</v>
      </c>
    </row>
    <row r="443" spans="3:6" ht="14.4" customHeight="1" x14ac:dyDescent="0.3">
      <c r="C443" s="2">
        <v>100</v>
      </c>
      <c r="D443" s="2" t="s">
        <v>557</v>
      </c>
      <c r="E443" s="2" t="s">
        <v>774</v>
      </c>
      <c r="F443" s="101">
        <v>305</v>
      </c>
    </row>
    <row r="444" spans="3:6" ht="14.4" customHeight="1" x14ac:dyDescent="0.3">
      <c r="C444" s="2">
        <v>100</v>
      </c>
      <c r="D444" s="2" t="s">
        <v>270</v>
      </c>
      <c r="E444" s="2" t="s">
        <v>771</v>
      </c>
      <c r="F444" s="101">
        <v>5120</v>
      </c>
    </row>
    <row r="445" spans="3:6" ht="14.4" customHeight="1" x14ac:dyDescent="0.3">
      <c r="C445" s="2">
        <v>100</v>
      </c>
      <c r="D445" s="2" t="s">
        <v>205</v>
      </c>
      <c r="E445" s="2" t="s">
        <v>770</v>
      </c>
      <c r="F445" s="101">
        <v>10006</v>
      </c>
    </row>
    <row r="446" spans="3:6" ht="14.4" customHeight="1" x14ac:dyDescent="0.3">
      <c r="C446" s="2">
        <v>100</v>
      </c>
      <c r="D446" s="2" t="s">
        <v>661</v>
      </c>
      <c r="E446" s="2" t="s">
        <v>773</v>
      </c>
      <c r="F446" s="101">
        <v>0</v>
      </c>
    </row>
    <row r="447" spans="3:6" ht="14.4" customHeight="1" x14ac:dyDescent="0.3">
      <c r="C447" s="2">
        <v>100</v>
      </c>
      <c r="D447" s="2" t="s">
        <v>244</v>
      </c>
      <c r="E447" s="2" t="s">
        <v>777</v>
      </c>
      <c r="F447" s="101">
        <v>310</v>
      </c>
    </row>
    <row r="448" spans="3:6" ht="14.4" customHeight="1" x14ac:dyDescent="0.3">
      <c r="C448" s="2">
        <v>100</v>
      </c>
      <c r="D448" s="2" t="s">
        <v>760</v>
      </c>
      <c r="E448" s="2" t="s">
        <v>783</v>
      </c>
      <c r="F448" s="101">
        <v>46</v>
      </c>
    </row>
    <row r="449" spans="3:6" ht="14.4" customHeight="1" x14ac:dyDescent="0.3">
      <c r="C449" s="2">
        <v>100</v>
      </c>
      <c r="D449" s="2" t="s">
        <v>208</v>
      </c>
      <c r="E449" s="2" t="s">
        <v>770</v>
      </c>
      <c r="F449" s="101">
        <v>5305</v>
      </c>
    </row>
    <row r="450" spans="3:6" ht="14.4" customHeight="1" x14ac:dyDescent="0.3">
      <c r="C450" s="2">
        <v>100</v>
      </c>
      <c r="D450" s="2" t="s">
        <v>487</v>
      </c>
      <c r="E450" s="2" t="s">
        <v>769</v>
      </c>
      <c r="F450" s="101">
        <v>272825</v>
      </c>
    </row>
    <row r="451" spans="3:6" ht="14.4" customHeight="1" x14ac:dyDescent="0.3">
      <c r="C451" s="2">
        <v>100</v>
      </c>
      <c r="D451" s="2" t="s">
        <v>691</v>
      </c>
      <c r="E451" s="2" t="s">
        <v>774</v>
      </c>
      <c r="F451" s="101">
        <v>252</v>
      </c>
    </row>
    <row r="452" spans="3:6" ht="14.4" customHeight="1" x14ac:dyDescent="0.3">
      <c r="C452" s="2">
        <v>100</v>
      </c>
      <c r="D452" s="2" t="s">
        <v>795</v>
      </c>
      <c r="E452" s="2" t="s">
        <v>769</v>
      </c>
      <c r="F452" s="101">
        <v>539</v>
      </c>
    </row>
    <row r="453" spans="3:6" ht="14.4" customHeight="1" x14ac:dyDescent="0.3">
      <c r="C453" s="2">
        <v>100</v>
      </c>
      <c r="D453" s="2" t="s">
        <v>247</v>
      </c>
      <c r="E453" s="2" t="s">
        <v>774</v>
      </c>
      <c r="F453" s="101">
        <v>2945</v>
      </c>
    </row>
    <row r="454" spans="3:6" ht="14.4" customHeight="1" x14ac:dyDescent="0.3">
      <c r="C454" s="2">
        <v>100</v>
      </c>
      <c r="D454" s="2" t="s">
        <v>454</v>
      </c>
      <c r="E454" s="2" t="s">
        <v>771</v>
      </c>
      <c r="F454" s="101">
        <v>1044</v>
      </c>
    </row>
    <row r="455" spans="3:6" ht="14.4" customHeight="1" x14ac:dyDescent="0.3">
      <c r="C455" s="2">
        <v>100</v>
      </c>
      <c r="D455" s="2" t="s">
        <v>477</v>
      </c>
      <c r="E455" s="2" t="s">
        <v>775</v>
      </c>
      <c r="F455" s="101">
        <v>17</v>
      </c>
    </row>
    <row r="456" spans="3:6" ht="14.4" customHeight="1" x14ac:dyDescent="0.3">
      <c r="C456" s="2">
        <v>100</v>
      </c>
      <c r="D456" s="2" t="s">
        <v>531</v>
      </c>
      <c r="E456" s="2" t="s">
        <v>774</v>
      </c>
      <c r="F456" s="101">
        <v>0</v>
      </c>
    </row>
    <row r="457" spans="3:6" ht="14.4" customHeight="1" x14ac:dyDescent="0.3">
      <c r="C457" s="2">
        <v>100</v>
      </c>
      <c r="D457" s="2" t="s">
        <v>513</v>
      </c>
      <c r="E457" s="2" t="s">
        <v>769</v>
      </c>
      <c r="F457" s="101">
        <v>771569</v>
      </c>
    </row>
    <row r="458" spans="3:6" ht="14.4" customHeight="1" x14ac:dyDescent="0.3">
      <c r="C458" s="2">
        <v>100</v>
      </c>
      <c r="D458" s="2" t="s">
        <v>405</v>
      </c>
      <c r="E458" s="2" t="s">
        <v>771</v>
      </c>
      <c r="F458" s="101">
        <v>21128</v>
      </c>
    </row>
    <row r="459" spans="3:6" ht="14.4" customHeight="1" x14ac:dyDescent="0.3">
      <c r="C459" s="2">
        <v>100</v>
      </c>
      <c r="D459" s="2" t="s">
        <v>715</v>
      </c>
      <c r="E459" s="2" t="s">
        <v>771</v>
      </c>
      <c r="F459" s="101">
        <v>32</v>
      </c>
    </row>
    <row r="460" spans="3:6" ht="14.4" customHeight="1" x14ac:dyDescent="0.3">
      <c r="C460" s="2">
        <v>100</v>
      </c>
      <c r="D460" s="2" t="s">
        <v>753</v>
      </c>
      <c r="E460" s="2" t="s">
        <v>770</v>
      </c>
      <c r="F460" s="101">
        <v>657</v>
      </c>
    </row>
    <row r="461" spans="3:6" ht="14.4" customHeight="1" x14ac:dyDescent="0.3">
      <c r="C461" s="2">
        <v>100</v>
      </c>
      <c r="D461" s="2" t="s">
        <v>753</v>
      </c>
      <c r="E461" s="2" t="s">
        <v>771</v>
      </c>
      <c r="F461" s="101">
        <v>1093</v>
      </c>
    </row>
    <row r="462" spans="3:6" ht="14.4" customHeight="1" x14ac:dyDescent="0.3">
      <c r="C462" s="2">
        <v>100</v>
      </c>
      <c r="D462" s="2" t="s">
        <v>478</v>
      </c>
      <c r="E462" s="2" t="s">
        <v>773</v>
      </c>
      <c r="F462" s="101">
        <v>153</v>
      </c>
    </row>
    <row r="463" spans="3:6" ht="14.4" customHeight="1" x14ac:dyDescent="0.3">
      <c r="C463" s="2">
        <v>100</v>
      </c>
      <c r="D463" s="2" t="s">
        <v>383</v>
      </c>
      <c r="E463" s="2" t="s">
        <v>769</v>
      </c>
      <c r="F463" s="101">
        <v>8768</v>
      </c>
    </row>
    <row r="464" spans="3:6" ht="14.4" customHeight="1" x14ac:dyDescent="0.3">
      <c r="C464" s="2">
        <v>100</v>
      </c>
      <c r="D464" s="2" t="s">
        <v>502</v>
      </c>
      <c r="E464" s="2" t="s">
        <v>772</v>
      </c>
      <c r="F464" s="101">
        <v>728</v>
      </c>
    </row>
    <row r="465" spans="3:6" ht="14.4" customHeight="1" x14ac:dyDescent="0.3">
      <c r="C465" s="2">
        <v>100</v>
      </c>
      <c r="D465" s="2" t="s">
        <v>423</v>
      </c>
      <c r="E465" s="2" t="s">
        <v>775</v>
      </c>
      <c r="F465" s="101">
        <v>2802</v>
      </c>
    </row>
    <row r="466" spans="3:6" ht="14.4" customHeight="1" x14ac:dyDescent="0.3">
      <c r="C466" s="2">
        <v>100</v>
      </c>
      <c r="D466" s="2" t="s">
        <v>639</v>
      </c>
      <c r="E466" s="2" t="s">
        <v>771</v>
      </c>
      <c r="F466" s="101">
        <v>2532</v>
      </c>
    </row>
    <row r="467" spans="3:6" ht="14.4" customHeight="1" x14ac:dyDescent="0.3">
      <c r="C467" s="2">
        <v>100</v>
      </c>
      <c r="D467" s="2" t="s">
        <v>664</v>
      </c>
      <c r="E467" s="2" t="s">
        <v>770</v>
      </c>
      <c r="F467" s="101">
        <v>241</v>
      </c>
    </row>
    <row r="468" spans="3:6" ht="14.4" customHeight="1" x14ac:dyDescent="0.3">
      <c r="C468" s="2">
        <v>100</v>
      </c>
      <c r="D468" s="2" t="s">
        <v>664</v>
      </c>
      <c r="E468" s="2" t="s">
        <v>771</v>
      </c>
      <c r="F468" s="101">
        <v>452</v>
      </c>
    </row>
    <row r="469" spans="3:6" ht="14.4" customHeight="1" x14ac:dyDescent="0.3">
      <c r="C469" s="2">
        <v>100</v>
      </c>
      <c r="D469" s="2" t="s">
        <v>269</v>
      </c>
      <c r="E469" s="2" t="s">
        <v>777</v>
      </c>
      <c r="F469" s="101">
        <v>12662</v>
      </c>
    </row>
    <row r="470" spans="3:6" ht="14.4" customHeight="1" x14ac:dyDescent="0.3">
      <c r="C470" s="2">
        <v>100</v>
      </c>
      <c r="D470" s="2" t="s">
        <v>452</v>
      </c>
      <c r="E470" s="2" t="s">
        <v>771</v>
      </c>
      <c r="F470" s="101">
        <v>346</v>
      </c>
    </row>
    <row r="471" spans="3:6" ht="14.4" customHeight="1" x14ac:dyDescent="0.3">
      <c r="C471" s="2">
        <v>100</v>
      </c>
      <c r="D471" s="2" t="s">
        <v>686</v>
      </c>
      <c r="E471" s="2" t="s">
        <v>775</v>
      </c>
      <c r="F471" s="101">
        <v>5</v>
      </c>
    </row>
    <row r="472" spans="3:6" ht="14.4" customHeight="1" x14ac:dyDescent="0.3">
      <c r="C472" s="2">
        <v>100</v>
      </c>
      <c r="D472" s="2" t="s">
        <v>592</v>
      </c>
      <c r="E472" s="2" t="s">
        <v>777</v>
      </c>
      <c r="F472" s="101">
        <v>25707</v>
      </c>
    </row>
    <row r="473" spans="3:6" ht="14.4" customHeight="1" x14ac:dyDescent="0.3">
      <c r="C473" s="2">
        <v>100</v>
      </c>
      <c r="D473" s="2" t="s">
        <v>594</v>
      </c>
      <c r="E473" s="2" t="s">
        <v>771</v>
      </c>
      <c r="F473" s="101">
        <v>21694</v>
      </c>
    </row>
    <row r="474" spans="3:6" ht="14.4" customHeight="1" x14ac:dyDescent="0.3">
      <c r="C474" s="2">
        <v>100</v>
      </c>
      <c r="D474" s="2" t="s">
        <v>525</v>
      </c>
      <c r="E474" s="2" t="s">
        <v>769</v>
      </c>
      <c r="F474" s="101">
        <v>31461</v>
      </c>
    </row>
    <row r="475" spans="3:6" ht="14.4" customHeight="1" x14ac:dyDescent="0.3">
      <c r="C475" s="2">
        <v>100</v>
      </c>
      <c r="D475" s="2" t="s">
        <v>204</v>
      </c>
      <c r="E475" s="2" t="s">
        <v>771</v>
      </c>
      <c r="F475" s="101">
        <v>25842</v>
      </c>
    </row>
    <row r="476" spans="3:6" ht="14.4" customHeight="1" x14ac:dyDescent="0.3">
      <c r="C476" s="2">
        <v>100</v>
      </c>
      <c r="D476" s="2" t="s">
        <v>600</v>
      </c>
      <c r="E476" s="2" t="s">
        <v>774</v>
      </c>
      <c r="F476" s="101">
        <v>0</v>
      </c>
    </row>
    <row r="477" spans="3:6" ht="14.4" customHeight="1" x14ac:dyDescent="0.3">
      <c r="C477" s="2">
        <v>100</v>
      </c>
      <c r="D477" s="2" t="s">
        <v>538</v>
      </c>
      <c r="E477" s="2" t="s">
        <v>769</v>
      </c>
      <c r="F477" s="101">
        <v>5907</v>
      </c>
    </row>
    <row r="478" spans="3:6" ht="14.4" customHeight="1" x14ac:dyDescent="0.3">
      <c r="C478" s="2">
        <v>100</v>
      </c>
      <c r="D478" s="2" t="s">
        <v>240</v>
      </c>
      <c r="E478" s="2" t="s">
        <v>772</v>
      </c>
      <c r="F478" s="101">
        <v>182</v>
      </c>
    </row>
    <row r="479" spans="3:6" ht="14.4" customHeight="1" x14ac:dyDescent="0.3">
      <c r="C479" s="2">
        <v>100</v>
      </c>
      <c r="D479" s="2" t="s">
        <v>694</v>
      </c>
      <c r="E479" s="2" t="s">
        <v>771</v>
      </c>
      <c r="F479" s="101">
        <v>963</v>
      </c>
    </row>
    <row r="480" spans="3:6" ht="14.4" customHeight="1" x14ac:dyDescent="0.3">
      <c r="C480" s="2">
        <v>100</v>
      </c>
      <c r="D480" s="2" t="s">
        <v>694</v>
      </c>
      <c r="E480" s="2" t="s">
        <v>770</v>
      </c>
      <c r="F480" s="101">
        <v>85</v>
      </c>
    </row>
    <row r="481" spans="3:6" ht="14.4" customHeight="1" x14ac:dyDescent="0.3">
      <c r="C481" s="2">
        <v>100</v>
      </c>
      <c r="D481" s="2" t="s">
        <v>599</v>
      </c>
      <c r="E481" s="2" t="s">
        <v>770</v>
      </c>
      <c r="F481" s="101">
        <v>1134</v>
      </c>
    </row>
    <row r="482" spans="3:6" ht="14.4" customHeight="1" x14ac:dyDescent="0.3">
      <c r="C482" s="2">
        <v>100</v>
      </c>
      <c r="D482" s="2" t="s">
        <v>259</v>
      </c>
      <c r="E482" s="2" t="s">
        <v>777</v>
      </c>
      <c r="F482" s="101">
        <v>8386</v>
      </c>
    </row>
    <row r="483" spans="3:6" ht="14.4" customHeight="1" x14ac:dyDescent="0.3">
      <c r="C483" s="2">
        <v>100</v>
      </c>
      <c r="D483" s="2" t="s">
        <v>599</v>
      </c>
      <c r="E483" s="2" t="s">
        <v>771</v>
      </c>
      <c r="F483" s="101">
        <v>28080</v>
      </c>
    </row>
    <row r="484" spans="3:6" ht="14.4" customHeight="1" x14ac:dyDescent="0.3">
      <c r="C484" s="2">
        <v>100</v>
      </c>
      <c r="D484" s="2" t="s">
        <v>333</v>
      </c>
      <c r="E484" s="2" t="s">
        <v>773</v>
      </c>
      <c r="F484" s="101">
        <v>14496</v>
      </c>
    </row>
    <row r="485" spans="3:6" ht="14.4" customHeight="1" x14ac:dyDescent="0.3">
      <c r="C485" s="2">
        <v>100</v>
      </c>
      <c r="D485" s="2" t="s">
        <v>465</v>
      </c>
      <c r="E485" s="2" t="s">
        <v>771</v>
      </c>
      <c r="F485" s="101">
        <v>335561</v>
      </c>
    </row>
    <row r="486" spans="3:6" ht="14.4" customHeight="1" x14ac:dyDescent="0.3">
      <c r="C486" s="2">
        <v>100</v>
      </c>
      <c r="D486" s="2" t="s">
        <v>539</v>
      </c>
      <c r="E486" s="2" t="s">
        <v>774</v>
      </c>
      <c r="F486" s="101">
        <v>3540</v>
      </c>
    </row>
    <row r="487" spans="3:6" ht="14.4" customHeight="1" x14ac:dyDescent="0.3">
      <c r="C487" s="2">
        <v>100</v>
      </c>
      <c r="D487" s="2" t="s">
        <v>320</v>
      </c>
      <c r="E487" s="2" t="s">
        <v>770</v>
      </c>
      <c r="F487" s="101">
        <v>24598</v>
      </c>
    </row>
    <row r="488" spans="3:6" ht="14.4" customHeight="1" x14ac:dyDescent="0.3">
      <c r="C488" s="2">
        <v>100</v>
      </c>
      <c r="D488" s="2" t="s">
        <v>640</v>
      </c>
      <c r="E488" s="2" t="s">
        <v>773</v>
      </c>
      <c r="F488" s="101">
        <v>1349</v>
      </c>
    </row>
    <row r="489" spans="3:6" ht="14.4" customHeight="1" x14ac:dyDescent="0.3">
      <c r="C489" s="2">
        <v>100</v>
      </c>
      <c r="D489" s="2" t="s">
        <v>366</v>
      </c>
      <c r="E489" s="2" t="s">
        <v>773</v>
      </c>
      <c r="F489" s="101">
        <v>2100</v>
      </c>
    </row>
    <row r="490" spans="3:6" ht="14.4" customHeight="1" x14ac:dyDescent="0.3">
      <c r="C490" s="2">
        <v>100</v>
      </c>
      <c r="D490" s="2" t="s">
        <v>282</v>
      </c>
      <c r="E490" s="2" t="s">
        <v>769</v>
      </c>
      <c r="F490" s="101">
        <v>249052</v>
      </c>
    </row>
    <row r="491" spans="3:6" ht="14.4" customHeight="1" x14ac:dyDescent="0.3">
      <c r="C491" s="2">
        <v>100</v>
      </c>
      <c r="D491" s="2" t="s">
        <v>565</v>
      </c>
      <c r="E491" s="2" t="s">
        <v>769</v>
      </c>
      <c r="F491" s="101">
        <v>60093</v>
      </c>
    </row>
    <row r="492" spans="3:6" ht="14.4" customHeight="1" x14ac:dyDescent="0.3">
      <c r="C492" s="2">
        <v>100</v>
      </c>
      <c r="D492" s="2" t="s">
        <v>218</v>
      </c>
      <c r="E492" s="2" t="s">
        <v>769</v>
      </c>
      <c r="F492" s="101">
        <v>172295</v>
      </c>
    </row>
    <row r="493" spans="3:6" ht="14.4" customHeight="1" x14ac:dyDescent="0.3">
      <c r="C493" s="2">
        <v>100</v>
      </c>
      <c r="D493" s="2" t="s">
        <v>384</v>
      </c>
      <c r="E493" s="2" t="s">
        <v>771</v>
      </c>
      <c r="F493" s="101">
        <v>139642</v>
      </c>
    </row>
    <row r="494" spans="3:6" ht="14.4" customHeight="1" x14ac:dyDescent="0.3">
      <c r="C494" s="2">
        <v>100</v>
      </c>
      <c r="D494" s="2" t="s">
        <v>736</v>
      </c>
      <c r="E494" s="2" t="s">
        <v>769</v>
      </c>
      <c r="F494" s="101">
        <v>1191</v>
      </c>
    </row>
    <row r="495" spans="3:6" ht="14.4" customHeight="1" x14ac:dyDescent="0.3">
      <c r="C495" s="2">
        <v>100</v>
      </c>
      <c r="D495" s="2" t="s">
        <v>369</v>
      </c>
      <c r="E495" s="2" t="s">
        <v>775</v>
      </c>
      <c r="F495" s="101">
        <v>44</v>
      </c>
    </row>
    <row r="496" spans="3:6" ht="14.4" customHeight="1" x14ac:dyDescent="0.3">
      <c r="C496" s="2">
        <v>100</v>
      </c>
      <c r="D496" s="2" t="s">
        <v>612</v>
      </c>
      <c r="E496" s="2" t="s">
        <v>770</v>
      </c>
      <c r="F496" s="101">
        <v>525</v>
      </c>
    </row>
    <row r="497" spans="3:6" ht="14.4" customHeight="1" x14ac:dyDescent="0.3">
      <c r="C497" s="2">
        <v>100</v>
      </c>
      <c r="D497" s="2" t="s">
        <v>507</v>
      </c>
      <c r="E497" s="2" t="s">
        <v>771</v>
      </c>
      <c r="F497" s="101">
        <v>3367</v>
      </c>
    </row>
    <row r="498" spans="3:6" ht="14.4" customHeight="1" x14ac:dyDescent="0.3">
      <c r="C498" s="2">
        <v>100</v>
      </c>
      <c r="D498" s="2" t="s">
        <v>336</v>
      </c>
      <c r="E498" s="2" t="s">
        <v>775</v>
      </c>
      <c r="F498" s="101">
        <v>12537</v>
      </c>
    </row>
    <row r="499" spans="3:6" ht="14.4" customHeight="1" x14ac:dyDescent="0.3">
      <c r="C499" s="2">
        <v>100</v>
      </c>
      <c r="D499" s="2" t="s">
        <v>256</v>
      </c>
      <c r="E499" s="2" t="s">
        <v>769</v>
      </c>
      <c r="F499" s="101">
        <v>15620</v>
      </c>
    </row>
    <row r="500" spans="3:6" ht="14.4" customHeight="1" x14ac:dyDescent="0.3">
      <c r="C500" s="2">
        <v>100</v>
      </c>
      <c r="D500" s="2" t="s">
        <v>261</v>
      </c>
      <c r="E500" s="2" t="s">
        <v>770</v>
      </c>
      <c r="F500" s="101">
        <v>86848</v>
      </c>
    </row>
    <row r="501" spans="3:6" ht="14.4" customHeight="1" x14ac:dyDescent="0.3">
      <c r="C501" s="2">
        <v>100</v>
      </c>
      <c r="D501" s="2" t="s">
        <v>268</v>
      </c>
      <c r="E501" s="2" t="s">
        <v>771</v>
      </c>
      <c r="F501" s="101">
        <v>19341</v>
      </c>
    </row>
    <row r="502" spans="3:6" ht="14.4" customHeight="1" x14ac:dyDescent="0.3">
      <c r="C502" s="2">
        <v>100</v>
      </c>
      <c r="D502" s="2" t="s">
        <v>564</v>
      </c>
      <c r="E502" s="2" t="s">
        <v>770</v>
      </c>
      <c r="F502" s="101">
        <v>509</v>
      </c>
    </row>
    <row r="503" spans="3:6" ht="14.4" customHeight="1" x14ac:dyDescent="0.3">
      <c r="C503" s="2">
        <v>100</v>
      </c>
      <c r="D503" s="2" t="s">
        <v>564</v>
      </c>
      <c r="E503" s="2" t="s">
        <v>771</v>
      </c>
      <c r="F503" s="101">
        <v>4603</v>
      </c>
    </row>
    <row r="504" spans="3:6" ht="14.4" customHeight="1" x14ac:dyDescent="0.3">
      <c r="C504" s="2">
        <v>100</v>
      </c>
      <c r="D504" s="2" t="s">
        <v>406</v>
      </c>
      <c r="E504" s="2" t="s">
        <v>775</v>
      </c>
      <c r="F504" s="101">
        <v>3270</v>
      </c>
    </row>
    <row r="505" spans="3:6" ht="14.4" customHeight="1" x14ac:dyDescent="0.3">
      <c r="C505" s="2">
        <v>100</v>
      </c>
      <c r="D505" s="2" t="s">
        <v>498</v>
      </c>
      <c r="E505" s="2" t="s">
        <v>770</v>
      </c>
      <c r="F505" s="101">
        <v>9234</v>
      </c>
    </row>
    <row r="506" spans="3:6" ht="14.4" customHeight="1" x14ac:dyDescent="0.3">
      <c r="C506" s="2">
        <v>100</v>
      </c>
      <c r="D506" s="2" t="s">
        <v>640</v>
      </c>
      <c r="E506" s="2" t="s">
        <v>770</v>
      </c>
      <c r="F506" s="101">
        <v>308</v>
      </c>
    </row>
    <row r="507" spans="3:6" ht="14.4" customHeight="1" x14ac:dyDescent="0.3">
      <c r="C507" s="2">
        <v>100</v>
      </c>
      <c r="D507" s="2" t="s">
        <v>320</v>
      </c>
      <c r="E507" s="2" t="s">
        <v>773</v>
      </c>
      <c r="F507" s="101">
        <v>2155</v>
      </c>
    </row>
    <row r="508" spans="3:6" ht="14.4" customHeight="1" x14ac:dyDescent="0.3">
      <c r="C508" s="2">
        <v>100</v>
      </c>
      <c r="D508" s="2" t="s">
        <v>222</v>
      </c>
      <c r="E508" s="2" t="s">
        <v>771</v>
      </c>
      <c r="F508" s="101">
        <v>5650</v>
      </c>
    </row>
    <row r="509" spans="3:6" ht="14.4" customHeight="1" x14ac:dyDescent="0.3">
      <c r="C509" s="2">
        <v>100</v>
      </c>
      <c r="D509" s="2" t="s">
        <v>633</v>
      </c>
      <c r="E509" s="2" t="s">
        <v>775</v>
      </c>
      <c r="F509" s="101">
        <v>73</v>
      </c>
    </row>
    <row r="510" spans="3:6" ht="14.4" customHeight="1" x14ac:dyDescent="0.3">
      <c r="C510" s="2">
        <v>100</v>
      </c>
      <c r="D510" s="2" t="s">
        <v>575</v>
      </c>
      <c r="E510" s="2" t="s">
        <v>774</v>
      </c>
      <c r="F510" s="101">
        <v>0</v>
      </c>
    </row>
    <row r="511" spans="3:6" ht="14.4" customHeight="1" x14ac:dyDescent="0.3">
      <c r="C511" s="2">
        <v>100</v>
      </c>
      <c r="D511" s="2" t="s">
        <v>658</v>
      </c>
      <c r="E511" s="2" t="s">
        <v>770</v>
      </c>
      <c r="F511" s="101">
        <v>261</v>
      </c>
    </row>
    <row r="512" spans="3:6" ht="14.4" customHeight="1" x14ac:dyDescent="0.3">
      <c r="C512" s="2">
        <v>100</v>
      </c>
      <c r="D512" s="2" t="s">
        <v>277</v>
      </c>
      <c r="E512" s="2" t="s">
        <v>777</v>
      </c>
      <c r="F512" s="101">
        <v>205</v>
      </c>
    </row>
    <row r="513" spans="3:6" ht="14.4" customHeight="1" x14ac:dyDescent="0.3">
      <c r="C513" s="2">
        <v>100</v>
      </c>
      <c r="D513" s="2" t="s">
        <v>240</v>
      </c>
      <c r="E513" s="2" t="s">
        <v>774</v>
      </c>
      <c r="F513" s="101">
        <v>1421</v>
      </c>
    </row>
    <row r="514" spans="3:6" ht="14.4" customHeight="1" x14ac:dyDescent="0.3">
      <c r="C514" s="2">
        <v>100</v>
      </c>
      <c r="D514" s="2" t="s">
        <v>492</v>
      </c>
      <c r="E514" s="2" t="s">
        <v>773</v>
      </c>
      <c r="F514" s="101">
        <v>743</v>
      </c>
    </row>
    <row r="515" spans="3:6" ht="14.4" customHeight="1" x14ac:dyDescent="0.3">
      <c r="C515" s="2">
        <v>100</v>
      </c>
      <c r="D515" s="2" t="s">
        <v>329</v>
      </c>
      <c r="E515" s="2" t="s">
        <v>774</v>
      </c>
      <c r="F515" s="101">
        <v>4144</v>
      </c>
    </row>
    <row r="516" spans="3:6" ht="14.4" customHeight="1" x14ac:dyDescent="0.3">
      <c r="C516" s="2">
        <v>100</v>
      </c>
      <c r="D516" s="2" t="s">
        <v>638</v>
      </c>
      <c r="E516" s="2" t="s">
        <v>774</v>
      </c>
      <c r="F516" s="101">
        <v>1275</v>
      </c>
    </row>
    <row r="517" spans="3:6" ht="14.4" customHeight="1" x14ac:dyDescent="0.3">
      <c r="C517" s="2">
        <v>100</v>
      </c>
      <c r="D517" s="2" t="s">
        <v>496</v>
      </c>
      <c r="E517" s="2" t="s">
        <v>774</v>
      </c>
      <c r="F517" s="101">
        <v>150</v>
      </c>
    </row>
    <row r="518" spans="3:6" ht="14.4" customHeight="1" x14ac:dyDescent="0.3">
      <c r="C518" s="2">
        <v>100</v>
      </c>
      <c r="D518" s="2" t="s">
        <v>555</v>
      </c>
      <c r="E518" s="2" t="s">
        <v>769</v>
      </c>
      <c r="F518" s="101">
        <v>68508</v>
      </c>
    </row>
    <row r="519" spans="3:6" ht="14.4" customHeight="1" x14ac:dyDescent="0.3">
      <c r="C519" s="2">
        <v>100</v>
      </c>
      <c r="D519" s="2" t="s">
        <v>325</v>
      </c>
      <c r="E519" s="2" t="s">
        <v>775</v>
      </c>
      <c r="F519" s="101">
        <v>5035</v>
      </c>
    </row>
    <row r="520" spans="3:6" ht="14.4" customHeight="1" x14ac:dyDescent="0.3">
      <c r="C520" s="2">
        <v>100</v>
      </c>
      <c r="D520" s="2" t="s">
        <v>325</v>
      </c>
      <c r="E520" s="2" t="s">
        <v>773</v>
      </c>
      <c r="F520" s="101">
        <v>25</v>
      </c>
    </row>
    <row r="521" spans="3:6" ht="14.4" customHeight="1" x14ac:dyDescent="0.3">
      <c r="C521" s="2">
        <v>100</v>
      </c>
      <c r="E521" s="2" t="s">
        <v>769</v>
      </c>
      <c r="F521" s="101">
        <v>1759</v>
      </c>
    </row>
    <row r="522" spans="3:6" ht="14.4" customHeight="1" x14ac:dyDescent="0.3">
      <c r="C522" s="2">
        <v>100</v>
      </c>
      <c r="D522" s="2" t="s">
        <v>649</v>
      </c>
      <c r="E522" s="2" t="s">
        <v>774</v>
      </c>
      <c r="F522" s="101">
        <v>71</v>
      </c>
    </row>
    <row r="523" spans="3:6" ht="14.4" customHeight="1" x14ac:dyDescent="0.3">
      <c r="C523" s="2">
        <v>100</v>
      </c>
      <c r="D523" s="2" t="s">
        <v>211</v>
      </c>
      <c r="E523" s="2" t="s">
        <v>774</v>
      </c>
      <c r="F523" s="101">
        <v>6517</v>
      </c>
    </row>
    <row r="524" spans="3:6" ht="14.4" customHeight="1" x14ac:dyDescent="0.3">
      <c r="C524" s="2">
        <v>100</v>
      </c>
      <c r="D524" s="2" t="s">
        <v>703</v>
      </c>
      <c r="E524" s="2" t="s">
        <v>771</v>
      </c>
      <c r="F524" s="101">
        <v>147</v>
      </c>
    </row>
    <row r="525" spans="3:6" ht="14.4" customHeight="1" x14ac:dyDescent="0.3">
      <c r="C525" s="2">
        <v>100</v>
      </c>
      <c r="D525" s="2" t="s">
        <v>635</v>
      </c>
      <c r="E525" s="2" t="s">
        <v>774</v>
      </c>
      <c r="F525" s="101">
        <v>21178</v>
      </c>
    </row>
    <row r="526" spans="3:6" ht="14.4" customHeight="1" x14ac:dyDescent="0.3">
      <c r="C526" s="2">
        <v>100</v>
      </c>
      <c r="D526" s="2" t="s">
        <v>750</v>
      </c>
      <c r="E526" s="2" t="s">
        <v>770</v>
      </c>
      <c r="F526" s="101">
        <v>108</v>
      </c>
    </row>
    <row r="527" spans="3:6" ht="14.4" customHeight="1" x14ac:dyDescent="0.3">
      <c r="C527" s="2">
        <v>100</v>
      </c>
      <c r="D527" s="2" t="s">
        <v>665</v>
      </c>
      <c r="E527" s="2" t="s">
        <v>769</v>
      </c>
      <c r="F527" s="101">
        <v>22184</v>
      </c>
    </row>
    <row r="528" spans="3:6" ht="14.4" customHeight="1" x14ac:dyDescent="0.3">
      <c r="C528" s="2">
        <v>100</v>
      </c>
      <c r="D528" s="2" t="s">
        <v>303</v>
      </c>
      <c r="E528" s="2" t="s">
        <v>772</v>
      </c>
      <c r="F528" s="101">
        <v>2503</v>
      </c>
    </row>
    <row r="529" spans="3:6" ht="14.4" customHeight="1" x14ac:dyDescent="0.3">
      <c r="C529" s="2">
        <v>100</v>
      </c>
      <c r="D529" s="2" t="s">
        <v>530</v>
      </c>
      <c r="E529" s="2" t="s">
        <v>770</v>
      </c>
      <c r="F529" s="101">
        <v>213</v>
      </c>
    </row>
    <row r="530" spans="3:6" ht="14.4" customHeight="1" x14ac:dyDescent="0.3">
      <c r="C530" s="2">
        <v>100</v>
      </c>
      <c r="D530" s="2" t="s">
        <v>331</v>
      </c>
      <c r="E530" s="2" t="s">
        <v>771</v>
      </c>
      <c r="F530" s="101">
        <v>72332</v>
      </c>
    </row>
    <row r="531" spans="3:6" ht="14.4" customHeight="1" x14ac:dyDescent="0.3">
      <c r="C531" s="2">
        <v>100</v>
      </c>
      <c r="D531" s="2" t="s">
        <v>414</v>
      </c>
      <c r="E531" s="2" t="s">
        <v>771</v>
      </c>
      <c r="F531" s="101">
        <v>44384</v>
      </c>
    </row>
    <row r="532" spans="3:6" ht="14.4" customHeight="1" x14ac:dyDescent="0.3">
      <c r="C532" s="2">
        <v>100</v>
      </c>
      <c r="D532" s="2" t="s">
        <v>490</v>
      </c>
      <c r="E532" s="2" t="s">
        <v>770</v>
      </c>
      <c r="F532" s="101">
        <v>2791</v>
      </c>
    </row>
    <row r="533" spans="3:6" ht="14.4" customHeight="1" x14ac:dyDescent="0.3">
      <c r="C533" s="2">
        <v>100</v>
      </c>
      <c r="D533" s="2" t="s">
        <v>628</v>
      </c>
      <c r="E533" s="2" t="s">
        <v>771</v>
      </c>
      <c r="F533" s="101">
        <v>813</v>
      </c>
    </row>
    <row r="534" spans="3:6" ht="14.4" customHeight="1" x14ac:dyDescent="0.3">
      <c r="C534" s="2">
        <v>100</v>
      </c>
      <c r="D534" s="2" t="s">
        <v>390</v>
      </c>
      <c r="E534" s="2" t="s">
        <v>774</v>
      </c>
      <c r="F534" s="101">
        <v>159</v>
      </c>
    </row>
    <row r="535" spans="3:6" ht="14.4" customHeight="1" x14ac:dyDescent="0.3">
      <c r="C535" s="2">
        <v>100</v>
      </c>
      <c r="D535" s="2" t="s">
        <v>282</v>
      </c>
      <c r="E535" s="2" t="s">
        <v>773</v>
      </c>
      <c r="F535" s="101">
        <v>2709</v>
      </c>
    </row>
    <row r="536" spans="3:6" ht="14.4" customHeight="1" x14ac:dyDescent="0.3">
      <c r="C536" s="2">
        <v>100</v>
      </c>
      <c r="D536" s="2" t="s">
        <v>406</v>
      </c>
      <c r="E536" s="2" t="s">
        <v>777</v>
      </c>
      <c r="F536" s="101">
        <v>35594</v>
      </c>
    </row>
    <row r="537" spans="3:6" ht="14.4" customHeight="1" x14ac:dyDescent="0.3">
      <c r="C537" s="2">
        <v>100</v>
      </c>
      <c r="D537" s="2" t="s">
        <v>275</v>
      </c>
      <c r="E537" s="2" t="s">
        <v>774</v>
      </c>
      <c r="F537" s="101">
        <v>801</v>
      </c>
    </row>
    <row r="538" spans="3:6" ht="14.4" customHeight="1" x14ac:dyDescent="0.3">
      <c r="C538" s="2">
        <v>100</v>
      </c>
      <c r="D538" s="2" t="s">
        <v>463</v>
      </c>
      <c r="E538" s="2" t="s">
        <v>771</v>
      </c>
      <c r="F538" s="101">
        <v>4404</v>
      </c>
    </row>
    <row r="539" spans="3:6" ht="14.4" customHeight="1" x14ac:dyDescent="0.3">
      <c r="C539" s="2">
        <v>100</v>
      </c>
      <c r="D539" s="2" t="s">
        <v>463</v>
      </c>
      <c r="E539" s="2" t="s">
        <v>770</v>
      </c>
      <c r="F539" s="101">
        <v>2292</v>
      </c>
    </row>
    <row r="540" spans="3:6" ht="14.4" customHeight="1" x14ac:dyDescent="0.3">
      <c r="C540" s="2">
        <v>100</v>
      </c>
      <c r="D540" s="2" t="s">
        <v>214</v>
      </c>
      <c r="E540" s="2" t="s">
        <v>772</v>
      </c>
      <c r="F540" s="101">
        <v>774</v>
      </c>
    </row>
    <row r="541" spans="3:6" ht="14.4" customHeight="1" x14ac:dyDescent="0.3">
      <c r="C541" s="2">
        <v>100</v>
      </c>
      <c r="D541" s="2" t="s">
        <v>369</v>
      </c>
      <c r="E541" s="2" t="s">
        <v>769</v>
      </c>
      <c r="F541" s="101">
        <v>240806</v>
      </c>
    </row>
    <row r="542" spans="3:6" ht="14.4" customHeight="1" x14ac:dyDescent="0.3">
      <c r="C542" s="2">
        <v>100</v>
      </c>
      <c r="D542" s="2" t="s">
        <v>256</v>
      </c>
      <c r="E542" s="2" t="s">
        <v>771</v>
      </c>
      <c r="F542" s="101">
        <v>1902</v>
      </c>
    </row>
    <row r="543" spans="3:6" ht="14.4" customHeight="1" x14ac:dyDescent="0.3">
      <c r="C543" s="2">
        <v>100</v>
      </c>
      <c r="D543" s="2" t="s">
        <v>801</v>
      </c>
      <c r="E543" s="2" t="s">
        <v>769</v>
      </c>
      <c r="F543" s="101">
        <v>574</v>
      </c>
    </row>
    <row r="544" spans="3:6" ht="14.4" customHeight="1" x14ac:dyDescent="0.3">
      <c r="C544" s="2">
        <v>100</v>
      </c>
      <c r="D544" s="2" t="s">
        <v>657</v>
      </c>
      <c r="E544" s="2" t="s">
        <v>770</v>
      </c>
      <c r="F544" s="101">
        <v>1757</v>
      </c>
    </row>
    <row r="545" spans="3:6" ht="14.4" customHeight="1" x14ac:dyDescent="0.3">
      <c r="C545" s="2">
        <v>100</v>
      </c>
      <c r="D545" s="2" t="s">
        <v>442</v>
      </c>
      <c r="E545" s="2" t="s">
        <v>777</v>
      </c>
      <c r="F545" s="101">
        <v>4053</v>
      </c>
    </row>
    <row r="546" spans="3:6" ht="14.4" customHeight="1" x14ac:dyDescent="0.3">
      <c r="C546" s="2">
        <v>100</v>
      </c>
      <c r="D546" s="2" t="s">
        <v>687</v>
      </c>
      <c r="E546" s="2" t="s">
        <v>770</v>
      </c>
      <c r="F546" s="101">
        <v>12483</v>
      </c>
    </row>
    <row r="547" spans="3:6" ht="14.4" customHeight="1" x14ac:dyDescent="0.3">
      <c r="C547" s="2">
        <v>100</v>
      </c>
      <c r="D547" s="2" t="s">
        <v>626</v>
      </c>
      <c r="E547" s="2" t="s">
        <v>774</v>
      </c>
      <c r="F547" s="101">
        <v>-539</v>
      </c>
    </row>
    <row r="548" spans="3:6" ht="14.4" customHeight="1" x14ac:dyDescent="0.3">
      <c r="C548" s="2">
        <v>100</v>
      </c>
      <c r="D548" s="2" t="s">
        <v>418</v>
      </c>
      <c r="E548" s="2" t="s">
        <v>773</v>
      </c>
      <c r="F548" s="101">
        <v>187</v>
      </c>
    </row>
    <row r="549" spans="3:6" ht="14.4" customHeight="1" x14ac:dyDescent="0.3">
      <c r="C549" s="2">
        <v>100</v>
      </c>
      <c r="D549" s="2" t="s">
        <v>507</v>
      </c>
      <c r="E549" s="2" t="s">
        <v>769</v>
      </c>
      <c r="F549" s="101">
        <v>60179</v>
      </c>
    </row>
    <row r="550" spans="3:6" ht="14.4" customHeight="1" x14ac:dyDescent="0.3">
      <c r="C550" s="2">
        <v>100</v>
      </c>
      <c r="D550" s="2" t="s">
        <v>356</v>
      </c>
      <c r="E550" s="2" t="s">
        <v>775</v>
      </c>
      <c r="F550" s="101">
        <v>27</v>
      </c>
    </row>
    <row r="551" spans="3:6" ht="14.4" customHeight="1" x14ac:dyDescent="0.3">
      <c r="C551" s="2">
        <v>100</v>
      </c>
      <c r="D551" s="2" t="s">
        <v>404</v>
      </c>
      <c r="E551" s="2" t="s">
        <v>770</v>
      </c>
      <c r="F551" s="101">
        <v>610</v>
      </c>
    </row>
    <row r="552" spans="3:6" ht="14.4" customHeight="1" x14ac:dyDescent="0.3">
      <c r="C552" s="2">
        <v>100</v>
      </c>
      <c r="D552" s="2" t="s">
        <v>520</v>
      </c>
      <c r="E552" s="2" t="s">
        <v>771</v>
      </c>
      <c r="F552" s="101">
        <v>2102</v>
      </c>
    </row>
    <row r="553" spans="3:6" ht="14.4" customHeight="1" x14ac:dyDescent="0.3">
      <c r="C553" s="2">
        <v>100</v>
      </c>
      <c r="D553" s="2" t="s">
        <v>279</v>
      </c>
      <c r="E553" s="2" t="s">
        <v>770</v>
      </c>
      <c r="F553" s="101">
        <v>2950</v>
      </c>
    </row>
    <row r="554" spans="3:6" ht="14.4" customHeight="1" x14ac:dyDescent="0.3">
      <c r="C554" s="2">
        <v>100</v>
      </c>
      <c r="D554" s="2" t="s">
        <v>637</v>
      </c>
      <c r="E554" s="2" t="s">
        <v>771</v>
      </c>
      <c r="F554" s="101">
        <v>684</v>
      </c>
    </row>
    <row r="555" spans="3:6" ht="14.4" customHeight="1" x14ac:dyDescent="0.3">
      <c r="C555" s="2">
        <v>100</v>
      </c>
      <c r="D555" s="2" t="s">
        <v>218</v>
      </c>
      <c r="E555" s="2" t="s">
        <v>771</v>
      </c>
      <c r="F555" s="101">
        <v>29288</v>
      </c>
    </row>
    <row r="556" spans="3:6" ht="14.4" customHeight="1" x14ac:dyDescent="0.3">
      <c r="C556" s="2">
        <v>100</v>
      </c>
      <c r="D556" s="2" t="s">
        <v>225</v>
      </c>
      <c r="E556" s="2" t="s">
        <v>770</v>
      </c>
      <c r="F556" s="101">
        <v>69555</v>
      </c>
    </row>
    <row r="557" spans="3:6" ht="14.4" customHeight="1" x14ac:dyDescent="0.3">
      <c r="C557" s="2">
        <v>100</v>
      </c>
      <c r="D557" s="2" t="s">
        <v>498</v>
      </c>
      <c r="E557" s="2" t="s">
        <v>777</v>
      </c>
      <c r="F557" s="101">
        <v>3831</v>
      </c>
    </row>
    <row r="558" spans="3:6" ht="14.4" customHeight="1" x14ac:dyDescent="0.3">
      <c r="C558" s="2">
        <v>100</v>
      </c>
      <c r="D558" s="2" t="s">
        <v>532</v>
      </c>
      <c r="E558" s="2" t="s">
        <v>771</v>
      </c>
      <c r="F558" s="101">
        <v>8207</v>
      </c>
    </row>
    <row r="559" spans="3:6" ht="14.4" customHeight="1" x14ac:dyDescent="0.3">
      <c r="C559" s="2">
        <v>100</v>
      </c>
      <c r="D559" s="2" t="s">
        <v>623</v>
      </c>
      <c r="E559" s="2" t="s">
        <v>775</v>
      </c>
      <c r="F559" s="101">
        <v>61000</v>
      </c>
    </row>
    <row r="560" spans="3:6" ht="14.4" customHeight="1" x14ac:dyDescent="0.3">
      <c r="C560" s="2">
        <v>100</v>
      </c>
      <c r="D560" s="2" t="s">
        <v>628</v>
      </c>
      <c r="E560" s="2" t="s">
        <v>773</v>
      </c>
      <c r="F560" s="101">
        <v>381</v>
      </c>
    </row>
    <row r="561" spans="3:6" ht="14.4" customHeight="1" x14ac:dyDescent="0.3">
      <c r="C561" s="2">
        <v>100</v>
      </c>
      <c r="D561" s="2" t="s">
        <v>282</v>
      </c>
      <c r="E561" s="2" t="s">
        <v>770</v>
      </c>
      <c r="F561" s="101">
        <v>1382</v>
      </c>
    </row>
    <row r="562" spans="3:6" ht="14.4" customHeight="1" x14ac:dyDescent="0.3">
      <c r="C562" s="2">
        <v>100</v>
      </c>
      <c r="D562" s="2" t="s">
        <v>524</v>
      </c>
      <c r="E562" s="2" t="s">
        <v>769</v>
      </c>
      <c r="F562" s="101">
        <v>232609</v>
      </c>
    </row>
    <row r="563" spans="3:6" ht="14.4" customHeight="1" x14ac:dyDescent="0.3">
      <c r="C563" s="2">
        <v>100</v>
      </c>
      <c r="D563" s="2" t="s">
        <v>439</v>
      </c>
      <c r="E563" s="2" t="s">
        <v>777</v>
      </c>
      <c r="F563" s="101">
        <v>1288</v>
      </c>
    </row>
    <row r="564" spans="3:6" ht="14.4" customHeight="1" x14ac:dyDescent="0.3">
      <c r="C564" s="2">
        <v>100</v>
      </c>
      <c r="D564" s="2" t="s">
        <v>228</v>
      </c>
      <c r="E564" s="2" t="s">
        <v>775</v>
      </c>
      <c r="F564" s="101">
        <v>25820</v>
      </c>
    </row>
    <row r="565" spans="3:6" ht="14.4" customHeight="1" x14ac:dyDescent="0.3">
      <c r="C565" s="2">
        <v>100</v>
      </c>
      <c r="D565" s="2" t="s">
        <v>377</v>
      </c>
      <c r="E565" s="2" t="s">
        <v>770</v>
      </c>
      <c r="F565" s="101">
        <v>2378</v>
      </c>
    </row>
    <row r="566" spans="3:6" ht="14.4" customHeight="1" x14ac:dyDescent="0.3">
      <c r="C566" s="2">
        <v>100</v>
      </c>
      <c r="D566" s="2" t="s">
        <v>492</v>
      </c>
      <c r="E566" s="2" t="s">
        <v>769</v>
      </c>
      <c r="F566" s="101">
        <v>20986</v>
      </c>
    </row>
    <row r="567" spans="3:6" ht="14.4" customHeight="1" x14ac:dyDescent="0.3">
      <c r="C567" s="2">
        <v>100</v>
      </c>
      <c r="D567" s="2" t="s">
        <v>221</v>
      </c>
      <c r="E567" s="2" t="s">
        <v>774</v>
      </c>
      <c r="F567" s="101">
        <v>27198</v>
      </c>
    </row>
    <row r="568" spans="3:6" ht="14.4" customHeight="1" x14ac:dyDescent="0.3">
      <c r="C568" s="2">
        <v>100</v>
      </c>
      <c r="D568" s="2" t="s">
        <v>337</v>
      </c>
      <c r="E568" s="2" t="s">
        <v>775</v>
      </c>
      <c r="F568" s="101">
        <v>26953</v>
      </c>
    </row>
    <row r="569" spans="3:6" ht="14.4" customHeight="1" x14ac:dyDescent="0.3">
      <c r="C569" s="2">
        <v>100</v>
      </c>
      <c r="D569" s="2" t="s">
        <v>511</v>
      </c>
      <c r="E569" s="2" t="s">
        <v>774</v>
      </c>
      <c r="F569" s="101">
        <v>7135</v>
      </c>
    </row>
    <row r="570" spans="3:6" ht="14.4" customHeight="1" x14ac:dyDescent="0.3">
      <c r="C570" s="2">
        <v>100</v>
      </c>
      <c r="D570" s="2" t="s">
        <v>364</v>
      </c>
      <c r="E570" s="2" t="s">
        <v>771</v>
      </c>
      <c r="F570" s="101">
        <v>12580</v>
      </c>
    </row>
    <row r="571" spans="3:6" ht="14.4" customHeight="1" x14ac:dyDescent="0.3">
      <c r="C571" s="2">
        <v>100</v>
      </c>
      <c r="D571" s="2" t="s">
        <v>540</v>
      </c>
      <c r="E571" s="2" t="s">
        <v>774</v>
      </c>
      <c r="F571" s="101">
        <v>0</v>
      </c>
    </row>
    <row r="572" spans="3:6" ht="14.4" customHeight="1" x14ac:dyDescent="0.3">
      <c r="C572" s="2">
        <v>100</v>
      </c>
      <c r="D572" s="2" t="s">
        <v>457</v>
      </c>
      <c r="E572" s="2" t="s">
        <v>775</v>
      </c>
      <c r="F572" s="101">
        <v>27</v>
      </c>
    </row>
    <row r="573" spans="3:6" ht="14.4" customHeight="1" x14ac:dyDescent="0.3">
      <c r="C573" s="2">
        <v>100</v>
      </c>
      <c r="D573" s="2" t="s">
        <v>232</v>
      </c>
      <c r="E573" s="2" t="s">
        <v>773</v>
      </c>
      <c r="F573" s="101">
        <v>880</v>
      </c>
    </row>
    <row r="574" spans="3:6" ht="14.4" customHeight="1" x14ac:dyDescent="0.3">
      <c r="C574" s="2">
        <v>100</v>
      </c>
      <c r="D574" s="2" t="s">
        <v>228</v>
      </c>
      <c r="E574" s="2" t="s">
        <v>771</v>
      </c>
      <c r="F574" s="101">
        <v>113</v>
      </c>
    </row>
    <row r="575" spans="3:6" ht="14.4" customHeight="1" x14ac:dyDescent="0.3">
      <c r="C575" s="2">
        <v>100</v>
      </c>
      <c r="D575" s="2" t="s">
        <v>643</v>
      </c>
      <c r="E575" s="2" t="s">
        <v>773</v>
      </c>
      <c r="F575" s="101">
        <v>47</v>
      </c>
    </row>
    <row r="576" spans="3:6" ht="14.4" customHeight="1" x14ac:dyDescent="0.3">
      <c r="C576" s="2">
        <v>100</v>
      </c>
      <c r="D576" s="2" t="s">
        <v>434</v>
      </c>
      <c r="E576" s="2" t="s">
        <v>774</v>
      </c>
      <c r="F576" s="101">
        <v>1874</v>
      </c>
    </row>
    <row r="577" spans="3:6" ht="14.4" customHeight="1" x14ac:dyDescent="0.3">
      <c r="C577" s="2">
        <v>100</v>
      </c>
      <c r="D577" s="2" t="s">
        <v>284</v>
      </c>
      <c r="E577" s="2" t="s">
        <v>777</v>
      </c>
      <c r="F577" s="101">
        <v>878</v>
      </c>
    </row>
    <row r="578" spans="3:6" ht="14.4" customHeight="1" x14ac:dyDescent="0.3">
      <c r="C578" s="2">
        <v>100</v>
      </c>
      <c r="D578" s="2" t="s">
        <v>556</v>
      </c>
      <c r="E578" s="2" t="s">
        <v>771</v>
      </c>
      <c r="F578" s="101">
        <v>915</v>
      </c>
    </row>
    <row r="579" spans="3:6" ht="14.4" customHeight="1" x14ac:dyDescent="0.3">
      <c r="C579" s="2">
        <v>100</v>
      </c>
      <c r="D579" s="2" t="s">
        <v>258</v>
      </c>
      <c r="E579" s="2" t="s">
        <v>774</v>
      </c>
      <c r="F579" s="101">
        <v>781</v>
      </c>
    </row>
    <row r="580" spans="3:6" ht="14.4" customHeight="1" x14ac:dyDescent="0.3">
      <c r="C580" s="2">
        <v>100</v>
      </c>
      <c r="D580" s="2" t="s">
        <v>439</v>
      </c>
      <c r="E580" s="2" t="s">
        <v>769</v>
      </c>
      <c r="F580" s="101">
        <v>37050</v>
      </c>
    </row>
    <row r="581" spans="3:6" ht="14.4" customHeight="1" x14ac:dyDescent="0.3">
      <c r="C581" s="2">
        <v>100</v>
      </c>
      <c r="D581" s="2" t="s">
        <v>286</v>
      </c>
      <c r="E581" s="2" t="s">
        <v>771</v>
      </c>
      <c r="F581" s="101">
        <v>4841</v>
      </c>
    </row>
    <row r="582" spans="3:6" ht="14.4" customHeight="1" x14ac:dyDescent="0.3">
      <c r="C582" s="2">
        <v>100</v>
      </c>
      <c r="D582" s="2" t="s">
        <v>212</v>
      </c>
      <c r="E582" s="2" t="s">
        <v>770</v>
      </c>
      <c r="F582" s="101">
        <v>1175</v>
      </c>
    </row>
    <row r="583" spans="3:6" ht="14.4" customHeight="1" x14ac:dyDescent="0.3">
      <c r="C583" s="2">
        <v>100</v>
      </c>
      <c r="D583" s="2" t="s">
        <v>487</v>
      </c>
      <c r="E583" s="2" t="s">
        <v>770</v>
      </c>
      <c r="F583" s="101">
        <v>8282</v>
      </c>
    </row>
    <row r="584" spans="3:6" ht="14.4" customHeight="1" x14ac:dyDescent="0.3">
      <c r="C584" s="2">
        <v>100</v>
      </c>
      <c r="D584" s="2" t="s">
        <v>208</v>
      </c>
      <c r="E584" s="2" t="s">
        <v>769</v>
      </c>
      <c r="F584" s="101">
        <v>408890</v>
      </c>
    </row>
    <row r="585" spans="3:6" ht="14.4" customHeight="1" x14ac:dyDescent="0.3">
      <c r="C585" s="2">
        <v>100</v>
      </c>
      <c r="D585" s="2" t="s">
        <v>241</v>
      </c>
      <c r="E585" s="2" t="s">
        <v>769</v>
      </c>
      <c r="F585" s="101">
        <v>4472</v>
      </c>
    </row>
    <row r="586" spans="3:6" ht="14.4" customHeight="1" x14ac:dyDescent="0.3">
      <c r="C586" s="2">
        <v>100</v>
      </c>
      <c r="D586" s="2" t="s">
        <v>718</v>
      </c>
      <c r="E586" s="2" t="s">
        <v>774</v>
      </c>
      <c r="F586" s="101">
        <v>0</v>
      </c>
    </row>
    <row r="587" spans="3:6" ht="14.4" customHeight="1" x14ac:dyDescent="0.3">
      <c r="C587" s="2">
        <v>100</v>
      </c>
      <c r="D587" s="2" t="s">
        <v>270</v>
      </c>
      <c r="E587" s="2" t="s">
        <v>769</v>
      </c>
      <c r="F587" s="101">
        <v>49160</v>
      </c>
    </row>
    <row r="588" spans="3:6" ht="14.4" customHeight="1" x14ac:dyDescent="0.3">
      <c r="C588" s="2">
        <v>100</v>
      </c>
      <c r="D588" s="2" t="s">
        <v>483</v>
      </c>
      <c r="E588" s="2" t="s">
        <v>777</v>
      </c>
      <c r="F588" s="101">
        <v>7949</v>
      </c>
    </row>
    <row r="589" spans="3:6" ht="14.4" customHeight="1" x14ac:dyDescent="0.3">
      <c r="C589" s="2">
        <v>100</v>
      </c>
      <c r="D589" s="2" t="s">
        <v>262</v>
      </c>
      <c r="E589" s="2" t="s">
        <v>770</v>
      </c>
      <c r="F589" s="101">
        <v>8751</v>
      </c>
    </row>
    <row r="590" spans="3:6" ht="14.4" customHeight="1" x14ac:dyDescent="0.3">
      <c r="C590" s="2">
        <v>100</v>
      </c>
      <c r="D590" s="2" t="s">
        <v>264</v>
      </c>
      <c r="E590" s="2" t="s">
        <v>777</v>
      </c>
      <c r="F590" s="101">
        <v>184</v>
      </c>
    </row>
    <row r="591" spans="3:6" ht="14.4" customHeight="1" x14ac:dyDescent="0.3">
      <c r="C591" s="2">
        <v>100</v>
      </c>
      <c r="D591" s="2" t="s">
        <v>493</v>
      </c>
      <c r="E591" s="2" t="s">
        <v>770</v>
      </c>
      <c r="F591" s="101">
        <v>5312</v>
      </c>
    </row>
    <row r="592" spans="3:6" ht="14.4" customHeight="1" x14ac:dyDescent="0.3">
      <c r="C592" s="2">
        <v>100</v>
      </c>
      <c r="D592" s="2" t="s">
        <v>645</v>
      </c>
      <c r="E592" s="2" t="s">
        <v>773</v>
      </c>
      <c r="F592" s="101">
        <v>738</v>
      </c>
    </row>
    <row r="593" spans="3:6" ht="14.4" customHeight="1" x14ac:dyDescent="0.3">
      <c r="C593" s="2">
        <v>100</v>
      </c>
      <c r="D593" s="2" t="s">
        <v>363</v>
      </c>
      <c r="E593" s="2" t="s">
        <v>769</v>
      </c>
      <c r="F593" s="101">
        <v>343032</v>
      </c>
    </row>
    <row r="594" spans="3:6" ht="14.4" customHeight="1" x14ac:dyDescent="0.3">
      <c r="C594" s="2">
        <v>100</v>
      </c>
      <c r="D594" s="2" t="s">
        <v>661</v>
      </c>
      <c r="E594" s="2" t="s">
        <v>769</v>
      </c>
      <c r="F594" s="101">
        <v>21315</v>
      </c>
    </row>
    <row r="595" spans="3:6" ht="14.4" customHeight="1" x14ac:dyDescent="0.3">
      <c r="C595" s="2">
        <v>100</v>
      </c>
      <c r="D595" s="2" t="s">
        <v>420</v>
      </c>
      <c r="E595" s="2" t="s">
        <v>771</v>
      </c>
      <c r="F595" s="101">
        <v>48</v>
      </c>
    </row>
    <row r="596" spans="3:6" ht="14.4" customHeight="1" x14ac:dyDescent="0.3">
      <c r="C596" s="2">
        <v>100</v>
      </c>
      <c r="D596" s="2" t="s">
        <v>617</v>
      </c>
      <c r="E596" s="2" t="s">
        <v>771</v>
      </c>
      <c r="F596" s="101">
        <v>3049</v>
      </c>
    </row>
    <row r="597" spans="3:6" ht="14.4" customHeight="1" x14ac:dyDescent="0.3">
      <c r="C597" s="2">
        <v>100</v>
      </c>
      <c r="D597" s="2" t="s">
        <v>527</v>
      </c>
      <c r="E597" s="2" t="s">
        <v>773</v>
      </c>
      <c r="F597" s="101">
        <v>346</v>
      </c>
    </row>
    <row r="598" spans="3:6" ht="14.4" customHeight="1" x14ac:dyDescent="0.3">
      <c r="C598" s="2">
        <v>100</v>
      </c>
      <c r="D598" s="2" t="s">
        <v>475</v>
      </c>
      <c r="E598" s="2" t="s">
        <v>774</v>
      </c>
      <c r="F598" s="101">
        <v>3124</v>
      </c>
    </row>
    <row r="599" spans="3:6" ht="14.4" customHeight="1" x14ac:dyDescent="0.3">
      <c r="C599" s="2">
        <v>100</v>
      </c>
      <c r="D599" s="2" t="s">
        <v>399</v>
      </c>
      <c r="E599" s="2" t="s">
        <v>771</v>
      </c>
      <c r="F599" s="101">
        <v>13332</v>
      </c>
    </row>
    <row r="600" spans="3:6" ht="14.4" customHeight="1" x14ac:dyDescent="0.3">
      <c r="C600" s="2">
        <v>100</v>
      </c>
      <c r="D600" s="2" t="s">
        <v>511</v>
      </c>
      <c r="E600" s="2" t="s">
        <v>772</v>
      </c>
      <c r="F600" s="101">
        <v>345</v>
      </c>
    </row>
    <row r="601" spans="3:6" ht="14.4" customHeight="1" x14ac:dyDescent="0.3">
      <c r="C601" s="2">
        <v>100</v>
      </c>
      <c r="D601" s="2" t="s">
        <v>348</v>
      </c>
      <c r="E601" s="2" t="s">
        <v>774</v>
      </c>
      <c r="F601" s="101">
        <v>1913</v>
      </c>
    </row>
    <row r="602" spans="3:6" ht="14.4" customHeight="1" x14ac:dyDescent="0.3">
      <c r="C602" s="2">
        <v>100</v>
      </c>
      <c r="D602" s="2" t="s">
        <v>509</v>
      </c>
      <c r="E602" s="2" t="s">
        <v>773</v>
      </c>
      <c r="F602" s="101">
        <v>343</v>
      </c>
    </row>
    <row r="603" spans="3:6" ht="14.4" customHeight="1" x14ac:dyDescent="0.3">
      <c r="C603" s="2">
        <v>100</v>
      </c>
      <c r="D603" s="2" t="s">
        <v>216</v>
      </c>
      <c r="E603" s="2" t="s">
        <v>770</v>
      </c>
      <c r="F603" s="101">
        <v>45</v>
      </c>
    </row>
    <row r="604" spans="3:6" ht="14.4" customHeight="1" x14ac:dyDescent="0.3">
      <c r="C604" s="2">
        <v>100</v>
      </c>
      <c r="D604" s="2" t="s">
        <v>589</v>
      </c>
      <c r="E604" s="2" t="s">
        <v>774</v>
      </c>
      <c r="F604" s="101">
        <v>5664</v>
      </c>
    </row>
    <row r="605" spans="3:6" ht="14.4" customHeight="1" x14ac:dyDescent="0.3">
      <c r="C605" s="2">
        <v>100</v>
      </c>
      <c r="D605" s="2" t="s">
        <v>235</v>
      </c>
      <c r="E605" s="2" t="s">
        <v>770</v>
      </c>
      <c r="F605" s="101">
        <v>8989</v>
      </c>
    </row>
    <row r="606" spans="3:6" ht="14.4" customHeight="1" x14ac:dyDescent="0.3">
      <c r="C606" s="2">
        <v>100</v>
      </c>
      <c r="D606" s="2" t="s">
        <v>594</v>
      </c>
      <c r="E606" s="2" t="s">
        <v>769</v>
      </c>
      <c r="F606" s="101">
        <v>228861</v>
      </c>
    </row>
    <row r="607" spans="3:6" ht="14.4" customHeight="1" x14ac:dyDescent="0.3">
      <c r="C607" s="2">
        <v>100</v>
      </c>
      <c r="D607" s="2" t="s">
        <v>619</v>
      </c>
      <c r="E607" s="2" t="s">
        <v>771</v>
      </c>
      <c r="F607" s="101">
        <v>7124</v>
      </c>
    </row>
    <row r="608" spans="3:6" ht="14.4" customHeight="1" x14ac:dyDescent="0.3">
      <c r="C608" s="2">
        <v>100</v>
      </c>
      <c r="D608" s="2" t="s">
        <v>472</v>
      </c>
      <c r="E608" s="2" t="s">
        <v>771</v>
      </c>
      <c r="F608" s="101">
        <v>7610</v>
      </c>
    </row>
    <row r="609" spans="3:6" ht="14.4" customHeight="1" x14ac:dyDescent="0.3">
      <c r="C609" s="2">
        <v>100</v>
      </c>
      <c r="D609" s="2" t="s">
        <v>592</v>
      </c>
      <c r="E609" s="2" t="s">
        <v>773</v>
      </c>
      <c r="F609" s="101">
        <v>131</v>
      </c>
    </row>
    <row r="610" spans="3:6" ht="14.4" customHeight="1" x14ac:dyDescent="0.3">
      <c r="C610" s="2">
        <v>100</v>
      </c>
      <c r="D610" s="2" t="s">
        <v>269</v>
      </c>
      <c r="E610" s="2" t="s">
        <v>771</v>
      </c>
      <c r="F610" s="101">
        <v>559089</v>
      </c>
    </row>
    <row r="611" spans="3:6" ht="14.4" customHeight="1" x14ac:dyDescent="0.3">
      <c r="C611" s="2">
        <v>100</v>
      </c>
      <c r="D611" s="2" t="s">
        <v>664</v>
      </c>
      <c r="E611" s="2" t="s">
        <v>769</v>
      </c>
      <c r="F611" s="101">
        <v>5917</v>
      </c>
    </row>
    <row r="612" spans="3:6" ht="14.4" customHeight="1" x14ac:dyDescent="0.3">
      <c r="C612" s="2">
        <v>100</v>
      </c>
      <c r="D612" s="2" t="s">
        <v>472</v>
      </c>
      <c r="E612" s="2" t="s">
        <v>773</v>
      </c>
      <c r="F612" s="101">
        <v>910</v>
      </c>
    </row>
    <row r="613" spans="3:6" ht="14.4" customHeight="1" x14ac:dyDescent="0.3">
      <c r="C613" s="2">
        <v>100</v>
      </c>
      <c r="D613" s="2" t="s">
        <v>433</v>
      </c>
      <c r="E613" s="2" t="s">
        <v>774</v>
      </c>
      <c r="F613" s="101">
        <v>2006</v>
      </c>
    </row>
    <row r="614" spans="3:6" ht="14.4" customHeight="1" x14ac:dyDescent="0.3">
      <c r="C614" s="2">
        <v>100</v>
      </c>
      <c r="D614" s="2" t="s">
        <v>383</v>
      </c>
      <c r="E614" s="2" t="s">
        <v>771</v>
      </c>
      <c r="F614" s="101">
        <v>340</v>
      </c>
    </row>
    <row r="615" spans="3:6" ht="14.4" customHeight="1" x14ac:dyDescent="0.3">
      <c r="C615" s="2">
        <v>100</v>
      </c>
      <c r="D615" s="2" t="s">
        <v>342</v>
      </c>
      <c r="E615" s="2" t="s">
        <v>769</v>
      </c>
      <c r="F615" s="101">
        <v>912</v>
      </c>
    </row>
    <row r="616" spans="3:6" ht="14.4" customHeight="1" x14ac:dyDescent="0.3">
      <c r="C616" s="2">
        <v>100</v>
      </c>
      <c r="D616" s="2" t="s">
        <v>731</v>
      </c>
      <c r="E616" s="2" t="s">
        <v>773</v>
      </c>
      <c r="F616" s="101">
        <v>23936</v>
      </c>
    </row>
    <row r="617" spans="3:6" ht="14.4" customHeight="1" x14ac:dyDescent="0.3">
      <c r="C617" s="2">
        <v>100</v>
      </c>
      <c r="D617" s="2" t="s">
        <v>653</v>
      </c>
      <c r="E617" s="2" t="s">
        <v>773</v>
      </c>
      <c r="F617" s="101">
        <v>0</v>
      </c>
    </row>
    <row r="618" spans="3:6" ht="14.4" customHeight="1" x14ac:dyDescent="0.3">
      <c r="C618" s="2">
        <v>100</v>
      </c>
      <c r="D618" s="2" t="s">
        <v>465</v>
      </c>
      <c r="E618" s="2" t="s">
        <v>777</v>
      </c>
      <c r="F618" s="101">
        <v>1000</v>
      </c>
    </row>
    <row r="619" spans="3:6" ht="14.4" customHeight="1" x14ac:dyDescent="0.3">
      <c r="C619" s="2">
        <v>100</v>
      </c>
      <c r="D619" s="2" t="s">
        <v>292</v>
      </c>
      <c r="E619" s="2" t="s">
        <v>774</v>
      </c>
      <c r="F619" s="101">
        <v>12252</v>
      </c>
    </row>
    <row r="620" spans="3:6" ht="14.4" customHeight="1" x14ac:dyDescent="0.3">
      <c r="C620" s="2">
        <v>100</v>
      </c>
      <c r="D620" s="2" t="s">
        <v>258</v>
      </c>
      <c r="E620" s="2" t="s">
        <v>769</v>
      </c>
      <c r="F620" s="101">
        <v>34429</v>
      </c>
    </row>
    <row r="621" spans="3:6" ht="14.4" customHeight="1" x14ac:dyDescent="0.3">
      <c r="C621" s="2">
        <v>100</v>
      </c>
      <c r="D621" s="2" t="s">
        <v>273</v>
      </c>
      <c r="E621" s="2" t="s">
        <v>771</v>
      </c>
      <c r="F621" s="101">
        <v>8209</v>
      </c>
    </row>
    <row r="622" spans="3:6" ht="14.4" customHeight="1" x14ac:dyDescent="0.3">
      <c r="C622" s="2">
        <v>100</v>
      </c>
      <c r="D622" s="2" t="s">
        <v>566</v>
      </c>
      <c r="E622" s="2" t="s">
        <v>773</v>
      </c>
      <c r="F622" s="101">
        <v>736</v>
      </c>
    </row>
    <row r="623" spans="3:6" ht="14.4" customHeight="1" x14ac:dyDescent="0.3">
      <c r="C623" s="2">
        <v>100</v>
      </c>
      <c r="D623" s="2" t="s">
        <v>231</v>
      </c>
      <c r="E623" s="2" t="s">
        <v>777</v>
      </c>
      <c r="F623" s="101">
        <v>35959</v>
      </c>
    </row>
    <row r="624" spans="3:6" ht="14.4" customHeight="1" x14ac:dyDescent="0.3">
      <c r="C624" s="2">
        <v>100</v>
      </c>
      <c r="D624" s="2" t="s">
        <v>620</v>
      </c>
      <c r="E624" s="2" t="s">
        <v>773</v>
      </c>
      <c r="F624" s="101">
        <v>1684</v>
      </c>
    </row>
    <row r="625" spans="3:6" ht="14.4" customHeight="1" x14ac:dyDescent="0.3">
      <c r="C625" s="2">
        <v>100</v>
      </c>
      <c r="D625" s="2" t="s">
        <v>735</v>
      </c>
      <c r="E625" s="2" t="s">
        <v>770</v>
      </c>
      <c r="F625" s="101">
        <v>296</v>
      </c>
    </row>
    <row r="626" spans="3:6" ht="14.4" customHeight="1" x14ac:dyDescent="0.3">
      <c r="C626" s="2">
        <v>100</v>
      </c>
      <c r="D626" s="2" t="s">
        <v>654</v>
      </c>
      <c r="E626" s="2" t="s">
        <v>775</v>
      </c>
      <c r="F626" s="101">
        <v>54</v>
      </c>
    </row>
    <row r="627" spans="3:6" ht="14.4" customHeight="1" x14ac:dyDescent="0.3">
      <c r="C627" s="2">
        <v>100</v>
      </c>
      <c r="D627" s="2" t="s">
        <v>431</v>
      </c>
      <c r="E627" s="2" t="s">
        <v>771</v>
      </c>
      <c r="F627" s="101">
        <v>9</v>
      </c>
    </row>
    <row r="628" spans="3:6" ht="14.4" customHeight="1" x14ac:dyDescent="0.3">
      <c r="C628" s="2">
        <v>100</v>
      </c>
      <c r="D628" s="2" t="s">
        <v>659</v>
      </c>
      <c r="E628" s="2" t="s">
        <v>769</v>
      </c>
      <c r="F628" s="101">
        <v>35165</v>
      </c>
    </row>
    <row r="629" spans="3:6" ht="14.4" customHeight="1" x14ac:dyDescent="0.3">
      <c r="C629" s="2">
        <v>100</v>
      </c>
      <c r="D629" s="2" t="s">
        <v>302</v>
      </c>
      <c r="E629" s="2" t="s">
        <v>774</v>
      </c>
      <c r="F629" s="101">
        <v>37777</v>
      </c>
    </row>
    <row r="630" spans="3:6" ht="14.4" customHeight="1" x14ac:dyDescent="0.3">
      <c r="C630" s="2">
        <v>100</v>
      </c>
      <c r="D630" s="2" t="s">
        <v>604</v>
      </c>
      <c r="E630" s="2" t="s">
        <v>777</v>
      </c>
      <c r="F630" s="101">
        <v>1075</v>
      </c>
    </row>
    <row r="631" spans="3:6" ht="14.4" customHeight="1" x14ac:dyDescent="0.3">
      <c r="C631" s="2">
        <v>100</v>
      </c>
      <c r="D631" s="2" t="s">
        <v>323</v>
      </c>
      <c r="E631" s="2" t="s">
        <v>771</v>
      </c>
      <c r="F631" s="101">
        <v>1867</v>
      </c>
    </row>
    <row r="632" spans="3:6" ht="14.4" customHeight="1" x14ac:dyDescent="0.3">
      <c r="C632" s="2">
        <v>100</v>
      </c>
      <c r="D632" s="2" t="s">
        <v>604</v>
      </c>
      <c r="E632" s="2" t="s">
        <v>769</v>
      </c>
      <c r="F632" s="101">
        <v>36161</v>
      </c>
    </row>
    <row r="633" spans="3:6" ht="14.4" customHeight="1" x14ac:dyDescent="0.3">
      <c r="C633" s="2">
        <v>100</v>
      </c>
      <c r="D633" s="2" t="s">
        <v>359</v>
      </c>
      <c r="E633" s="2" t="s">
        <v>771</v>
      </c>
      <c r="F633" s="101">
        <v>489</v>
      </c>
    </row>
    <row r="634" spans="3:6" ht="14.4" customHeight="1" x14ac:dyDescent="0.3">
      <c r="C634" s="2">
        <v>100</v>
      </c>
      <c r="D634" s="2" t="s">
        <v>333</v>
      </c>
      <c r="E634" s="2" t="s">
        <v>772</v>
      </c>
      <c r="F634" s="101">
        <v>1982</v>
      </c>
    </row>
    <row r="635" spans="3:6" ht="14.4" customHeight="1" x14ac:dyDescent="0.3">
      <c r="C635" s="2">
        <v>100</v>
      </c>
      <c r="D635" s="2" t="s">
        <v>603</v>
      </c>
      <c r="E635" s="2" t="s">
        <v>769</v>
      </c>
      <c r="F635" s="101">
        <v>14644</v>
      </c>
    </row>
    <row r="636" spans="3:6" ht="14.4" customHeight="1" x14ac:dyDescent="0.3">
      <c r="C636" s="2">
        <v>100</v>
      </c>
      <c r="D636" s="2" t="s">
        <v>219</v>
      </c>
      <c r="E636" s="2" t="s">
        <v>771</v>
      </c>
      <c r="F636" s="101">
        <v>40038</v>
      </c>
    </row>
    <row r="637" spans="3:6" ht="14.4" customHeight="1" x14ac:dyDescent="0.3">
      <c r="C637" s="2">
        <v>100</v>
      </c>
      <c r="D637" s="2" t="s">
        <v>211</v>
      </c>
      <c r="E637" s="2" t="s">
        <v>775</v>
      </c>
      <c r="F637" s="101">
        <v>1241</v>
      </c>
    </row>
    <row r="638" spans="3:6" ht="14.4" customHeight="1" x14ac:dyDescent="0.3">
      <c r="C638" s="2">
        <v>100</v>
      </c>
      <c r="D638" s="2" t="s">
        <v>570</v>
      </c>
      <c r="E638" s="2" t="s">
        <v>774</v>
      </c>
      <c r="F638" s="101">
        <v>2727</v>
      </c>
    </row>
    <row r="639" spans="3:6" ht="14.4" customHeight="1" x14ac:dyDescent="0.3">
      <c r="C639" s="2">
        <v>100</v>
      </c>
      <c r="D639" s="2" t="s">
        <v>652</v>
      </c>
      <c r="E639" s="2" t="s">
        <v>774</v>
      </c>
      <c r="F639" s="101">
        <v>238</v>
      </c>
    </row>
    <row r="640" spans="3:6" ht="14.4" customHeight="1" x14ac:dyDescent="0.3">
      <c r="C640" s="2">
        <v>100</v>
      </c>
      <c r="D640" s="2" t="s">
        <v>654</v>
      </c>
      <c r="E640" s="2" t="s">
        <v>771</v>
      </c>
      <c r="F640" s="101">
        <v>54</v>
      </c>
    </row>
    <row r="641" spans="3:6" ht="14.4" customHeight="1" x14ac:dyDescent="0.3">
      <c r="C641" s="2">
        <v>100</v>
      </c>
      <c r="D641" s="2" t="s">
        <v>329</v>
      </c>
      <c r="E641" s="2" t="s">
        <v>773</v>
      </c>
      <c r="F641" s="101">
        <v>16634</v>
      </c>
    </row>
    <row r="642" spans="3:6" ht="14.4" customHeight="1" x14ac:dyDescent="0.3">
      <c r="C642" s="2">
        <v>100</v>
      </c>
      <c r="D642" s="2" t="s">
        <v>496</v>
      </c>
      <c r="E642" s="2" t="s">
        <v>775</v>
      </c>
      <c r="F642" s="101">
        <v>8831</v>
      </c>
    </row>
    <row r="643" spans="3:6" ht="14.4" customHeight="1" x14ac:dyDescent="0.3">
      <c r="C643" s="2">
        <v>100</v>
      </c>
      <c r="D643" s="2" t="s">
        <v>530</v>
      </c>
      <c r="E643" s="2" t="s">
        <v>774</v>
      </c>
      <c r="F643" s="101">
        <v>0</v>
      </c>
    </row>
    <row r="644" spans="3:6" ht="14.4" customHeight="1" x14ac:dyDescent="0.3">
      <c r="C644" s="2">
        <v>100</v>
      </c>
      <c r="D644" s="2" t="s">
        <v>392</v>
      </c>
      <c r="E644" s="2" t="s">
        <v>769</v>
      </c>
      <c r="F644" s="101">
        <v>126211</v>
      </c>
    </row>
    <row r="645" spans="3:6" ht="14.4" customHeight="1" x14ac:dyDescent="0.3">
      <c r="C645" s="2">
        <v>100</v>
      </c>
      <c r="D645" s="2" t="s">
        <v>496</v>
      </c>
      <c r="E645" s="2" t="s">
        <v>773</v>
      </c>
      <c r="F645" s="101">
        <v>66</v>
      </c>
    </row>
    <row r="646" spans="3:6" ht="14.4" customHeight="1" x14ac:dyDescent="0.3">
      <c r="C646" s="2">
        <v>100</v>
      </c>
      <c r="D646" s="2" t="s">
        <v>296</v>
      </c>
      <c r="E646" s="2" t="s">
        <v>772</v>
      </c>
      <c r="F646" s="101">
        <v>3158</v>
      </c>
    </row>
    <row r="647" spans="3:6" ht="14.4" customHeight="1" x14ac:dyDescent="0.3">
      <c r="C647" s="2">
        <v>100</v>
      </c>
      <c r="D647" s="2" t="s">
        <v>351</v>
      </c>
      <c r="E647" s="2" t="s">
        <v>769</v>
      </c>
      <c r="F647" s="101">
        <v>6454</v>
      </c>
    </row>
    <row r="648" spans="3:6" ht="14.4" customHeight="1" x14ac:dyDescent="0.3">
      <c r="C648" s="2">
        <v>100</v>
      </c>
      <c r="D648" s="2" t="s">
        <v>229</v>
      </c>
      <c r="E648" s="2" t="s">
        <v>775</v>
      </c>
      <c r="F648" s="101">
        <v>60</v>
      </c>
    </row>
    <row r="649" spans="3:6" ht="14.4" customHeight="1" x14ac:dyDescent="0.3">
      <c r="C649" s="2">
        <v>100</v>
      </c>
      <c r="D649" s="2" t="s">
        <v>472</v>
      </c>
      <c r="E649" s="2" t="s">
        <v>782</v>
      </c>
      <c r="F649" s="101">
        <v>9</v>
      </c>
    </row>
    <row r="650" spans="3:6" ht="14.4" customHeight="1" x14ac:dyDescent="0.3">
      <c r="C650" s="2">
        <v>100</v>
      </c>
      <c r="D650" s="2" t="s">
        <v>632</v>
      </c>
      <c r="E650" s="2" t="s">
        <v>774</v>
      </c>
      <c r="F650" s="101">
        <v>6</v>
      </c>
    </row>
    <row r="651" spans="3:6" ht="14.4" customHeight="1" x14ac:dyDescent="0.3">
      <c r="C651" s="2">
        <v>100</v>
      </c>
      <c r="D651" s="2" t="s">
        <v>700</v>
      </c>
      <c r="E651" s="2" t="s">
        <v>769</v>
      </c>
      <c r="F651" s="101">
        <v>6532</v>
      </c>
    </row>
    <row r="652" spans="3:6" ht="14.4" customHeight="1" x14ac:dyDescent="0.3">
      <c r="C652" s="2">
        <v>100</v>
      </c>
      <c r="D652" s="2" t="s">
        <v>566</v>
      </c>
      <c r="E652" s="2" t="s">
        <v>770</v>
      </c>
      <c r="F652" s="101">
        <v>17451</v>
      </c>
    </row>
    <row r="653" spans="3:6" ht="14.4" customHeight="1" x14ac:dyDescent="0.3">
      <c r="C653" s="2">
        <v>100</v>
      </c>
      <c r="D653" s="2" t="s">
        <v>253</v>
      </c>
      <c r="E653" s="2" t="s">
        <v>777</v>
      </c>
      <c r="F653" s="101">
        <v>9626</v>
      </c>
    </row>
    <row r="654" spans="3:6" ht="14.4" customHeight="1" x14ac:dyDescent="0.3">
      <c r="C654" s="2">
        <v>100</v>
      </c>
      <c r="D654" s="2" t="s">
        <v>273</v>
      </c>
      <c r="E654" s="2" t="s">
        <v>773</v>
      </c>
      <c r="F654" s="101">
        <v>7083</v>
      </c>
    </row>
    <row r="655" spans="3:6" ht="14.4" customHeight="1" x14ac:dyDescent="0.3">
      <c r="C655" s="2">
        <v>100</v>
      </c>
      <c r="D655" s="2" t="s">
        <v>332</v>
      </c>
      <c r="E655" s="2" t="s">
        <v>769</v>
      </c>
      <c r="F655" s="101">
        <v>210151</v>
      </c>
    </row>
    <row r="656" spans="3:6" ht="14.4" customHeight="1" x14ac:dyDescent="0.3">
      <c r="C656" s="2">
        <v>100</v>
      </c>
      <c r="D656" s="2" t="s">
        <v>371</v>
      </c>
      <c r="E656" s="2" t="s">
        <v>773</v>
      </c>
      <c r="F656" s="101">
        <v>1147</v>
      </c>
    </row>
    <row r="657" spans="3:6" ht="14.4" customHeight="1" x14ac:dyDescent="0.3">
      <c r="C657" s="2">
        <v>100</v>
      </c>
      <c r="D657" s="2" t="s">
        <v>385</v>
      </c>
      <c r="E657" s="2" t="s">
        <v>770</v>
      </c>
      <c r="F657" s="101">
        <v>1370</v>
      </c>
    </row>
    <row r="658" spans="3:6" ht="14.4" customHeight="1" x14ac:dyDescent="0.3">
      <c r="C658" s="2">
        <v>100</v>
      </c>
      <c r="D658" s="2" t="s">
        <v>471</v>
      </c>
      <c r="E658" s="2" t="s">
        <v>771</v>
      </c>
      <c r="F658" s="101">
        <v>2962</v>
      </c>
    </row>
    <row r="659" spans="3:6" ht="14.4" customHeight="1" x14ac:dyDescent="0.3">
      <c r="C659" s="2">
        <v>100</v>
      </c>
      <c r="D659" s="2" t="s">
        <v>345</v>
      </c>
      <c r="E659" s="2" t="s">
        <v>775</v>
      </c>
      <c r="F659" s="101">
        <v>4</v>
      </c>
    </row>
    <row r="660" spans="3:6" ht="14.4" customHeight="1" x14ac:dyDescent="0.3">
      <c r="C660" s="2">
        <v>100</v>
      </c>
      <c r="D660" s="2" t="s">
        <v>406</v>
      </c>
      <c r="E660" s="2" t="s">
        <v>774</v>
      </c>
      <c r="F660" s="101">
        <v>9439</v>
      </c>
    </row>
    <row r="661" spans="3:6" ht="14.4" customHeight="1" x14ac:dyDescent="0.3">
      <c r="C661" s="2">
        <v>100</v>
      </c>
      <c r="D661" s="2" t="s">
        <v>264</v>
      </c>
      <c r="E661" s="2" t="s">
        <v>772</v>
      </c>
      <c r="F661" s="101">
        <v>63</v>
      </c>
    </row>
    <row r="662" spans="3:6" ht="14.4" customHeight="1" x14ac:dyDescent="0.3">
      <c r="C662" s="2">
        <v>100</v>
      </c>
      <c r="D662" s="2" t="s">
        <v>265</v>
      </c>
      <c r="E662" s="2" t="s">
        <v>773</v>
      </c>
      <c r="F662" s="101">
        <v>6505</v>
      </c>
    </row>
    <row r="663" spans="3:6" ht="14.4" customHeight="1" x14ac:dyDescent="0.3">
      <c r="C663" s="2">
        <v>100</v>
      </c>
      <c r="D663" s="2" t="s">
        <v>265</v>
      </c>
      <c r="E663" s="2" t="s">
        <v>775</v>
      </c>
      <c r="F663" s="101">
        <v>16892</v>
      </c>
    </row>
    <row r="664" spans="3:6" ht="14.4" customHeight="1" x14ac:dyDescent="0.3">
      <c r="C664" s="2">
        <v>100</v>
      </c>
      <c r="D664" s="2" t="s">
        <v>299</v>
      </c>
      <c r="E664" s="2" t="s">
        <v>775</v>
      </c>
      <c r="F664" s="101">
        <v>15569</v>
      </c>
    </row>
    <row r="665" spans="3:6" ht="14.4" customHeight="1" x14ac:dyDescent="0.3">
      <c r="C665" s="2">
        <v>100</v>
      </c>
      <c r="D665" s="2" t="s">
        <v>301</v>
      </c>
      <c r="E665" s="2" t="s">
        <v>771</v>
      </c>
      <c r="F665" s="101">
        <v>57785</v>
      </c>
    </row>
    <row r="666" spans="3:6" ht="14.4" customHeight="1" x14ac:dyDescent="0.3">
      <c r="C666" s="2">
        <v>100</v>
      </c>
      <c r="D666" s="2" t="s">
        <v>634</v>
      </c>
      <c r="E666" s="2" t="s">
        <v>777</v>
      </c>
      <c r="F666" s="101">
        <v>6172</v>
      </c>
    </row>
    <row r="667" spans="3:6" ht="14.4" customHeight="1" x14ac:dyDescent="0.3">
      <c r="C667" s="2">
        <v>100</v>
      </c>
      <c r="D667" s="2" t="s">
        <v>591</v>
      </c>
      <c r="E667" s="2" t="s">
        <v>770</v>
      </c>
      <c r="F667" s="101">
        <v>33</v>
      </c>
    </row>
    <row r="668" spans="3:6" ht="14.4" customHeight="1" x14ac:dyDescent="0.3">
      <c r="C668" s="2">
        <v>100</v>
      </c>
      <c r="D668" s="2" t="s">
        <v>510</v>
      </c>
      <c r="E668" s="2" t="s">
        <v>775</v>
      </c>
      <c r="F668" s="101">
        <v>4878</v>
      </c>
    </row>
    <row r="669" spans="3:6" ht="14.4" customHeight="1" x14ac:dyDescent="0.3">
      <c r="C669" s="2">
        <v>100</v>
      </c>
      <c r="D669" s="2" t="s">
        <v>507</v>
      </c>
      <c r="E669" s="2" t="s">
        <v>774</v>
      </c>
      <c r="F669" s="101">
        <v>676</v>
      </c>
    </row>
    <row r="670" spans="3:6" ht="14.4" customHeight="1" x14ac:dyDescent="0.3">
      <c r="C670" s="2">
        <v>100</v>
      </c>
      <c r="D670" s="2" t="s">
        <v>693</v>
      </c>
      <c r="E670" s="2" t="s">
        <v>771</v>
      </c>
      <c r="F670" s="101">
        <v>-122</v>
      </c>
    </row>
    <row r="671" spans="3:6" ht="14.4" customHeight="1" x14ac:dyDescent="0.3">
      <c r="C671" s="2">
        <v>100</v>
      </c>
      <c r="D671" s="2" t="s">
        <v>370</v>
      </c>
      <c r="E671" s="2" t="s">
        <v>770</v>
      </c>
      <c r="F671" s="101">
        <v>429</v>
      </c>
    </row>
    <row r="672" spans="3:6" ht="14.4" customHeight="1" x14ac:dyDescent="0.3">
      <c r="C672" s="2">
        <v>100</v>
      </c>
      <c r="D672" s="2" t="s">
        <v>306</v>
      </c>
      <c r="E672" s="2" t="s">
        <v>774</v>
      </c>
      <c r="F672" s="101">
        <v>1527</v>
      </c>
    </row>
    <row r="673" spans="3:6" ht="14.4" customHeight="1" x14ac:dyDescent="0.3">
      <c r="C673" s="2">
        <v>100</v>
      </c>
      <c r="D673" s="2" t="s">
        <v>290</v>
      </c>
      <c r="E673" s="2" t="s">
        <v>775</v>
      </c>
      <c r="F673" s="101">
        <v>94983</v>
      </c>
    </row>
    <row r="674" spans="3:6" ht="14.4" customHeight="1" x14ac:dyDescent="0.3">
      <c r="C674" s="2">
        <v>100</v>
      </c>
      <c r="D674" s="2" t="s">
        <v>518</v>
      </c>
      <c r="E674" s="2" t="s">
        <v>769</v>
      </c>
      <c r="F674" s="101">
        <v>1707</v>
      </c>
    </row>
    <row r="675" spans="3:6" ht="14.4" customHeight="1" x14ac:dyDescent="0.3">
      <c r="C675" s="2">
        <v>100</v>
      </c>
      <c r="D675" s="2" t="s">
        <v>693</v>
      </c>
      <c r="E675" s="2" t="s">
        <v>773</v>
      </c>
      <c r="F675" s="101">
        <v>199</v>
      </c>
    </row>
    <row r="676" spans="3:6" ht="14.4" customHeight="1" x14ac:dyDescent="0.3">
      <c r="C676" s="2">
        <v>100</v>
      </c>
      <c r="D676" s="2" t="s">
        <v>293</v>
      </c>
      <c r="E676" s="2" t="s">
        <v>770</v>
      </c>
      <c r="F676" s="101">
        <v>8763</v>
      </c>
    </row>
    <row r="677" spans="3:6" ht="14.4" customHeight="1" x14ac:dyDescent="0.3">
      <c r="C677" s="2">
        <v>100</v>
      </c>
      <c r="D677" s="2" t="s">
        <v>265</v>
      </c>
      <c r="E677" s="2" t="s">
        <v>771</v>
      </c>
      <c r="F677" s="101">
        <v>21307</v>
      </c>
    </row>
    <row r="678" spans="3:6" ht="14.4" customHeight="1" x14ac:dyDescent="0.3">
      <c r="C678" s="2">
        <v>100</v>
      </c>
      <c r="D678" s="2" t="s">
        <v>424</v>
      </c>
      <c r="E678" s="2" t="s">
        <v>774</v>
      </c>
      <c r="F678" s="101">
        <v>0</v>
      </c>
    </row>
    <row r="679" spans="3:6" ht="14.4" customHeight="1" x14ac:dyDescent="0.3">
      <c r="C679" s="2">
        <v>100</v>
      </c>
      <c r="D679" s="2" t="s">
        <v>435</v>
      </c>
      <c r="E679" s="2" t="s">
        <v>769</v>
      </c>
      <c r="F679" s="101">
        <v>130596</v>
      </c>
    </row>
    <row r="680" spans="3:6" ht="14.4" customHeight="1" x14ac:dyDescent="0.3">
      <c r="C680" s="2">
        <v>100</v>
      </c>
      <c r="D680" s="2" t="s">
        <v>373</v>
      </c>
      <c r="E680" s="2" t="s">
        <v>769</v>
      </c>
      <c r="F680" s="101">
        <v>170495</v>
      </c>
    </row>
    <row r="681" spans="3:6" ht="14.4" customHeight="1" x14ac:dyDescent="0.3">
      <c r="C681" s="2">
        <v>100</v>
      </c>
      <c r="D681" s="2" t="s">
        <v>250</v>
      </c>
      <c r="E681" s="2" t="s">
        <v>769</v>
      </c>
      <c r="F681" s="101">
        <v>32278</v>
      </c>
    </row>
    <row r="682" spans="3:6" ht="14.4" customHeight="1" x14ac:dyDescent="0.3">
      <c r="C682" s="2">
        <v>100</v>
      </c>
      <c r="D682" s="2" t="s">
        <v>572</v>
      </c>
      <c r="E682" s="2" t="s">
        <v>770</v>
      </c>
      <c r="F682" s="101">
        <v>192</v>
      </c>
    </row>
    <row r="683" spans="3:6" ht="14.4" customHeight="1" x14ac:dyDescent="0.3">
      <c r="C683" s="2">
        <v>100</v>
      </c>
      <c r="D683" s="2" t="s">
        <v>726</v>
      </c>
      <c r="E683" s="2" t="s">
        <v>769</v>
      </c>
      <c r="F683" s="101">
        <v>3926</v>
      </c>
    </row>
    <row r="684" spans="3:6" ht="14.4" customHeight="1" x14ac:dyDescent="0.3">
      <c r="C684" s="2">
        <v>100</v>
      </c>
      <c r="D684" s="2" t="s">
        <v>275</v>
      </c>
      <c r="E684" s="2" t="s">
        <v>769</v>
      </c>
      <c r="F684" s="101">
        <v>112832</v>
      </c>
    </row>
    <row r="685" spans="3:6" ht="14.4" customHeight="1" x14ac:dyDescent="0.3">
      <c r="C685" s="2">
        <v>100</v>
      </c>
      <c r="D685" s="2" t="s">
        <v>719</v>
      </c>
      <c r="E685" s="2" t="s">
        <v>802</v>
      </c>
      <c r="F685" s="101">
        <v>0</v>
      </c>
    </row>
    <row r="686" spans="3:6" ht="14.4" customHeight="1" x14ac:dyDescent="0.3">
      <c r="C686" s="2">
        <v>100</v>
      </c>
      <c r="D686" s="2" t="s">
        <v>582</v>
      </c>
      <c r="E686" s="2" t="s">
        <v>775</v>
      </c>
      <c r="F686" s="101">
        <v>5907</v>
      </c>
    </row>
    <row r="687" spans="3:6" ht="14.4" customHeight="1" x14ac:dyDescent="0.3">
      <c r="C687" s="2">
        <v>100</v>
      </c>
      <c r="D687" s="2" t="s">
        <v>598</v>
      </c>
      <c r="E687" s="2" t="s">
        <v>769</v>
      </c>
      <c r="F687" s="101">
        <v>24076</v>
      </c>
    </row>
    <row r="688" spans="3:6" ht="14.4" customHeight="1" x14ac:dyDescent="0.3">
      <c r="C688" s="2">
        <v>100</v>
      </c>
      <c r="D688" s="2" t="s">
        <v>467</v>
      </c>
      <c r="E688" s="2" t="s">
        <v>769</v>
      </c>
      <c r="F688" s="101">
        <v>35592</v>
      </c>
    </row>
    <row r="689" spans="3:6" ht="14.4" customHeight="1" x14ac:dyDescent="0.3">
      <c r="C689" s="2">
        <v>100</v>
      </c>
      <c r="D689" s="2" t="s">
        <v>436</v>
      </c>
      <c r="E689" s="2" t="s">
        <v>769</v>
      </c>
      <c r="F689" s="101">
        <v>8331</v>
      </c>
    </row>
    <row r="690" spans="3:6" ht="14.4" customHeight="1" x14ac:dyDescent="0.3">
      <c r="C690" s="2">
        <v>100</v>
      </c>
      <c r="D690" s="2" t="s">
        <v>333</v>
      </c>
      <c r="E690" s="2" t="s">
        <v>774</v>
      </c>
      <c r="F690" s="101">
        <v>-3462</v>
      </c>
    </row>
    <row r="691" spans="3:6" ht="14.4" customHeight="1" x14ac:dyDescent="0.3">
      <c r="C691" s="2">
        <v>100</v>
      </c>
      <c r="D691" s="2" t="s">
        <v>464</v>
      </c>
      <c r="E691" s="2" t="s">
        <v>773</v>
      </c>
      <c r="F691" s="101">
        <v>-123</v>
      </c>
    </row>
    <row r="692" spans="3:6" ht="14.4" customHeight="1" x14ac:dyDescent="0.3">
      <c r="C692" s="2">
        <v>100</v>
      </c>
      <c r="D692" s="2" t="s">
        <v>464</v>
      </c>
      <c r="E692" s="2" t="s">
        <v>775</v>
      </c>
      <c r="F692" s="101">
        <v>8</v>
      </c>
    </row>
    <row r="693" spans="3:6" ht="14.4" customHeight="1" x14ac:dyDescent="0.3">
      <c r="C693" s="2">
        <v>100</v>
      </c>
      <c r="D693" s="2" t="s">
        <v>242</v>
      </c>
      <c r="E693" s="2" t="s">
        <v>775</v>
      </c>
      <c r="F693" s="101">
        <v>8</v>
      </c>
    </row>
    <row r="694" spans="3:6" ht="14.4" customHeight="1" x14ac:dyDescent="0.3">
      <c r="C694" s="2">
        <v>100</v>
      </c>
      <c r="D694" s="2" t="s">
        <v>671</v>
      </c>
      <c r="E694" s="2" t="s">
        <v>769</v>
      </c>
      <c r="F694" s="101">
        <v>4438</v>
      </c>
    </row>
    <row r="695" spans="3:6" ht="14.4" customHeight="1" x14ac:dyDescent="0.3">
      <c r="C695" s="2">
        <v>100</v>
      </c>
      <c r="D695" s="2" t="s">
        <v>528</v>
      </c>
      <c r="E695" s="2" t="s">
        <v>773</v>
      </c>
      <c r="F695" s="101">
        <v>19168</v>
      </c>
    </row>
    <row r="696" spans="3:6" ht="14.4" customHeight="1" x14ac:dyDescent="0.3">
      <c r="C696" s="2">
        <v>100</v>
      </c>
      <c r="D696" s="2" t="s">
        <v>350</v>
      </c>
      <c r="E696" s="2" t="s">
        <v>770</v>
      </c>
      <c r="F696" s="101">
        <v>17165</v>
      </c>
    </row>
    <row r="697" spans="3:6" ht="14.4" customHeight="1" x14ac:dyDescent="0.3">
      <c r="C697" s="2">
        <v>100</v>
      </c>
      <c r="D697" s="2" t="s">
        <v>303</v>
      </c>
      <c r="E697" s="2" t="s">
        <v>770</v>
      </c>
      <c r="F697" s="101">
        <v>188</v>
      </c>
    </row>
    <row r="698" spans="3:6" ht="14.4" customHeight="1" x14ac:dyDescent="0.3">
      <c r="C698" s="2">
        <v>100</v>
      </c>
      <c r="D698" s="2" t="s">
        <v>488</v>
      </c>
      <c r="E698" s="2" t="s">
        <v>769</v>
      </c>
      <c r="F698" s="101">
        <v>22782</v>
      </c>
    </row>
    <row r="699" spans="3:6" ht="14.4" customHeight="1" x14ac:dyDescent="0.3">
      <c r="C699" s="2">
        <v>100</v>
      </c>
      <c r="D699" s="2" t="s">
        <v>466</v>
      </c>
      <c r="E699" s="2" t="s">
        <v>775</v>
      </c>
      <c r="F699" s="101">
        <v>30588</v>
      </c>
    </row>
    <row r="700" spans="3:6" ht="14.4" customHeight="1" x14ac:dyDescent="0.3">
      <c r="C700" s="2">
        <v>100</v>
      </c>
      <c r="D700" s="2" t="s">
        <v>432</v>
      </c>
      <c r="E700" s="2" t="s">
        <v>775</v>
      </c>
      <c r="F700" s="101">
        <v>2008</v>
      </c>
    </row>
    <row r="701" spans="3:6" ht="14.4" customHeight="1" x14ac:dyDescent="0.3">
      <c r="C701" s="2">
        <v>100</v>
      </c>
      <c r="D701" s="2" t="s">
        <v>581</v>
      </c>
      <c r="E701" s="2" t="s">
        <v>771</v>
      </c>
      <c r="F701" s="101">
        <v>445</v>
      </c>
    </row>
    <row r="702" spans="3:6" ht="14.4" customHeight="1" x14ac:dyDescent="0.3">
      <c r="C702" s="2">
        <v>100</v>
      </c>
      <c r="D702" s="2" t="s">
        <v>799</v>
      </c>
      <c r="E702" s="2" t="s">
        <v>772</v>
      </c>
      <c r="F702" s="101">
        <v>6028</v>
      </c>
    </row>
    <row r="703" spans="3:6" ht="14.4" customHeight="1" x14ac:dyDescent="0.3">
      <c r="C703" s="2">
        <v>100</v>
      </c>
      <c r="D703" s="2" t="s">
        <v>689</v>
      </c>
      <c r="E703" s="2" t="s">
        <v>771</v>
      </c>
      <c r="F703" s="101">
        <v>4161</v>
      </c>
    </row>
    <row r="704" spans="3:6" ht="14.4" customHeight="1" x14ac:dyDescent="0.3">
      <c r="C704" s="2">
        <v>100</v>
      </c>
      <c r="D704" s="2" t="s">
        <v>470</v>
      </c>
      <c r="E704" s="2" t="s">
        <v>777</v>
      </c>
      <c r="F704" s="101">
        <v>2403</v>
      </c>
    </row>
    <row r="705" spans="3:6" ht="14.4" customHeight="1" x14ac:dyDescent="0.3">
      <c r="C705" s="2">
        <v>100</v>
      </c>
      <c r="D705" s="2" t="s">
        <v>724</v>
      </c>
      <c r="E705" s="2" t="s">
        <v>774</v>
      </c>
      <c r="F705" s="101">
        <v>116244</v>
      </c>
    </row>
    <row r="706" spans="3:6" ht="14.4" customHeight="1" x14ac:dyDescent="0.3">
      <c r="C706" s="2">
        <v>100</v>
      </c>
      <c r="D706" s="2" t="s">
        <v>600</v>
      </c>
      <c r="E706" s="2" t="s">
        <v>773</v>
      </c>
      <c r="F706" s="101">
        <v>104</v>
      </c>
    </row>
    <row r="707" spans="3:6" ht="14.4" customHeight="1" x14ac:dyDescent="0.3">
      <c r="C707" s="2">
        <v>100</v>
      </c>
      <c r="D707" s="2" t="s">
        <v>230</v>
      </c>
      <c r="E707" s="2" t="s">
        <v>773</v>
      </c>
      <c r="F707" s="101">
        <v>3103</v>
      </c>
    </row>
    <row r="708" spans="3:6" ht="14.4" customHeight="1" x14ac:dyDescent="0.3">
      <c r="C708" s="2">
        <v>100</v>
      </c>
      <c r="D708" s="2" t="s">
        <v>287</v>
      </c>
      <c r="E708" s="2" t="s">
        <v>775</v>
      </c>
      <c r="F708" s="101">
        <v>8</v>
      </c>
    </row>
    <row r="709" spans="3:6" ht="14.4" customHeight="1" x14ac:dyDescent="0.3">
      <c r="C709" s="2">
        <v>100</v>
      </c>
      <c r="D709" s="2" t="s">
        <v>689</v>
      </c>
      <c r="E709" s="2" t="s">
        <v>773</v>
      </c>
      <c r="F709" s="101">
        <v>1912</v>
      </c>
    </row>
    <row r="710" spans="3:6" ht="14.4" customHeight="1" x14ac:dyDescent="0.3">
      <c r="C710" s="2">
        <v>100</v>
      </c>
      <c r="D710" s="2" t="s">
        <v>686</v>
      </c>
      <c r="E710" s="2" t="s">
        <v>774</v>
      </c>
      <c r="F710" s="101">
        <v>-30</v>
      </c>
    </row>
    <row r="711" spans="3:6" ht="14.4" customHeight="1" x14ac:dyDescent="0.3">
      <c r="C711" s="2">
        <v>100</v>
      </c>
      <c r="D711" s="2" t="s">
        <v>230</v>
      </c>
      <c r="E711" s="2" t="s">
        <v>771</v>
      </c>
      <c r="F711" s="101">
        <v>30894</v>
      </c>
    </row>
    <row r="712" spans="3:6" ht="14.4" customHeight="1" x14ac:dyDescent="0.3">
      <c r="C712" s="2">
        <v>100</v>
      </c>
      <c r="D712" s="2" t="s">
        <v>466</v>
      </c>
      <c r="E712" s="2" t="s">
        <v>770</v>
      </c>
      <c r="F712" s="101">
        <v>16061</v>
      </c>
    </row>
    <row r="713" spans="3:6" ht="14.4" customHeight="1" x14ac:dyDescent="0.3">
      <c r="C713" s="2">
        <v>100</v>
      </c>
      <c r="D713" s="2" t="s">
        <v>466</v>
      </c>
      <c r="E713" s="2" t="s">
        <v>771</v>
      </c>
      <c r="F713" s="101">
        <v>15738</v>
      </c>
    </row>
    <row r="714" spans="3:6" ht="14.4" customHeight="1" x14ac:dyDescent="0.3">
      <c r="C714" s="2">
        <v>100</v>
      </c>
      <c r="D714" s="2" t="s">
        <v>561</v>
      </c>
      <c r="E714" s="2" t="s">
        <v>773</v>
      </c>
      <c r="F714" s="101">
        <v>0</v>
      </c>
    </row>
    <row r="715" spans="3:6" ht="14.4" customHeight="1" x14ac:dyDescent="0.3">
      <c r="C715" s="2">
        <v>100</v>
      </c>
      <c r="D715" s="2" t="s">
        <v>350</v>
      </c>
      <c r="E715" s="2" t="s">
        <v>773</v>
      </c>
      <c r="F715" s="101">
        <v>10160</v>
      </c>
    </row>
    <row r="716" spans="3:6" ht="14.4" customHeight="1" x14ac:dyDescent="0.3">
      <c r="C716" s="2">
        <v>100</v>
      </c>
      <c r="D716" s="2" t="s">
        <v>303</v>
      </c>
      <c r="E716" s="2" t="s">
        <v>775</v>
      </c>
      <c r="F716" s="101">
        <v>29904</v>
      </c>
    </row>
    <row r="717" spans="3:6" ht="14.4" customHeight="1" x14ac:dyDescent="0.3">
      <c r="C717" s="2">
        <v>100</v>
      </c>
      <c r="D717" s="2" t="s">
        <v>803</v>
      </c>
      <c r="E717" s="2" t="s">
        <v>769</v>
      </c>
      <c r="F717" s="101">
        <v>617</v>
      </c>
    </row>
    <row r="718" spans="3:6" ht="14.4" customHeight="1" x14ac:dyDescent="0.3">
      <c r="C718" s="2">
        <v>100</v>
      </c>
      <c r="D718" s="2" t="s">
        <v>416</v>
      </c>
      <c r="E718" s="2" t="s">
        <v>771</v>
      </c>
      <c r="F718" s="101">
        <v>3426</v>
      </c>
    </row>
    <row r="719" spans="3:6" ht="14.4" customHeight="1" x14ac:dyDescent="0.3">
      <c r="C719" s="2">
        <v>100</v>
      </c>
      <c r="D719" s="2" t="s">
        <v>436</v>
      </c>
      <c r="E719" s="2" t="s">
        <v>777</v>
      </c>
      <c r="F719" s="101">
        <v>1371</v>
      </c>
    </row>
    <row r="720" spans="3:6" ht="14.4" customHeight="1" x14ac:dyDescent="0.3">
      <c r="C720" s="2">
        <v>100</v>
      </c>
      <c r="D720" s="2" t="s">
        <v>242</v>
      </c>
      <c r="E720" s="2" t="s">
        <v>771</v>
      </c>
      <c r="F720" s="101">
        <v>5155</v>
      </c>
    </row>
    <row r="721" spans="3:6" ht="14.4" customHeight="1" x14ac:dyDescent="0.3">
      <c r="C721" s="2">
        <v>100</v>
      </c>
      <c r="D721" s="2" t="s">
        <v>242</v>
      </c>
      <c r="E721" s="2" t="s">
        <v>770</v>
      </c>
      <c r="F721" s="101">
        <v>2045</v>
      </c>
    </row>
    <row r="722" spans="3:6" ht="14.4" customHeight="1" x14ac:dyDescent="0.3">
      <c r="C722" s="2">
        <v>100</v>
      </c>
      <c r="D722" s="2" t="s">
        <v>531</v>
      </c>
      <c r="E722" s="2" t="s">
        <v>773</v>
      </c>
      <c r="F722" s="101">
        <v>16383</v>
      </c>
    </row>
    <row r="723" spans="3:6" ht="14.4" customHeight="1" x14ac:dyDescent="0.3">
      <c r="C723" s="2">
        <v>100</v>
      </c>
      <c r="D723" s="2" t="s">
        <v>430</v>
      </c>
      <c r="E723" s="2" t="s">
        <v>773</v>
      </c>
      <c r="F723" s="101">
        <v>16837</v>
      </c>
    </row>
    <row r="724" spans="3:6" ht="14.4" customHeight="1" x14ac:dyDescent="0.3">
      <c r="C724" s="2">
        <v>100</v>
      </c>
      <c r="D724" s="2" t="s">
        <v>401</v>
      </c>
      <c r="E724" s="2" t="s">
        <v>769</v>
      </c>
      <c r="F724" s="101">
        <v>46160</v>
      </c>
    </row>
    <row r="725" spans="3:6" ht="14.4" customHeight="1" x14ac:dyDescent="0.3">
      <c r="C725" s="2">
        <v>100</v>
      </c>
      <c r="D725" s="2" t="s">
        <v>346</v>
      </c>
      <c r="E725" s="2" t="s">
        <v>775</v>
      </c>
      <c r="F725" s="101">
        <v>64</v>
      </c>
    </row>
    <row r="726" spans="3:6" ht="14.4" customHeight="1" x14ac:dyDescent="0.3">
      <c r="C726" s="2">
        <v>100</v>
      </c>
      <c r="D726" s="2" t="s">
        <v>272</v>
      </c>
      <c r="E726" s="2" t="s">
        <v>769</v>
      </c>
      <c r="F726" s="101">
        <v>163078</v>
      </c>
    </row>
    <row r="727" spans="3:6" ht="14.4" customHeight="1" x14ac:dyDescent="0.3">
      <c r="C727" s="2">
        <v>100</v>
      </c>
      <c r="D727" s="2" t="s">
        <v>214</v>
      </c>
      <c r="E727" s="2" t="s">
        <v>769</v>
      </c>
      <c r="F727" s="101">
        <v>674882</v>
      </c>
    </row>
    <row r="728" spans="3:6" ht="14.4" customHeight="1" x14ac:dyDescent="0.3">
      <c r="C728" s="2">
        <v>100</v>
      </c>
      <c r="D728" s="2" t="s">
        <v>562</v>
      </c>
      <c r="E728" s="2" t="s">
        <v>771</v>
      </c>
      <c r="F728" s="101">
        <v>4646</v>
      </c>
    </row>
    <row r="729" spans="3:6" ht="14.4" customHeight="1" x14ac:dyDescent="0.3">
      <c r="C729" s="2">
        <v>100</v>
      </c>
      <c r="D729" s="2" t="s">
        <v>679</v>
      </c>
      <c r="E729" s="2" t="s">
        <v>771</v>
      </c>
      <c r="F729" s="101">
        <v>4377</v>
      </c>
    </row>
    <row r="730" spans="3:6" ht="14.4" customHeight="1" x14ac:dyDescent="0.3">
      <c r="C730" s="2">
        <v>100</v>
      </c>
      <c r="D730" s="2" t="s">
        <v>257</v>
      </c>
      <c r="E730" s="2" t="s">
        <v>770</v>
      </c>
      <c r="F730" s="101">
        <v>3974</v>
      </c>
    </row>
    <row r="731" spans="3:6" ht="14.4" customHeight="1" x14ac:dyDescent="0.3">
      <c r="C731" s="2">
        <v>100</v>
      </c>
      <c r="D731" s="2" t="s">
        <v>567</v>
      </c>
      <c r="E731" s="2" t="s">
        <v>770</v>
      </c>
      <c r="F731" s="101">
        <v>3861</v>
      </c>
    </row>
    <row r="732" spans="3:6" ht="14.4" customHeight="1" x14ac:dyDescent="0.3">
      <c r="C732" s="2">
        <v>100</v>
      </c>
      <c r="D732" s="2" t="s">
        <v>708</v>
      </c>
      <c r="E732" s="2" t="s">
        <v>769</v>
      </c>
      <c r="F732" s="101">
        <v>2238</v>
      </c>
    </row>
    <row r="733" spans="3:6" ht="14.4" customHeight="1" x14ac:dyDescent="0.3">
      <c r="C733" s="2">
        <v>100</v>
      </c>
      <c r="D733" s="2" t="s">
        <v>349</v>
      </c>
      <c r="E733" s="2" t="s">
        <v>773</v>
      </c>
      <c r="F733" s="101">
        <v>7642</v>
      </c>
    </row>
    <row r="734" spans="3:6" ht="14.4" customHeight="1" x14ac:dyDescent="0.3">
      <c r="C734" s="2">
        <v>100</v>
      </c>
      <c r="D734" s="2" t="s">
        <v>349</v>
      </c>
      <c r="E734" s="2" t="s">
        <v>775</v>
      </c>
      <c r="F734" s="101">
        <v>44913</v>
      </c>
    </row>
    <row r="735" spans="3:6" ht="14.4" customHeight="1" x14ac:dyDescent="0.3">
      <c r="C735" s="2">
        <v>100</v>
      </c>
      <c r="D735" s="2" t="s">
        <v>479</v>
      </c>
      <c r="E735" s="2" t="s">
        <v>769</v>
      </c>
      <c r="F735" s="101">
        <v>93298</v>
      </c>
    </row>
    <row r="736" spans="3:6" ht="14.4" customHeight="1" x14ac:dyDescent="0.3">
      <c r="C736" s="2">
        <v>100</v>
      </c>
      <c r="D736" s="2" t="s">
        <v>343</v>
      </c>
      <c r="E736" s="2" t="s">
        <v>775</v>
      </c>
      <c r="F736" s="101">
        <v>45622</v>
      </c>
    </row>
    <row r="737" spans="3:6" ht="14.4" customHeight="1" x14ac:dyDescent="0.3">
      <c r="C737" s="2">
        <v>100</v>
      </c>
      <c r="D737" s="2" t="s">
        <v>660</v>
      </c>
      <c r="E737" s="2" t="s">
        <v>769</v>
      </c>
      <c r="F737" s="101">
        <v>19356</v>
      </c>
    </row>
    <row r="738" spans="3:6" ht="14.4" customHeight="1" x14ac:dyDescent="0.3">
      <c r="C738" s="2">
        <v>100</v>
      </c>
      <c r="D738" s="2" t="s">
        <v>248</v>
      </c>
      <c r="E738" s="2" t="s">
        <v>774</v>
      </c>
      <c r="F738" s="101">
        <v>1354</v>
      </c>
    </row>
    <row r="739" spans="3:6" ht="14.4" customHeight="1" x14ac:dyDescent="0.3">
      <c r="C739" s="2">
        <v>100</v>
      </c>
      <c r="D739" s="2" t="s">
        <v>319</v>
      </c>
      <c r="E739" s="2" t="s">
        <v>775</v>
      </c>
      <c r="F739" s="101">
        <v>54</v>
      </c>
    </row>
    <row r="740" spans="3:6" ht="14.4" customHeight="1" x14ac:dyDescent="0.3">
      <c r="C740" s="2">
        <v>100</v>
      </c>
      <c r="D740" s="2" t="s">
        <v>558</v>
      </c>
      <c r="E740" s="2" t="s">
        <v>771</v>
      </c>
      <c r="F740" s="101">
        <v>966</v>
      </c>
    </row>
    <row r="741" spans="3:6" ht="14.4" customHeight="1" x14ac:dyDescent="0.3">
      <c r="C741" s="2">
        <v>100</v>
      </c>
      <c r="D741" s="2" t="s">
        <v>264</v>
      </c>
      <c r="E741" s="2" t="s">
        <v>774</v>
      </c>
      <c r="F741" s="101">
        <v>473</v>
      </c>
    </row>
    <row r="742" spans="3:6" ht="14.4" customHeight="1" x14ac:dyDescent="0.3">
      <c r="C742" s="2">
        <v>100</v>
      </c>
      <c r="D742" s="2" t="s">
        <v>557</v>
      </c>
      <c r="E742" s="2" t="s">
        <v>770</v>
      </c>
      <c r="F742" s="101">
        <v>224</v>
      </c>
    </row>
    <row r="743" spans="3:6" ht="14.4" customHeight="1" x14ac:dyDescent="0.3">
      <c r="C743" s="2">
        <v>100</v>
      </c>
      <c r="D743" s="2" t="s">
        <v>395</v>
      </c>
      <c r="E743" s="2" t="s">
        <v>771</v>
      </c>
      <c r="F743" s="101">
        <v>3288</v>
      </c>
    </row>
    <row r="744" spans="3:6" ht="14.4" customHeight="1" x14ac:dyDescent="0.3">
      <c r="C744" s="2">
        <v>100</v>
      </c>
      <c r="D744" s="2" t="s">
        <v>389</v>
      </c>
      <c r="E744" s="2" t="s">
        <v>775</v>
      </c>
      <c r="F744" s="101">
        <v>52</v>
      </c>
    </row>
    <row r="745" spans="3:6" ht="14.4" customHeight="1" x14ac:dyDescent="0.3">
      <c r="C745" s="2">
        <v>100</v>
      </c>
      <c r="D745" s="2" t="s">
        <v>669</v>
      </c>
      <c r="E745" s="2" t="s">
        <v>769</v>
      </c>
      <c r="F745" s="101">
        <v>3654</v>
      </c>
    </row>
    <row r="746" spans="3:6" ht="14.4" customHeight="1" x14ac:dyDescent="0.3">
      <c r="C746" s="2">
        <v>100</v>
      </c>
      <c r="D746" s="2" t="s">
        <v>579</v>
      </c>
      <c r="E746" s="2" t="s">
        <v>769</v>
      </c>
      <c r="F746" s="101">
        <v>1150</v>
      </c>
    </row>
    <row r="747" spans="3:6" ht="14.4" customHeight="1" x14ac:dyDescent="0.3">
      <c r="C747" s="2">
        <v>100</v>
      </c>
      <c r="D747" s="2" t="s">
        <v>247</v>
      </c>
      <c r="E747" s="2" t="s">
        <v>770</v>
      </c>
      <c r="F747" s="101">
        <v>9136</v>
      </c>
    </row>
    <row r="748" spans="3:6" ht="14.4" customHeight="1" x14ac:dyDescent="0.3">
      <c r="C748" s="2">
        <v>100</v>
      </c>
      <c r="D748" s="2" t="s">
        <v>348</v>
      </c>
      <c r="E748" s="2" t="s">
        <v>770</v>
      </c>
      <c r="F748" s="101">
        <v>3905</v>
      </c>
    </row>
    <row r="749" spans="3:6" ht="14.4" customHeight="1" x14ac:dyDescent="0.3">
      <c r="C749" s="2">
        <v>100</v>
      </c>
      <c r="D749" s="2" t="s">
        <v>461</v>
      </c>
      <c r="E749" s="2" t="s">
        <v>769</v>
      </c>
      <c r="F749" s="101">
        <v>11297</v>
      </c>
    </row>
    <row r="750" spans="3:6" ht="14.4" customHeight="1" x14ac:dyDescent="0.3">
      <c r="C750" s="2">
        <v>100</v>
      </c>
      <c r="D750" s="2" t="s">
        <v>436</v>
      </c>
      <c r="E750" s="2" t="s">
        <v>773</v>
      </c>
      <c r="F750" s="101">
        <v>332</v>
      </c>
    </row>
    <row r="751" spans="3:6" ht="14.4" customHeight="1" x14ac:dyDescent="0.3">
      <c r="C751" s="2">
        <v>100</v>
      </c>
      <c r="D751" s="2" t="s">
        <v>224</v>
      </c>
      <c r="E751" s="2" t="s">
        <v>770</v>
      </c>
      <c r="F751" s="101">
        <v>15843</v>
      </c>
    </row>
    <row r="752" spans="3:6" ht="14.4" customHeight="1" x14ac:dyDescent="0.3">
      <c r="C752" s="2">
        <v>100</v>
      </c>
      <c r="D752" s="2" t="s">
        <v>589</v>
      </c>
      <c r="E752" s="2" t="s">
        <v>771</v>
      </c>
      <c r="F752" s="101">
        <v>9441</v>
      </c>
    </row>
    <row r="753" spans="3:6" ht="14.4" customHeight="1" x14ac:dyDescent="0.3">
      <c r="C753" s="2">
        <v>100</v>
      </c>
      <c r="D753" s="2" t="s">
        <v>528</v>
      </c>
      <c r="E753" s="2" t="s">
        <v>769</v>
      </c>
      <c r="F753" s="101">
        <v>1303703</v>
      </c>
    </row>
    <row r="754" spans="3:6" ht="14.4" customHeight="1" x14ac:dyDescent="0.3">
      <c r="C754" s="2">
        <v>100</v>
      </c>
      <c r="D754" s="2" t="s">
        <v>237</v>
      </c>
      <c r="E754" s="2" t="s">
        <v>770</v>
      </c>
      <c r="F754" s="101">
        <v>2677</v>
      </c>
    </row>
    <row r="755" spans="3:6" ht="14.4" customHeight="1" x14ac:dyDescent="0.3">
      <c r="C755" s="2">
        <v>100</v>
      </c>
      <c r="D755" s="2" t="s">
        <v>235</v>
      </c>
      <c r="E755" s="2" t="s">
        <v>774</v>
      </c>
      <c r="F755" s="101">
        <v>1645</v>
      </c>
    </row>
    <row r="756" spans="3:6" ht="14.4" customHeight="1" x14ac:dyDescent="0.3">
      <c r="C756" s="2">
        <v>100</v>
      </c>
      <c r="D756" s="2" t="s">
        <v>466</v>
      </c>
      <c r="E756" s="2" t="s">
        <v>769</v>
      </c>
      <c r="F756" s="101">
        <v>68892</v>
      </c>
    </row>
    <row r="757" spans="3:6" ht="14.4" customHeight="1" x14ac:dyDescent="0.3">
      <c r="C757" s="2">
        <v>100</v>
      </c>
      <c r="D757" s="2" t="s">
        <v>251</v>
      </c>
      <c r="E757" s="2" t="s">
        <v>775</v>
      </c>
      <c r="F757" s="101">
        <v>38</v>
      </c>
    </row>
    <row r="758" spans="3:6" ht="14.4" customHeight="1" x14ac:dyDescent="0.3">
      <c r="C758" s="2">
        <v>100</v>
      </c>
      <c r="D758" s="2" t="s">
        <v>201</v>
      </c>
      <c r="E758" s="2" t="s">
        <v>769</v>
      </c>
      <c r="F758" s="101">
        <v>406208</v>
      </c>
    </row>
    <row r="759" spans="3:6" ht="14.4" customHeight="1" x14ac:dyDescent="0.3">
      <c r="C759" s="2">
        <v>100</v>
      </c>
      <c r="D759" s="2" t="s">
        <v>396</v>
      </c>
      <c r="E759" s="2" t="s">
        <v>772</v>
      </c>
      <c r="F759" s="101">
        <v>302</v>
      </c>
    </row>
    <row r="760" spans="3:6" ht="14.4" customHeight="1" x14ac:dyDescent="0.3">
      <c r="C760" s="2">
        <v>100</v>
      </c>
      <c r="D760" s="2" t="s">
        <v>484</v>
      </c>
      <c r="E760" s="2" t="s">
        <v>769</v>
      </c>
      <c r="F760" s="101">
        <v>173198</v>
      </c>
    </row>
    <row r="761" spans="3:6" ht="14.4" customHeight="1" x14ac:dyDescent="0.3">
      <c r="C761" s="2">
        <v>100</v>
      </c>
      <c r="D761" s="2" t="s">
        <v>516</v>
      </c>
      <c r="E761" s="2" t="s">
        <v>775</v>
      </c>
      <c r="F761" s="101">
        <v>8</v>
      </c>
    </row>
    <row r="762" spans="3:6" ht="14.4" customHeight="1" x14ac:dyDescent="0.3">
      <c r="C762" s="2">
        <v>100</v>
      </c>
      <c r="D762" s="2" t="s">
        <v>476</v>
      </c>
      <c r="E762" s="2" t="s">
        <v>771</v>
      </c>
      <c r="F762" s="101">
        <v>563</v>
      </c>
    </row>
    <row r="763" spans="3:6" ht="14.4" customHeight="1" x14ac:dyDescent="0.3">
      <c r="C763" s="2">
        <v>100</v>
      </c>
      <c r="D763" s="2" t="s">
        <v>590</v>
      </c>
      <c r="E763" s="2" t="s">
        <v>770</v>
      </c>
      <c r="F763" s="101">
        <v>9767</v>
      </c>
    </row>
    <row r="764" spans="3:6" ht="14.4" customHeight="1" x14ac:dyDescent="0.3">
      <c r="C764" s="2">
        <v>100</v>
      </c>
      <c r="D764" s="2" t="s">
        <v>355</v>
      </c>
      <c r="E764" s="2" t="s">
        <v>773</v>
      </c>
      <c r="F764" s="101">
        <v>20668</v>
      </c>
    </row>
    <row r="765" spans="3:6" ht="14.4" customHeight="1" x14ac:dyDescent="0.3">
      <c r="C765" s="2">
        <v>100</v>
      </c>
      <c r="D765" s="2" t="s">
        <v>236</v>
      </c>
      <c r="E765" s="2" t="s">
        <v>769</v>
      </c>
      <c r="F765" s="101">
        <v>2194968</v>
      </c>
    </row>
    <row r="766" spans="3:6" ht="14.4" customHeight="1" x14ac:dyDescent="0.3">
      <c r="C766" s="2">
        <v>100</v>
      </c>
      <c r="D766" s="2" t="s">
        <v>234</v>
      </c>
      <c r="E766" s="2" t="s">
        <v>771</v>
      </c>
      <c r="F766" s="101">
        <v>45</v>
      </c>
    </row>
    <row r="767" spans="3:6" ht="14.4" customHeight="1" x14ac:dyDescent="0.3">
      <c r="C767" s="2">
        <v>100</v>
      </c>
      <c r="D767" s="2" t="s">
        <v>515</v>
      </c>
      <c r="E767" s="2" t="s">
        <v>770</v>
      </c>
      <c r="F767" s="101">
        <v>128</v>
      </c>
    </row>
    <row r="768" spans="3:6" ht="14.4" customHeight="1" x14ac:dyDescent="0.3">
      <c r="C768" s="2">
        <v>100</v>
      </c>
      <c r="D768" s="2" t="s">
        <v>737</v>
      </c>
      <c r="E768" s="2" t="s">
        <v>769</v>
      </c>
      <c r="F768" s="101">
        <v>846</v>
      </c>
    </row>
    <row r="769" spans="3:6" ht="14.4" customHeight="1" x14ac:dyDescent="0.3">
      <c r="C769" s="2">
        <v>100</v>
      </c>
      <c r="D769" s="2" t="s">
        <v>201</v>
      </c>
      <c r="E769" s="2" t="s">
        <v>777</v>
      </c>
      <c r="F769" s="101">
        <v>1513</v>
      </c>
    </row>
    <row r="770" spans="3:6" ht="14.4" customHeight="1" x14ac:dyDescent="0.3">
      <c r="C770" s="2">
        <v>100</v>
      </c>
      <c r="D770" s="2" t="s">
        <v>202</v>
      </c>
      <c r="E770" s="2" t="s">
        <v>771</v>
      </c>
      <c r="F770" s="101">
        <v>27046</v>
      </c>
    </row>
    <row r="771" spans="3:6" ht="14.4" customHeight="1" x14ac:dyDescent="0.3">
      <c r="C771" s="2">
        <v>100</v>
      </c>
      <c r="D771" s="2" t="s">
        <v>488</v>
      </c>
      <c r="E771" s="2" t="s">
        <v>771</v>
      </c>
      <c r="F771" s="101">
        <v>14502</v>
      </c>
    </row>
    <row r="772" spans="3:6" ht="14.4" customHeight="1" x14ac:dyDescent="0.3">
      <c r="C772" s="2">
        <v>100</v>
      </c>
      <c r="D772" s="2" t="s">
        <v>400</v>
      </c>
      <c r="E772" s="2" t="s">
        <v>773</v>
      </c>
      <c r="F772" s="101">
        <v>700</v>
      </c>
    </row>
    <row r="773" spans="3:6" ht="14.4" customHeight="1" x14ac:dyDescent="0.3">
      <c r="C773" s="2">
        <v>100</v>
      </c>
      <c r="D773" s="2" t="s">
        <v>436</v>
      </c>
      <c r="E773" s="2" t="s">
        <v>770</v>
      </c>
      <c r="F773" s="101">
        <v>228</v>
      </c>
    </row>
    <row r="774" spans="3:6" ht="14.4" customHeight="1" x14ac:dyDescent="0.3">
      <c r="C774" s="2">
        <v>100</v>
      </c>
      <c r="D774" s="2" t="s">
        <v>348</v>
      </c>
      <c r="E774" s="2" t="s">
        <v>773</v>
      </c>
      <c r="F774" s="101">
        <v>800</v>
      </c>
    </row>
    <row r="775" spans="3:6" ht="14.4" customHeight="1" x14ac:dyDescent="0.3">
      <c r="C775" s="2">
        <v>100</v>
      </c>
      <c r="D775" s="2" t="s">
        <v>475</v>
      </c>
      <c r="E775" s="2" t="s">
        <v>773</v>
      </c>
      <c r="F775" s="101">
        <v>790</v>
      </c>
    </row>
    <row r="776" spans="3:6" ht="14.4" customHeight="1" x14ac:dyDescent="0.3">
      <c r="C776" s="2">
        <v>100</v>
      </c>
      <c r="D776" s="2" t="s">
        <v>526</v>
      </c>
      <c r="E776" s="2" t="s">
        <v>771</v>
      </c>
      <c r="F776" s="101">
        <v>3787</v>
      </c>
    </row>
    <row r="777" spans="3:6" ht="14.4" customHeight="1" x14ac:dyDescent="0.3">
      <c r="C777" s="2">
        <v>100</v>
      </c>
      <c r="D777" s="2" t="s">
        <v>380</v>
      </c>
      <c r="E777" s="2" t="s">
        <v>773</v>
      </c>
      <c r="F777" s="101">
        <v>3687</v>
      </c>
    </row>
    <row r="778" spans="3:6" ht="14.4" customHeight="1" x14ac:dyDescent="0.3">
      <c r="C778" s="2">
        <v>100</v>
      </c>
      <c r="D778" s="2" t="s">
        <v>214</v>
      </c>
      <c r="E778" s="2" t="s">
        <v>773</v>
      </c>
      <c r="F778" s="101">
        <v>244917</v>
      </c>
    </row>
    <row r="779" spans="3:6" ht="14.4" customHeight="1" x14ac:dyDescent="0.3">
      <c r="C779" s="2">
        <v>100</v>
      </c>
      <c r="D779" s="2" t="s">
        <v>388</v>
      </c>
      <c r="E779" s="2" t="s">
        <v>773</v>
      </c>
      <c r="F779" s="101">
        <v>10693</v>
      </c>
    </row>
    <row r="780" spans="3:6" ht="14.4" customHeight="1" x14ac:dyDescent="0.3">
      <c r="C780" s="2">
        <v>100</v>
      </c>
      <c r="D780" s="2" t="s">
        <v>727</v>
      </c>
      <c r="E780" s="2" t="s">
        <v>775</v>
      </c>
      <c r="F780" s="101">
        <v>4143</v>
      </c>
    </row>
    <row r="781" spans="3:6" ht="14.4" customHeight="1" x14ac:dyDescent="0.3">
      <c r="C781" s="2">
        <v>100</v>
      </c>
      <c r="D781" s="2" t="s">
        <v>422</v>
      </c>
      <c r="E781" s="2" t="s">
        <v>769</v>
      </c>
      <c r="F781" s="101">
        <v>120007</v>
      </c>
    </row>
    <row r="782" spans="3:6" ht="14.4" customHeight="1" x14ac:dyDescent="0.3">
      <c r="C782" s="2">
        <v>100</v>
      </c>
      <c r="D782" s="2" t="s">
        <v>480</v>
      </c>
      <c r="E782" s="2" t="s">
        <v>769</v>
      </c>
      <c r="F782" s="101">
        <v>10972</v>
      </c>
    </row>
    <row r="783" spans="3:6" ht="14.4" customHeight="1" x14ac:dyDescent="0.3">
      <c r="C783" s="2">
        <v>100</v>
      </c>
      <c r="D783" s="2" t="s">
        <v>699</v>
      </c>
      <c r="E783" s="2" t="s">
        <v>769</v>
      </c>
      <c r="F783" s="101">
        <v>21549</v>
      </c>
    </row>
    <row r="784" spans="3:6" ht="14.4" customHeight="1" x14ac:dyDescent="0.3">
      <c r="C784" s="2">
        <v>100</v>
      </c>
      <c r="D784" s="2" t="s">
        <v>344</v>
      </c>
      <c r="E784" s="2" t="s">
        <v>771</v>
      </c>
      <c r="F784" s="101">
        <v>7163</v>
      </c>
    </row>
    <row r="785" spans="3:6" ht="14.4" customHeight="1" x14ac:dyDescent="0.3">
      <c r="C785" s="2">
        <v>100</v>
      </c>
      <c r="D785" s="2" t="s">
        <v>557</v>
      </c>
      <c r="E785" s="2" t="s">
        <v>769</v>
      </c>
      <c r="F785" s="101">
        <v>113590</v>
      </c>
    </row>
    <row r="786" spans="3:6" ht="14.4" customHeight="1" x14ac:dyDescent="0.3">
      <c r="C786" s="2">
        <v>100</v>
      </c>
      <c r="D786" s="2" t="s">
        <v>357</v>
      </c>
      <c r="E786" s="2" t="s">
        <v>774</v>
      </c>
      <c r="F786" s="101">
        <v>1130</v>
      </c>
    </row>
    <row r="787" spans="3:6" ht="14.4" customHeight="1" x14ac:dyDescent="0.3">
      <c r="C787" s="2">
        <v>100</v>
      </c>
      <c r="D787" s="2" t="s">
        <v>500</v>
      </c>
      <c r="E787" s="2" t="s">
        <v>773</v>
      </c>
      <c r="F787" s="101">
        <v>50</v>
      </c>
    </row>
    <row r="788" spans="3:6" ht="14.4" customHeight="1" x14ac:dyDescent="0.3">
      <c r="C788" s="2">
        <v>100</v>
      </c>
      <c r="D788" s="2" t="s">
        <v>245</v>
      </c>
      <c r="E788" s="2" t="s">
        <v>775</v>
      </c>
      <c r="F788" s="101">
        <v>4</v>
      </c>
    </row>
    <row r="789" spans="3:6" ht="14.4" customHeight="1" x14ac:dyDescent="0.3">
      <c r="C789" s="2">
        <v>100</v>
      </c>
      <c r="D789" s="2" t="s">
        <v>500</v>
      </c>
      <c r="E789" s="2" t="s">
        <v>771</v>
      </c>
      <c r="F789" s="101">
        <v>933</v>
      </c>
    </row>
    <row r="790" spans="3:6" ht="14.4" customHeight="1" x14ac:dyDescent="0.3">
      <c r="C790" s="2">
        <v>100</v>
      </c>
      <c r="D790" s="2" t="s">
        <v>349</v>
      </c>
      <c r="E790" s="2" t="s">
        <v>769</v>
      </c>
      <c r="F790" s="101">
        <v>342139</v>
      </c>
    </row>
    <row r="791" spans="3:6" ht="14.4" customHeight="1" x14ac:dyDescent="0.3">
      <c r="C791" s="2">
        <v>100</v>
      </c>
      <c r="D791" s="2" t="s">
        <v>382</v>
      </c>
      <c r="E791" s="2" t="s">
        <v>773</v>
      </c>
      <c r="F791" s="101">
        <v>585</v>
      </c>
    </row>
    <row r="792" spans="3:6" ht="14.4" customHeight="1" x14ac:dyDescent="0.3">
      <c r="C792" s="2">
        <v>100</v>
      </c>
      <c r="D792" s="2" t="s">
        <v>660</v>
      </c>
      <c r="E792" s="2" t="s">
        <v>773</v>
      </c>
      <c r="F792" s="101">
        <v>631</v>
      </c>
    </row>
    <row r="793" spans="3:6" ht="14.4" customHeight="1" x14ac:dyDescent="0.3">
      <c r="C793" s="2">
        <v>100</v>
      </c>
      <c r="D793" s="2" t="s">
        <v>651</v>
      </c>
      <c r="E793" s="2" t="s">
        <v>774</v>
      </c>
      <c r="F793" s="101">
        <v>0</v>
      </c>
    </row>
    <row r="794" spans="3:6" ht="14.4" customHeight="1" x14ac:dyDescent="0.3">
      <c r="C794" s="2">
        <v>100</v>
      </c>
      <c r="D794" s="2" t="s">
        <v>214</v>
      </c>
      <c r="E794" s="2" t="s">
        <v>771</v>
      </c>
      <c r="F794" s="101">
        <v>122285</v>
      </c>
    </row>
    <row r="795" spans="3:6" ht="14.4" customHeight="1" x14ac:dyDescent="0.3">
      <c r="C795" s="2">
        <v>100</v>
      </c>
      <c r="D795" s="2" t="s">
        <v>367</v>
      </c>
      <c r="E795" s="2" t="s">
        <v>773</v>
      </c>
      <c r="F795" s="101">
        <v>20596</v>
      </c>
    </row>
    <row r="796" spans="3:6" ht="14.4" customHeight="1" x14ac:dyDescent="0.3">
      <c r="C796" s="2">
        <v>100</v>
      </c>
      <c r="D796" s="2" t="s">
        <v>727</v>
      </c>
      <c r="E796" s="2" t="s">
        <v>771</v>
      </c>
      <c r="F796" s="101">
        <v>97</v>
      </c>
    </row>
    <row r="797" spans="3:6" ht="14.4" customHeight="1" x14ac:dyDescent="0.3">
      <c r="C797" s="2">
        <v>100</v>
      </c>
      <c r="D797" s="2" t="s">
        <v>339</v>
      </c>
      <c r="E797" s="2" t="s">
        <v>773</v>
      </c>
      <c r="F797" s="101">
        <v>26649</v>
      </c>
    </row>
    <row r="798" spans="3:6" ht="14.4" customHeight="1" x14ac:dyDescent="0.3">
      <c r="C798" s="2">
        <v>100</v>
      </c>
      <c r="D798" s="2" t="s">
        <v>475</v>
      </c>
      <c r="E798" s="2" t="s">
        <v>770</v>
      </c>
      <c r="F798" s="101">
        <v>923</v>
      </c>
    </row>
    <row r="799" spans="3:6" ht="14.4" customHeight="1" x14ac:dyDescent="0.3">
      <c r="C799" s="2">
        <v>100</v>
      </c>
      <c r="D799" s="2" t="s">
        <v>210</v>
      </c>
      <c r="E799" s="2" t="s">
        <v>775</v>
      </c>
      <c r="F799" s="101">
        <v>42172</v>
      </c>
    </row>
    <row r="800" spans="3:6" ht="14.4" customHeight="1" x14ac:dyDescent="0.3">
      <c r="C800" s="2">
        <v>100</v>
      </c>
      <c r="D800" s="2" t="s">
        <v>304</v>
      </c>
      <c r="E800" s="2" t="s">
        <v>775</v>
      </c>
      <c r="F800" s="101">
        <v>681</v>
      </c>
    </row>
    <row r="801" spans="3:6" ht="14.4" customHeight="1" x14ac:dyDescent="0.3">
      <c r="C801" s="2">
        <v>100</v>
      </c>
      <c r="D801" s="2" t="s">
        <v>566</v>
      </c>
      <c r="E801" s="2" t="s">
        <v>769</v>
      </c>
      <c r="F801" s="101">
        <v>76263</v>
      </c>
    </row>
    <row r="802" spans="3:6" ht="14.4" customHeight="1" x14ac:dyDescent="0.3">
      <c r="C802" s="2">
        <v>100</v>
      </c>
      <c r="D802" s="2" t="s">
        <v>587</v>
      </c>
      <c r="E802" s="2" t="s">
        <v>770</v>
      </c>
      <c r="F802" s="101">
        <v>433</v>
      </c>
    </row>
    <row r="803" spans="3:6" ht="14.4" customHeight="1" x14ac:dyDescent="0.3">
      <c r="C803" s="2">
        <v>100</v>
      </c>
      <c r="D803" s="2" t="s">
        <v>635</v>
      </c>
      <c r="E803" s="2" t="s">
        <v>769</v>
      </c>
      <c r="F803" s="101">
        <v>2705233</v>
      </c>
    </row>
    <row r="804" spans="3:6" ht="14.4" customHeight="1" x14ac:dyDescent="0.3">
      <c r="C804" s="2">
        <v>100</v>
      </c>
      <c r="D804" s="2" t="s">
        <v>603</v>
      </c>
      <c r="E804" s="2" t="s">
        <v>770</v>
      </c>
      <c r="F804" s="101">
        <v>985</v>
      </c>
    </row>
    <row r="805" spans="3:6" ht="14.4" customHeight="1" x14ac:dyDescent="0.3">
      <c r="C805" s="2">
        <v>100</v>
      </c>
      <c r="D805" s="2" t="s">
        <v>603</v>
      </c>
      <c r="E805" s="2" t="s">
        <v>775</v>
      </c>
      <c r="F805" s="101">
        <v>1001</v>
      </c>
    </row>
    <row r="806" spans="3:6" ht="14.4" customHeight="1" x14ac:dyDescent="0.3">
      <c r="C806" s="2">
        <v>100</v>
      </c>
      <c r="D806" s="2" t="s">
        <v>685</v>
      </c>
      <c r="E806" s="2" t="s">
        <v>770</v>
      </c>
      <c r="F806" s="101">
        <v>300</v>
      </c>
    </row>
    <row r="807" spans="3:6" ht="14.4" customHeight="1" x14ac:dyDescent="0.3">
      <c r="C807" s="2">
        <v>100</v>
      </c>
      <c r="D807" s="2" t="s">
        <v>698</v>
      </c>
      <c r="E807" s="2" t="s">
        <v>775</v>
      </c>
      <c r="F807" s="101">
        <v>17</v>
      </c>
    </row>
    <row r="808" spans="3:6" ht="14.4" customHeight="1" x14ac:dyDescent="0.3">
      <c r="C808" s="2">
        <v>100</v>
      </c>
      <c r="D808" s="2" t="s">
        <v>431</v>
      </c>
      <c r="E808" s="2" t="s">
        <v>769</v>
      </c>
      <c r="F808" s="101">
        <v>15343</v>
      </c>
    </row>
    <row r="809" spans="3:6" ht="14.4" customHeight="1" x14ac:dyDescent="0.3">
      <c r="C809" s="2">
        <v>100</v>
      </c>
      <c r="D809" s="2" t="s">
        <v>252</v>
      </c>
      <c r="E809" s="2" t="s">
        <v>771</v>
      </c>
      <c r="F809" s="101">
        <v>32006</v>
      </c>
    </row>
    <row r="810" spans="3:6" ht="14.4" customHeight="1" x14ac:dyDescent="0.3">
      <c r="C810" s="2">
        <v>100</v>
      </c>
      <c r="D810" s="2" t="s">
        <v>392</v>
      </c>
      <c r="E810" s="2" t="s">
        <v>773</v>
      </c>
      <c r="F810" s="101">
        <v>9909</v>
      </c>
    </row>
    <row r="811" spans="3:6" ht="14.4" customHeight="1" x14ac:dyDescent="0.3">
      <c r="C811" s="2">
        <v>100</v>
      </c>
      <c r="D811" s="2" t="s">
        <v>330</v>
      </c>
      <c r="E811" s="2" t="s">
        <v>777</v>
      </c>
      <c r="F811" s="101">
        <v>66097</v>
      </c>
    </row>
    <row r="812" spans="3:6" ht="14.4" customHeight="1" x14ac:dyDescent="0.3">
      <c r="C812" s="2">
        <v>100</v>
      </c>
      <c r="D812" s="2" t="s">
        <v>642</v>
      </c>
      <c r="E812" s="2" t="s">
        <v>770</v>
      </c>
      <c r="F812" s="101">
        <v>950</v>
      </c>
    </row>
    <row r="813" spans="3:6" ht="14.4" customHeight="1" x14ac:dyDescent="0.3">
      <c r="C813" s="2">
        <v>100</v>
      </c>
      <c r="D813" s="2" t="s">
        <v>434</v>
      </c>
      <c r="E813" s="2" t="s">
        <v>771</v>
      </c>
      <c r="F813" s="101">
        <v>15066</v>
      </c>
    </row>
    <row r="814" spans="3:6" ht="14.4" customHeight="1" x14ac:dyDescent="0.3">
      <c r="C814" s="2">
        <v>100</v>
      </c>
      <c r="D814" s="2" t="s">
        <v>246</v>
      </c>
      <c r="E814" s="2" t="s">
        <v>775</v>
      </c>
      <c r="F814" s="101">
        <v>8</v>
      </c>
    </row>
    <row r="815" spans="3:6" ht="14.4" customHeight="1" x14ac:dyDescent="0.3">
      <c r="C815" s="2">
        <v>100</v>
      </c>
      <c r="D815" s="2" t="s">
        <v>258</v>
      </c>
      <c r="E815" s="2" t="s">
        <v>770</v>
      </c>
      <c r="F815" s="101">
        <v>430</v>
      </c>
    </row>
    <row r="816" spans="3:6" ht="14.4" customHeight="1" x14ac:dyDescent="0.3">
      <c r="C816" s="2">
        <v>100</v>
      </c>
      <c r="D816" s="2" t="s">
        <v>619</v>
      </c>
      <c r="E816" s="2" t="s">
        <v>772</v>
      </c>
      <c r="F816" s="101">
        <v>42</v>
      </c>
    </row>
    <row r="817" spans="3:6" ht="14.4" customHeight="1" x14ac:dyDescent="0.3">
      <c r="C817" s="2">
        <v>100</v>
      </c>
      <c r="D817" s="2" t="s">
        <v>396</v>
      </c>
      <c r="E817" s="2" t="s">
        <v>774</v>
      </c>
      <c r="F817" s="101">
        <v>135</v>
      </c>
    </row>
    <row r="818" spans="3:6" ht="14.4" customHeight="1" x14ac:dyDescent="0.3">
      <c r="C818" s="2">
        <v>100</v>
      </c>
      <c r="D818" s="2" t="s">
        <v>534</v>
      </c>
      <c r="E818" s="2" t="s">
        <v>774</v>
      </c>
      <c r="F818" s="101">
        <v>-517</v>
      </c>
    </row>
    <row r="819" spans="3:6" ht="14.4" customHeight="1" x14ac:dyDescent="0.3">
      <c r="C819" s="2">
        <v>100</v>
      </c>
      <c r="D819" s="2" t="s">
        <v>390</v>
      </c>
      <c r="E819" s="2" t="s">
        <v>770</v>
      </c>
      <c r="F819" s="101">
        <v>1676</v>
      </c>
    </row>
    <row r="820" spans="3:6" ht="14.4" customHeight="1" x14ac:dyDescent="0.3">
      <c r="C820" s="2">
        <v>100</v>
      </c>
      <c r="D820" s="2" t="s">
        <v>467</v>
      </c>
      <c r="E820" s="2" t="s">
        <v>770</v>
      </c>
      <c r="F820" s="101">
        <v>755</v>
      </c>
    </row>
    <row r="821" spans="3:6" ht="14.4" customHeight="1" x14ac:dyDescent="0.3">
      <c r="C821" s="2">
        <v>100</v>
      </c>
      <c r="D821" s="2" t="s">
        <v>407</v>
      </c>
      <c r="E821" s="2" t="s">
        <v>771</v>
      </c>
      <c r="F821" s="101">
        <v>194</v>
      </c>
    </row>
    <row r="822" spans="3:6" ht="14.4" customHeight="1" x14ac:dyDescent="0.3">
      <c r="C822" s="2">
        <v>100</v>
      </c>
      <c r="D822" s="2" t="s">
        <v>226</v>
      </c>
      <c r="E822" s="2" t="s">
        <v>775</v>
      </c>
      <c r="F822" s="101">
        <v>279</v>
      </c>
    </row>
    <row r="823" spans="3:6" ht="14.4" customHeight="1" x14ac:dyDescent="0.3">
      <c r="C823" s="2">
        <v>100</v>
      </c>
      <c r="D823" s="2" t="s">
        <v>327</v>
      </c>
      <c r="E823" s="2" t="s">
        <v>769</v>
      </c>
      <c r="F823" s="101">
        <v>35249</v>
      </c>
    </row>
    <row r="824" spans="3:6" ht="14.4" customHeight="1" x14ac:dyDescent="0.3">
      <c r="C824" s="2">
        <v>100</v>
      </c>
      <c r="D824" s="2" t="s">
        <v>372</v>
      </c>
      <c r="E824" s="2" t="s">
        <v>773</v>
      </c>
      <c r="F824" s="101">
        <v>2412</v>
      </c>
    </row>
    <row r="825" spans="3:6" ht="14.4" customHeight="1" x14ac:dyDescent="0.3">
      <c r="C825" s="2">
        <v>100</v>
      </c>
      <c r="D825" s="2" t="s">
        <v>265</v>
      </c>
      <c r="E825" s="2" t="s">
        <v>769</v>
      </c>
      <c r="F825" s="101">
        <v>355564</v>
      </c>
    </row>
    <row r="826" spans="3:6" ht="14.4" customHeight="1" x14ac:dyDescent="0.3">
      <c r="C826" s="2">
        <v>100</v>
      </c>
      <c r="D826" s="2" t="s">
        <v>373</v>
      </c>
      <c r="E826" s="2" t="s">
        <v>770</v>
      </c>
      <c r="F826" s="101">
        <v>13278</v>
      </c>
    </row>
    <row r="827" spans="3:6" ht="14.4" customHeight="1" x14ac:dyDescent="0.3">
      <c r="C827" s="2">
        <v>100</v>
      </c>
      <c r="D827" s="2" t="s">
        <v>386</v>
      </c>
      <c r="E827" s="2" t="s">
        <v>771</v>
      </c>
      <c r="F827" s="101">
        <v>30742</v>
      </c>
    </row>
    <row r="828" spans="3:6" ht="14.4" customHeight="1" x14ac:dyDescent="0.3">
      <c r="C828" s="2">
        <v>100</v>
      </c>
      <c r="D828" s="2" t="s">
        <v>548</v>
      </c>
      <c r="E828" s="2" t="s">
        <v>769</v>
      </c>
      <c r="F828" s="101">
        <v>10205</v>
      </c>
    </row>
    <row r="829" spans="3:6" ht="14.4" customHeight="1" x14ac:dyDescent="0.3">
      <c r="C829" s="2">
        <v>100</v>
      </c>
      <c r="D829" s="2" t="s">
        <v>657</v>
      </c>
      <c r="E829" s="2" t="s">
        <v>774</v>
      </c>
      <c r="F829" s="101">
        <v>0</v>
      </c>
    </row>
    <row r="830" spans="3:6" ht="14.4" customHeight="1" x14ac:dyDescent="0.3">
      <c r="C830" s="2">
        <v>100</v>
      </c>
      <c r="D830" s="2" t="s">
        <v>626</v>
      </c>
      <c r="E830" s="2" t="s">
        <v>771</v>
      </c>
      <c r="F830" s="101">
        <v>3499</v>
      </c>
    </row>
    <row r="831" spans="3:6" ht="14.4" customHeight="1" x14ac:dyDescent="0.3">
      <c r="C831" s="2">
        <v>100</v>
      </c>
      <c r="D831" s="2" t="s">
        <v>591</v>
      </c>
      <c r="E831" s="2" t="s">
        <v>769</v>
      </c>
      <c r="F831" s="101">
        <v>2051</v>
      </c>
    </row>
    <row r="832" spans="3:6" ht="14.4" customHeight="1" x14ac:dyDescent="0.3">
      <c r="C832" s="2">
        <v>100</v>
      </c>
      <c r="D832" s="2" t="s">
        <v>290</v>
      </c>
      <c r="E832" s="2" t="s">
        <v>769</v>
      </c>
      <c r="F832" s="101">
        <v>74828</v>
      </c>
    </row>
    <row r="833" spans="3:6" ht="14.4" customHeight="1" x14ac:dyDescent="0.3">
      <c r="C833" s="2">
        <v>100</v>
      </c>
      <c r="D833" s="2" t="s">
        <v>569</v>
      </c>
      <c r="E833" s="2" t="s">
        <v>772</v>
      </c>
      <c r="F833" s="101">
        <v>2161</v>
      </c>
    </row>
    <row r="834" spans="3:6" ht="14.4" customHeight="1" x14ac:dyDescent="0.3">
      <c r="C834" s="2">
        <v>100</v>
      </c>
      <c r="D834" s="2" t="s">
        <v>372</v>
      </c>
      <c r="E834" s="2" t="s">
        <v>771</v>
      </c>
      <c r="F834" s="101">
        <v>11195</v>
      </c>
    </row>
    <row r="835" spans="3:6" ht="14.4" customHeight="1" x14ac:dyDescent="0.3">
      <c r="C835" s="2">
        <v>100</v>
      </c>
      <c r="D835" s="2" t="s">
        <v>265</v>
      </c>
      <c r="E835" s="2" t="s">
        <v>777</v>
      </c>
      <c r="F835" s="101">
        <v>10380</v>
      </c>
    </row>
    <row r="836" spans="3:6" ht="14.4" customHeight="1" x14ac:dyDescent="0.3">
      <c r="C836" s="2">
        <v>100</v>
      </c>
      <c r="D836" s="2" t="s">
        <v>279</v>
      </c>
      <c r="E836" s="2" t="s">
        <v>774</v>
      </c>
      <c r="F836" s="101">
        <v>4051</v>
      </c>
    </row>
    <row r="837" spans="3:6" ht="14.4" customHeight="1" x14ac:dyDescent="0.3">
      <c r="C837" s="2">
        <v>100</v>
      </c>
      <c r="D837" s="2" t="s">
        <v>250</v>
      </c>
      <c r="E837" s="2" t="s">
        <v>773</v>
      </c>
      <c r="F837" s="101">
        <v>116</v>
      </c>
    </row>
    <row r="838" spans="3:6" ht="14.4" customHeight="1" x14ac:dyDescent="0.3">
      <c r="C838" s="2">
        <v>100</v>
      </c>
      <c r="D838" s="2" t="s">
        <v>218</v>
      </c>
      <c r="E838" s="2" t="s">
        <v>774</v>
      </c>
      <c r="F838" s="101">
        <v>2579</v>
      </c>
    </row>
    <row r="839" spans="3:6" ht="14.4" customHeight="1" x14ac:dyDescent="0.3">
      <c r="C839" s="2">
        <v>100</v>
      </c>
      <c r="D839" s="2" t="s">
        <v>345</v>
      </c>
      <c r="E839" s="2" t="s">
        <v>777</v>
      </c>
      <c r="F839" s="101">
        <v>3369</v>
      </c>
    </row>
    <row r="840" spans="3:6" ht="14.4" customHeight="1" x14ac:dyDescent="0.3">
      <c r="C840" s="2">
        <v>100</v>
      </c>
      <c r="D840" s="2" t="s">
        <v>726</v>
      </c>
      <c r="E840" s="2" t="s">
        <v>775</v>
      </c>
      <c r="F840" s="101">
        <v>258</v>
      </c>
    </row>
    <row r="841" spans="3:6" ht="14.4" customHeight="1" x14ac:dyDescent="0.3">
      <c r="C841" s="2">
        <v>100</v>
      </c>
      <c r="D841" s="2" t="s">
        <v>602</v>
      </c>
      <c r="E841" s="2" t="s">
        <v>771</v>
      </c>
      <c r="F841" s="101">
        <v>3101</v>
      </c>
    </row>
    <row r="842" spans="3:6" ht="14.4" customHeight="1" x14ac:dyDescent="0.3">
      <c r="C842" s="2">
        <v>100</v>
      </c>
      <c r="D842" s="2" t="s">
        <v>644</v>
      </c>
      <c r="E842" s="2" t="s">
        <v>771</v>
      </c>
      <c r="F842" s="101">
        <v>2939</v>
      </c>
    </row>
    <row r="843" spans="3:6" ht="14.4" customHeight="1" x14ac:dyDescent="0.3">
      <c r="C843" s="2">
        <v>100</v>
      </c>
      <c r="D843" s="2" t="s">
        <v>539</v>
      </c>
      <c r="E843" s="2" t="s">
        <v>769</v>
      </c>
      <c r="F843" s="101">
        <v>19511</v>
      </c>
    </row>
    <row r="844" spans="3:6" ht="14.4" customHeight="1" x14ac:dyDescent="0.3">
      <c r="C844" s="2">
        <v>100</v>
      </c>
      <c r="D844" s="2" t="s">
        <v>624</v>
      </c>
      <c r="E844" s="2" t="s">
        <v>769</v>
      </c>
      <c r="F844" s="101">
        <v>16688</v>
      </c>
    </row>
    <row r="845" spans="3:6" ht="14.4" customHeight="1" x14ac:dyDescent="0.3">
      <c r="C845" s="2">
        <v>100</v>
      </c>
      <c r="D845" s="2" t="s">
        <v>47</v>
      </c>
      <c r="E845" s="2" t="s">
        <v>773</v>
      </c>
      <c r="F845" s="101">
        <v>2572</v>
      </c>
    </row>
    <row r="846" spans="3:6" ht="14.4" customHeight="1" x14ac:dyDescent="0.3">
      <c r="C846" s="2">
        <v>100</v>
      </c>
      <c r="D846" s="2" t="s">
        <v>407</v>
      </c>
      <c r="E846" s="2" t="s">
        <v>773</v>
      </c>
      <c r="F846" s="101">
        <v>40</v>
      </c>
    </row>
    <row r="847" spans="3:6" ht="14.4" customHeight="1" x14ac:dyDescent="0.3">
      <c r="C847" s="2">
        <v>100</v>
      </c>
      <c r="D847" s="2" t="s">
        <v>565</v>
      </c>
      <c r="E847" s="2" t="s">
        <v>774</v>
      </c>
      <c r="F847" s="101">
        <v>-9725</v>
      </c>
    </row>
    <row r="848" spans="3:6" ht="14.4" customHeight="1" x14ac:dyDescent="0.3">
      <c r="C848" s="2">
        <v>100</v>
      </c>
      <c r="D848" s="2" t="s">
        <v>417</v>
      </c>
      <c r="E848" s="2" t="s">
        <v>769</v>
      </c>
      <c r="F848" s="101">
        <v>195780</v>
      </c>
    </row>
    <row r="849" spans="3:6" ht="14.4" customHeight="1" x14ac:dyDescent="0.3">
      <c r="C849" s="2">
        <v>100</v>
      </c>
      <c r="D849" s="2" t="s">
        <v>294</v>
      </c>
      <c r="E849" s="2" t="s">
        <v>775</v>
      </c>
      <c r="F849" s="101">
        <v>8</v>
      </c>
    </row>
    <row r="850" spans="3:6" ht="14.4" customHeight="1" x14ac:dyDescent="0.3">
      <c r="C850" s="2">
        <v>100</v>
      </c>
      <c r="D850" s="2" t="s">
        <v>363</v>
      </c>
      <c r="E850" s="2" t="s">
        <v>770</v>
      </c>
      <c r="F850" s="101">
        <v>11623</v>
      </c>
    </row>
    <row r="851" spans="3:6" ht="14.4" customHeight="1" x14ac:dyDescent="0.3">
      <c r="C851" s="2">
        <v>100</v>
      </c>
      <c r="D851" s="2" t="s">
        <v>482</v>
      </c>
      <c r="E851" s="2" t="s">
        <v>773</v>
      </c>
      <c r="F851" s="101">
        <v>9657</v>
      </c>
    </row>
    <row r="852" spans="3:6" ht="14.4" customHeight="1" x14ac:dyDescent="0.3">
      <c r="C852" s="2">
        <v>100</v>
      </c>
      <c r="D852" s="2" t="s">
        <v>536</v>
      </c>
      <c r="E852" s="2" t="s">
        <v>775</v>
      </c>
      <c r="F852" s="101">
        <v>3</v>
      </c>
    </row>
    <row r="853" spans="3:6" ht="14.4" customHeight="1" x14ac:dyDescent="0.3">
      <c r="C853" s="2">
        <v>100</v>
      </c>
      <c r="D853" s="2" t="s">
        <v>315</v>
      </c>
      <c r="E853" s="2" t="s">
        <v>770</v>
      </c>
      <c r="F853" s="101">
        <v>18903</v>
      </c>
    </row>
    <row r="854" spans="3:6" ht="14.4" customHeight="1" x14ac:dyDescent="0.3">
      <c r="C854" s="2">
        <v>100</v>
      </c>
      <c r="D854" s="2" t="s">
        <v>208</v>
      </c>
      <c r="E854" s="2" t="s">
        <v>775</v>
      </c>
      <c r="F854" s="101">
        <v>79</v>
      </c>
    </row>
    <row r="855" spans="3:6" ht="14.4" customHeight="1" x14ac:dyDescent="0.3">
      <c r="C855" s="2">
        <v>100</v>
      </c>
      <c r="D855" s="2" t="s">
        <v>562</v>
      </c>
      <c r="E855" s="2" t="s">
        <v>774</v>
      </c>
      <c r="F855" s="101">
        <v>-185</v>
      </c>
    </row>
    <row r="856" spans="3:6" ht="14.4" customHeight="1" x14ac:dyDescent="0.3">
      <c r="C856" s="2">
        <v>100</v>
      </c>
      <c r="D856" s="2" t="s">
        <v>248</v>
      </c>
      <c r="E856" s="2" t="s">
        <v>773</v>
      </c>
      <c r="F856" s="101">
        <v>6243</v>
      </c>
    </row>
    <row r="857" spans="3:6" ht="14.4" customHeight="1" x14ac:dyDescent="0.3">
      <c r="C857" s="2">
        <v>100</v>
      </c>
      <c r="D857" s="2" t="s">
        <v>681</v>
      </c>
      <c r="E857" s="2" t="s">
        <v>771</v>
      </c>
      <c r="F857" s="101">
        <v>6167</v>
      </c>
    </row>
    <row r="858" spans="3:6" ht="14.4" customHeight="1" x14ac:dyDescent="0.3">
      <c r="C858" s="2">
        <v>100</v>
      </c>
      <c r="D858" s="2" t="s">
        <v>483</v>
      </c>
      <c r="E858" s="2" t="s">
        <v>770</v>
      </c>
      <c r="F858" s="101">
        <v>11324</v>
      </c>
    </row>
    <row r="859" spans="3:6" ht="14.4" customHeight="1" x14ac:dyDescent="0.3">
      <c r="C859" s="2">
        <v>100</v>
      </c>
      <c r="D859" s="2" t="s">
        <v>264</v>
      </c>
      <c r="E859" s="2" t="s">
        <v>773</v>
      </c>
      <c r="F859" s="101">
        <v>7367</v>
      </c>
    </row>
    <row r="860" spans="3:6" ht="14.4" customHeight="1" x14ac:dyDescent="0.3">
      <c r="C860" s="2">
        <v>100</v>
      </c>
      <c r="D860" s="2" t="s">
        <v>483</v>
      </c>
      <c r="E860" s="2" t="s">
        <v>771</v>
      </c>
      <c r="F860" s="101">
        <v>16223</v>
      </c>
    </row>
    <row r="861" spans="3:6" ht="14.4" customHeight="1" x14ac:dyDescent="0.3">
      <c r="C861" s="2">
        <v>100</v>
      </c>
      <c r="D861" s="2" t="s">
        <v>681</v>
      </c>
      <c r="E861" s="2" t="s">
        <v>770</v>
      </c>
      <c r="F861" s="101">
        <v>158</v>
      </c>
    </row>
    <row r="862" spans="3:6" ht="14.4" customHeight="1" x14ac:dyDescent="0.3">
      <c r="C862" s="2">
        <v>100</v>
      </c>
      <c r="D862" s="2" t="s">
        <v>276</v>
      </c>
      <c r="E862" s="2" t="s">
        <v>774</v>
      </c>
      <c r="F862" s="101">
        <v>-347</v>
      </c>
    </row>
    <row r="863" spans="3:6" ht="14.4" customHeight="1" x14ac:dyDescent="0.3">
      <c r="C863" s="2">
        <v>100</v>
      </c>
      <c r="D863" s="2" t="s">
        <v>568</v>
      </c>
      <c r="E863" s="2" t="s">
        <v>774</v>
      </c>
      <c r="F863" s="101">
        <v>418</v>
      </c>
    </row>
    <row r="864" spans="3:6" ht="14.4" customHeight="1" x14ac:dyDescent="0.3">
      <c r="C864" s="2">
        <v>100</v>
      </c>
      <c r="D864" s="2" t="s">
        <v>310</v>
      </c>
      <c r="E864" s="2" t="s">
        <v>769</v>
      </c>
      <c r="F864" s="101">
        <v>34505</v>
      </c>
    </row>
    <row r="865" spans="3:6" ht="14.4" customHeight="1" x14ac:dyDescent="0.3">
      <c r="C865" s="2">
        <v>100</v>
      </c>
      <c r="D865" s="2" t="s">
        <v>262</v>
      </c>
      <c r="E865" s="2" t="s">
        <v>769</v>
      </c>
      <c r="F865" s="101">
        <v>155043</v>
      </c>
    </row>
    <row r="866" spans="3:6" ht="14.4" customHeight="1" x14ac:dyDescent="0.3">
      <c r="C866" s="2">
        <v>100</v>
      </c>
      <c r="D866" s="2" t="s">
        <v>408</v>
      </c>
      <c r="E866" s="2" t="s">
        <v>770</v>
      </c>
      <c r="F866" s="101">
        <v>1158</v>
      </c>
    </row>
    <row r="867" spans="3:6" ht="14.4" customHeight="1" x14ac:dyDescent="0.3">
      <c r="C867" s="2">
        <v>100</v>
      </c>
      <c r="D867" s="2" t="s">
        <v>541</v>
      </c>
      <c r="E867" s="2" t="s">
        <v>770</v>
      </c>
      <c r="F867" s="101">
        <v>126</v>
      </c>
    </row>
    <row r="868" spans="3:6" ht="14.4" customHeight="1" x14ac:dyDescent="0.3">
      <c r="C868" s="2">
        <v>100</v>
      </c>
      <c r="D868" s="2" t="s">
        <v>521</v>
      </c>
      <c r="E868" s="2" t="s">
        <v>775</v>
      </c>
      <c r="F868" s="101">
        <v>35075</v>
      </c>
    </row>
    <row r="869" spans="3:6" ht="14.4" customHeight="1" x14ac:dyDescent="0.3">
      <c r="C869" s="2">
        <v>100</v>
      </c>
      <c r="D869" s="2" t="s">
        <v>583</v>
      </c>
      <c r="E869" s="2" t="s">
        <v>769</v>
      </c>
      <c r="F869" s="101">
        <v>1281</v>
      </c>
    </row>
    <row r="870" spans="3:6" ht="14.4" customHeight="1" x14ac:dyDescent="0.3">
      <c r="C870" s="2">
        <v>100</v>
      </c>
      <c r="D870" s="2" t="s">
        <v>285</v>
      </c>
      <c r="E870" s="2" t="s">
        <v>771</v>
      </c>
      <c r="F870" s="101">
        <v>41143</v>
      </c>
    </row>
    <row r="871" spans="3:6" ht="14.4" customHeight="1" x14ac:dyDescent="0.3">
      <c r="C871" s="2">
        <v>100</v>
      </c>
      <c r="D871" s="2" t="s">
        <v>241</v>
      </c>
      <c r="E871" s="2" t="s">
        <v>771</v>
      </c>
      <c r="F871" s="101">
        <v>374</v>
      </c>
    </row>
    <row r="872" spans="3:6" ht="14.4" customHeight="1" x14ac:dyDescent="0.3">
      <c r="C872" s="2">
        <v>100</v>
      </c>
      <c r="D872" s="2" t="s">
        <v>363</v>
      </c>
      <c r="E872" s="2" t="s">
        <v>775</v>
      </c>
      <c r="F872" s="101">
        <v>75</v>
      </c>
    </row>
    <row r="873" spans="3:6" ht="14.4" customHeight="1" x14ac:dyDescent="0.3">
      <c r="C873" s="2">
        <v>100</v>
      </c>
      <c r="D873" s="2" t="s">
        <v>482</v>
      </c>
      <c r="E873" s="2" t="s">
        <v>770</v>
      </c>
      <c r="F873" s="101">
        <v>12995</v>
      </c>
    </row>
    <row r="874" spans="3:6" ht="14.4" customHeight="1" x14ac:dyDescent="0.3">
      <c r="C874" s="2">
        <v>100</v>
      </c>
      <c r="D874" s="2" t="s">
        <v>489</v>
      </c>
      <c r="E874" s="2" t="s">
        <v>771</v>
      </c>
      <c r="F874" s="101">
        <v>812</v>
      </c>
    </row>
    <row r="875" spans="3:6" ht="14.4" customHeight="1" x14ac:dyDescent="0.3">
      <c r="C875" s="2">
        <v>100</v>
      </c>
      <c r="D875" s="2" t="s">
        <v>485</v>
      </c>
      <c r="E875" s="2" t="s">
        <v>771</v>
      </c>
      <c r="F875" s="101">
        <v>23728</v>
      </c>
    </row>
    <row r="876" spans="3:6" ht="14.4" customHeight="1" x14ac:dyDescent="0.3">
      <c r="C876" s="2">
        <v>100</v>
      </c>
      <c r="D876" s="2" t="s">
        <v>395</v>
      </c>
      <c r="E876" s="2" t="s">
        <v>774</v>
      </c>
      <c r="F876" s="101">
        <v>375</v>
      </c>
    </row>
    <row r="877" spans="3:6" ht="14.4" customHeight="1" x14ac:dyDescent="0.3">
      <c r="C877" s="2">
        <v>100</v>
      </c>
      <c r="D877" s="2" t="s">
        <v>618</v>
      </c>
      <c r="E877" s="2" t="s">
        <v>773</v>
      </c>
      <c r="F877" s="101">
        <v>576</v>
      </c>
    </row>
    <row r="878" spans="3:6" ht="14.4" customHeight="1" x14ac:dyDescent="0.3">
      <c r="C878" s="2">
        <v>100</v>
      </c>
      <c r="D878" s="2" t="s">
        <v>482</v>
      </c>
      <c r="E878" s="2" t="s">
        <v>771</v>
      </c>
      <c r="F878" s="101">
        <v>25320</v>
      </c>
    </row>
    <row r="879" spans="3:6" ht="14.4" customHeight="1" x14ac:dyDescent="0.3">
      <c r="C879" s="2">
        <v>100</v>
      </c>
      <c r="D879" s="2" t="s">
        <v>426</v>
      </c>
      <c r="E879" s="2" t="s">
        <v>771</v>
      </c>
      <c r="F879" s="101">
        <v>2010</v>
      </c>
    </row>
    <row r="880" spans="3:6" ht="14.4" customHeight="1" x14ac:dyDescent="0.3">
      <c r="C880" s="2">
        <v>100</v>
      </c>
      <c r="D880" s="2" t="s">
        <v>346</v>
      </c>
      <c r="E880" s="2" t="s">
        <v>774</v>
      </c>
      <c r="F880" s="101">
        <v>-141</v>
      </c>
    </row>
    <row r="881" spans="3:6" ht="14.4" customHeight="1" x14ac:dyDescent="0.3">
      <c r="C881" s="2">
        <v>100</v>
      </c>
      <c r="D881" s="2" t="s">
        <v>405</v>
      </c>
      <c r="E881" s="2" t="s">
        <v>770</v>
      </c>
      <c r="F881" s="101">
        <v>3438</v>
      </c>
    </row>
    <row r="882" spans="3:6" ht="14.4" customHeight="1" x14ac:dyDescent="0.3">
      <c r="C882" s="2">
        <v>100</v>
      </c>
      <c r="D882" s="2" t="s">
        <v>362</v>
      </c>
      <c r="E882" s="2" t="s">
        <v>773</v>
      </c>
      <c r="F882" s="101">
        <v>1504</v>
      </c>
    </row>
    <row r="883" spans="3:6" ht="14.4" customHeight="1" x14ac:dyDescent="0.3">
      <c r="C883" s="2">
        <v>100</v>
      </c>
      <c r="D883" s="2" t="s">
        <v>715</v>
      </c>
      <c r="E883" s="2" t="s">
        <v>770</v>
      </c>
      <c r="F883" s="101">
        <v>277</v>
      </c>
    </row>
    <row r="884" spans="3:6" ht="14.4" customHeight="1" x14ac:dyDescent="0.3">
      <c r="C884" s="2">
        <v>100</v>
      </c>
      <c r="D884" s="2" t="s">
        <v>666</v>
      </c>
      <c r="E884" s="2" t="s">
        <v>771</v>
      </c>
      <c r="F884" s="101">
        <v>3234</v>
      </c>
    </row>
    <row r="885" spans="3:6" ht="14.4" customHeight="1" x14ac:dyDescent="0.3">
      <c r="C885" s="2">
        <v>100</v>
      </c>
      <c r="D885" s="2" t="s">
        <v>581</v>
      </c>
      <c r="E885" s="2" t="s">
        <v>774</v>
      </c>
      <c r="F885" s="101">
        <v>-11</v>
      </c>
    </row>
    <row r="886" spans="3:6" ht="14.4" customHeight="1" x14ac:dyDescent="0.3">
      <c r="C886" s="2">
        <v>100</v>
      </c>
      <c r="D886" s="2" t="s">
        <v>204</v>
      </c>
      <c r="E886" s="2" t="s">
        <v>775</v>
      </c>
      <c r="F886" s="101">
        <v>0</v>
      </c>
    </row>
    <row r="887" spans="3:6" ht="14.4" customHeight="1" x14ac:dyDescent="0.3">
      <c r="C887" s="2">
        <v>100</v>
      </c>
      <c r="D887" s="2" t="s">
        <v>452</v>
      </c>
      <c r="E887" s="2" t="s">
        <v>770</v>
      </c>
      <c r="F887" s="101">
        <v>63</v>
      </c>
    </row>
    <row r="888" spans="3:6" ht="14.4" customHeight="1" x14ac:dyDescent="0.3">
      <c r="C888" s="2">
        <v>100</v>
      </c>
      <c r="D888" s="2" t="s">
        <v>494</v>
      </c>
      <c r="E888" s="2" t="s">
        <v>777</v>
      </c>
      <c r="F888" s="101">
        <v>759</v>
      </c>
    </row>
    <row r="889" spans="3:6" ht="14.4" customHeight="1" x14ac:dyDescent="0.3">
      <c r="C889" s="2">
        <v>100</v>
      </c>
      <c r="D889" s="2" t="s">
        <v>672</v>
      </c>
      <c r="E889" s="2" t="s">
        <v>774</v>
      </c>
      <c r="F889" s="101">
        <v>-214</v>
      </c>
    </row>
    <row r="890" spans="3:6" ht="14.4" customHeight="1" x14ac:dyDescent="0.3">
      <c r="C890" s="2">
        <v>100</v>
      </c>
      <c r="D890" s="2" t="s">
        <v>664</v>
      </c>
      <c r="E890" s="2" t="s">
        <v>773</v>
      </c>
      <c r="F890" s="101">
        <v>422</v>
      </c>
    </row>
    <row r="891" spans="3:6" ht="14.4" customHeight="1" x14ac:dyDescent="0.3">
      <c r="C891" s="2">
        <v>100</v>
      </c>
      <c r="D891" s="2" t="s">
        <v>789</v>
      </c>
      <c r="E891" s="2" t="s">
        <v>769</v>
      </c>
      <c r="F891" s="101">
        <v>166</v>
      </c>
    </row>
    <row r="892" spans="3:6" ht="14.4" customHeight="1" x14ac:dyDescent="0.3">
      <c r="C892" s="2">
        <v>100</v>
      </c>
      <c r="D892" s="2" t="s">
        <v>235</v>
      </c>
      <c r="E892" s="2" t="s">
        <v>769</v>
      </c>
      <c r="F892" s="101">
        <v>850448</v>
      </c>
    </row>
    <row r="893" spans="3:6" ht="14.4" customHeight="1" x14ac:dyDescent="0.3">
      <c r="C893" s="2">
        <v>100</v>
      </c>
      <c r="D893" s="2" t="s">
        <v>201</v>
      </c>
      <c r="E893" s="2" t="s">
        <v>774</v>
      </c>
      <c r="F893" s="101">
        <v>-2060</v>
      </c>
    </row>
    <row r="894" spans="3:6" ht="14.4" customHeight="1" x14ac:dyDescent="0.3">
      <c r="C894" s="2">
        <v>100</v>
      </c>
      <c r="D894" s="2" t="s">
        <v>428</v>
      </c>
      <c r="E894" s="2" t="s">
        <v>773</v>
      </c>
      <c r="F894" s="101">
        <v>9119</v>
      </c>
    </row>
    <row r="895" spans="3:6" ht="14.4" customHeight="1" x14ac:dyDescent="0.3">
      <c r="C895" s="2">
        <v>100</v>
      </c>
      <c r="D895" s="2" t="s">
        <v>528</v>
      </c>
      <c r="E895" s="2" t="s">
        <v>774</v>
      </c>
      <c r="F895" s="101">
        <v>44125</v>
      </c>
    </row>
    <row r="896" spans="3:6" ht="14.4" customHeight="1" x14ac:dyDescent="0.3">
      <c r="C896" s="2">
        <v>100</v>
      </c>
      <c r="D896" s="2" t="s">
        <v>553</v>
      </c>
      <c r="E896" s="2" t="s">
        <v>777</v>
      </c>
      <c r="F896" s="101">
        <v>3990</v>
      </c>
    </row>
    <row r="897" spans="3:6" ht="14.4" customHeight="1" x14ac:dyDescent="0.3">
      <c r="C897" s="2">
        <v>100</v>
      </c>
      <c r="D897" s="2" t="s">
        <v>362</v>
      </c>
      <c r="E897" s="2" t="s">
        <v>771</v>
      </c>
      <c r="F897" s="101">
        <v>19585</v>
      </c>
    </row>
    <row r="898" spans="3:6" ht="14.4" customHeight="1" x14ac:dyDescent="0.3">
      <c r="C898" s="2">
        <v>100</v>
      </c>
      <c r="D898" s="2" t="s">
        <v>405</v>
      </c>
      <c r="E898" s="2" t="s">
        <v>773</v>
      </c>
      <c r="F898" s="101">
        <v>713</v>
      </c>
    </row>
    <row r="899" spans="3:6" ht="14.4" customHeight="1" x14ac:dyDescent="0.3">
      <c r="C899" s="2">
        <v>100</v>
      </c>
      <c r="D899" s="2" t="s">
        <v>333</v>
      </c>
      <c r="E899" s="2" t="s">
        <v>775</v>
      </c>
      <c r="F899" s="101">
        <v>70857</v>
      </c>
    </row>
    <row r="900" spans="3:6" ht="14.4" customHeight="1" x14ac:dyDescent="0.3">
      <c r="C900" s="2">
        <v>100</v>
      </c>
      <c r="D900" s="2" t="s">
        <v>454</v>
      </c>
      <c r="E900" s="2" t="s">
        <v>773</v>
      </c>
      <c r="F900" s="101">
        <v>713</v>
      </c>
    </row>
    <row r="901" spans="3:6" ht="14.4" customHeight="1" x14ac:dyDescent="0.3">
      <c r="C901" s="2">
        <v>100</v>
      </c>
      <c r="D901" s="2" t="s">
        <v>473</v>
      </c>
      <c r="E901" s="2" t="s">
        <v>774</v>
      </c>
      <c r="F901" s="101">
        <v>272</v>
      </c>
    </row>
    <row r="902" spans="3:6" ht="14.4" customHeight="1" x14ac:dyDescent="0.3">
      <c r="C902" s="2">
        <v>100</v>
      </c>
      <c r="D902" s="2" t="s">
        <v>318</v>
      </c>
      <c r="E902" s="2" t="s">
        <v>769</v>
      </c>
      <c r="F902" s="101">
        <v>52393</v>
      </c>
    </row>
    <row r="903" spans="3:6" ht="14.4" customHeight="1" x14ac:dyDescent="0.3">
      <c r="C903" s="2">
        <v>100</v>
      </c>
      <c r="D903" s="2" t="s">
        <v>320</v>
      </c>
      <c r="E903" s="2" t="s">
        <v>771</v>
      </c>
      <c r="F903" s="101">
        <v>29302</v>
      </c>
    </row>
    <row r="904" spans="3:6" ht="14.4" customHeight="1" x14ac:dyDescent="0.3">
      <c r="C904" s="2">
        <v>100</v>
      </c>
      <c r="D904" s="2" t="s">
        <v>605</v>
      </c>
      <c r="E904" s="2" t="s">
        <v>771</v>
      </c>
      <c r="F904" s="101">
        <v>394</v>
      </c>
    </row>
    <row r="905" spans="3:6" ht="14.4" customHeight="1" x14ac:dyDescent="0.3">
      <c r="C905" s="2">
        <v>100</v>
      </c>
      <c r="D905" s="2" t="s">
        <v>637</v>
      </c>
      <c r="E905" s="2" t="s">
        <v>769</v>
      </c>
      <c r="F905" s="101">
        <v>16298</v>
      </c>
    </row>
    <row r="906" spans="3:6" ht="14.4" customHeight="1" x14ac:dyDescent="0.3">
      <c r="C906" s="2">
        <v>100</v>
      </c>
      <c r="D906" s="2" t="s">
        <v>384</v>
      </c>
      <c r="E906" s="2" t="s">
        <v>770</v>
      </c>
      <c r="F906" s="101">
        <v>19987</v>
      </c>
    </row>
    <row r="907" spans="3:6" ht="14.4" customHeight="1" x14ac:dyDescent="0.3">
      <c r="C907" s="2">
        <v>100</v>
      </c>
      <c r="D907" s="2" t="s">
        <v>514</v>
      </c>
      <c r="E907" s="2" t="s">
        <v>770</v>
      </c>
      <c r="F907" s="101">
        <v>980</v>
      </c>
    </row>
    <row r="908" spans="3:6" ht="14.4" customHeight="1" x14ac:dyDescent="0.3">
      <c r="C908" s="2">
        <v>100</v>
      </c>
      <c r="D908" s="2" t="s">
        <v>220</v>
      </c>
      <c r="E908" s="2" t="s">
        <v>774</v>
      </c>
      <c r="F908" s="101">
        <v>222</v>
      </c>
    </row>
    <row r="909" spans="3:6" ht="14.4" customHeight="1" x14ac:dyDescent="0.3">
      <c r="C909" s="2">
        <v>100</v>
      </c>
      <c r="D909" s="2" t="s">
        <v>301</v>
      </c>
      <c r="E909" s="2" t="s">
        <v>774</v>
      </c>
      <c r="F909" s="101">
        <v>14291</v>
      </c>
    </row>
    <row r="910" spans="3:6" ht="14.4" customHeight="1" x14ac:dyDescent="0.3">
      <c r="C910" s="2">
        <v>100</v>
      </c>
      <c r="D910" s="2" t="s">
        <v>657</v>
      </c>
      <c r="E910" s="2" t="s">
        <v>769</v>
      </c>
      <c r="F910" s="101">
        <v>24976</v>
      </c>
    </row>
    <row r="911" spans="3:6" ht="14.4" customHeight="1" x14ac:dyDescent="0.3">
      <c r="C911" s="2">
        <v>100</v>
      </c>
      <c r="D911" s="2" t="s">
        <v>507</v>
      </c>
      <c r="E911" s="2" t="s">
        <v>770</v>
      </c>
      <c r="F911" s="101">
        <v>4765</v>
      </c>
    </row>
    <row r="912" spans="3:6" ht="14.4" customHeight="1" x14ac:dyDescent="0.3">
      <c r="C912" s="2">
        <v>100</v>
      </c>
      <c r="D912" s="2" t="s">
        <v>306</v>
      </c>
      <c r="E912" s="2" t="s">
        <v>770</v>
      </c>
      <c r="F912" s="101">
        <v>6510</v>
      </c>
    </row>
    <row r="913" spans="3:6" ht="14.4" customHeight="1" x14ac:dyDescent="0.3">
      <c r="C913" s="2">
        <v>100</v>
      </c>
      <c r="D913" s="2" t="s">
        <v>378</v>
      </c>
      <c r="E913" s="2" t="s">
        <v>772</v>
      </c>
      <c r="F913" s="101">
        <v>3166</v>
      </c>
    </row>
    <row r="914" spans="3:6" ht="14.4" customHeight="1" x14ac:dyDescent="0.3">
      <c r="C914" s="2">
        <v>100</v>
      </c>
      <c r="D914" s="2" t="s">
        <v>306</v>
      </c>
      <c r="E914" s="2" t="s">
        <v>771</v>
      </c>
      <c r="F914" s="101">
        <v>11393</v>
      </c>
    </row>
    <row r="915" spans="3:6" ht="14.4" customHeight="1" x14ac:dyDescent="0.3">
      <c r="C915" s="2">
        <v>100</v>
      </c>
      <c r="D915" s="2" t="s">
        <v>563</v>
      </c>
      <c r="E915" s="2" t="s">
        <v>770</v>
      </c>
      <c r="F915" s="101">
        <v>501</v>
      </c>
    </row>
    <row r="916" spans="3:6" ht="14.4" customHeight="1" x14ac:dyDescent="0.3">
      <c r="C916" s="2">
        <v>100</v>
      </c>
      <c r="D916" s="2" t="s">
        <v>713</v>
      </c>
      <c r="E916" s="2" t="s">
        <v>769</v>
      </c>
      <c r="F916" s="101">
        <v>470</v>
      </c>
    </row>
    <row r="917" spans="3:6" ht="14.4" customHeight="1" x14ac:dyDescent="0.3">
      <c r="C917" s="2">
        <v>100</v>
      </c>
      <c r="D917" s="2" t="s">
        <v>676</v>
      </c>
      <c r="E917" s="2" t="s">
        <v>775</v>
      </c>
      <c r="F917" s="101">
        <v>13258</v>
      </c>
    </row>
    <row r="918" spans="3:6" ht="14.4" customHeight="1" x14ac:dyDescent="0.3">
      <c r="C918" s="2">
        <v>100</v>
      </c>
      <c r="D918" s="2" t="s">
        <v>356</v>
      </c>
      <c r="E918" s="2" t="s">
        <v>769</v>
      </c>
      <c r="F918" s="101">
        <v>167019</v>
      </c>
    </row>
    <row r="919" spans="3:6" ht="14.4" customHeight="1" x14ac:dyDescent="0.3">
      <c r="C919" s="2">
        <v>100</v>
      </c>
      <c r="D919" s="2" t="s">
        <v>268</v>
      </c>
      <c r="E919" s="2" t="s">
        <v>770</v>
      </c>
      <c r="F919" s="101">
        <v>3324</v>
      </c>
    </row>
    <row r="920" spans="3:6" ht="14.4" customHeight="1" x14ac:dyDescent="0.3">
      <c r="C920" s="2">
        <v>100</v>
      </c>
      <c r="D920" s="2" t="s">
        <v>265</v>
      </c>
      <c r="E920" s="2" t="s">
        <v>774</v>
      </c>
      <c r="F920" s="101">
        <v>21971</v>
      </c>
    </row>
    <row r="921" spans="3:6" ht="14.4" customHeight="1" x14ac:dyDescent="0.3">
      <c r="C921" s="2">
        <v>100</v>
      </c>
      <c r="D921" s="2" t="s">
        <v>463</v>
      </c>
      <c r="E921" s="2" t="s">
        <v>769</v>
      </c>
      <c r="F921" s="101">
        <v>61879</v>
      </c>
    </row>
    <row r="922" spans="3:6" ht="14.4" customHeight="1" x14ac:dyDescent="0.3">
      <c r="C922" s="2">
        <v>100</v>
      </c>
      <c r="D922" s="2" t="s">
        <v>522</v>
      </c>
      <c r="E922" s="2" t="s">
        <v>771</v>
      </c>
      <c r="F922" s="101">
        <v>22590</v>
      </c>
    </row>
    <row r="923" spans="3:6" ht="14.4" customHeight="1" x14ac:dyDescent="0.3">
      <c r="C923" s="2">
        <v>100</v>
      </c>
      <c r="D923" s="2" t="s">
        <v>218</v>
      </c>
      <c r="E923" s="2" t="s">
        <v>777</v>
      </c>
      <c r="F923" s="101">
        <v>4133</v>
      </c>
    </row>
    <row r="924" spans="3:6" ht="14.4" customHeight="1" x14ac:dyDescent="0.3">
      <c r="C924" s="2">
        <v>100</v>
      </c>
      <c r="D924" s="2" t="s">
        <v>740</v>
      </c>
      <c r="E924" s="2" t="s">
        <v>771</v>
      </c>
      <c r="F924" s="101">
        <v>30</v>
      </c>
    </row>
    <row r="925" spans="3:6" ht="14.4" customHeight="1" x14ac:dyDescent="0.3">
      <c r="C925" s="2">
        <v>100</v>
      </c>
      <c r="D925" s="2" t="s">
        <v>778</v>
      </c>
      <c r="E925" s="2" t="s">
        <v>769</v>
      </c>
      <c r="F925" s="101">
        <v>1038</v>
      </c>
    </row>
    <row r="926" spans="3:6" ht="14.4" customHeight="1" x14ac:dyDescent="0.3">
      <c r="C926" s="2">
        <v>100</v>
      </c>
      <c r="D926" s="2" t="s">
        <v>327</v>
      </c>
      <c r="E926" s="2" t="s">
        <v>774</v>
      </c>
      <c r="F926" s="101">
        <v>0</v>
      </c>
    </row>
    <row r="927" spans="3:6" ht="14.4" customHeight="1" x14ac:dyDescent="0.3">
      <c r="C927" s="2">
        <v>100</v>
      </c>
      <c r="D927" s="2" t="s">
        <v>266</v>
      </c>
      <c r="E927" s="2" t="s">
        <v>770</v>
      </c>
      <c r="F927" s="101">
        <v>2961</v>
      </c>
    </row>
    <row r="928" spans="3:6" ht="14.4" customHeight="1" x14ac:dyDescent="0.3">
      <c r="C928" s="2">
        <v>100</v>
      </c>
      <c r="D928" s="2" t="s">
        <v>498</v>
      </c>
      <c r="E928" s="2" t="s">
        <v>771</v>
      </c>
      <c r="F928" s="101">
        <v>29778</v>
      </c>
    </row>
    <row r="929" spans="3:6" ht="14.4" customHeight="1" x14ac:dyDescent="0.3">
      <c r="C929" s="2">
        <v>100</v>
      </c>
      <c r="D929" s="2" t="s">
        <v>307</v>
      </c>
      <c r="E929" s="2" t="s">
        <v>777</v>
      </c>
      <c r="F929" s="101">
        <v>1500</v>
      </c>
    </row>
    <row r="930" spans="3:6" ht="14.4" customHeight="1" x14ac:dyDescent="0.3">
      <c r="C930" s="2">
        <v>100</v>
      </c>
      <c r="D930" s="2" t="s">
        <v>628</v>
      </c>
      <c r="E930" s="2" t="s">
        <v>769</v>
      </c>
      <c r="F930" s="101">
        <v>6792</v>
      </c>
    </row>
    <row r="931" spans="3:6" ht="14.4" customHeight="1" x14ac:dyDescent="0.3">
      <c r="C931" s="2">
        <v>100</v>
      </c>
      <c r="D931" s="2" t="s">
        <v>524</v>
      </c>
      <c r="E931" s="2" t="s">
        <v>775</v>
      </c>
      <c r="F931" s="101">
        <v>614</v>
      </c>
    </row>
    <row r="932" spans="3:6" ht="14.4" customHeight="1" x14ac:dyDescent="0.3">
      <c r="C932" s="2">
        <v>100</v>
      </c>
      <c r="D932" s="2" t="s">
        <v>632</v>
      </c>
      <c r="E932" s="2" t="s">
        <v>775</v>
      </c>
      <c r="F932" s="101">
        <v>368</v>
      </c>
    </row>
    <row r="933" spans="3:6" ht="14.4" customHeight="1" x14ac:dyDescent="0.3">
      <c r="C933" s="2">
        <v>100</v>
      </c>
      <c r="D933" s="2" t="s">
        <v>273</v>
      </c>
      <c r="E933" s="2" t="s">
        <v>774</v>
      </c>
      <c r="F933" s="101">
        <v>5377</v>
      </c>
    </row>
    <row r="934" spans="3:6" ht="14.4" customHeight="1" x14ac:dyDescent="0.3">
      <c r="C934" s="2">
        <v>100</v>
      </c>
      <c r="D934" s="2" t="s">
        <v>534</v>
      </c>
      <c r="E934" s="2" t="s">
        <v>769</v>
      </c>
      <c r="F934" s="101">
        <v>35181</v>
      </c>
    </row>
    <row r="935" spans="3:6" ht="14.4" customHeight="1" x14ac:dyDescent="0.3">
      <c r="C935" s="2">
        <v>100</v>
      </c>
      <c r="D935" s="2" t="s">
        <v>631</v>
      </c>
      <c r="E935" s="2" t="s">
        <v>774</v>
      </c>
      <c r="F935" s="101">
        <v>737</v>
      </c>
    </row>
    <row r="936" spans="3:6" ht="14.4" customHeight="1" x14ac:dyDescent="0.3">
      <c r="C936" s="2">
        <v>100</v>
      </c>
      <c r="D936" s="2" t="s">
        <v>228</v>
      </c>
      <c r="E936" s="2" t="s">
        <v>769</v>
      </c>
      <c r="F936" s="101">
        <v>9654</v>
      </c>
    </row>
    <row r="937" spans="3:6" ht="14.4" customHeight="1" x14ac:dyDescent="0.3">
      <c r="C937" s="2">
        <v>100</v>
      </c>
      <c r="D937" s="2" t="s">
        <v>254</v>
      </c>
      <c r="E937" s="2" t="s">
        <v>771</v>
      </c>
      <c r="F937" s="101">
        <v>762</v>
      </c>
    </row>
    <row r="938" spans="3:6" ht="14.4" customHeight="1" x14ac:dyDescent="0.3">
      <c r="C938" s="2">
        <v>100</v>
      </c>
      <c r="D938" s="2" t="s">
        <v>665</v>
      </c>
      <c r="E938" s="2" t="s">
        <v>777</v>
      </c>
      <c r="F938" s="101">
        <v>145237</v>
      </c>
    </row>
    <row r="939" spans="3:6" ht="14.4" customHeight="1" x14ac:dyDescent="0.3">
      <c r="C939" s="2">
        <v>100</v>
      </c>
      <c r="D939" s="2" t="s">
        <v>427</v>
      </c>
      <c r="E939" s="2" t="s">
        <v>774</v>
      </c>
      <c r="F939" s="101">
        <v>0</v>
      </c>
    </row>
    <row r="940" spans="3:6" ht="14.4" customHeight="1" x14ac:dyDescent="0.3">
      <c r="C940" s="2">
        <v>100</v>
      </c>
      <c r="D940" s="2" t="s">
        <v>200</v>
      </c>
      <c r="E940" s="2" t="s">
        <v>770</v>
      </c>
      <c r="F940" s="101">
        <v>2312</v>
      </c>
    </row>
    <row r="941" spans="3:6" ht="14.4" customHeight="1" x14ac:dyDescent="0.3">
      <c r="C941" s="2">
        <v>100</v>
      </c>
      <c r="D941" s="2" t="s">
        <v>530</v>
      </c>
      <c r="E941" s="2" t="s">
        <v>773</v>
      </c>
      <c r="F941" s="101">
        <v>1360</v>
      </c>
    </row>
    <row r="942" spans="3:6" ht="14.4" customHeight="1" x14ac:dyDescent="0.3">
      <c r="C942" s="2">
        <v>100</v>
      </c>
      <c r="D942" s="2" t="s">
        <v>675</v>
      </c>
      <c r="E942" s="2" t="s">
        <v>769</v>
      </c>
      <c r="F942" s="101">
        <v>4557</v>
      </c>
    </row>
    <row r="943" spans="3:6" ht="14.4" customHeight="1" x14ac:dyDescent="0.3">
      <c r="C943" s="2">
        <v>100</v>
      </c>
      <c r="D943" s="2" t="s">
        <v>455</v>
      </c>
      <c r="E943" s="2" t="s">
        <v>769</v>
      </c>
      <c r="F943" s="101">
        <v>16236</v>
      </c>
    </row>
    <row r="944" spans="3:6" ht="14.4" customHeight="1" x14ac:dyDescent="0.3">
      <c r="C944" s="2">
        <v>100</v>
      </c>
      <c r="D944" s="2" t="s">
        <v>652</v>
      </c>
      <c r="E944" s="2" t="s">
        <v>773</v>
      </c>
      <c r="F944" s="101">
        <v>115</v>
      </c>
    </row>
    <row r="945" spans="3:6" ht="14.4" customHeight="1" x14ac:dyDescent="0.3">
      <c r="C945" s="2">
        <v>100</v>
      </c>
      <c r="D945" s="2" t="s">
        <v>690</v>
      </c>
      <c r="E945" s="2" t="s">
        <v>771</v>
      </c>
      <c r="F945" s="101">
        <v>1580</v>
      </c>
    </row>
    <row r="946" spans="3:6" ht="14.4" customHeight="1" x14ac:dyDescent="0.3">
      <c r="C946" s="2">
        <v>100</v>
      </c>
      <c r="D946" s="2" t="s">
        <v>690</v>
      </c>
      <c r="E946" s="2" t="s">
        <v>773</v>
      </c>
      <c r="F946" s="101">
        <v>650</v>
      </c>
    </row>
    <row r="947" spans="3:6" ht="14.4" customHeight="1" x14ac:dyDescent="0.3">
      <c r="C947" s="2">
        <v>100</v>
      </c>
      <c r="D947" s="2" t="s">
        <v>551</v>
      </c>
      <c r="E947" s="2" t="s">
        <v>771</v>
      </c>
      <c r="F947" s="101">
        <v>870</v>
      </c>
    </row>
    <row r="948" spans="3:6" ht="14.4" customHeight="1" x14ac:dyDescent="0.3">
      <c r="C948" s="2">
        <v>100</v>
      </c>
      <c r="D948" s="2" t="s">
        <v>311</v>
      </c>
      <c r="E948" s="2" t="s">
        <v>775</v>
      </c>
      <c r="F948" s="101">
        <v>11393</v>
      </c>
    </row>
    <row r="949" spans="3:6" ht="14.4" customHeight="1" x14ac:dyDescent="0.3">
      <c r="C949" s="2">
        <v>100</v>
      </c>
      <c r="D949" s="2" t="s">
        <v>200</v>
      </c>
      <c r="E949" s="2" t="s">
        <v>775</v>
      </c>
      <c r="F949" s="101">
        <v>3</v>
      </c>
    </row>
    <row r="950" spans="3:6" ht="14.4" customHeight="1" x14ac:dyDescent="0.3">
      <c r="C950" s="2">
        <v>100</v>
      </c>
      <c r="D950" s="2" t="s">
        <v>302</v>
      </c>
      <c r="E950" s="2" t="s">
        <v>773</v>
      </c>
      <c r="F950" s="101">
        <v>33315</v>
      </c>
    </row>
    <row r="951" spans="3:6" ht="14.4" customHeight="1" x14ac:dyDescent="0.3">
      <c r="C951" s="2">
        <v>100</v>
      </c>
      <c r="D951" s="2" t="s">
        <v>535</v>
      </c>
      <c r="E951" s="2" t="s">
        <v>769</v>
      </c>
      <c r="F951" s="101">
        <v>35110</v>
      </c>
    </row>
    <row r="952" spans="3:6" ht="14.4" customHeight="1" x14ac:dyDescent="0.3">
      <c r="C952" s="2">
        <v>100</v>
      </c>
      <c r="D952" s="2" t="s">
        <v>330</v>
      </c>
      <c r="E952" s="2" t="s">
        <v>774</v>
      </c>
      <c r="F952" s="101">
        <v>1939</v>
      </c>
    </row>
    <row r="953" spans="3:6" ht="14.4" customHeight="1" x14ac:dyDescent="0.3">
      <c r="C953" s="2">
        <v>100</v>
      </c>
      <c r="D953" s="2" t="s">
        <v>284</v>
      </c>
      <c r="E953" s="2" t="s">
        <v>771</v>
      </c>
      <c r="F953" s="101">
        <v>11035</v>
      </c>
    </row>
    <row r="954" spans="3:6" ht="14.4" customHeight="1" x14ac:dyDescent="0.3">
      <c r="C954" s="2">
        <v>100</v>
      </c>
      <c r="D954" s="2" t="s">
        <v>425</v>
      </c>
      <c r="E954" s="2" t="s">
        <v>775</v>
      </c>
      <c r="F954" s="101">
        <v>3</v>
      </c>
    </row>
    <row r="955" spans="3:6" ht="14.4" customHeight="1" x14ac:dyDescent="0.3">
      <c r="C955" s="2">
        <v>100</v>
      </c>
      <c r="D955" s="2" t="s">
        <v>502</v>
      </c>
      <c r="E955" s="2" t="s">
        <v>774</v>
      </c>
      <c r="F955" s="101">
        <v>443</v>
      </c>
    </row>
    <row r="956" spans="3:6" ht="14.4" customHeight="1" x14ac:dyDescent="0.3">
      <c r="C956" s="2">
        <v>100</v>
      </c>
      <c r="D956" s="2" t="s">
        <v>284</v>
      </c>
      <c r="E956" s="2" t="s">
        <v>770</v>
      </c>
      <c r="F956" s="101">
        <v>1905</v>
      </c>
    </row>
    <row r="957" spans="3:6" ht="14.4" customHeight="1" x14ac:dyDescent="0.3">
      <c r="C957" s="2">
        <v>100</v>
      </c>
      <c r="D957" s="2" t="s">
        <v>633</v>
      </c>
      <c r="E957" s="2" t="s">
        <v>771</v>
      </c>
      <c r="F957" s="101">
        <v>8150</v>
      </c>
    </row>
    <row r="958" spans="3:6" ht="14.4" customHeight="1" x14ac:dyDescent="0.3">
      <c r="C958" s="2">
        <v>100</v>
      </c>
      <c r="D958" s="2" t="s">
        <v>490</v>
      </c>
      <c r="E958" s="2" t="s">
        <v>771</v>
      </c>
      <c r="F958" s="101">
        <v>670</v>
      </c>
    </row>
    <row r="959" spans="3:6" ht="14.4" customHeight="1" x14ac:dyDescent="0.3">
      <c r="C959" s="2">
        <v>100</v>
      </c>
      <c r="D959" s="2" t="s">
        <v>298</v>
      </c>
      <c r="E959" s="2" t="s">
        <v>769</v>
      </c>
      <c r="F959" s="101">
        <v>19046</v>
      </c>
    </row>
    <row r="960" spans="3:6" ht="14.4" customHeight="1" x14ac:dyDescent="0.3">
      <c r="C960" s="2">
        <v>100</v>
      </c>
      <c r="D960" s="2" t="s">
        <v>386</v>
      </c>
      <c r="E960" s="2" t="s">
        <v>774</v>
      </c>
      <c r="F960" s="101">
        <v>663</v>
      </c>
    </row>
    <row r="961" spans="3:6" ht="14.4" customHeight="1" x14ac:dyDescent="0.3">
      <c r="C961" s="2">
        <v>100</v>
      </c>
      <c r="D961" s="2" t="s">
        <v>520</v>
      </c>
      <c r="E961" s="2" t="s">
        <v>773</v>
      </c>
      <c r="F961" s="101">
        <v>331</v>
      </c>
    </row>
    <row r="962" spans="3:6" ht="14.4" customHeight="1" x14ac:dyDescent="0.3">
      <c r="C962" s="2">
        <v>100</v>
      </c>
      <c r="D962" s="2" t="s">
        <v>279</v>
      </c>
      <c r="E962" s="2" t="s">
        <v>775</v>
      </c>
      <c r="F962" s="101">
        <v>44</v>
      </c>
    </row>
    <row r="963" spans="3:6" ht="14.4" customHeight="1" x14ac:dyDescent="0.3">
      <c r="C963" s="2">
        <v>100</v>
      </c>
      <c r="D963" s="2" t="s">
        <v>547</v>
      </c>
      <c r="E963" s="2" t="s">
        <v>771</v>
      </c>
      <c r="F963" s="101">
        <v>212</v>
      </c>
    </row>
    <row r="964" spans="3:6" ht="14.4" customHeight="1" x14ac:dyDescent="0.3">
      <c r="C964" s="2">
        <v>100</v>
      </c>
      <c r="D964" s="2" t="s">
        <v>657</v>
      </c>
      <c r="E964" s="2" t="s">
        <v>775</v>
      </c>
      <c r="F964" s="101">
        <v>1976</v>
      </c>
    </row>
    <row r="965" spans="3:6" ht="14.4" customHeight="1" x14ac:dyDescent="0.3">
      <c r="C965" s="2">
        <v>100</v>
      </c>
      <c r="D965" s="2" t="s">
        <v>418</v>
      </c>
      <c r="E965" s="2" t="s">
        <v>771</v>
      </c>
      <c r="F965" s="101">
        <v>3442</v>
      </c>
    </row>
    <row r="966" spans="3:6" ht="14.4" customHeight="1" x14ac:dyDescent="0.3">
      <c r="C966" s="2">
        <v>100</v>
      </c>
      <c r="D966" s="2" t="s">
        <v>687</v>
      </c>
      <c r="E966" s="2" t="s">
        <v>773</v>
      </c>
      <c r="F966" s="101">
        <v>371250</v>
      </c>
    </row>
    <row r="967" spans="3:6" ht="14.4" customHeight="1" x14ac:dyDescent="0.3">
      <c r="C967" s="2">
        <v>100</v>
      </c>
      <c r="D967" s="2" t="s">
        <v>505</v>
      </c>
      <c r="E967" s="2" t="s">
        <v>770</v>
      </c>
      <c r="F967" s="101">
        <v>1091</v>
      </c>
    </row>
    <row r="968" spans="3:6" ht="14.4" customHeight="1" x14ac:dyDescent="0.3">
      <c r="C968" s="2">
        <v>100</v>
      </c>
      <c r="D968" s="2" t="s">
        <v>268</v>
      </c>
      <c r="E968" s="2" t="s">
        <v>769</v>
      </c>
      <c r="F968" s="101">
        <v>179949</v>
      </c>
    </row>
    <row r="969" spans="3:6" ht="14.4" customHeight="1" x14ac:dyDescent="0.3">
      <c r="C969" s="2">
        <v>100</v>
      </c>
      <c r="D969" s="2" t="s">
        <v>657</v>
      </c>
      <c r="E969" s="2" t="s">
        <v>771</v>
      </c>
      <c r="F969" s="101">
        <v>3280</v>
      </c>
    </row>
    <row r="970" spans="3:6" ht="14.4" customHeight="1" x14ac:dyDescent="0.3">
      <c r="C970" s="2">
        <v>100</v>
      </c>
      <c r="D970" s="2" t="s">
        <v>505</v>
      </c>
      <c r="E970" s="2" t="s">
        <v>773</v>
      </c>
      <c r="F970" s="101">
        <v>345</v>
      </c>
    </row>
    <row r="971" spans="3:6" ht="14.4" customHeight="1" x14ac:dyDescent="0.3">
      <c r="C971" s="2">
        <v>100</v>
      </c>
      <c r="D971" s="2" t="s">
        <v>336</v>
      </c>
      <c r="E971" s="2" t="s">
        <v>777</v>
      </c>
      <c r="F971" s="101">
        <v>11133</v>
      </c>
    </row>
    <row r="972" spans="3:6" ht="14.4" customHeight="1" x14ac:dyDescent="0.3">
      <c r="C972" s="2">
        <v>100</v>
      </c>
      <c r="D972" s="2" t="s">
        <v>676</v>
      </c>
      <c r="E972" s="2" t="s">
        <v>769</v>
      </c>
      <c r="F972" s="101">
        <v>8449</v>
      </c>
    </row>
    <row r="973" spans="3:6" ht="14.4" customHeight="1" x14ac:dyDescent="0.3">
      <c r="C973" s="2">
        <v>100</v>
      </c>
      <c r="D973" s="2" t="s">
        <v>546</v>
      </c>
      <c r="E973" s="2" t="s">
        <v>769</v>
      </c>
      <c r="F973" s="101">
        <v>17723</v>
      </c>
    </row>
    <row r="974" spans="3:6" ht="14.4" customHeight="1" x14ac:dyDescent="0.3">
      <c r="C974" s="2">
        <v>100</v>
      </c>
      <c r="D974" s="2" t="s">
        <v>404</v>
      </c>
      <c r="E974" s="2" t="s">
        <v>771</v>
      </c>
      <c r="F974" s="101">
        <v>1092</v>
      </c>
    </row>
    <row r="975" spans="3:6" ht="14.4" customHeight="1" x14ac:dyDescent="0.3">
      <c r="C975" s="2">
        <v>100</v>
      </c>
      <c r="D975" s="2" t="s">
        <v>403</v>
      </c>
      <c r="E975" s="2" t="s">
        <v>775</v>
      </c>
      <c r="F975" s="101">
        <v>7548</v>
      </c>
    </row>
    <row r="976" spans="3:6" ht="14.4" customHeight="1" x14ac:dyDescent="0.3">
      <c r="C976" s="2">
        <v>100</v>
      </c>
      <c r="D976" s="2" t="s">
        <v>403</v>
      </c>
      <c r="E976" s="2" t="s">
        <v>773</v>
      </c>
      <c r="F976" s="101">
        <v>15269</v>
      </c>
    </row>
    <row r="977" spans="3:6" ht="14.4" customHeight="1" x14ac:dyDescent="0.3">
      <c r="C977" s="2">
        <v>100</v>
      </c>
      <c r="D977" s="2" t="s">
        <v>226</v>
      </c>
      <c r="E977" s="2" t="s">
        <v>774</v>
      </c>
      <c r="F977" s="101">
        <v>34745</v>
      </c>
    </row>
    <row r="978" spans="3:6" ht="14.4" customHeight="1" x14ac:dyDescent="0.3">
      <c r="C978" s="2">
        <v>100</v>
      </c>
      <c r="D978" s="2" t="s">
        <v>732</v>
      </c>
      <c r="E978" s="2" t="s">
        <v>769</v>
      </c>
      <c r="F978" s="101">
        <v>4280</v>
      </c>
    </row>
    <row r="979" spans="3:6" ht="14.4" customHeight="1" x14ac:dyDescent="0.3">
      <c r="C979" s="2">
        <v>100</v>
      </c>
      <c r="D979" s="2" t="s">
        <v>322</v>
      </c>
      <c r="E979" s="2" t="s">
        <v>771</v>
      </c>
      <c r="F979" s="101">
        <v>93059</v>
      </c>
    </row>
    <row r="980" spans="3:6" ht="14.4" customHeight="1" x14ac:dyDescent="0.3">
      <c r="C980" s="2">
        <v>100</v>
      </c>
      <c r="D980" s="2" t="s">
        <v>514</v>
      </c>
      <c r="E980" s="2" t="s">
        <v>769</v>
      </c>
      <c r="F980" s="101">
        <v>18687</v>
      </c>
    </row>
    <row r="981" spans="3:6" ht="14.4" customHeight="1" x14ac:dyDescent="0.3">
      <c r="C981" s="2">
        <v>100</v>
      </c>
      <c r="D981" s="2" t="s">
        <v>633</v>
      </c>
      <c r="E981" s="2" t="s">
        <v>769</v>
      </c>
      <c r="F981" s="101">
        <v>51068</v>
      </c>
    </row>
    <row r="982" spans="3:6" ht="14.4" customHeight="1" x14ac:dyDescent="0.3">
      <c r="C982" s="2">
        <v>100</v>
      </c>
      <c r="D982" s="2" t="s">
        <v>490</v>
      </c>
      <c r="E982" s="2" t="s">
        <v>769</v>
      </c>
      <c r="F982" s="101">
        <v>14851</v>
      </c>
    </row>
    <row r="983" spans="3:6" ht="14.4" customHeight="1" x14ac:dyDescent="0.3">
      <c r="C983" s="2">
        <v>100</v>
      </c>
      <c r="D983" s="2" t="s">
        <v>497</v>
      </c>
      <c r="E983" s="2" t="s">
        <v>771</v>
      </c>
      <c r="F983" s="101">
        <v>3358</v>
      </c>
    </row>
    <row r="984" spans="3:6" ht="14.4" customHeight="1" x14ac:dyDescent="0.3">
      <c r="C984" s="2">
        <v>100</v>
      </c>
      <c r="D984" s="2" t="s">
        <v>615</v>
      </c>
      <c r="E984" s="2" t="s">
        <v>769</v>
      </c>
      <c r="F984" s="101">
        <v>11959</v>
      </c>
    </row>
    <row r="985" spans="3:6" ht="14.4" customHeight="1" x14ac:dyDescent="0.3">
      <c r="C985" s="2">
        <v>100</v>
      </c>
      <c r="D985" s="2" t="s">
        <v>354</v>
      </c>
      <c r="E985" s="2" t="s">
        <v>773</v>
      </c>
      <c r="F985" s="101">
        <v>30366</v>
      </c>
    </row>
    <row r="986" spans="3:6" ht="14.4" customHeight="1" x14ac:dyDescent="0.3">
      <c r="C986" s="2">
        <v>100</v>
      </c>
      <c r="D986" s="2" t="s">
        <v>712</v>
      </c>
      <c r="E986" s="2" t="s">
        <v>769</v>
      </c>
      <c r="F986" s="101">
        <v>17529</v>
      </c>
    </row>
    <row r="987" spans="3:6" ht="14.4" customHeight="1" x14ac:dyDescent="0.3">
      <c r="C987" s="2">
        <v>100</v>
      </c>
      <c r="D987" s="2" t="s">
        <v>277</v>
      </c>
      <c r="E987" s="2" t="s">
        <v>771</v>
      </c>
      <c r="F987" s="101">
        <v>27566</v>
      </c>
    </row>
    <row r="988" spans="3:6" ht="14.4" customHeight="1" x14ac:dyDescent="0.3">
      <c r="C988" s="2">
        <v>100</v>
      </c>
      <c r="D988" s="2" t="s">
        <v>302</v>
      </c>
      <c r="E988" s="2" t="s">
        <v>777</v>
      </c>
      <c r="F988" s="101">
        <v>1183</v>
      </c>
    </row>
    <row r="989" spans="3:6" ht="14.4" customHeight="1" x14ac:dyDescent="0.3">
      <c r="C989" s="2">
        <v>100</v>
      </c>
      <c r="D989" s="2" t="s">
        <v>535</v>
      </c>
      <c r="E989" s="2" t="s">
        <v>770</v>
      </c>
      <c r="F989" s="101">
        <v>2536</v>
      </c>
    </row>
    <row r="990" spans="3:6" ht="14.4" customHeight="1" x14ac:dyDescent="0.3">
      <c r="C990" s="2">
        <v>100</v>
      </c>
      <c r="D990" s="2" t="s">
        <v>232</v>
      </c>
      <c r="E990" s="2" t="s">
        <v>771</v>
      </c>
      <c r="F990" s="101">
        <v>4150</v>
      </c>
    </row>
    <row r="991" spans="3:6" ht="14.4" customHeight="1" x14ac:dyDescent="0.3">
      <c r="C991" s="2">
        <v>100</v>
      </c>
      <c r="D991" s="2" t="s">
        <v>455</v>
      </c>
      <c r="E991" s="2" t="s">
        <v>773</v>
      </c>
      <c r="F991" s="101">
        <v>450</v>
      </c>
    </row>
    <row r="992" spans="3:6" ht="14.4" customHeight="1" x14ac:dyDescent="0.3">
      <c r="C992" s="2">
        <v>100</v>
      </c>
      <c r="D992" s="2" t="s">
        <v>455</v>
      </c>
      <c r="E992" s="2" t="s">
        <v>775</v>
      </c>
      <c r="F992" s="101">
        <v>89</v>
      </c>
    </row>
    <row r="993" spans="3:6" ht="14.4" customHeight="1" x14ac:dyDescent="0.3">
      <c r="C993" s="2">
        <v>100</v>
      </c>
      <c r="D993" s="2" t="s">
        <v>603</v>
      </c>
      <c r="E993" s="2" t="s">
        <v>774</v>
      </c>
      <c r="F993" s="101">
        <v>220</v>
      </c>
    </row>
    <row r="994" spans="3:6" ht="14.4" customHeight="1" x14ac:dyDescent="0.3">
      <c r="C994" s="2">
        <v>100</v>
      </c>
      <c r="D994" s="2" t="s">
        <v>555</v>
      </c>
      <c r="E994" s="2" t="s">
        <v>773</v>
      </c>
      <c r="F994" s="101">
        <v>284</v>
      </c>
    </row>
    <row r="995" spans="3:6" ht="14.4" customHeight="1" x14ac:dyDescent="0.3">
      <c r="C995" s="2">
        <v>100</v>
      </c>
      <c r="D995" s="2" t="s">
        <v>364</v>
      </c>
      <c r="E995" s="2" t="s">
        <v>775</v>
      </c>
      <c r="F995" s="101">
        <v>19898</v>
      </c>
    </row>
    <row r="996" spans="3:6" ht="14.4" customHeight="1" x14ac:dyDescent="0.3">
      <c r="C996" s="2">
        <v>100</v>
      </c>
      <c r="D996" s="2" t="s">
        <v>551</v>
      </c>
      <c r="E996" s="2" t="s">
        <v>769</v>
      </c>
      <c r="F996" s="101">
        <v>81587</v>
      </c>
    </row>
    <row r="997" spans="3:6" ht="14.4" customHeight="1" x14ac:dyDescent="0.3">
      <c r="C997" s="2">
        <v>100</v>
      </c>
      <c r="D997" s="2" t="s">
        <v>455</v>
      </c>
      <c r="E997" s="2" t="s">
        <v>771</v>
      </c>
      <c r="F997" s="101">
        <v>3340</v>
      </c>
    </row>
    <row r="998" spans="3:6" ht="14.4" customHeight="1" x14ac:dyDescent="0.3">
      <c r="C998" s="2">
        <v>100</v>
      </c>
      <c r="D998" s="2" t="s">
        <v>555</v>
      </c>
      <c r="E998" s="2" t="s">
        <v>770</v>
      </c>
      <c r="F998" s="101">
        <v>19744</v>
      </c>
    </row>
    <row r="999" spans="3:6" ht="14.4" customHeight="1" x14ac:dyDescent="0.3">
      <c r="C999" s="2">
        <v>100</v>
      </c>
      <c r="D999" s="2" t="s">
        <v>337</v>
      </c>
      <c r="E999" s="2" t="s">
        <v>773</v>
      </c>
      <c r="F999" s="101">
        <v>102182</v>
      </c>
    </row>
    <row r="1000" spans="3:6" ht="14.4" customHeight="1" x14ac:dyDescent="0.3">
      <c r="C1000" s="2">
        <v>100</v>
      </c>
      <c r="D1000" s="2" t="s">
        <v>278</v>
      </c>
      <c r="E1000" s="2" t="s">
        <v>777</v>
      </c>
      <c r="F1000" s="101">
        <v>2406</v>
      </c>
    </row>
    <row r="1001" spans="3:6" ht="14.4" customHeight="1" x14ac:dyDescent="0.3">
      <c r="C1001" s="2">
        <v>100</v>
      </c>
      <c r="D1001" s="2" t="s">
        <v>361</v>
      </c>
      <c r="E1001" s="2" t="s">
        <v>774</v>
      </c>
      <c r="F1001" s="101">
        <v>2615</v>
      </c>
    </row>
    <row r="1002" spans="3:6" ht="14.4" customHeight="1" x14ac:dyDescent="0.3">
      <c r="C1002" s="2">
        <v>100</v>
      </c>
      <c r="D1002" s="2" t="s">
        <v>492</v>
      </c>
      <c r="E1002" s="2" t="s">
        <v>777</v>
      </c>
      <c r="F1002" s="101">
        <v>1062</v>
      </c>
    </row>
    <row r="1003" spans="3:6" ht="14.4" customHeight="1" x14ac:dyDescent="0.3">
      <c r="C1003" s="2">
        <v>100</v>
      </c>
      <c r="D1003" s="2" t="s">
        <v>419</v>
      </c>
      <c r="E1003" s="2" t="s">
        <v>770</v>
      </c>
      <c r="F1003" s="101">
        <v>1521</v>
      </c>
    </row>
    <row r="1004" spans="3:6" ht="14.4" customHeight="1" x14ac:dyDescent="0.3">
      <c r="C1004" s="2">
        <v>100</v>
      </c>
      <c r="D1004" s="2" t="s">
        <v>232</v>
      </c>
      <c r="E1004" s="2" t="s">
        <v>775</v>
      </c>
      <c r="F1004" s="101">
        <v>27</v>
      </c>
    </row>
    <row r="1005" spans="3:6" ht="14.4" customHeight="1" x14ac:dyDescent="0.3">
      <c r="C1005" s="2">
        <v>100</v>
      </c>
      <c r="D1005" s="2" t="s">
        <v>200</v>
      </c>
      <c r="E1005" s="2" t="s">
        <v>769</v>
      </c>
      <c r="F1005" s="101">
        <v>42522</v>
      </c>
    </row>
    <row r="1006" spans="3:6" ht="14.4" customHeight="1" x14ac:dyDescent="0.3">
      <c r="C1006" s="2">
        <v>100</v>
      </c>
      <c r="D1006" s="2" t="s">
        <v>228</v>
      </c>
      <c r="E1006" s="2" t="s">
        <v>770</v>
      </c>
      <c r="F1006" s="101">
        <v>958</v>
      </c>
    </row>
    <row r="1007" spans="3:6" ht="14.4" customHeight="1" x14ac:dyDescent="0.3">
      <c r="C1007" s="2">
        <v>100</v>
      </c>
      <c r="D1007" s="2" t="s">
        <v>377</v>
      </c>
      <c r="E1007" s="2" t="s">
        <v>773</v>
      </c>
      <c r="F1007" s="101">
        <v>960304</v>
      </c>
    </row>
    <row r="1008" spans="3:6" ht="14.4" customHeight="1" x14ac:dyDescent="0.3">
      <c r="C1008" s="2">
        <v>100</v>
      </c>
      <c r="D1008" s="2" t="s">
        <v>650</v>
      </c>
      <c r="E1008" s="2" t="s">
        <v>774</v>
      </c>
      <c r="F1008" s="101">
        <v>675</v>
      </c>
    </row>
    <row r="1009" spans="3:6" ht="14.4" customHeight="1" x14ac:dyDescent="0.3">
      <c r="C1009" s="2">
        <v>100</v>
      </c>
      <c r="D1009" s="2" t="s">
        <v>673</v>
      </c>
      <c r="E1009" s="2" t="s">
        <v>769</v>
      </c>
      <c r="F1009" s="101">
        <v>12295</v>
      </c>
    </row>
    <row r="1010" spans="3:6" ht="14.4" customHeight="1" x14ac:dyDescent="0.3">
      <c r="C1010" s="2">
        <v>100</v>
      </c>
      <c r="D1010" s="2" t="s">
        <v>396</v>
      </c>
      <c r="E1010" s="2" t="s">
        <v>771</v>
      </c>
      <c r="F1010" s="101">
        <v>5304</v>
      </c>
    </row>
    <row r="1011" spans="3:6" ht="14.4" customHeight="1" x14ac:dyDescent="0.3">
      <c r="C1011" s="2">
        <v>100</v>
      </c>
      <c r="D1011" s="2" t="s">
        <v>198</v>
      </c>
      <c r="E1011" s="2" t="s">
        <v>773</v>
      </c>
      <c r="F1011" s="101">
        <v>536</v>
      </c>
    </row>
    <row r="1012" spans="3:6" ht="14.4" customHeight="1" x14ac:dyDescent="0.3">
      <c r="C1012" s="2">
        <v>100</v>
      </c>
      <c r="D1012" s="2" t="s">
        <v>534</v>
      </c>
      <c r="E1012" s="2" t="s">
        <v>770</v>
      </c>
      <c r="F1012" s="101">
        <v>3767</v>
      </c>
    </row>
    <row r="1013" spans="3:6" ht="14.4" customHeight="1" x14ac:dyDescent="0.3">
      <c r="C1013" s="2">
        <v>100</v>
      </c>
      <c r="D1013" s="2" t="s">
        <v>354</v>
      </c>
      <c r="E1013" s="2" t="s">
        <v>770</v>
      </c>
      <c r="F1013" s="101">
        <v>7968</v>
      </c>
    </row>
    <row r="1014" spans="3:6" ht="14.4" customHeight="1" x14ac:dyDescent="0.3">
      <c r="C1014" s="2">
        <v>100</v>
      </c>
      <c r="D1014" s="2" t="s">
        <v>658</v>
      </c>
      <c r="E1014" s="2" t="s">
        <v>769</v>
      </c>
      <c r="F1014" s="101">
        <v>5630</v>
      </c>
    </row>
    <row r="1015" spans="3:6" ht="14.4" customHeight="1" x14ac:dyDescent="0.3">
      <c r="C1015" s="2">
        <v>100</v>
      </c>
      <c r="D1015" s="2" t="s">
        <v>271</v>
      </c>
      <c r="E1015" s="2" t="s">
        <v>775</v>
      </c>
      <c r="F1015" s="101">
        <v>8</v>
      </c>
    </row>
    <row r="1016" spans="3:6" ht="14.4" customHeight="1" x14ac:dyDescent="0.3">
      <c r="C1016" s="2">
        <v>100</v>
      </c>
      <c r="D1016" s="2" t="s">
        <v>387</v>
      </c>
      <c r="E1016" s="2" t="s">
        <v>771</v>
      </c>
      <c r="F1016" s="101">
        <v>13320</v>
      </c>
    </row>
    <row r="1017" spans="3:6" ht="14.4" customHeight="1" x14ac:dyDescent="0.3">
      <c r="C1017" s="2">
        <v>100</v>
      </c>
      <c r="D1017" s="2" t="s">
        <v>233</v>
      </c>
      <c r="E1017" s="2" t="s">
        <v>773</v>
      </c>
      <c r="F1017" s="101">
        <v>36</v>
      </c>
    </row>
    <row r="1018" spans="3:6" ht="14.4" customHeight="1" x14ac:dyDescent="0.3">
      <c r="C1018" s="2">
        <v>100</v>
      </c>
      <c r="D1018" s="2" t="s">
        <v>438</v>
      </c>
      <c r="E1018" s="2" t="s">
        <v>770</v>
      </c>
      <c r="F1018" s="101">
        <v>1047</v>
      </c>
    </row>
    <row r="1019" spans="3:6" ht="14.4" customHeight="1" x14ac:dyDescent="0.3">
      <c r="C1019" s="2">
        <v>100</v>
      </c>
      <c r="D1019" s="2" t="s">
        <v>244</v>
      </c>
      <c r="E1019" s="2" t="s">
        <v>773</v>
      </c>
      <c r="F1019" s="101">
        <v>75</v>
      </c>
    </row>
    <row r="1020" spans="3:6" ht="14.4" customHeight="1" x14ac:dyDescent="0.3">
      <c r="C1020" s="2">
        <v>100</v>
      </c>
      <c r="D1020" s="2" t="s">
        <v>573</v>
      </c>
      <c r="E1020" s="2" t="s">
        <v>777</v>
      </c>
      <c r="F1020" s="101">
        <v>88</v>
      </c>
    </row>
    <row r="1021" spans="3:6" ht="14.4" customHeight="1" x14ac:dyDescent="0.3">
      <c r="C1021" s="2">
        <v>100</v>
      </c>
      <c r="D1021" s="2" t="s">
        <v>344</v>
      </c>
      <c r="E1021" s="2" t="s">
        <v>774</v>
      </c>
      <c r="F1021" s="101">
        <v>8199</v>
      </c>
    </row>
    <row r="1022" spans="3:6" ht="14.4" customHeight="1" x14ac:dyDescent="0.3">
      <c r="C1022" s="2">
        <v>100</v>
      </c>
      <c r="D1022" s="2" t="s">
        <v>316</v>
      </c>
      <c r="E1022" s="2" t="s">
        <v>769</v>
      </c>
      <c r="F1022" s="101">
        <v>255686</v>
      </c>
    </row>
    <row r="1023" spans="3:6" ht="14.4" customHeight="1" x14ac:dyDescent="0.3">
      <c r="C1023" s="2">
        <v>100</v>
      </c>
      <c r="D1023" s="2" t="s">
        <v>577</v>
      </c>
      <c r="E1023" s="2" t="s">
        <v>769</v>
      </c>
      <c r="F1023" s="101">
        <v>36953</v>
      </c>
    </row>
    <row r="1024" spans="3:6" ht="14.4" customHeight="1" x14ac:dyDescent="0.3">
      <c r="C1024" s="2">
        <v>100</v>
      </c>
      <c r="D1024" s="2" t="s">
        <v>264</v>
      </c>
      <c r="E1024" s="2" t="s">
        <v>769</v>
      </c>
      <c r="F1024" s="101">
        <v>182619</v>
      </c>
    </row>
    <row r="1025" spans="3:6" ht="14.4" customHeight="1" x14ac:dyDescent="0.3">
      <c r="C1025" s="2">
        <v>100</v>
      </c>
      <c r="D1025" s="2" t="s">
        <v>317</v>
      </c>
      <c r="E1025" s="2" t="s">
        <v>771</v>
      </c>
      <c r="F1025" s="101">
        <v>5602</v>
      </c>
    </row>
    <row r="1026" spans="3:6" ht="14.4" customHeight="1" x14ac:dyDescent="0.3">
      <c r="C1026" s="2">
        <v>100</v>
      </c>
      <c r="D1026" s="2" t="s">
        <v>402</v>
      </c>
      <c r="E1026" s="2" t="s">
        <v>773</v>
      </c>
      <c r="F1026" s="101">
        <v>427</v>
      </c>
    </row>
    <row r="1027" spans="3:6" ht="14.4" customHeight="1" x14ac:dyDescent="0.3">
      <c r="C1027" s="2">
        <v>100</v>
      </c>
      <c r="D1027" s="2" t="s">
        <v>357</v>
      </c>
      <c r="E1027" s="2" t="s">
        <v>773</v>
      </c>
      <c r="F1027" s="101">
        <v>2741</v>
      </c>
    </row>
    <row r="1028" spans="3:6" ht="14.4" customHeight="1" x14ac:dyDescent="0.3">
      <c r="C1028" s="2">
        <v>100</v>
      </c>
      <c r="D1028" s="2" t="s">
        <v>310</v>
      </c>
      <c r="E1028" s="2" t="s">
        <v>771</v>
      </c>
      <c r="F1028" s="101">
        <v>6243</v>
      </c>
    </row>
    <row r="1029" spans="3:6" ht="14.4" customHeight="1" x14ac:dyDescent="0.3">
      <c r="C1029" s="2">
        <v>100</v>
      </c>
      <c r="D1029" s="2" t="s">
        <v>402</v>
      </c>
      <c r="E1029" s="2" t="s">
        <v>771</v>
      </c>
      <c r="F1029" s="101">
        <v>7899</v>
      </c>
    </row>
    <row r="1030" spans="3:6" ht="14.4" customHeight="1" x14ac:dyDescent="0.3">
      <c r="C1030" s="2">
        <v>100</v>
      </c>
      <c r="D1030" s="2" t="s">
        <v>521</v>
      </c>
      <c r="E1030" s="2" t="s">
        <v>769</v>
      </c>
      <c r="F1030" s="101">
        <v>5082</v>
      </c>
    </row>
    <row r="1031" spans="3:6" ht="14.4" customHeight="1" x14ac:dyDescent="0.3">
      <c r="C1031" s="2">
        <v>100</v>
      </c>
      <c r="D1031" s="2" t="s">
        <v>606</v>
      </c>
      <c r="E1031" s="2" t="s">
        <v>774</v>
      </c>
      <c r="F1031" s="101">
        <v>16</v>
      </c>
    </row>
    <row r="1032" spans="3:6" ht="14.4" customHeight="1" x14ac:dyDescent="0.3">
      <c r="C1032" s="2">
        <v>100</v>
      </c>
      <c r="D1032" s="2" t="s">
        <v>388</v>
      </c>
      <c r="E1032" s="2" t="s">
        <v>774</v>
      </c>
      <c r="F1032" s="101">
        <v>12731</v>
      </c>
    </row>
    <row r="1033" spans="3:6" ht="14.4" customHeight="1" x14ac:dyDescent="0.3">
      <c r="C1033" s="2">
        <v>100</v>
      </c>
      <c r="D1033" s="2" t="s">
        <v>380</v>
      </c>
      <c r="E1033" s="2" t="s">
        <v>774</v>
      </c>
      <c r="F1033" s="101">
        <v>-284</v>
      </c>
    </row>
    <row r="1034" spans="3:6" ht="14.4" customHeight="1" x14ac:dyDescent="0.3">
      <c r="C1034" s="2">
        <v>100</v>
      </c>
      <c r="D1034" s="2" t="s">
        <v>696</v>
      </c>
      <c r="E1034" s="2" t="s">
        <v>769</v>
      </c>
      <c r="F1034" s="101">
        <v>5568</v>
      </c>
    </row>
    <row r="1035" spans="3:6" ht="14.4" customHeight="1" x14ac:dyDescent="0.3">
      <c r="C1035" s="2">
        <v>100</v>
      </c>
      <c r="D1035" s="2" t="s">
        <v>244</v>
      </c>
      <c r="E1035" s="2" t="s">
        <v>771</v>
      </c>
      <c r="F1035" s="101">
        <v>2563</v>
      </c>
    </row>
    <row r="1036" spans="3:6" ht="14.4" customHeight="1" x14ac:dyDescent="0.3">
      <c r="C1036" s="2">
        <v>100</v>
      </c>
      <c r="D1036" s="2" t="s">
        <v>469</v>
      </c>
      <c r="E1036" s="2" t="s">
        <v>769</v>
      </c>
      <c r="F1036" s="101">
        <v>18010</v>
      </c>
    </row>
    <row r="1037" spans="3:6" ht="14.4" customHeight="1" x14ac:dyDescent="0.3">
      <c r="C1037" s="2">
        <v>100</v>
      </c>
      <c r="D1037" s="2" t="s">
        <v>387</v>
      </c>
      <c r="E1037" s="2" t="s">
        <v>775</v>
      </c>
      <c r="F1037" s="101">
        <v>35</v>
      </c>
    </row>
    <row r="1038" spans="3:6" ht="14.4" customHeight="1" x14ac:dyDescent="0.3">
      <c r="C1038" s="2">
        <v>100</v>
      </c>
      <c r="D1038" s="2" t="s">
        <v>286</v>
      </c>
      <c r="E1038" s="2" t="s">
        <v>775</v>
      </c>
      <c r="F1038" s="101">
        <v>7939</v>
      </c>
    </row>
    <row r="1039" spans="3:6" ht="14.4" customHeight="1" x14ac:dyDescent="0.3">
      <c r="C1039" s="2">
        <v>100</v>
      </c>
      <c r="D1039" s="2" t="s">
        <v>387</v>
      </c>
      <c r="E1039" s="2" t="s">
        <v>773</v>
      </c>
      <c r="F1039" s="101">
        <v>1810</v>
      </c>
    </row>
    <row r="1040" spans="3:6" ht="14.4" customHeight="1" x14ac:dyDescent="0.3">
      <c r="C1040" s="2">
        <v>100</v>
      </c>
      <c r="D1040" s="2" t="s">
        <v>333</v>
      </c>
      <c r="E1040" s="2" t="s">
        <v>777</v>
      </c>
      <c r="F1040" s="101">
        <v>17975</v>
      </c>
    </row>
    <row r="1041" spans="3:6" ht="14.4" customHeight="1" x14ac:dyDescent="0.3">
      <c r="C1041" s="2">
        <v>100</v>
      </c>
      <c r="D1041" s="2" t="s">
        <v>601</v>
      </c>
      <c r="E1041" s="2" t="s">
        <v>774</v>
      </c>
      <c r="F1041" s="101">
        <v>-66</v>
      </c>
    </row>
    <row r="1042" spans="3:6" ht="14.4" customHeight="1" x14ac:dyDescent="0.3">
      <c r="C1042" s="2">
        <v>100</v>
      </c>
      <c r="D1042" s="2" t="s">
        <v>574</v>
      </c>
      <c r="E1042" s="2" t="s">
        <v>773</v>
      </c>
      <c r="F1042" s="101">
        <v>396</v>
      </c>
    </row>
    <row r="1043" spans="3:6" ht="14.4" customHeight="1" x14ac:dyDescent="0.3">
      <c r="C1043" s="2">
        <v>100</v>
      </c>
      <c r="D1043" s="2" t="s">
        <v>513</v>
      </c>
      <c r="E1043" s="2" t="s">
        <v>773</v>
      </c>
      <c r="F1043" s="101">
        <v>794818</v>
      </c>
    </row>
    <row r="1044" spans="3:6" ht="14.4" customHeight="1" x14ac:dyDescent="0.3">
      <c r="C1044" s="2">
        <v>100</v>
      </c>
      <c r="D1044" s="2" t="s">
        <v>361</v>
      </c>
      <c r="E1044" s="2" t="s">
        <v>772</v>
      </c>
      <c r="F1044" s="101">
        <v>1097</v>
      </c>
    </row>
    <row r="1045" spans="3:6" ht="14.4" customHeight="1" x14ac:dyDescent="0.3">
      <c r="C1045" s="2">
        <v>100</v>
      </c>
      <c r="D1045" s="2" t="s">
        <v>550</v>
      </c>
      <c r="E1045" s="2" t="s">
        <v>770</v>
      </c>
      <c r="F1045" s="101">
        <v>670</v>
      </c>
    </row>
    <row r="1046" spans="3:6" ht="14.4" customHeight="1" x14ac:dyDescent="0.3">
      <c r="C1046" s="2">
        <v>100</v>
      </c>
      <c r="D1046" s="2" t="s">
        <v>550</v>
      </c>
      <c r="E1046" s="2" t="s">
        <v>771</v>
      </c>
      <c r="F1046" s="101">
        <v>733</v>
      </c>
    </row>
    <row r="1047" spans="3:6" ht="14.4" customHeight="1" x14ac:dyDescent="0.3">
      <c r="C1047" s="2">
        <v>100</v>
      </c>
      <c r="D1047" s="2" t="s">
        <v>625</v>
      </c>
      <c r="E1047" s="2" t="s">
        <v>774</v>
      </c>
      <c r="F1047" s="101">
        <v>3</v>
      </c>
    </row>
    <row r="1048" spans="3:6" ht="14.4" customHeight="1" x14ac:dyDescent="0.3">
      <c r="C1048" s="2">
        <v>100</v>
      </c>
      <c r="D1048" s="2" t="s">
        <v>477</v>
      </c>
      <c r="E1048" s="2" t="s">
        <v>769</v>
      </c>
      <c r="F1048" s="101">
        <v>147424</v>
      </c>
    </row>
    <row r="1049" spans="3:6" ht="14.4" customHeight="1" x14ac:dyDescent="0.3">
      <c r="C1049" s="2">
        <v>100</v>
      </c>
      <c r="D1049" s="2" t="s">
        <v>411</v>
      </c>
      <c r="E1049" s="2" t="s">
        <v>777</v>
      </c>
      <c r="F1049" s="101">
        <v>5915</v>
      </c>
    </row>
    <row r="1050" spans="3:6" ht="14.4" customHeight="1" x14ac:dyDescent="0.3">
      <c r="C1050" s="2">
        <v>100</v>
      </c>
      <c r="D1050" s="2" t="s">
        <v>549</v>
      </c>
      <c r="E1050" s="2" t="s">
        <v>770</v>
      </c>
      <c r="F1050" s="101">
        <v>4330</v>
      </c>
    </row>
    <row r="1051" spans="3:6" ht="14.4" customHeight="1" x14ac:dyDescent="0.3">
      <c r="C1051" s="2">
        <v>100</v>
      </c>
      <c r="D1051" s="2" t="s">
        <v>274</v>
      </c>
      <c r="E1051" s="2" t="s">
        <v>774</v>
      </c>
      <c r="F1051" s="101">
        <v>25579</v>
      </c>
    </row>
    <row r="1052" spans="3:6" ht="14.4" customHeight="1" x14ac:dyDescent="0.3">
      <c r="C1052" s="2">
        <v>100</v>
      </c>
      <c r="D1052" s="2" t="s">
        <v>235</v>
      </c>
      <c r="E1052" s="2" t="s">
        <v>771</v>
      </c>
      <c r="F1052" s="101">
        <v>88087</v>
      </c>
    </row>
    <row r="1053" spans="3:6" ht="14.4" customHeight="1" x14ac:dyDescent="0.3">
      <c r="C1053" s="2">
        <v>100</v>
      </c>
      <c r="D1053" s="2" t="s">
        <v>440</v>
      </c>
      <c r="E1053" s="2" t="s">
        <v>771</v>
      </c>
      <c r="F1053" s="101">
        <v>4078</v>
      </c>
    </row>
    <row r="1054" spans="3:6" ht="14.4" customHeight="1" x14ac:dyDescent="0.3">
      <c r="C1054" s="2">
        <v>100</v>
      </c>
      <c r="D1054" s="2" t="s">
        <v>423</v>
      </c>
      <c r="E1054" s="2" t="s">
        <v>769</v>
      </c>
      <c r="F1054" s="101">
        <v>169486</v>
      </c>
    </row>
    <row r="1055" spans="3:6" ht="14.4" customHeight="1" x14ac:dyDescent="0.3">
      <c r="C1055" s="2">
        <v>100</v>
      </c>
      <c r="D1055" s="2" t="s">
        <v>494</v>
      </c>
      <c r="E1055" s="2" t="s">
        <v>773</v>
      </c>
      <c r="F1055" s="101">
        <v>11897</v>
      </c>
    </row>
    <row r="1056" spans="3:6" ht="14.4" customHeight="1" x14ac:dyDescent="0.3">
      <c r="C1056" s="2">
        <v>100</v>
      </c>
      <c r="D1056" s="2" t="s">
        <v>429</v>
      </c>
      <c r="E1056" s="2" t="s">
        <v>775</v>
      </c>
      <c r="F1056" s="101">
        <v>8001</v>
      </c>
    </row>
    <row r="1057" spans="3:6" ht="14.4" customHeight="1" x14ac:dyDescent="0.3">
      <c r="C1057" s="2">
        <v>100</v>
      </c>
      <c r="D1057" s="2" t="s">
        <v>686</v>
      </c>
      <c r="E1057" s="2" t="s">
        <v>769</v>
      </c>
      <c r="F1057" s="101">
        <v>19280</v>
      </c>
    </row>
    <row r="1058" spans="3:6" ht="14.4" customHeight="1" x14ac:dyDescent="0.3">
      <c r="C1058" s="2">
        <v>100</v>
      </c>
      <c r="D1058" s="2" t="s">
        <v>429</v>
      </c>
      <c r="E1058" s="2" t="s">
        <v>770</v>
      </c>
      <c r="F1058" s="101">
        <v>71784</v>
      </c>
    </row>
    <row r="1059" spans="3:6" ht="14.4" customHeight="1" x14ac:dyDescent="0.3">
      <c r="C1059" s="2">
        <v>100</v>
      </c>
      <c r="D1059" s="2" t="s">
        <v>227</v>
      </c>
      <c r="E1059" s="2" t="s">
        <v>783</v>
      </c>
      <c r="F1059" s="101">
        <v>1</v>
      </c>
    </row>
    <row r="1060" spans="3:6" ht="14.4" customHeight="1" x14ac:dyDescent="0.3">
      <c r="C1060" s="2">
        <v>100</v>
      </c>
      <c r="D1060" s="2" t="s">
        <v>358</v>
      </c>
      <c r="E1060" s="2" t="s">
        <v>773</v>
      </c>
      <c r="F1060" s="101">
        <v>607</v>
      </c>
    </row>
    <row r="1061" spans="3:6" ht="14.4" customHeight="1" x14ac:dyDescent="0.3">
      <c r="C1061" s="2">
        <v>100</v>
      </c>
      <c r="D1061" s="2" t="s">
        <v>235</v>
      </c>
      <c r="E1061" s="2" t="s">
        <v>775</v>
      </c>
      <c r="F1061" s="101">
        <v>895</v>
      </c>
    </row>
    <row r="1062" spans="3:6" ht="14.4" customHeight="1" x14ac:dyDescent="0.3">
      <c r="C1062" s="2">
        <v>100</v>
      </c>
      <c r="D1062" s="2" t="s">
        <v>296</v>
      </c>
      <c r="E1062" s="2" t="s">
        <v>769</v>
      </c>
      <c r="F1062" s="101">
        <v>1049384</v>
      </c>
    </row>
    <row r="1063" spans="3:6" ht="14.4" customHeight="1" x14ac:dyDescent="0.3">
      <c r="C1063" s="2">
        <v>100</v>
      </c>
      <c r="D1063" s="2" t="s">
        <v>666</v>
      </c>
      <c r="E1063" s="2" t="s">
        <v>769</v>
      </c>
      <c r="F1063" s="101">
        <v>18707</v>
      </c>
    </row>
    <row r="1064" spans="3:6" ht="14.4" customHeight="1" x14ac:dyDescent="0.3">
      <c r="C1064" s="2">
        <v>100</v>
      </c>
      <c r="D1064" s="2" t="s">
        <v>411</v>
      </c>
      <c r="E1064" s="2" t="s">
        <v>769</v>
      </c>
      <c r="F1064" s="101">
        <v>322814</v>
      </c>
    </row>
    <row r="1065" spans="3:6" ht="14.4" customHeight="1" x14ac:dyDescent="0.3">
      <c r="C1065" s="2">
        <v>100</v>
      </c>
      <c r="D1065" s="2" t="s">
        <v>428</v>
      </c>
      <c r="E1065" s="2" t="s">
        <v>769</v>
      </c>
      <c r="F1065" s="101">
        <v>447563</v>
      </c>
    </row>
    <row r="1066" spans="3:6" ht="14.4" customHeight="1" x14ac:dyDescent="0.3">
      <c r="C1066" s="2">
        <v>100</v>
      </c>
      <c r="D1066" s="2" t="s">
        <v>738</v>
      </c>
      <c r="E1066" s="2" t="s">
        <v>771</v>
      </c>
      <c r="F1066" s="101">
        <v>48</v>
      </c>
    </row>
    <row r="1067" spans="3:6" ht="14.4" customHeight="1" x14ac:dyDescent="0.3">
      <c r="C1067" s="2">
        <v>100</v>
      </c>
      <c r="D1067" s="2" t="s">
        <v>549</v>
      </c>
      <c r="E1067" s="2" t="s">
        <v>775</v>
      </c>
      <c r="F1067" s="101">
        <v>8</v>
      </c>
    </row>
    <row r="1068" spans="3:6" ht="14.4" customHeight="1" x14ac:dyDescent="0.3">
      <c r="C1068" s="2">
        <v>100</v>
      </c>
      <c r="D1068" s="2" t="s">
        <v>519</v>
      </c>
      <c r="E1068" s="2" t="s">
        <v>777</v>
      </c>
      <c r="F1068" s="101">
        <v>562</v>
      </c>
    </row>
    <row r="1069" spans="3:6" ht="14.4" customHeight="1" x14ac:dyDescent="0.3">
      <c r="C1069" s="2">
        <v>100</v>
      </c>
      <c r="D1069" s="2" t="s">
        <v>571</v>
      </c>
      <c r="E1069" s="2" t="s">
        <v>770</v>
      </c>
      <c r="F1069" s="101">
        <v>3090</v>
      </c>
    </row>
    <row r="1070" spans="3:6" ht="14.4" customHeight="1" x14ac:dyDescent="0.3">
      <c r="C1070" s="2">
        <v>100</v>
      </c>
      <c r="D1070" s="2" t="s">
        <v>238</v>
      </c>
      <c r="E1070" s="2" t="s">
        <v>774</v>
      </c>
      <c r="F1070" s="101">
        <v>1700</v>
      </c>
    </row>
    <row r="1071" spans="3:6" ht="14.4" customHeight="1" x14ac:dyDescent="0.3">
      <c r="C1071" s="2">
        <v>100</v>
      </c>
      <c r="D1071" s="2" t="s">
        <v>550</v>
      </c>
      <c r="E1071" s="2" t="s">
        <v>775</v>
      </c>
      <c r="F1071" s="101">
        <v>54</v>
      </c>
    </row>
    <row r="1072" spans="3:6" ht="14.4" customHeight="1" x14ac:dyDescent="0.3">
      <c r="C1072" s="2">
        <v>100</v>
      </c>
      <c r="D1072" s="2" t="s">
        <v>642</v>
      </c>
      <c r="E1072" s="2" t="s">
        <v>769</v>
      </c>
      <c r="F1072" s="101">
        <v>17339</v>
      </c>
    </row>
    <row r="1073" spans="3:6" ht="14.4" customHeight="1" x14ac:dyDescent="0.3">
      <c r="C1073" s="2">
        <v>100</v>
      </c>
      <c r="D1073" s="2" t="s">
        <v>365</v>
      </c>
      <c r="E1073" s="2" t="s">
        <v>773</v>
      </c>
      <c r="F1073" s="101">
        <v>21983</v>
      </c>
    </row>
    <row r="1074" spans="3:6" ht="14.4" customHeight="1" x14ac:dyDescent="0.3">
      <c r="C1074" s="2">
        <v>100</v>
      </c>
      <c r="D1074" s="2" t="s">
        <v>243</v>
      </c>
      <c r="E1074" s="2" t="s">
        <v>773</v>
      </c>
      <c r="F1074" s="101">
        <v>10465</v>
      </c>
    </row>
    <row r="1075" spans="3:6" ht="14.4" customHeight="1" x14ac:dyDescent="0.3">
      <c r="C1075" s="2">
        <v>100</v>
      </c>
      <c r="D1075" s="2" t="s">
        <v>434</v>
      </c>
      <c r="E1075" s="2" t="s">
        <v>769</v>
      </c>
      <c r="F1075" s="101">
        <v>65804</v>
      </c>
    </row>
    <row r="1076" spans="3:6" ht="14.4" customHeight="1" x14ac:dyDescent="0.3">
      <c r="C1076" s="2">
        <v>100</v>
      </c>
      <c r="D1076" s="2" t="s">
        <v>768</v>
      </c>
      <c r="E1076" s="2" t="s">
        <v>770</v>
      </c>
      <c r="F1076" s="101">
        <v>508</v>
      </c>
    </row>
    <row r="1077" spans="3:6" ht="14.4" customHeight="1" x14ac:dyDescent="0.3">
      <c r="C1077" s="2">
        <v>100</v>
      </c>
      <c r="D1077" s="2" t="s">
        <v>502</v>
      </c>
      <c r="E1077" s="2" t="s">
        <v>775</v>
      </c>
      <c r="F1077" s="101">
        <v>465</v>
      </c>
    </row>
    <row r="1078" spans="3:6" ht="14.4" customHeight="1" x14ac:dyDescent="0.3">
      <c r="C1078" s="2">
        <v>100</v>
      </c>
      <c r="D1078" s="2" t="s">
        <v>427</v>
      </c>
      <c r="E1078" s="2" t="s">
        <v>771</v>
      </c>
      <c r="F1078" s="101">
        <v>16221</v>
      </c>
    </row>
    <row r="1079" spans="3:6" ht="14.4" customHeight="1" x14ac:dyDescent="0.3">
      <c r="C1079" s="2">
        <v>100</v>
      </c>
      <c r="D1079" s="2" t="s">
        <v>496</v>
      </c>
      <c r="E1079" s="2" t="s">
        <v>770</v>
      </c>
      <c r="F1079" s="101">
        <v>3258</v>
      </c>
    </row>
    <row r="1080" spans="3:6" ht="14.4" customHeight="1" x14ac:dyDescent="0.3">
      <c r="C1080" s="2">
        <v>100</v>
      </c>
      <c r="D1080" s="2" t="s">
        <v>595</v>
      </c>
      <c r="E1080" s="2" t="s">
        <v>771</v>
      </c>
      <c r="F1080" s="101">
        <v>49</v>
      </c>
    </row>
    <row r="1081" spans="3:6" ht="14.4" customHeight="1" x14ac:dyDescent="0.3">
      <c r="C1081" s="2">
        <v>100</v>
      </c>
      <c r="D1081" s="2" t="s">
        <v>450</v>
      </c>
      <c r="E1081" s="2" t="s">
        <v>774</v>
      </c>
      <c r="F1081" s="101">
        <v>4286</v>
      </c>
    </row>
    <row r="1082" spans="3:6" ht="14.4" customHeight="1" x14ac:dyDescent="0.3">
      <c r="C1082" s="2">
        <v>100</v>
      </c>
      <c r="D1082" s="2" t="s">
        <v>580</v>
      </c>
      <c r="E1082" s="2" t="s">
        <v>769</v>
      </c>
      <c r="F1082" s="101">
        <v>17084</v>
      </c>
    </row>
    <row r="1083" spans="3:6" ht="14.4" customHeight="1" x14ac:dyDescent="0.3">
      <c r="C1083" s="2">
        <v>100</v>
      </c>
      <c r="D1083" s="2" t="s">
        <v>325</v>
      </c>
      <c r="E1083" s="2" t="s">
        <v>774</v>
      </c>
      <c r="F1083" s="101">
        <v>1247</v>
      </c>
    </row>
    <row r="1084" spans="3:6" ht="14.4" customHeight="1" x14ac:dyDescent="0.3">
      <c r="C1084" s="2">
        <v>100</v>
      </c>
      <c r="D1084" s="2" t="s">
        <v>211</v>
      </c>
      <c r="E1084" s="2" t="s">
        <v>773</v>
      </c>
      <c r="F1084" s="101">
        <v>2576</v>
      </c>
    </row>
    <row r="1085" spans="3:6" ht="14.4" customHeight="1" x14ac:dyDescent="0.3">
      <c r="C1085" s="2">
        <v>100</v>
      </c>
      <c r="D1085" s="2" t="s">
        <v>495</v>
      </c>
      <c r="E1085" s="2" t="s">
        <v>769</v>
      </c>
      <c r="F1085" s="101">
        <v>3089</v>
      </c>
    </row>
    <row r="1086" spans="3:6" ht="14.4" customHeight="1" x14ac:dyDescent="0.3">
      <c r="C1086" s="2">
        <v>100</v>
      </c>
      <c r="D1086" s="2" t="s">
        <v>595</v>
      </c>
      <c r="E1086" s="2" t="s">
        <v>773</v>
      </c>
      <c r="F1086" s="101">
        <v>251</v>
      </c>
    </row>
    <row r="1087" spans="3:6" ht="14.4" customHeight="1" x14ac:dyDescent="0.3">
      <c r="C1087" s="2">
        <v>100</v>
      </c>
      <c r="D1087" s="2" t="s">
        <v>747</v>
      </c>
      <c r="E1087" s="2" t="s">
        <v>769</v>
      </c>
      <c r="F1087" s="101">
        <v>13736</v>
      </c>
    </row>
    <row r="1088" spans="3:6" ht="14.4" customHeight="1" x14ac:dyDescent="0.3">
      <c r="C1088" s="2">
        <v>100</v>
      </c>
      <c r="D1088" s="2" t="s">
        <v>365</v>
      </c>
      <c r="E1088" s="2" t="s">
        <v>770</v>
      </c>
      <c r="F1088" s="101">
        <v>33727</v>
      </c>
    </row>
    <row r="1089" spans="3:6" ht="14.4" customHeight="1" x14ac:dyDescent="0.3">
      <c r="C1089" s="2">
        <v>100</v>
      </c>
      <c r="D1089" s="2" t="s">
        <v>631</v>
      </c>
      <c r="E1089" s="2" t="s">
        <v>775</v>
      </c>
      <c r="F1089" s="101">
        <v>869</v>
      </c>
    </row>
    <row r="1090" spans="3:6" ht="14.4" customHeight="1" x14ac:dyDescent="0.3">
      <c r="C1090" s="2">
        <v>100</v>
      </c>
      <c r="D1090" s="2" t="s">
        <v>620</v>
      </c>
      <c r="E1090" s="2" t="s">
        <v>771</v>
      </c>
      <c r="F1090" s="101">
        <v>9218</v>
      </c>
    </row>
    <row r="1091" spans="3:6" ht="14.4" customHeight="1" x14ac:dyDescent="0.3">
      <c r="C1091" s="2">
        <v>100</v>
      </c>
      <c r="D1091" s="2" t="s">
        <v>587</v>
      </c>
      <c r="E1091" s="2" t="s">
        <v>769</v>
      </c>
      <c r="F1091" s="101">
        <v>16915</v>
      </c>
    </row>
    <row r="1092" spans="3:6" ht="14.4" customHeight="1" x14ac:dyDescent="0.3">
      <c r="C1092" s="2">
        <v>100</v>
      </c>
      <c r="D1092" s="2" t="s">
        <v>620</v>
      </c>
      <c r="E1092" s="2" t="s">
        <v>770</v>
      </c>
      <c r="F1092" s="101">
        <v>1713</v>
      </c>
    </row>
    <row r="1093" spans="3:6" ht="14.4" customHeight="1" x14ac:dyDescent="0.3">
      <c r="C1093" s="2">
        <v>100</v>
      </c>
      <c r="D1093" s="2" t="s">
        <v>460</v>
      </c>
      <c r="E1093" s="2" t="s">
        <v>775</v>
      </c>
      <c r="F1093" s="101">
        <v>27</v>
      </c>
    </row>
    <row r="1094" spans="3:6" ht="14.4" customHeight="1" x14ac:dyDescent="0.3">
      <c r="C1094" s="2">
        <v>100</v>
      </c>
      <c r="D1094" s="2" t="s">
        <v>566</v>
      </c>
      <c r="E1094" s="2" t="s">
        <v>771</v>
      </c>
      <c r="F1094" s="101">
        <v>796</v>
      </c>
    </row>
    <row r="1095" spans="3:6" ht="14.4" customHeight="1" x14ac:dyDescent="0.3">
      <c r="C1095" s="2">
        <v>100</v>
      </c>
      <c r="D1095" s="2" t="s">
        <v>647</v>
      </c>
      <c r="E1095" s="2" t="s">
        <v>771</v>
      </c>
      <c r="F1095" s="101">
        <v>1187</v>
      </c>
    </row>
    <row r="1096" spans="3:6" ht="14.4" customHeight="1" x14ac:dyDescent="0.3">
      <c r="C1096" s="2">
        <v>100</v>
      </c>
      <c r="D1096" s="2" t="s">
        <v>47</v>
      </c>
      <c r="E1096" s="2" t="s">
        <v>777</v>
      </c>
      <c r="F1096" s="101">
        <v>24721</v>
      </c>
    </row>
    <row r="1097" spans="3:6" ht="14.4" customHeight="1" x14ac:dyDescent="0.3">
      <c r="C1097" s="2">
        <v>100</v>
      </c>
      <c r="D1097" s="2" t="s">
        <v>539</v>
      </c>
      <c r="E1097" s="2" t="s">
        <v>771</v>
      </c>
      <c r="F1097" s="101">
        <v>240</v>
      </c>
    </row>
    <row r="1098" spans="3:6" ht="14.4" customHeight="1" x14ac:dyDescent="0.3">
      <c r="C1098" s="2">
        <v>100</v>
      </c>
      <c r="D1098" s="2" t="s">
        <v>417</v>
      </c>
      <c r="E1098" s="2" t="s">
        <v>771</v>
      </c>
      <c r="F1098" s="101">
        <v>8229</v>
      </c>
    </row>
    <row r="1099" spans="3:6" ht="14.4" customHeight="1" x14ac:dyDescent="0.3">
      <c r="C1099" s="2">
        <v>100</v>
      </c>
      <c r="D1099" s="2" t="s">
        <v>263</v>
      </c>
      <c r="E1099" s="2" t="s">
        <v>771</v>
      </c>
      <c r="F1099" s="101">
        <v>181051</v>
      </c>
    </row>
    <row r="1100" spans="3:6" ht="14.4" customHeight="1" x14ac:dyDescent="0.3">
      <c r="C1100" s="2">
        <v>100</v>
      </c>
      <c r="D1100" s="2" t="s">
        <v>384</v>
      </c>
      <c r="E1100" s="2" t="s">
        <v>774</v>
      </c>
      <c r="F1100" s="101">
        <v>2694</v>
      </c>
    </row>
    <row r="1101" spans="3:6" ht="14.4" customHeight="1" x14ac:dyDescent="0.3">
      <c r="C1101" s="2">
        <v>100</v>
      </c>
      <c r="D1101" s="2" t="s">
        <v>741</v>
      </c>
      <c r="E1101" s="2" t="s">
        <v>772</v>
      </c>
      <c r="F1101" s="101">
        <v>314</v>
      </c>
    </row>
    <row r="1102" spans="3:6" ht="14.4" customHeight="1" x14ac:dyDescent="0.3">
      <c r="C1102" s="2">
        <v>100</v>
      </c>
      <c r="D1102" s="2" t="s">
        <v>602</v>
      </c>
      <c r="E1102" s="2" t="s">
        <v>769</v>
      </c>
      <c r="F1102" s="101">
        <v>9527</v>
      </c>
    </row>
    <row r="1103" spans="3:6" ht="14.4" customHeight="1" x14ac:dyDescent="0.3">
      <c r="C1103" s="2">
        <v>100</v>
      </c>
      <c r="D1103" s="2" t="s">
        <v>586</v>
      </c>
      <c r="E1103" s="2" t="s">
        <v>769</v>
      </c>
      <c r="F1103" s="101">
        <v>12772</v>
      </c>
    </row>
    <row r="1104" spans="3:6" ht="14.4" customHeight="1" x14ac:dyDescent="0.3">
      <c r="C1104" s="2">
        <v>100</v>
      </c>
      <c r="D1104" s="2" t="s">
        <v>334</v>
      </c>
      <c r="E1104" s="2" t="s">
        <v>775</v>
      </c>
      <c r="F1104" s="101">
        <v>30</v>
      </c>
    </row>
    <row r="1105" spans="3:6" ht="14.4" customHeight="1" x14ac:dyDescent="0.3">
      <c r="C1105" s="2">
        <v>100</v>
      </c>
      <c r="D1105" s="2" t="s">
        <v>420</v>
      </c>
      <c r="E1105" s="2" t="s">
        <v>780</v>
      </c>
      <c r="F1105" s="101">
        <v>7</v>
      </c>
    </row>
    <row r="1106" spans="3:6" ht="14.4" customHeight="1" x14ac:dyDescent="0.3">
      <c r="C1106" s="2">
        <v>100</v>
      </c>
      <c r="D1106" s="2" t="s">
        <v>301</v>
      </c>
      <c r="E1106" s="2" t="s">
        <v>770</v>
      </c>
      <c r="F1106" s="101">
        <v>10245</v>
      </c>
    </row>
    <row r="1107" spans="3:6" ht="14.4" customHeight="1" x14ac:dyDescent="0.3">
      <c r="C1107" s="2">
        <v>100</v>
      </c>
      <c r="D1107" s="2" t="s">
        <v>199</v>
      </c>
      <c r="E1107" s="2" t="s">
        <v>775</v>
      </c>
      <c r="F1107" s="101">
        <v>189</v>
      </c>
    </row>
    <row r="1108" spans="3:6" ht="14.4" customHeight="1" x14ac:dyDescent="0.3">
      <c r="C1108" s="2">
        <v>100</v>
      </c>
      <c r="D1108" s="2" t="s">
        <v>548</v>
      </c>
      <c r="E1108" s="2" t="s">
        <v>775</v>
      </c>
      <c r="F1108" s="101">
        <v>4394</v>
      </c>
    </row>
    <row r="1109" spans="3:6" ht="14.4" customHeight="1" x14ac:dyDescent="0.3">
      <c r="C1109" s="2">
        <v>100</v>
      </c>
      <c r="D1109" s="2" t="s">
        <v>370</v>
      </c>
      <c r="E1109" s="2" t="s">
        <v>771</v>
      </c>
      <c r="F1109" s="101">
        <v>2495</v>
      </c>
    </row>
    <row r="1110" spans="3:6" ht="14.4" customHeight="1" x14ac:dyDescent="0.3">
      <c r="C1110" s="2">
        <v>100</v>
      </c>
      <c r="D1110" s="2" t="s">
        <v>546</v>
      </c>
      <c r="E1110" s="2" t="s">
        <v>774</v>
      </c>
      <c r="F1110" s="101">
        <v>1710</v>
      </c>
    </row>
    <row r="1111" spans="3:6" ht="14.4" customHeight="1" x14ac:dyDescent="0.3">
      <c r="C1111" s="2">
        <v>100</v>
      </c>
      <c r="D1111" s="2" t="s">
        <v>734</v>
      </c>
      <c r="E1111" s="2" t="s">
        <v>774</v>
      </c>
      <c r="F1111" s="101">
        <v>1270</v>
      </c>
    </row>
    <row r="1112" spans="3:6" ht="14.4" customHeight="1" x14ac:dyDescent="0.3">
      <c r="C1112" s="2">
        <v>100</v>
      </c>
      <c r="D1112" s="2" t="s">
        <v>442</v>
      </c>
      <c r="E1112" s="2" t="s">
        <v>774</v>
      </c>
      <c r="F1112" s="101">
        <v>210</v>
      </c>
    </row>
    <row r="1113" spans="3:6" ht="14.4" customHeight="1" x14ac:dyDescent="0.3">
      <c r="C1113" s="2">
        <v>100</v>
      </c>
      <c r="D1113" s="2" t="s">
        <v>293</v>
      </c>
      <c r="E1113" s="2" t="s">
        <v>771</v>
      </c>
      <c r="F1113" s="101">
        <v>15598</v>
      </c>
    </row>
    <row r="1114" spans="3:6" ht="14.4" customHeight="1" x14ac:dyDescent="0.3">
      <c r="C1114" s="2">
        <v>100</v>
      </c>
      <c r="D1114" s="2" t="s">
        <v>716</v>
      </c>
      <c r="E1114" s="2" t="s">
        <v>774</v>
      </c>
      <c r="F1114" s="101">
        <v>5000</v>
      </c>
    </row>
    <row r="1115" spans="3:6" ht="14.4" customHeight="1" x14ac:dyDescent="0.3">
      <c r="C1115" s="2">
        <v>100</v>
      </c>
      <c r="D1115" s="2" t="s">
        <v>634</v>
      </c>
      <c r="E1115" s="2" t="s">
        <v>769</v>
      </c>
      <c r="F1115" s="101">
        <v>16185</v>
      </c>
    </row>
    <row r="1116" spans="3:6" ht="14.4" customHeight="1" x14ac:dyDescent="0.3">
      <c r="C1116" s="2">
        <v>100</v>
      </c>
      <c r="D1116" s="2" t="s">
        <v>220</v>
      </c>
      <c r="E1116" s="2" t="s">
        <v>773</v>
      </c>
      <c r="F1116" s="101">
        <v>2401</v>
      </c>
    </row>
    <row r="1117" spans="3:6" ht="14.4" customHeight="1" x14ac:dyDescent="0.3">
      <c r="C1117" s="2">
        <v>100</v>
      </c>
      <c r="D1117" s="2" t="s">
        <v>353</v>
      </c>
      <c r="E1117" s="2" t="s">
        <v>771</v>
      </c>
      <c r="F1117" s="101">
        <v>114136</v>
      </c>
    </row>
    <row r="1118" spans="3:6" ht="14.4" customHeight="1" x14ac:dyDescent="0.3">
      <c r="C1118" s="2">
        <v>100</v>
      </c>
      <c r="D1118" s="2" t="s">
        <v>327</v>
      </c>
      <c r="E1118" s="2" t="s">
        <v>770</v>
      </c>
      <c r="F1118" s="101">
        <v>195</v>
      </c>
    </row>
    <row r="1119" spans="3:6" ht="14.4" customHeight="1" x14ac:dyDescent="0.3">
      <c r="C1119" s="2">
        <v>100</v>
      </c>
      <c r="D1119" s="2" t="s">
        <v>312</v>
      </c>
      <c r="E1119" s="2" t="s">
        <v>771</v>
      </c>
      <c r="F1119" s="101">
        <v>9239</v>
      </c>
    </row>
    <row r="1120" spans="3:6" ht="14.4" customHeight="1" x14ac:dyDescent="0.3">
      <c r="C1120" s="2">
        <v>100</v>
      </c>
      <c r="D1120" s="2" t="s">
        <v>539</v>
      </c>
      <c r="E1120" s="2" t="s">
        <v>773</v>
      </c>
      <c r="F1120" s="101">
        <v>69</v>
      </c>
    </row>
    <row r="1121" spans="3:6" ht="14.4" customHeight="1" x14ac:dyDescent="0.3">
      <c r="C1121" s="2">
        <v>100</v>
      </c>
      <c r="D1121" s="2" t="s">
        <v>263</v>
      </c>
      <c r="E1121" s="2" t="s">
        <v>773</v>
      </c>
      <c r="F1121" s="101">
        <v>7463652</v>
      </c>
    </row>
    <row r="1122" spans="3:6" ht="14.4" customHeight="1" x14ac:dyDescent="0.3">
      <c r="C1122" s="2">
        <v>100</v>
      </c>
      <c r="D1122" s="2" t="s">
        <v>417</v>
      </c>
      <c r="E1122" s="2" t="s">
        <v>773</v>
      </c>
      <c r="F1122" s="101">
        <v>2879</v>
      </c>
    </row>
    <row r="1123" spans="3:6" ht="14.4" customHeight="1" x14ac:dyDescent="0.3">
      <c r="C1123" s="2">
        <v>100</v>
      </c>
      <c r="D1123" s="2" t="s">
        <v>267</v>
      </c>
      <c r="E1123" s="2" t="s">
        <v>771</v>
      </c>
      <c r="F1123" s="101">
        <v>29183</v>
      </c>
    </row>
    <row r="1124" spans="3:6" ht="14.4" customHeight="1" x14ac:dyDescent="0.3">
      <c r="C1124" s="2">
        <v>100</v>
      </c>
      <c r="D1124" s="2" t="s">
        <v>407</v>
      </c>
      <c r="E1124" s="2" t="s">
        <v>769</v>
      </c>
      <c r="F1124" s="101">
        <v>1246</v>
      </c>
    </row>
    <row r="1125" spans="3:6" ht="14.4" customHeight="1" x14ac:dyDescent="0.3">
      <c r="C1125" s="2">
        <v>100</v>
      </c>
      <c r="D1125" s="2" t="s">
        <v>267</v>
      </c>
      <c r="E1125" s="2" t="s">
        <v>770</v>
      </c>
      <c r="F1125" s="101">
        <v>6743</v>
      </c>
    </row>
    <row r="1126" spans="3:6" ht="14.4" customHeight="1" x14ac:dyDescent="0.3">
      <c r="C1126" s="2">
        <v>100</v>
      </c>
      <c r="D1126" s="2" t="s">
        <v>625</v>
      </c>
      <c r="E1126" s="2" t="s">
        <v>777</v>
      </c>
      <c r="F1126" s="101">
        <v>292</v>
      </c>
    </row>
    <row r="1127" spans="3:6" ht="14.4" customHeight="1" x14ac:dyDescent="0.3">
      <c r="C1127" s="2">
        <v>100</v>
      </c>
      <c r="D1127" s="2" t="s">
        <v>411</v>
      </c>
      <c r="E1127" s="2" t="s">
        <v>774</v>
      </c>
      <c r="F1127" s="101">
        <v>626</v>
      </c>
    </row>
    <row r="1128" spans="3:6" ht="14.4" customHeight="1" x14ac:dyDescent="0.3">
      <c r="C1128" s="2">
        <v>100</v>
      </c>
      <c r="D1128" s="2" t="s">
        <v>428</v>
      </c>
      <c r="E1128" s="2" t="s">
        <v>774</v>
      </c>
      <c r="F1128" s="101">
        <v>1770</v>
      </c>
    </row>
    <row r="1129" spans="3:6" ht="14.4" customHeight="1" x14ac:dyDescent="0.3">
      <c r="C1129" s="2">
        <v>100</v>
      </c>
      <c r="D1129" s="2" t="s">
        <v>202</v>
      </c>
      <c r="E1129" s="2" t="s">
        <v>769</v>
      </c>
      <c r="F1129" s="101">
        <v>128061</v>
      </c>
    </row>
    <row r="1130" spans="3:6" ht="14.4" customHeight="1" x14ac:dyDescent="0.3">
      <c r="C1130" s="2">
        <v>100</v>
      </c>
      <c r="D1130" s="2" t="s">
        <v>447</v>
      </c>
      <c r="E1130" s="2" t="s">
        <v>771</v>
      </c>
      <c r="F1130" s="101">
        <v>715</v>
      </c>
    </row>
    <row r="1131" spans="3:6" ht="14.4" customHeight="1" x14ac:dyDescent="0.3">
      <c r="C1131" s="2">
        <v>100</v>
      </c>
      <c r="D1131" s="2" t="s">
        <v>790</v>
      </c>
      <c r="E1131" s="2" t="s">
        <v>769</v>
      </c>
      <c r="F1131" s="101">
        <v>0</v>
      </c>
    </row>
    <row r="1132" spans="3:6" ht="14.4" customHeight="1" x14ac:dyDescent="0.3">
      <c r="C1132" s="2">
        <v>100</v>
      </c>
      <c r="D1132" s="2" t="s">
        <v>447</v>
      </c>
      <c r="E1132" s="2" t="s">
        <v>770</v>
      </c>
      <c r="F1132" s="101">
        <v>153</v>
      </c>
    </row>
    <row r="1133" spans="3:6" ht="14.4" customHeight="1" x14ac:dyDescent="0.3">
      <c r="C1133" s="2">
        <v>100</v>
      </c>
      <c r="D1133" s="2" t="s">
        <v>432</v>
      </c>
      <c r="E1133" s="2" t="s">
        <v>773</v>
      </c>
      <c r="F1133" s="101">
        <v>10347</v>
      </c>
    </row>
    <row r="1134" spans="3:6" ht="14.4" customHeight="1" x14ac:dyDescent="0.3">
      <c r="C1134" s="2">
        <v>100</v>
      </c>
      <c r="D1134" s="2" t="s">
        <v>733</v>
      </c>
      <c r="E1134" s="2" t="s">
        <v>769</v>
      </c>
      <c r="F1134" s="101">
        <v>26483</v>
      </c>
    </row>
    <row r="1135" spans="3:6" ht="14.4" customHeight="1" x14ac:dyDescent="0.3">
      <c r="C1135" s="2">
        <v>100</v>
      </c>
      <c r="D1135" s="2" t="s">
        <v>466</v>
      </c>
      <c r="E1135" s="2" t="s">
        <v>773</v>
      </c>
      <c r="F1135" s="101">
        <v>2929</v>
      </c>
    </row>
    <row r="1136" spans="3:6" ht="14.4" customHeight="1" x14ac:dyDescent="0.3">
      <c r="C1136" s="2">
        <v>100</v>
      </c>
      <c r="D1136" s="2" t="s">
        <v>632</v>
      </c>
      <c r="E1136" s="2" t="s">
        <v>772</v>
      </c>
      <c r="F1136" s="101">
        <v>680</v>
      </c>
    </row>
    <row r="1137" spans="3:6" ht="14.4" customHeight="1" x14ac:dyDescent="0.3">
      <c r="C1137" s="2">
        <v>100</v>
      </c>
      <c r="D1137" s="2" t="s">
        <v>607</v>
      </c>
      <c r="E1137" s="2" t="s">
        <v>769</v>
      </c>
      <c r="F1137" s="101">
        <v>7713</v>
      </c>
    </row>
    <row r="1138" spans="3:6" ht="14.4" customHeight="1" x14ac:dyDescent="0.3">
      <c r="C1138" s="2">
        <v>100</v>
      </c>
      <c r="D1138" s="2" t="s">
        <v>516</v>
      </c>
      <c r="E1138" s="2" t="s">
        <v>769</v>
      </c>
      <c r="F1138" s="101">
        <v>25115</v>
      </c>
    </row>
    <row r="1139" spans="3:6" ht="14.4" customHeight="1" x14ac:dyDescent="0.3">
      <c r="C1139" s="2">
        <v>100</v>
      </c>
      <c r="D1139" s="2" t="s">
        <v>234</v>
      </c>
      <c r="E1139" s="2" t="s">
        <v>769</v>
      </c>
      <c r="F1139" s="101">
        <v>5720</v>
      </c>
    </row>
    <row r="1140" spans="3:6" ht="14.4" customHeight="1" x14ac:dyDescent="0.3">
      <c r="C1140" s="2">
        <v>100</v>
      </c>
      <c r="D1140" s="2" t="s">
        <v>355</v>
      </c>
      <c r="E1140" s="2" t="s">
        <v>769</v>
      </c>
      <c r="F1140" s="101">
        <v>883878</v>
      </c>
    </row>
    <row r="1141" spans="3:6" ht="14.4" customHeight="1" x14ac:dyDescent="0.3">
      <c r="C1141" s="2">
        <v>100</v>
      </c>
      <c r="D1141" s="2" t="s">
        <v>381</v>
      </c>
      <c r="E1141" s="2" t="s">
        <v>771</v>
      </c>
      <c r="F1141" s="101">
        <v>136257</v>
      </c>
    </row>
    <row r="1142" spans="3:6" ht="14.4" customHeight="1" x14ac:dyDescent="0.3">
      <c r="C1142" s="2">
        <v>100</v>
      </c>
      <c r="D1142" s="2" t="s">
        <v>600</v>
      </c>
      <c r="E1142" s="2" t="s">
        <v>771</v>
      </c>
      <c r="F1142" s="101">
        <v>750</v>
      </c>
    </row>
    <row r="1143" spans="3:6" ht="14.4" customHeight="1" x14ac:dyDescent="0.3">
      <c r="C1143" s="2">
        <v>100</v>
      </c>
      <c r="D1143" s="2" t="s">
        <v>688</v>
      </c>
      <c r="E1143" s="2" t="s">
        <v>775</v>
      </c>
      <c r="F1143" s="101">
        <v>56</v>
      </c>
    </row>
    <row r="1144" spans="3:6" ht="14.4" customHeight="1" x14ac:dyDescent="0.3">
      <c r="C1144" s="2">
        <v>100</v>
      </c>
      <c r="D1144" s="2" t="s">
        <v>478</v>
      </c>
      <c r="E1144" s="2" t="s">
        <v>774</v>
      </c>
      <c r="F1144" s="101">
        <v>3635</v>
      </c>
    </row>
    <row r="1145" spans="3:6" ht="14.4" customHeight="1" x14ac:dyDescent="0.3">
      <c r="C1145" s="2">
        <v>100</v>
      </c>
      <c r="D1145" s="2" t="s">
        <v>694</v>
      </c>
      <c r="E1145" s="2" t="s">
        <v>774</v>
      </c>
      <c r="F1145" s="101">
        <v>468</v>
      </c>
    </row>
    <row r="1146" spans="3:6" ht="14.4" customHeight="1" x14ac:dyDescent="0.3">
      <c r="C1146" s="2">
        <v>100</v>
      </c>
      <c r="D1146" s="2" t="s">
        <v>528</v>
      </c>
      <c r="E1146" s="2" t="s">
        <v>771</v>
      </c>
      <c r="F1146" s="101">
        <v>70707</v>
      </c>
    </row>
    <row r="1147" spans="3:6" ht="14.4" customHeight="1" x14ac:dyDescent="0.3">
      <c r="C1147" s="2">
        <v>100</v>
      </c>
      <c r="D1147" s="2" t="s">
        <v>274</v>
      </c>
      <c r="E1147" s="2" t="s">
        <v>769</v>
      </c>
      <c r="F1147" s="101">
        <v>1183228</v>
      </c>
    </row>
    <row r="1148" spans="3:6" ht="14.4" customHeight="1" x14ac:dyDescent="0.3">
      <c r="C1148" s="2">
        <v>100</v>
      </c>
      <c r="D1148" s="2" t="s">
        <v>725</v>
      </c>
      <c r="E1148" s="2" t="s">
        <v>769</v>
      </c>
      <c r="F1148" s="101">
        <v>1430</v>
      </c>
    </row>
    <row r="1149" spans="3:6" ht="14.4" customHeight="1" x14ac:dyDescent="0.3">
      <c r="C1149" s="2">
        <v>100</v>
      </c>
      <c r="D1149" s="2" t="s">
        <v>464</v>
      </c>
      <c r="E1149" s="2" t="s">
        <v>771</v>
      </c>
      <c r="F1149" s="101">
        <v>1257</v>
      </c>
    </row>
    <row r="1150" spans="3:6" ht="14.4" customHeight="1" x14ac:dyDescent="0.3">
      <c r="C1150" s="2">
        <v>100</v>
      </c>
      <c r="D1150" s="2" t="s">
        <v>609</v>
      </c>
      <c r="E1150" s="2" t="s">
        <v>773</v>
      </c>
      <c r="F1150" s="101">
        <v>1080</v>
      </c>
    </row>
    <row r="1151" spans="3:6" ht="14.4" customHeight="1" x14ac:dyDescent="0.3">
      <c r="C1151" s="2">
        <v>100</v>
      </c>
      <c r="D1151" s="2" t="s">
        <v>238</v>
      </c>
      <c r="E1151" s="2" t="s">
        <v>777</v>
      </c>
      <c r="F1151" s="101">
        <v>682</v>
      </c>
    </row>
    <row r="1152" spans="3:6" ht="14.4" customHeight="1" x14ac:dyDescent="0.3">
      <c r="C1152" s="2">
        <v>100</v>
      </c>
      <c r="D1152" s="2" t="s">
        <v>400</v>
      </c>
      <c r="E1152" s="2" t="s">
        <v>769</v>
      </c>
      <c r="F1152" s="101">
        <v>98533</v>
      </c>
    </row>
    <row r="1153" spans="3:6" ht="14.4" customHeight="1" x14ac:dyDescent="0.3">
      <c r="C1153" s="2">
        <v>100</v>
      </c>
      <c r="D1153" s="2" t="s">
        <v>416</v>
      </c>
      <c r="E1153" s="2" t="s">
        <v>770</v>
      </c>
      <c r="F1153" s="101">
        <v>2452</v>
      </c>
    </row>
    <row r="1154" spans="3:6" ht="14.4" customHeight="1" x14ac:dyDescent="0.3">
      <c r="C1154" s="2">
        <v>100</v>
      </c>
      <c r="D1154" s="2" t="s">
        <v>682</v>
      </c>
      <c r="E1154" s="2" t="s">
        <v>769</v>
      </c>
      <c r="F1154" s="101">
        <v>2911</v>
      </c>
    </row>
    <row r="1155" spans="3:6" ht="14.4" customHeight="1" x14ac:dyDescent="0.3">
      <c r="C1155" s="2">
        <v>100</v>
      </c>
      <c r="D1155" s="2" t="s">
        <v>656</v>
      </c>
      <c r="E1155" s="2" t="s">
        <v>769</v>
      </c>
      <c r="F1155" s="101">
        <v>2285</v>
      </c>
    </row>
    <row r="1156" spans="3:6" ht="14.4" customHeight="1" x14ac:dyDescent="0.3">
      <c r="C1156" s="2">
        <v>100</v>
      </c>
      <c r="D1156" s="2" t="s">
        <v>247</v>
      </c>
      <c r="E1156" s="2" t="s">
        <v>775</v>
      </c>
      <c r="F1156" s="101">
        <v>9431</v>
      </c>
    </row>
    <row r="1157" spans="3:6" ht="14.4" customHeight="1" x14ac:dyDescent="0.3">
      <c r="C1157" s="2">
        <v>100</v>
      </c>
      <c r="D1157" s="2" t="s">
        <v>614</v>
      </c>
      <c r="E1157" s="2" t="s">
        <v>777</v>
      </c>
      <c r="F1157" s="101">
        <v>583</v>
      </c>
    </row>
    <row r="1158" spans="3:6" ht="14.4" customHeight="1" x14ac:dyDescent="0.3">
      <c r="C1158" s="2">
        <v>100</v>
      </c>
      <c r="D1158" s="2" t="s">
        <v>395</v>
      </c>
      <c r="E1158" s="2" t="s">
        <v>773</v>
      </c>
      <c r="F1158" s="101">
        <v>277</v>
      </c>
    </row>
    <row r="1159" spans="3:6" ht="14.4" customHeight="1" x14ac:dyDescent="0.3">
      <c r="C1159" s="2">
        <v>100</v>
      </c>
      <c r="D1159" s="2" t="s">
        <v>661</v>
      </c>
      <c r="E1159" s="2" t="s">
        <v>774</v>
      </c>
      <c r="F1159" s="101">
        <v>-310</v>
      </c>
    </row>
    <row r="1160" spans="3:6" ht="14.4" customHeight="1" x14ac:dyDescent="0.3">
      <c r="C1160" s="2">
        <v>100</v>
      </c>
      <c r="D1160" s="2" t="s">
        <v>422</v>
      </c>
      <c r="E1160" s="2" t="s">
        <v>773</v>
      </c>
      <c r="F1160" s="101">
        <v>5747</v>
      </c>
    </row>
    <row r="1161" spans="3:6" ht="14.4" customHeight="1" x14ac:dyDescent="0.3">
      <c r="C1161" s="2">
        <v>100</v>
      </c>
      <c r="D1161" s="2" t="s">
        <v>701</v>
      </c>
      <c r="E1161" s="2" t="s">
        <v>771</v>
      </c>
      <c r="F1161" s="101">
        <v>13554</v>
      </c>
    </row>
    <row r="1162" spans="3:6" ht="14.4" customHeight="1" x14ac:dyDescent="0.3">
      <c r="C1162" s="2">
        <v>100</v>
      </c>
      <c r="D1162" s="2" t="s">
        <v>288</v>
      </c>
      <c r="E1162" s="2" t="s">
        <v>773</v>
      </c>
      <c r="F1162" s="101">
        <v>0</v>
      </c>
    </row>
    <row r="1163" spans="3:6" ht="14.4" customHeight="1" x14ac:dyDescent="0.3">
      <c r="C1163" s="2">
        <v>100</v>
      </c>
      <c r="D1163" s="2" t="s">
        <v>319</v>
      </c>
      <c r="E1163" s="2" t="s">
        <v>770</v>
      </c>
      <c r="F1163" s="101">
        <v>8322</v>
      </c>
    </row>
    <row r="1164" spans="3:6" ht="14.4" customHeight="1" x14ac:dyDescent="0.3">
      <c r="C1164" s="2">
        <v>100</v>
      </c>
      <c r="D1164" s="2" t="s">
        <v>558</v>
      </c>
      <c r="E1164" s="2" t="s">
        <v>773</v>
      </c>
      <c r="F1164" s="101">
        <v>0</v>
      </c>
    </row>
    <row r="1165" spans="3:6" ht="14.4" customHeight="1" x14ac:dyDescent="0.3">
      <c r="C1165" s="2">
        <v>100</v>
      </c>
      <c r="D1165" s="2" t="s">
        <v>567</v>
      </c>
      <c r="E1165" s="2" t="s">
        <v>771</v>
      </c>
      <c r="F1165" s="101">
        <v>6382</v>
      </c>
    </row>
    <row r="1166" spans="3:6" ht="14.4" customHeight="1" x14ac:dyDescent="0.3">
      <c r="C1166" s="2">
        <v>100</v>
      </c>
      <c r="D1166" s="2" t="s">
        <v>558</v>
      </c>
      <c r="E1166" s="2" t="s">
        <v>775</v>
      </c>
      <c r="F1166" s="101">
        <v>29229</v>
      </c>
    </row>
    <row r="1167" spans="3:6" ht="14.4" customHeight="1" x14ac:dyDescent="0.3">
      <c r="C1167" s="2">
        <v>100</v>
      </c>
      <c r="D1167" s="2" t="s">
        <v>249</v>
      </c>
      <c r="E1167" s="2" t="s">
        <v>771</v>
      </c>
      <c r="F1167" s="101">
        <v>828</v>
      </c>
    </row>
    <row r="1168" spans="3:6" ht="14.4" customHeight="1" x14ac:dyDescent="0.3">
      <c r="C1168" s="2">
        <v>100</v>
      </c>
      <c r="D1168" s="2" t="s">
        <v>648</v>
      </c>
      <c r="E1168" s="2" t="s">
        <v>775</v>
      </c>
      <c r="F1168" s="101">
        <v>27</v>
      </c>
    </row>
    <row r="1169" spans="3:6" ht="14.4" customHeight="1" x14ac:dyDescent="0.3">
      <c r="C1169" s="2">
        <v>100</v>
      </c>
      <c r="D1169" s="2" t="s">
        <v>568</v>
      </c>
      <c r="E1169" s="2" t="s">
        <v>771</v>
      </c>
      <c r="F1169" s="101">
        <v>12365</v>
      </c>
    </row>
    <row r="1170" spans="3:6" ht="14.4" customHeight="1" x14ac:dyDescent="0.3">
      <c r="C1170" s="2">
        <v>100</v>
      </c>
      <c r="D1170" s="2" t="s">
        <v>394</v>
      </c>
      <c r="E1170" s="2" t="s">
        <v>775</v>
      </c>
      <c r="F1170" s="101">
        <v>2022</v>
      </c>
    </row>
    <row r="1171" spans="3:6" ht="14.4" customHeight="1" x14ac:dyDescent="0.3">
      <c r="C1171" s="2">
        <v>100</v>
      </c>
      <c r="D1171" s="2" t="s">
        <v>321</v>
      </c>
      <c r="E1171" s="2" t="s">
        <v>772</v>
      </c>
      <c r="F1171" s="101">
        <v>1144</v>
      </c>
    </row>
    <row r="1172" spans="3:6" ht="14.4" customHeight="1" x14ac:dyDescent="0.3">
      <c r="C1172" s="2">
        <v>100</v>
      </c>
      <c r="D1172" s="2" t="s">
        <v>751</v>
      </c>
      <c r="E1172" s="2" t="s">
        <v>769</v>
      </c>
      <c r="F1172" s="101">
        <v>10919</v>
      </c>
    </row>
    <row r="1173" spans="3:6" ht="14.4" customHeight="1" x14ac:dyDescent="0.3">
      <c r="C1173" s="2">
        <v>100</v>
      </c>
      <c r="D1173" s="2" t="s">
        <v>568</v>
      </c>
      <c r="E1173" s="2" t="s">
        <v>775</v>
      </c>
      <c r="F1173" s="101">
        <v>48</v>
      </c>
    </row>
    <row r="1174" spans="3:6" ht="14.4" customHeight="1" x14ac:dyDescent="0.3">
      <c r="C1174" s="2">
        <v>100</v>
      </c>
      <c r="D1174" s="2" t="s">
        <v>314</v>
      </c>
      <c r="E1174" s="2" t="s">
        <v>775</v>
      </c>
      <c r="F1174" s="101">
        <v>19871</v>
      </c>
    </row>
    <row r="1175" spans="3:6" ht="14.4" customHeight="1" x14ac:dyDescent="0.3">
      <c r="C1175" s="2">
        <v>100</v>
      </c>
      <c r="D1175" s="2" t="s">
        <v>441</v>
      </c>
      <c r="E1175" s="2" t="s">
        <v>769</v>
      </c>
      <c r="F1175" s="101">
        <v>165271</v>
      </c>
    </row>
    <row r="1176" spans="3:6" ht="14.4" customHeight="1" x14ac:dyDescent="0.3">
      <c r="C1176" s="2">
        <v>100</v>
      </c>
      <c r="D1176" s="2" t="s">
        <v>319</v>
      </c>
      <c r="E1176" s="2" t="s">
        <v>773</v>
      </c>
      <c r="F1176" s="101">
        <v>1291</v>
      </c>
    </row>
    <row r="1177" spans="3:6" ht="14.4" customHeight="1" x14ac:dyDescent="0.3">
      <c r="C1177" s="2">
        <v>100</v>
      </c>
      <c r="D1177" s="2" t="s">
        <v>288</v>
      </c>
      <c r="E1177" s="2" t="s">
        <v>771</v>
      </c>
      <c r="F1177" s="101">
        <v>1282</v>
      </c>
    </row>
    <row r="1178" spans="3:6" ht="14.4" customHeight="1" x14ac:dyDescent="0.3">
      <c r="C1178" s="2">
        <v>100</v>
      </c>
      <c r="D1178" s="2" t="s">
        <v>480</v>
      </c>
      <c r="E1178" s="2" t="s">
        <v>771</v>
      </c>
      <c r="F1178" s="101">
        <v>229</v>
      </c>
    </row>
    <row r="1179" spans="3:6" ht="14.4" customHeight="1" x14ac:dyDescent="0.3">
      <c r="C1179" s="2">
        <v>100</v>
      </c>
      <c r="D1179" s="2" t="s">
        <v>723</v>
      </c>
      <c r="E1179" s="2" t="s">
        <v>769</v>
      </c>
      <c r="F1179" s="101">
        <v>2503</v>
      </c>
    </row>
    <row r="1180" spans="3:6" ht="14.4" customHeight="1" x14ac:dyDescent="0.3">
      <c r="C1180" s="2">
        <v>100</v>
      </c>
      <c r="D1180" s="2" t="s">
        <v>677</v>
      </c>
      <c r="E1180" s="2" t="s">
        <v>770</v>
      </c>
      <c r="F1180" s="101">
        <v>44884</v>
      </c>
    </row>
    <row r="1181" spans="3:6" ht="14.4" customHeight="1" x14ac:dyDescent="0.3">
      <c r="C1181" s="2">
        <v>100</v>
      </c>
      <c r="D1181" s="2" t="s">
        <v>422</v>
      </c>
      <c r="E1181" s="2" t="s">
        <v>771</v>
      </c>
      <c r="F1181" s="101">
        <v>18801</v>
      </c>
    </row>
    <row r="1182" spans="3:6" ht="14.4" customHeight="1" x14ac:dyDescent="0.3">
      <c r="C1182" s="2">
        <v>100</v>
      </c>
      <c r="D1182" s="2" t="s">
        <v>668</v>
      </c>
      <c r="E1182" s="2" t="s">
        <v>771</v>
      </c>
      <c r="F1182" s="101">
        <v>1608</v>
      </c>
    </row>
    <row r="1183" spans="3:6" ht="14.4" customHeight="1" x14ac:dyDescent="0.3">
      <c r="C1183" s="2">
        <v>100</v>
      </c>
      <c r="D1183" s="2" t="s">
        <v>529</v>
      </c>
      <c r="E1183" s="2" t="s">
        <v>773</v>
      </c>
      <c r="F1183" s="101">
        <v>586</v>
      </c>
    </row>
    <row r="1184" spans="3:6" ht="14.4" customHeight="1" x14ac:dyDescent="0.3">
      <c r="C1184" s="2">
        <v>100</v>
      </c>
      <c r="D1184" s="2" t="s">
        <v>526</v>
      </c>
      <c r="E1184" s="2" t="s">
        <v>769</v>
      </c>
      <c r="F1184" s="101">
        <v>78465</v>
      </c>
    </row>
    <row r="1185" spans="3:6" ht="14.4" customHeight="1" x14ac:dyDescent="0.3">
      <c r="C1185" s="2">
        <v>100</v>
      </c>
      <c r="D1185" s="2" t="s">
        <v>378</v>
      </c>
      <c r="E1185" s="2" t="s">
        <v>775</v>
      </c>
      <c r="F1185" s="101">
        <v>300</v>
      </c>
    </row>
    <row r="1186" spans="3:6" ht="14.4" customHeight="1" x14ac:dyDescent="0.3">
      <c r="C1186" s="2">
        <v>100</v>
      </c>
      <c r="D1186" s="2" t="s">
        <v>247</v>
      </c>
      <c r="E1186" s="2" t="s">
        <v>771</v>
      </c>
      <c r="F1186" s="101">
        <v>89737</v>
      </c>
    </row>
    <row r="1187" spans="3:6" ht="14.4" customHeight="1" x14ac:dyDescent="0.3">
      <c r="C1187" s="2">
        <v>100</v>
      </c>
      <c r="D1187" s="2" t="s">
        <v>601</v>
      </c>
      <c r="E1187" s="2" t="s">
        <v>771</v>
      </c>
      <c r="F1187" s="101">
        <v>721</v>
      </c>
    </row>
    <row r="1188" spans="3:6" ht="14.4" customHeight="1" x14ac:dyDescent="0.3">
      <c r="C1188" s="2">
        <v>100</v>
      </c>
      <c r="D1188" s="2" t="s">
        <v>791</v>
      </c>
      <c r="E1188" s="2" t="s">
        <v>771</v>
      </c>
      <c r="F1188" s="101">
        <v>38</v>
      </c>
    </row>
    <row r="1189" spans="3:6" ht="14.4" customHeight="1" x14ac:dyDescent="0.3">
      <c r="C1189" s="2">
        <v>100</v>
      </c>
      <c r="D1189" s="2" t="s">
        <v>464</v>
      </c>
      <c r="E1189" s="2" t="s">
        <v>769</v>
      </c>
      <c r="F1189" s="101">
        <v>16707</v>
      </c>
    </row>
    <row r="1190" spans="3:6" ht="14.4" customHeight="1" x14ac:dyDescent="0.3">
      <c r="C1190" s="2">
        <v>100</v>
      </c>
      <c r="D1190" s="2" t="s">
        <v>462</v>
      </c>
      <c r="E1190" s="2" t="s">
        <v>770</v>
      </c>
      <c r="F1190" s="101">
        <v>28109</v>
      </c>
    </row>
    <row r="1191" spans="3:6" ht="14.4" customHeight="1" x14ac:dyDescent="0.3">
      <c r="C1191" s="2">
        <v>100</v>
      </c>
      <c r="D1191" s="2" t="s">
        <v>348</v>
      </c>
      <c r="E1191" s="2" t="s">
        <v>771</v>
      </c>
      <c r="F1191" s="101">
        <v>8621</v>
      </c>
    </row>
    <row r="1192" spans="3:6" ht="14.4" customHeight="1" x14ac:dyDescent="0.3">
      <c r="C1192" s="2">
        <v>100</v>
      </c>
      <c r="D1192" s="2" t="s">
        <v>292</v>
      </c>
      <c r="E1192" s="2" t="s">
        <v>773</v>
      </c>
      <c r="F1192" s="101">
        <v>6418</v>
      </c>
    </row>
    <row r="1193" spans="3:6" ht="14.4" customHeight="1" x14ac:dyDescent="0.3">
      <c r="C1193" s="2">
        <v>100</v>
      </c>
      <c r="D1193" s="2" t="s">
        <v>625</v>
      </c>
      <c r="E1193" s="2" t="s">
        <v>771</v>
      </c>
      <c r="F1193" s="101">
        <v>2039</v>
      </c>
    </row>
    <row r="1194" spans="3:6" ht="14.4" customHeight="1" x14ac:dyDescent="0.3">
      <c r="C1194" s="2">
        <v>100</v>
      </c>
      <c r="D1194" s="2" t="s">
        <v>292</v>
      </c>
      <c r="E1194" s="2" t="s">
        <v>775</v>
      </c>
      <c r="F1194" s="101">
        <v>37806</v>
      </c>
    </row>
    <row r="1195" spans="3:6" ht="14.4" customHeight="1" x14ac:dyDescent="0.3">
      <c r="C1195" s="2">
        <v>100</v>
      </c>
      <c r="D1195" s="2" t="s">
        <v>260</v>
      </c>
      <c r="E1195" s="2" t="s">
        <v>775</v>
      </c>
      <c r="F1195" s="101">
        <v>5310</v>
      </c>
    </row>
    <row r="1196" spans="3:6" ht="14.4" customHeight="1" x14ac:dyDescent="0.3">
      <c r="C1196" s="2">
        <v>100</v>
      </c>
      <c r="D1196" s="2" t="s">
        <v>552</v>
      </c>
      <c r="E1196" s="2" t="s">
        <v>771</v>
      </c>
      <c r="F1196" s="101">
        <v>59197</v>
      </c>
    </row>
    <row r="1197" spans="3:6" ht="14.4" customHeight="1" x14ac:dyDescent="0.3">
      <c r="C1197" s="2">
        <v>100</v>
      </c>
      <c r="D1197" s="2" t="s">
        <v>552</v>
      </c>
      <c r="E1197" s="2" t="s">
        <v>770</v>
      </c>
      <c r="F1197" s="101">
        <v>12565</v>
      </c>
    </row>
    <row r="1198" spans="3:6" ht="14.4" customHeight="1" x14ac:dyDescent="0.3">
      <c r="C1198" s="2">
        <v>100</v>
      </c>
      <c r="D1198" s="2" t="s">
        <v>217</v>
      </c>
      <c r="E1198" s="2" t="s">
        <v>773</v>
      </c>
      <c r="F1198" s="101">
        <v>691</v>
      </c>
    </row>
    <row r="1199" spans="3:6" ht="14.4" customHeight="1" x14ac:dyDescent="0.3">
      <c r="C1199" s="2">
        <v>100</v>
      </c>
      <c r="D1199" s="2" t="s">
        <v>379</v>
      </c>
      <c r="E1199" s="2" t="s">
        <v>770</v>
      </c>
      <c r="F1199" s="101">
        <v>788</v>
      </c>
    </row>
    <row r="1200" spans="3:6" ht="14.4" customHeight="1" x14ac:dyDescent="0.3">
      <c r="C1200" s="2">
        <v>100</v>
      </c>
      <c r="D1200" s="2" t="s">
        <v>355</v>
      </c>
      <c r="E1200" s="2" t="s">
        <v>770</v>
      </c>
      <c r="F1200" s="101">
        <v>20885</v>
      </c>
    </row>
    <row r="1201" spans="3:6" ht="14.4" customHeight="1" x14ac:dyDescent="0.3">
      <c r="C1201" s="2">
        <v>100</v>
      </c>
      <c r="D1201" s="2" t="s">
        <v>636</v>
      </c>
      <c r="E1201" s="2" t="s">
        <v>769</v>
      </c>
      <c r="F1201" s="101">
        <v>96782</v>
      </c>
    </row>
    <row r="1202" spans="3:6" ht="14.4" customHeight="1" x14ac:dyDescent="0.3">
      <c r="C1202" s="2">
        <v>100</v>
      </c>
      <c r="D1202" s="2" t="s">
        <v>470</v>
      </c>
      <c r="E1202" s="2" t="s">
        <v>770</v>
      </c>
      <c r="F1202" s="101">
        <v>203</v>
      </c>
    </row>
    <row r="1203" spans="3:6" ht="14.4" customHeight="1" x14ac:dyDescent="0.3">
      <c r="C1203" s="2">
        <v>100</v>
      </c>
      <c r="D1203" s="2" t="s">
        <v>476</v>
      </c>
      <c r="E1203" s="2" t="s">
        <v>770</v>
      </c>
      <c r="F1203" s="101">
        <v>425</v>
      </c>
    </row>
    <row r="1204" spans="3:6" ht="14.4" customHeight="1" x14ac:dyDescent="0.3">
      <c r="C1204" s="2">
        <v>100</v>
      </c>
      <c r="D1204" s="2" t="s">
        <v>433</v>
      </c>
      <c r="E1204" s="2" t="s">
        <v>770</v>
      </c>
      <c r="F1204" s="101">
        <v>5599</v>
      </c>
    </row>
    <row r="1205" spans="3:6" ht="14.4" customHeight="1" x14ac:dyDescent="0.3">
      <c r="C1205" s="2">
        <v>100</v>
      </c>
      <c r="D1205" s="2" t="s">
        <v>590</v>
      </c>
      <c r="E1205" s="2" t="s">
        <v>775</v>
      </c>
      <c r="F1205" s="101">
        <v>0</v>
      </c>
    </row>
    <row r="1206" spans="3:6" ht="14.4" customHeight="1" x14ac:dyDescent="0.3">
      <c r="C1206" s="2">
        <v>100</v>
      </c>
      <c r="D1206" s="2" t="s">
        <v>234</v>
      </c>
      <c r="E1206" s="2" t="s">
        <v>770</v>
      </c>
      <c r="F1206" s="101">
        <v>130</v>
      </c>
    </row>
    <row r="1207" spans="3:6" ht="14.4" customHeight="1" x14ac:dyDescent="0.3">
      <c r="C1207" s="2">
        <v>100</v>
      </c>
      <c r="D1207" s="2" t="s">
        <v>545</v>
      </c>
      <c r="E1207" s="2" t="s">
        <v>770</v>
      </c>
      <c r="F1207" s="101">
        <v>1855</v>
      </c>
    </row>
    <row r="1208" spans="3:6" ht="14.4" customHeight="1" x14ac:dyDescent="0.3">
      <c r="C1208" s="2">
        <v>100</v>
      </c>
      <c r="D1208" s="2" t="s">
        <v>581</v>
      </c>
      <c r="E1208" s="2" t="s">
        <v>769</v>
      </c>
      <c r="F1208" s="101">
        <v>4885</v>
      </c>
    </row>
    <row r="1209" spans="3:6" ht="14.4" customHeight="1" x14ac:dyDescent="0.3">
      <c r="C1209" s="2">
        <v>100</v>
      </c>
      <c r="D1209" s="2" t="s">
        <v>552</v>
      </c>
      <c r="E1209" s="2" t="s">
        <v>775</v>
      </c>
      <c r="F1209" s="101">
        <v>4420</v>
      </c>
    </row>
    <row r="1210" spans="3:6" ht="14.4" customHeight="1" x14ac:dyDescent="0.3">
      <c r="C1210" s="2">
        <v>100</v>
      </c>
      <c r="D1210" s="2" t="s">
        <v>528</v>
      </c>
      <c r="E1210" s="2" t="s">
        <v>777</v>
      </c>
      <c r="F1210" s="101">
        <v>60139</v>
      </c>
    </row>
    <row r="1211" spans="3:6" ht="14.4" customHeight="1" x14ac:dyDescent="0.3">
      <c r="C1211" s="2">
        <v>100</v>
      </c>
      <c r="D1211" s="2" t="s">
        <v>447</v>
      </c>
      <c r="E1211" s="2" t="s">
        <v>769</v>
      </c>
      <c r="F1211" s="101">
        <v>17433</v>
      </c>
    </row>
    <row r="1212" spans="3:6" ht="14.4" customHeight="1" x14ac:dyDescent="0.3">
      <c r="C1212" s="2">
        <v>100</v>
      </c>
      <c r="D1212" s="2" t="s">
        <v>601</v>
      </c>
      <c r="E1212" s="2" t="s">
        <v>775</v>
      </c>
      <c r="F1212" s="101">
        <v>2111</v>
      </c>
    </row>
    <row r="1213" spans="3:6" ht="14.4" customHeight="1" x14ac:dyDescent="0.3">
      <c r="C1213" s="2">
        <v>100</v>
      </c>
      <c r="D1213" s="2" t="s">
        <v>625</v>
      </c>
      <c r="E1213" s="2" t="s">
        <v>775</v>
      </c>
      <c r="F1213" s="101">
        <v>449</v>
      </c>
    </row>
    <row r="1214" spans="3:6" ht="14.4" customHeight="1" x14ac:dyDescent="0.3">
      <c r="C1214" s="2">
        <v>100</v>
      </c>
      <c r="D1214" s="2" t="s">
        <v>401</v>
      </c>
      <c r="E1214" s="2" t="s">
        <v>775</v>
      </c>
      <c r="F1214" s="101">
        <v>28</v>
      </c>
    </row>
    <row r="1215" spans="3:6" ht="14.4" customHeight="1" x14ac:dyDescent="0.3">
      <c r="C1215" s="2">
        <v>100</v>
      </c>
      <c r="D1215" s="2" t="s">
        <v>669</v>
      </c>
      <c r="E1215" s="2" t="s">
        <v>771</v>
      </c>
      <c r="F1215" s="101">
        <v>3416</v>
      </c>
    </row>
    <row r="1216" spans="3:6" ht="14.4" customHeight="1" x14ac:dyDescent="0.3">
      <c r="C1216" s="2">
        <v>100</v>
      </c>
      <c r="D1216" s="2" t="s">
        <v>680</v>
      </c>
      <c r="E1216" s="2" t="s">
        <v>775</v>
      </c>
      <c r="F1216" s="101">
        <v>4473</v>
      </c>
    </row>
    <row r="1217" spans="3:6" ht="14.4" customHeight="1" x14ac:dyDescent="0.3">
      <c r="C1217" s="2">
        <v>100</v>
      </c>
      <c r="D1217" s="2" t="s">
        <v>339</v>
      </c>
      <c r="E1217" s="2" t="s">
        <v>771</v>
      </c>
      <c r="F1217" s="101">
        <v>145233</v>
      </c>
    </row>
    <row r="1218" spans="3:6" ht="14.4" customHeight="1" x14ac:dyDescent="0.3">
      <c r="C1218" s="2">
        <v>100</v>
      </c>
      <c r="D1218" s="2" t="s">
        <v>554</v>
      </c>
      <c r="E1218" s="2" t="s">
        <v>773</v>
      </c>
      <c r="F1218" s="101">
        <v>126</v>
      </c>
    </row>
    <row r="1219" spans="3:6" ht="14.4" customHeight="1" x14ac:dyDescent="0.3">
      <c r="C1219" s="2">
        <v>100</v>
      </c>
      <c r="D1219" s="2" t="s">
        <v>272</v>
      </c>
      <c r="E1219" s="2" t="s">
        <v>775</v>
      </c>
      <c r="F1219" s="101">
        <v>2731</v>
      </c>
    </row>
    <row r="1220" spans="3:6" ht="14.4" customHeight="1" x14ac:dyDescent="0.3">
      <c r="C1220" s="2">
        <v>100</v>
      </c>
      <c r="D1220" s="2" t="s">
        <v>579</v>
      </c>
      <c r="E1220" s="2" t="s">
        <v>770</v>
      </c>
      <c r="F1220" s="101">
        <v>511</v>
      </c>
    </row>
    <row r="1221" spans="3:6" ht="14.4" customHeight="1" x14ac:dyDescent="0.3">
      <c r="C1221" s="2">
        <v>100</v>
      </c>
      <c r="D1221" s="2" t="s">
        <v>304</v>
      </c>
      <c r="E1221" s="2" t="s">
        <v>770</v>
      </c>
      <c r="F1221" s="101">
        <v>16300</v>
      </c>
    </row>
    <row r="1222" spans="3:6" ht="14.4" customHeight="1" x14ac:dyDescent="0.3">
      <c r="C1222" s="2">
        <v>100</v>
      </c>
      <c r="D1222" s="2" t="s">
        <v>380</v>
      </c>
      <c r="E1222" s="2" t="s">
        <v>775</v>
      </c>
      <c r="F1222" s="101">
        <v>27</v>
      </c>
    </row>
    <row r="1223" spans="3:6" ht="14.4" customHeight="1" x14ac:dyDescent="0.3">
      <c r="C1223" s="2">
        <v>100</v>
      </c>
      <c r="D1223" s="2" t="s">
        <v>225</v>
      </c>
      <c r="E1223" s="2" t="s">
        <v>772</v>
      </c>
      <c r="F1223" s="101">
        <v>2369</v>
      </c>
    </row>
    <row r="1224" spans="3:6" ht="14.4" customHeight="1" x14ac:dyDescent="0.3">
      <c r="C1224" s="2">
        <v>100</v>
      </c>
      <c r="D1224" s="2" t="s">
        <v>297</v>
      </c>
      <c r="E1224" s="2" t="s">
        <v>771</v>
      </c>
      <c r="F1224" s="101">
        <v>21755</v>
      </c>
    </row>
    <row r="1225" spans="3:6" ht="14.4" customHeight="1" x14ac:dyDescent="0.3">
      <c r="C1225" s="2">
        <v>100</v>
      </c>
      <c r="D1225" s="2" t="s">
        <v>297</v>
      </c>
      <c r="E1225" s="2" t="s">
        <v>770</v>
      </c>
      <c r="F1225" s="101">
        <v>8085</v>
      </c>
    </row>
    <row r="1226" spans="3:6" ht="14.4" customHeight="1" x14ac:dyDescent="0.3">
      <c r="C1226" s="2">
        <v>100</v>
      </c>
      <c r="D1226" s="2" t="s">
        <v>382</v>
      </c>
      <c r="E1226" s="2" t="s">
        <v>770</v>
      </c>
      <c r="F1226" s="101">
        <v>617</v>
      </c>
    </row>
    <row r="1227" spans="3:6" ht="14.4" customHeight="1" x14ac:dyDescent="0.3">
      <c r="C1227" s="2">
        <v>100</v>
      </c>
      <c r="D1227" s="2" t="s">
        <v>297</v>
      </c>
      <c r="E1227" s="2" t="s">
        <v>773</v>
      </c>
      <c r="F1227" s="101">
        <v>2129</v>
      </c>
    </row>
    <row r="1228" spans="3:6" ht="14.4" customHeight="1" x14ac:dyDescent="0.3">
      <c r="C1228" s="2">
        <v>100</v>
      </c>
      <c r="D1228" s="2" t="s">
        <v>578</v>
      </c>
      <c r="E1228" s="2" t="s">
        <v>773</v>
      </c>
      <c r="F1228" s="101">
        <v>134</v>
      </c>
    </row>
    <row r="1229" spans="3:6" ht="14.4" customHeight="1" x14ac:dyDescent="0.3">
      <c r="C1229" s="2">
        <v>100</v>
      </c>
      <c r="D1229" s="2" t="s">
        <v>324</v>
      </c>
      <c r="E1229" s="2" t="s">
        <v>771</v>
      </c>
      <c r="F1229" s="101">
        <v>27061</v>
      </c>
    </row>
    <row r="1230" spans="3:6" ht="14.4" customHeight="1" x14ac:dyDescent="0.3">
      <c r="C1230" s="2">
        <v>100</v>
      </c>
      <c r="D1230" s="2" t="s">
        <v>533</v>
      </c>
      <c r="E1230" s="2" t="s">
        <v>769</v>
      </c>
      <c r="F1230" s="101">
        <v>2325</v>
      </c>
    </row>
    <row r="1231" spans="3:6" ht="14.4" customHeight="1" x14ac:dyDescent="0.3">
      <c r="C1231" s="2">
        <v>100</v>
      </c>
      <c r="D1231" s="2" t="s">
        <v>606</v>
      </c>
      <c r="E1231" s="2" t="s">
        <v>771</v>
      </c>
      <c r="F1231" s="101">
        <v>381</v>
      </c>
    </row>
    <row r="1232" spans="3:6" ht="14.4" customHeight="1" x14ac:dyDescent="0.3">
      <c r="C1232" s="2">
        <v>100</v>
      </c>
      <c r="D1232" s="2" t="s">
        <v>493</v>
      </c>
      <c r="E1232" s="2" t="s">
        <v>774</v>
      </c>
      <c r="F1232" s="101">
        <v>5321</v>
      </c>
    </row>
    <row r="1233" spans="3:6" ht="14.4" customHeight="1" x14ac:dyDescent="0.3">
      <c r="C1233" s="2">
        <v>100</v>
      </c>
      <c r="D1233" s="2" t="s">
        <v>719</v>
      </c>
      <c r="E1233" s="2" t="s">
        <v>770</v>
      </c>
      <c r="F1233" s="101">
        <v>62</v>
      </c>
    </row>
    <row r="1234" spans="3:6" ht="14.4" customHeight="1" x14ac:dyDescent="0.3">
      <c r="C1234" s="2">
        <v>100</v>
      </c>
      <c r="D1234" s="2" t="s">
        <v>313</v>
      </c>
      <c r="E1234" s="2" t="s">
        <v>770</v>
      </c>
      <c r="F1234" s="101">
        <v>4208</v>
      </c>
    </row>
    <row r="1235" spans="3:6" ht="14.4" customHeight="1" x14ac:dyDescent="0.3">
      <c r="C1235" s="2">
        <v>100</v>
      </c>
      <c r="D1235" s="2" t="s">
        <v>244</v>
      </c>
      <c r="E1235" s="2" t="s">
        <v>774</v>
      </c>
      <c r="F1235" s="101">
        <v>0</v>
      </c>
    </row>
    <row r="1236" spans="3:6" ht="14.4" customHeight="1" x14ac:dyDescent="0.3">
      <c r="C1236" s="2">
        <v>100</v>
      </c>
      <c r="D1236" s="2" t="s">
        <v>792</v>
      </c>
      <c r="E1236" s="2" t="s">
        <v>769</v>
      </c>
      <c r="F1236" s="101">
        <v>77</v>
      </c>
    </row>
    <row r="1237" spans="3:6" ht="14.4" customHeight="1" x14ac:dyDescent="0.3">
      <c r="C1237" s="2">
        <v>100</v>
      </c>
      <c r="D1237" s="2" t="s">
        <v>367</v>
      </c>
      <c r="E1237" s="2" t="s">
        <v>775</v>
      </c>
      <c r="F1237" s="101">
        <v>10100</v>
      </c>
    </row>
    <row r="1238" spans="3:6" ht="14.4" customHeight="1" x14ac:dyDescent="0.3">
      <c r="C1238" s="2">
        <v>100</v>
      </c>
      <c r="D1238" s="2" t="s">
        <v>526</v>
      </c>
      <c r="E1238" s="2" t="s">
        <v>773</v>
      </c>
      <c r="F1238" s="101">
        <v>474</v>
      </c>
    </row>
    <row r="1239" spans="3:6" ht="14.4" customHeight="1" x14ac:dyDescent="0.3">
      <c r="C1239" s="2">
        <v>100</v>
      </c>
      <c r="D1239" s="2" t="s">
        <v>554</v>
      </c>
      <c r="E1239" s="2" t="s">
        <v>770</v>
      </c>
      <c r="F1239" s="101">
        <v>375</v>
      </c>
    </row>
    <row r="1240" spans="3:6" ht="14.4" customHeight="1" x14ac:dyDescent="0.3">
      <c r="C1240" s="2">
        <v>100</v>
      </c>
      <c r="D1240" s="2" t="s">
        <v>272</v>
      </c>
      <c r="E1240" s="2" t="s">
        <v>770</v>
      </c>
      <c r="F1240" s="101">
        <v>15876</v>
      </c>
    </row>
    <row r="1241" spans="3:6" ht="14.4" customHeight="1" x14ac:dyDescent="0.3">
      <c r="C1241" s="2">
        <v>100</v>
      </c>
      <c r="D1241" s="2" t="s">
        <v>597</v>
      </c>
      <c r="E1241" s="2" t="s">
        <v>771</v>
      </c>
      <c r="F1241" s="101">
        <v>458</v>
      </c>
    </row>
    <row r="1242" spans="3:6" ht="14.4" customHeight="1" x14ac:dyDescent="0.3">
      <c r="C1242" s="2">
        <v>100</v>
      </c>
      <c r="D1242" s="2" t="s">
        <v>239</v>
      </c>
      <c r="E1242" s="2" t="s">
        <v>775</v>
      </c>
      <c r="F1242" s="101">
        <v>60917</v>
      </c>
    </row>
    <row r="1243" spans="3:6" ht="14.4" customHeight="1" x14ac:dyDescent="0.3">
      <c r="C1243" s="2">
        <v>100</v>
      </c>
      <c r="D1243" s="2" t="s">
        <v>700</v>
      </c>
      <c r="E1243" s="2" t="s">
        <v>771</v>
      </c>
      <c r="F1243" s="101">
        <v>526</v>
      </c>
    </row>
    <row r="1244" spans="3:6" ht="14.4" customHeight="1" x14ac:dyDescent="0.3">
      <c r="C1244" s="2">
        <v>100</v>
      </c>
      <c r="D1244" s="2" t="s">
        <v>717</v>
      </c>
      <c r="E1244" s="2" t="s">
        <v>771</v>
      </c>
      <c r="F1244" s="101">
        <v>139</v>
      </c>
    </row>
    <row r="1245" spans="3:6" ht="14.4" customHeight="1" x14ac:dyDescent="0.3">
      <c r="C1245" s="2">
        <v>100</v>
      </c>
      <c r="D1245" s="2" t="s">
        <v>309</v>
      </c>
      <c r="E1245" s="2" t="s">
        <v>770</v>
      </c>
      <c r="F1245" s="101">
        <v>599</v>
      </c>
    </row>
    <row r="1246" spans="3:6" ht="14.4" customHeight="1" x14ac:dyDescent="0.3">
      <c r="C1246" s="2">
        <v>100</v>
      </c>
      <c r="D1246" s="2" t="s">
        <v>243</v>
      </c>
      <c r="E1246" s="2" t="s">
        <v>769</v>
      </c>
      <c r="F1246" s="101">
        <v>524371</v>
      </c>
    </row>
    <row r="1247" spans="3:6" ht="14.4" customHeight="1" x14ac:dyDescent="0.3">
      <c r="C1247" s="2">
        <v>100</v>
      </c>
      <c r="D1247" s="2" t="s">
        <v>330</v>
      </c>
      <c r="E1247" s="2" t="s">
        <v>769</v>
      </c>
      <c r="F1247" s="101">
        <v>96494</v>
      </c>
    </row>
    <row r="1248" spans="3:6" ht="14.4" customHeight="1" x14ac:dyDescent="0.3">
      <c r="C1248" s="2">
        <v>100</v>
      </c>
      <c r="D1248" s="2" t="s">
        <v>277</v>
      </c>
      <c r="E1248" s="2" t="s">
        <v>774</v>
      </c>
      <c r="F1248" s="101">
        <v>85</v>
      </c>
    </row>
    <row r="1249" spans="3:6" ht="14.4" customHeight="1" x14ac:dyDescent="0.3">
      <c r="C1249" s="2">
        <v>100</v>
      </c>
      <c r="D1249" s="2" t="s">
        <v>213</v>
      </c>
      <c r="E1249" s="2" t="s">
        <v>773</v>
      </c>
      <c r="F1249" s="101">
        <v>1789</v>
      </c>
    </row>
    <row r="1250" spans="3:6" ht="14.4" customHeight="1" x14ac:dyDescent="0.3">
      <c r="C1250" s="2">
        <v>100</v>
      </c>
      <c r="D1250" s="2" t="s">
        <v>392</v>
      </c>
      <c r="E1250" s="2" t="s">
        <v>770</v>
      </c>
      <c r="F1250" s="101">
        <v>2909</v>
      </c>
    </row>
    <row r="1251" spans="3:6" ht="14.4" customHeight="1" x14ac:dyDescent="0.3">
      <c r="C1251" s="2">
        <v>100</v>
      </c>
      <c r="D1251" s="2" t="s">
        <v>283</v>
      </c>
      <c r="E1251" s="2" t="s">
        <v>770</v>
      </c>
      <c r="F1251" s="101">
        <v>7763</v>
      </c>
    </row>
    <row r="1252" spans="3:6" ht="14.4" customHeight="1" x14ac:dyDescent="0.3">
      <c r="C1252" s="2">
        <v>100</v>
      </c>
      <c r="D1252" s="2" t="s">
        <v>337</v>
      </c>
      <c r="E1252" s="2" t="s">
        <v>774</v>
      </c>
      <c r="F1252" s="101">
        <v>160665</v>
      </c>
    </row>
    <row r="1253" spans="3:6" ht="14.4" customHeight="1" x14ac:dyDescent="0.3">
      <c r="C1253" s="2">
        <v>100</v>
      </c>
      <c r="D1253" s="2" t="s">
        <v>604</v>
      </c>
      <c r="E1253" s="2" t="s">
        <v>771</v>
      </c>
      <c r="F1253" s="101">
        <v>11573</v>
      </c>
    </row>
    <row r="1254" spans="3:6" ht="14.4" customHeight="1" x14ac:dyDescent="0.3">
      <c r="C1254" s="2">
        <v>100</v>
      </c>
      <c r="D1254" s="2" t="s">
        <v>361</v>
      </c>
      <c r="E1254" s="2" t="s">
        <v>775</v>
      </c>
      <c r="F1254" s="101">
        <v>35</v>
      </c>
    </row>
    <row r="1255" spans="3:6" ht="14.4" customHeight="1" x14ac:dyDescent="0.3">
      <c r="C1255" s="2">
        <v>100</v>
      </c>
      <c r="D1255" s="2" t="s">
        <v>511</v>
      </c>
      <c r="E1255" s="2" t="s">
        <v>770</v>
      </c>
      <c r="F1255" s="101">
        <v>6492</v>
      </c>
    </row>
    <row r="1256" spans="3:6" ht="14.4" customHeight="1" x14ac:dyDescent="0.3">
      <c r="C1256" s="2">
        <v>100</v>
      </c>
      <c r="D1256" s="2" t="s">
        <v>580</v>
      </c>
      <c r="E1256" s="2" t="s">
        <v>770</v>
      </c>
      <c r="F1256" s="101">
        <v>172</v>
      </c>
    </row>
    <row r="1257" spans="3:6" ht="14.4" customHeight="1" x14ac:dyDescent="0.3">
      <c r="C1257" s="2">
        <v>100</v>
      </c>
      <c r="D1257" s="2" t="s">
        <v>221</v>
      </c>
      <c r="E1257" s="2" t="s">
        <v>775</v>
      </c>
      <c r="F1257" s="101">
        <v>1701</v>
      </c>
    </row>
    <row r="1258" spans="3:6" ht="14.4" customHeight="1" x14ac:dyDescent="0.3">
      <c r="C1258" s="2">
        <v>100</v>
      </c>
      <c r="D1258" s="2" t="s">
        <v>329</v>
      </c>
      <c r="E1258" s="2" t="s">
        <v>769</v>
      </c>
      <c r="F1258" s="101">
        <v>1015520</v>
      </c>
    </row>
    <row r="1259" spans="3:6" ht="14.4" customHeight="1" x14ac:dyDescent="0.3">
      <c r="C1259" s="2">
        <v>100</v>
      </c>
      <c r="D1259" s="2" t="s">
        <v>540</v>
      </c>
      <c r="E1259" s="2" t="s">
        <v>771</v>
      </c>
      <c r="F1259" s="101">
        <v>4080</v>
      </c>
    </row>
    <row r="1260" spans="3:6" ht="14.4" customHeight="1" x14ac:dyDescent="0.3">
      <c r="C1260" s="2">
        <v>100</v>
      </c>
      <c r="D1260" s="2" t="s">
        <v>698</v>
      </c>
      <c r="E1260" s="2" t="s">
        <v>773</v>
      </c>
      <c r="F1260" s="101">
        <v>407</v>
      </c>
    </row>
    <row r="1261" spans="3:6" ht="14.4" customHeight="1" x14ac:dyDescent="0.3">
      <c r="C1261" s="2">
        <v>100</v>
      </c>
      <c r="D1261" s="2" t="s">
        <v>659</v>
      </c>
      <c r="E1261" s="2" t="s">
        <v>771</v>
      </c>
      <c r="F1261" s="101">
        <v>841</v>
      </c>
    </row>
    <row r="1262" spans="3:6" ht="14.4" customHeight="1" x14ac:dyDescent="0.3">
      <c r="C1262" s="2">
        <v>100</v>
      </c>
      <c r="D1262" s="2" t="s">
        <v>231</v>
      </c>
      <c r="E1262" s="2" t="s">
        <v>773</v>
      </c>
      <c r="F1262" s="101">
        <v>3134</v>
      </c>
    </row>
    <row r="1263" spans="3:6" ht="14.4" customHeight="1" x14ac:dyDescent="0.3">
      <c r="C1263" s="2">
        <v>100</v>
      </c>
      <c r="D1263" s="2" t="s">
        <v>501</v>
      </c>
      <c r="E1263" s="2" t="s">
        <v>775</v>
      </c>
      <c r="F1263" s="101">
        <v>2281</v>
      </c>
    </row>
    <row r="1264" spans="3:6" ht="14.4" customHeight="1" x14ac:dyDescent="0.3">
      <c r="C1264" s="2">
        <v>100</v>
      </c>
      <c r="D1264" s="2" t="s">
        <v>434</v>
      </c>
      <c r="E1264" s="2" t="s">
        <v>770</v>
      </c>
      <c r="F1264" s="101">
        <v>3403</v>
      </c>
    </row>
    <row r="1265" spans="3:6" ht="14.4" customHeight="1" x14ac:dyDescent="0.3">
      <c r="C1265" s="2">
        <v>100</v>
      </c>
      <c r="D1265" s="2" t="s">
        <v>768</v>
      </c>
      <c r="E1265" s="2" t="s">
        <v>769</v>
      </c>
      <c r="F1265" s="101">
        <v>567</v>
      </c>
    </row>
    <row r="1266" spans="3:6" ht="14.4" customHeight="1" x14ac:dyDescent="0.3">
      <c r="C1266" s="2">
        <v>100</v>
      </c>
      <c r="D1266" s="2" t="s">
        <v>575</v>
      </c>
      <c r="E1266" s="2" t="s">
        <v>769</v>
      </c>
      <c r="F1266" s="101">
        <v>10175</v>
      </c>
    </row>
    <row r="1267" spans="3:6" ht="14.4" customHeight="1" x14ac:dyDescent="0.3">
      <c r="C1267" s="2">
        <v>100</v>
      </c>
      <c r="D1267" s="2" t="s">
        <v>258</v>
      </c>
      <c r="E1267" s="2" t="s">
        <v>771</v>
      </c>
      <c r="F1267" s="101">
        <v>5233</v>
      </c>
    </row>
    <row r="1268" spans="3:6" ht="14.4" customHeight="1" x14ac:dyDescent="0.3">
      <c r="C1268" s="2">
        <v>100</v>
      </c>
      <c r="D1268" s="2" t="s">
        <v>630</v>
      </c>
      <c r="E1268" s="2" t="s">
        <v>773</v>
      </c>
      <c r="F1268" s="101">
        <v>103</v>
      </c>
    </row>
    <row r="1269" spans="3:6" ht="14.4" customHeight="1" x14ac:dyDescent="0.3">
      <c r="C1269" s="2">
        <v>100</v>
      </c>
      <c r="D1269" s="2" t="s">
        <v>47</v>
      </c>
      <c r="E1269" s="2" t="s">
        <v>770</v>
      </c>
      <c r="F1269" s="101">
        <v>60381</v>
      </c>
    </row>
    <row r="1270" spans="3:6" ht="14.4" customHeight="1" x14ac:dyDescent="0.3">
      <c r="C1270" s="2">
        <v>100</v>
      </c>
      <c r="D1270" s="2" t="s">
        <v>403</v>
      </c>
      <c r="E1270" s="2" t="s">
        <v>774</v>
      </c>
      <c r="F1270" s="101">
        <v>535</v>
      </c>
    </row>
    <row r="1271" spans="3:6" ht="14.4" customHeight="1" x14ac:dyDescent="0.3">
      <c r="C1271" s="2">
        <v>100</v>
      </c>
      <c r="D1271" s="2" t="s">
        <v>644</v>
      </c>
      <c r="E1271" s="2" t="s">
        <v>773</v>
      </c>
      <c r="F1271" s="101">
        <v>1042</v>
      </c>
    </row>
    <row r="1272" spans="3:6" ht="14.4" customHeight="1" x14ac:dyDescent="0.3">
      <c r="C1272" s="2">
        <v>100</v>
      </c>
      <c r="D1272" s="2" t="s">
        <v>340</v>
      </c>
      <c r="E1272" s="2" t="s">
        <v>769</v>
      </c>
      <c r="F1272" s="101">
        <v>37635</v>
      </c>
    </row>
    <row r="1273" spans="3:6" ht="14.4" customHeight="1" x14ac:dyDescent="0.3">
      <c r="C1273" s="2">
        <v>100</v>
      </c>
      <c r="D1273" s="2" t="s">
        <v>598</v>
      </c>
      <c r="E1273" s="2" t="s">
        <v>770</v>
      </c>
      <c r="F1273" s="101">
        <v>57</v>
      </c>
    </row>
    <row r="1274" spans="3:6" ht="14.4" customHeight="1" x14ac:dyDescent="0.3">
      <c r="C1274" s="2">
        <v>100</v>
      </c>
      <c r="D1274" s="2" t="s">
        <v>255</v>
      </c>
      <c r="E1274" s="2" t="s">
        <v>769</v>
      </c>
      <c r="F1274" s="101">
        <v>539972</v>
      </c>
    </row>
    <row r="1275" spans="3:6" ht="14.4" customHeight="1" x14ac:dyDescent="0.3">
      <c r="C1275" s="2">
        <v>100</v>
      </c>
      <c r="D1275" s="2" t="s">
        <v>386</v>
      </c>
      <c r="E1275" s="2" t="s">
        <v>770</v>
      </c>
      <c r="F1275" s="101">
        <v>15349</v>
      </c>
    </row>
    <row r="1276" spans="3:6" ht="14.4" customHeight="1" x14ac:dyDescent="0.3">
      <c r="C1276" s="2">
        <v>100</v>
      </c>
      <c r="D1276" s="2" t="s">
        <v>250</v>
      </c>
      <c r="E1276" s="2" t="s">
        <v>771</v>
      </c>
      <c r="F1276" s="101">
        <v>3599</v>
      </c>
    </row>
    <row r="1277" spans="3:6" ht="14.4" customHeight="1" x14ac:dyDescent="0.3">
      <c r="C1277" s="2">
        <v>100</v>
      </c>
      <c r="D1277" s="2" t="s">
        <v>634</v>
      </c>
      <c r="E1277" s="2" t="s">
        <v>770</v>
      </c>
      <c r="F1277" s="101">
        <v>2430</v>
      </c>
    </row>
    <row r="1278" spans="3:6" ht="14.4" customHeight="1" x14ac:dyDescent="0.3">
      <c r="C1278" s="2">
        <v>100</v>
      </c>
      <c r="D1278" s="2" t="s">
        <v>453</v>
      </c>
      <c r="E1278" s="2" t="s">
        <v>772</v>
      </c>
      <c r="F1278" s="101">
        <v>4331</v>
      </c>
    </row>
    <row r="1279" spans="3:6" ht="14.4" customHeight="1" x14ac:dyDescent="0.3">
      <c r="C1279" s="2">
        <v>100</v>
      </c>
      <c r="D1279" s="2" t="s">
        <v>510</v>
      </c>
      <c r="E1279" s="2" t="s">
        <v>769</v>
      </c>
      <c r="F1279" s="101">
        <v>278843</v>
      </c>
    </row>
    <row r="1280" spans="3:6" ht="14.4" customHeight="1" x14ac:dyDescent="0.3">
      <c r="C1280" s="2">
        <v>100</v>
      </c>
      <c r="D1280" s="2" t="s">
        <v>518</v>
      </c>
      <c r="E1280" s="2" t="s">
        <v>771</v>
      </c>
      <c r="F1280" s="101">
        <v>149</v>
      </c>
    </row>
    <row r="1281" spans="3:6" ht="14.4" customHeight="1" x14ac:dyDescent="0.3">
      <c r="C1281" s="2">
        <v>100</v>
      </c>
      <c r="D1281" s="2" t="s">
        <v>293</v>
      </c>
      <c r="E1281" s="2" t="s">
        <v>769</v>
      </c>
      <c r="F1281" s="101">
        <v>193815</v>
      </c>
    </row>
    <row r="1282" spans="3:6" ht="14.4" customHeight="1" x14ac:dyDescent="0.3">
      <c r="C1282" s="2">
        <v>100</v>
      </c>
      <c r="D1282" s="2" t="s">
        <v>709</v>
      </c>
      <c r="E1282" s="2" t="s">
        <v>769</v>
      </c>
      <c r="F1282" s="101">
        <v>5952</v>
      </c>
    </row>
    <row r="1283" spans="3:6" ht="14.4" customHeight="1" x14ac:dyDescent="0.3">
      <c r="C1283" s="2">
        <v>100</v>
      </c>
      <c r="D1283" s="2" t="s">
        <v>520</v>
      </c>
      <c r="E1283" s="2" t="s">
        <v>774</v>
      </c>
      <c r="F1283" s="101">
        <v>-83</v>
      </c>
    </row>
    <row r="1284" spans="3:6" ht="14.4" customHeight="1" x14ac:dyDescent="0.3">
      <c r="C1284" s="2">
        <v>100</v>
      </c>
      <c r="D1284" s="2" t="s">
        <v>435</v>
      </c>
      <c r="E1284" s="2" t="s">
        <v>773</v>
      </c>
      <c r="F1284" s="101">
        <v>5429</v>
      </c>
    </row>
    <row r="1285" spans="3:6" ht="14.4" customHeight="1" x14ac:dyDescent="0.3">
      <c r="C1285" s="2">
        <v>100</v>
      </c>
      <c r="D1285" s="2" t="s">
        <v>386</v>
      </c>
      <c r="E1285" s="2" t="s">
        <v>775</v>
      </c>
      <c r="F1285" s="101">
        <v>25</v>
      </c>
    </row>
    <row r="1286" spans="3:6" ht="14.4" customHeight="1" x14ac:dyDescent="0.3">
      <c r="C1286" s="2">
        <v>100</v>
      </c>
      <c r="D1286" s="2" t="s">
        <v>503</v>
      </c>
      <c r="E1286" s="2" t="s">
        <v>769</v>
      </c>
      <c r="F1286" s="101">
        <v>17082</v>
      </c>
    </row>
    <row r="1287" spans="3:6" ht="14.4" customHeight="1" x14ac:dyDescent="0.3">
      <c r="C1287" s="2">
        <v>100</v>
      </c>
      <c r="D1287" s="2" t="s">
        <v>793</v>
      </c>
      <c r="E1287" s="2" t="s">
        <v>769</v>
      </c>
      <c r="F1287" s="101">
        <v>529</v>
      </c>
    </row>
    <row r="1288" spans="3:6" ht="14.4" customHeight="1" x14ac:dyDescent="0.3">
      <c r="C1288" s="2">
        <v>100</v>
      </c>
      <c r="D1288" s="2" t="s">
        <v>758</v>
      </c>
      <c r="E1288" s="2" t="s">
        <v>773</v>
      </c>
      <c r="F1288" s="101">
        <v>1535</v>
      </c>
    </row>
    <row r="1289" spans="3:6" ht="14.4" customHeight="1" x14ac:dyDescent="0.3">
      <c r="C1289" s="2">
        <v>100</v>
      </c>
      <c r="D1289" s="2" t="s">
        <v>376</v>
      </c>
      <c r="E1289" s="2" t="s">
        <v>771</v>
      </c>
      <c r="F1289" s="101">
        <v>16608</v>
      </c>
    </row>
    <row r="1290" spans="3:6" ht="14.4" customHeight="1" x14ac:dyDescent="0.3">
      <c r="C1290" s="2">
        <v>100</v>
      </c>
      <c r="D1290" s="2" t="s">
        <v>225</v>
      </c>
      <c r="E1290" s="2" t="s">
        <v>774</v>
      </c>
      <c r="F1290" s="101">
        <v>54783</v>
      </c>
    </row>
    <row r="1291" spans="3:6" ht="14.4" customHeight="1" x14ac:dyDescent="0.3">
      <c r="C1291" s="2">
        <v>100</v>
      </c>
      <c r="D1291" s="2" t="s">
        <v>376</v>
      </c>
      <c r="E1291" s="2" t="s">
        <v>770</v>
      </c>
      <c r="F1291" s="101">
        <v>31932</v>
      </c>
    </row>
    <row r="1292" spans="3:6" ht="14.4" customHeight="1" x14ac:dyDescent="0.3">
      <c r="C1292" s="2">
        <v>100</v>
      </c>
      <c r="D1292" s="2" t="s">
        <v>695</v>
      </c>
      <c r="E1292" s="2" t="s">
        <v>769</v>
      </c>
      <c r="F1292" s="101">
        <v>9952</v>
      </c>
    </row>
    <row r="1293" spans="3:6" ht="14.4" customHeight="1" x14ac:dyDescent="0.3">
      <c r="C1293" s="2">
        <v>100</v>
      </c>
      <c r="D1293" s="2" t="s">
        <v>598</v>
      </c>
      <c r="E1293" s="2" t="s">
        <v>773</v>
      </c>
      <c r="F1293" s="101">
        <v>265</v>
      </c>
    </row>
    <row r="1294" spans="3:6" ht="14.4" customHeight="1" x14ac:dyDescent="0.3">
      <c r="C1294" s="2">
        <v>100</v>
      </c>
      <c r="D1294" s="2" t="s">
        <v>467</v>
      </c>
      <c r="E1294" s="2" t="s">
        <v>775</v>
      </c>
      <c r="F1294" s="101">
        <v>27</v>
      </c>
    </row>
    <row r="1295" spans="3:6" ht="14.4" customHeight="1" x14ac:dyDescent="0.3">
      <c r="C1295" s="2">
        <v>100</v>
      </c>
      <c r="D1295" s="2" t="s">
        <v>282</v>
      </c>
      <c r="E1295" s="2" t="s">
        <v>774</v>
      </c>
      <c r="F1295" s="101">
        <v>582</v>
      </c>
    </row>
    <row r="1296" spans="3:6" ht="14.4" customHeight="1" x14ac:dyDescent="0.3">
      <c r="C1296" s="2">
        <v>100</v>
      </c>
      <c r="D1296" s="2" t="s">
        <v>449</v>
      </c>
      <c r="E1296" s="2" t="s">
        <v>774</v>
      </c>
      <c r="F1296" s="101">
        <v>1136</v>
      </c>
    </row>
    <row r="1297" spans="3:6" ht="14.4" customHeight="1" x14ac:dyDescent="0.3">
      <c r="C1297" s="2">
        <v>100</v>
      </c>
      <c r="D1297" s="2" t="s">
        <v>294</v>
      </c>
      <c r="E1297" s="2" t="s">
        <v>773</v>
      </c>
      <c r="F1297" s="101">
        <v>123</v>
      </c>
    </row>
    <row r="1298" spans="3:6" ht="14.4" customHeight="1" x14ac:dyDescent="0.3">
      <c r="C1298" s="2">
        <v>100</v>
      </c>
      <c r="D1298" s="2" t="s">
        <v>456</v>
      </c>
      <c r="E1298" s="2" t="s">
        <v>771</v>
      </c>
      <c r="F1298" s="101">
        <v>500</v>
      </c>
    </row>
    <row r="1299" spans="3:6" ht="14.4" customHeight="1" x14ac:dyDescent="0.3">
      <c r="C1299" s="2">
        <v>100</v>
      </c>
      <c r="D1299" s="2" t="s">
        <v>456</v>
      </c>
      <c r="E1299" s="2" t="s">
        <v>770</v>
      </c>
      <c r="F1299" s="101">
        <v>9721</v>
      </c>
    </row>
    <row r="1300" spans="3:6" ht="14.4" customHeight="1" x14ac:dyDescent="0.3">
      <c r="C1300" s="2">
        <v>100</v>
      </c>
      <c r="D1300" s="2" t="s">
        <v>573</v>
      </c>
      <c r="E1300" s="2" t="s">
        <v>771</v>
      </c>
      <c r="F1300" s="101">
        <v>5764</v>
      </c>
    </row>
    <row r="1301" spans="3:6" ht="14.4" customHeight="1" x14ac:dyDescent="0.3">
      <c r="C1301" s="2">
        <v>100</v>
      </c>
      <c r="D1301" s="2" t="s">
        <v>426</v>
      </c>
      <c r="E1301" s="2" t="s">
        <v>773</v>
      </c>
      <c r="F1301" s="101">
        <v>0</v>
      </c>
    </row>
    <row r="1302" spans="3:6" ht="14.4" customHeight="1" x14ac:dyDescent="0.3">
      <c r="C1302" s="2">
        <v>100</v>
      </c>
      <c r="D1302" s="2" t="s">
        <v>679</v>
      </c>
      <c r="E1302" s="2" t="s">
        <v>774</v>
      </c>
      <c r="F1302" s="101">
        <v>87</v>
      </c>
    </row>
    <row r="1303" spans="3:6" ht="14.4" customHeight="1" x14ac:dyDescent="0.3">
      <c r="C1303" s="2">
        <v>100</v>
      </c>
      <c r="D1303" s="2" t="s">
        <v>285</v>
      </c>
      <c r="E1303" s="2" t="s">
        <v>775</v>
      </c>
      <c r="F1303" s="101">
        <v>1595</v>
      </c>
    </row>
    <row r="1304" spans="3:6" ht="14.4" customHeight="1" x14ac:dyDescent="0.3">
      <c r="C1304" s="2">
        <v>100</v>
      </c>
      <c r="D1304" s="2" t="s">
        <v>316</v>
      </c>
      <c r="E1304" s="2" t="s">
        <v>773</v>
      </c>
      <c r="F1304" s="101">
        <v>564</v>
      </c>
    </row>
    <row r="1305" spans="3:6" ht="14.4" customHeight="1" x14ac:dyDescent="0.3">
      <c r="C1305" s="2">
        <v>100</v>
      </c>
      <c r="D1305" s="2" t="s">
        <v>343</v>
      </c>
      <c r="E1305" s="2" t="s">
        <v>774</v>
      </c>
      <c r="F1305" s="101">
        <v>300</v>
      </c>
    </row>
    <row r="1306" spans="3:6" ht="14.4" customHeight="1" x14ac:dyDescent="0.3">
      <c r="C1306" s="2">
        <v>100</v>
      </c>
      <c r="D1306" s="2" t="s">
        <v>577</v>
      </c>
      <c r="E1306" s="2" t="s">
        <v>773</v>
      </c>
      <c r="F1306" s="101">
        <v>33</v>
      </c>
    </row>
    <row r="1307" spans="3:6" ht="14.4" customHeight="1" x14ac:dyDescent="0.3">
      <c r="C1307" s="2">
        <v>100</v>
      </c>
      <c r="D1307" s="2" t="s">
        <v>622</v>
      </c>
      <c r="E1307" s="2" t="s">
        <v>769</v>
      </c>
      <c r="F1307" s="101">
        <v>95334</v>
      </c>
    </row>
    <row r="1308" spans="3:6" ht="14.4" customHeight="1" x14ac:dyDescent="0.3">
      <c r="C1308" s="2">
        <v>100</v>
      </c>
      <c r="D1308" s="2" t="s">
        <v>506</v>
      </c>
      <c r="E1308" s="2" t="s">
        <v>777</v>
      </c>
      <c r="F1308" s="101">
        <v>6667</v>
      </c>
    </row>
    <row r="1309" spans="3:6" ht="14.4" customHeight="1" x14ac:dyDescent="0.3">
      <c r="C1309" s="2">
        <v>100</v>
      </c>
      <c r="D1309" s="2" t="s">
        <v>506</v>
      </c>
      <c r="E1309" s="2" t="s">
        <v>769</v>
      </c>
      <c r="F1309" s="101">
        <v>17244</v>
      </c>
    </row>
    <row r="1310" spans="3:6" ht="14.4" customHeight="1" x14ac:dyDescent="0.3">
      <c r="C1310" s="2">
        <v>100</v>
      </c>
      <c r="D1310" s="2" t="s">
        <v>608</v>
      </c>
      <c r="E1310" s="2" t="s">
        <v>777</v>
      </c>
      <c r="F1310" s="101">
        <v>100</v>
      </c>
    </row>
    <row r="1311" spans="3:6" ht="14.4" customHeight="1" x14ac:dyDescent="0.3">
      <c r="C1311" s="2">
        <v>100</v>
      </c>
      <c r="D1311" s="2" t="s">
        <v>248</v>
      </c>
      <c r="E1311" s="2" t="s">
        <v>771</v>
      </c>
      <c r="F1311" s="101">
        <v>1488</v>
      </c>
    </row>
    <row r="1312" spans="3:6" ht="14.4" customHeight="1" x14ac:dyDescent="0.3">
      <c r="C1312" s="2">
        <v>100</v>
      </c>
      <c r="D1312" s="2" t="s">
        <v>684</v>
      </c>
      <c r="E1312" s="2" t="s">
        <v>769</v>
      </c>
      <c r="F1312" s="101">
        <v>16919</v>
      </c>
    </row>
    <row r="1313" spans="3:6" ht="14.4" customHeight="1" x14ac:dyDescent="0.3">
      <c r="C1313" s="2">
        <v>100</v>
      </c>
      <c r="D1313" s="2" t="s">
        <v>448</v>
      </c>
      <c r="E1313" s="2" t="s">
        <v>777</v>
      </c>
      <c r="F1313" s="101">
        <v>7321</v>
      </c>
    </row>
    <row r="1314" spans="3:6" ht="14.4" customHeight="1" x14ac:dyDescent="0.3">
      <c r="C1314" s="2">
        <v>100</v>
      </c>
      <c r="D1314" s="2" t="s">
        <v>677</v>
      </c>
      <c r="E1314" s="2" t="s">
        <v>774</v>
      </c>
      <c r="F1314" s="101">
        <v>53</v>
      </c>
    </row>
    <row r="1315" spans="3:6" ht="14.4" customHeight="1" x14ac:dyDescent="0.3">
      <c r="C1315" s="2">
        <v>100</v>
      </c>
      <c r="D1315" s="2" t="s">
        <v>212</v>
      </c>
      <c r="E1315" s="2" t="s">
        <v>769</v>
      </c>
      <c r="F1315" s="101">
        <v>15234</v>
      </c>
    </row>
    <row r="1316" spans="3:6" ht="14.4" customHeight="1" x14ac:dyDescent="0.3">
      <c r="C1316" s="2">
        <v>100</v>
      </c>
      <c r="D1316" s="2" t="s">
        <v>536</v>
      </c>
      <c r="E1316" s="2" t="s">
        <v>770</v>
      </c>
      <c r="F1316" s="101">
        <v>2796</v>
      </c>
    </row>
    <row r="1317" spans="3:6" ht="14.4" customHeight="1" x14ac:dyDescent="0.3">
      <c r="C1317" s="2">
        <v>100</v>
      </c>
      <c r="D1317" s="2" t="s">
        <v>290</v>
      </c>
      <c r="E1317" s="2" t="s">
        <v>772</v>
      </c>
      <c r="F1317" s="101">
        <v>190</v>
      </c>
    </row>
    <row r="1318" spans="3:6" ht="14.4" customHeight="1" x14ac:dyDescent="0.3">
      <c r="C1318" s="2">
        <v>100</v>
      </c>
      <c r="D1318" s="2" t="s">
        <v>294</v>
      </c>
      <c r="E1318" s="2" t="s">
        <v>770</v>
      </c>
      <c r="F1318" s="101">
        <v>508</v>
      </c>
    </row>
    <row r="1319" spans="3:6" ht="14.4" customHeight="1" x14ac:dyDescent="0.3">
      <c r="C1319" s="2">
        <v>100</v>
      </c>
      <c r="D1319" s="2" t="s">
        <v>469</v>
      </c>
      <c r="E1319" s="2" t="s">
        <v>773</v>
      </c>
      <c r="F1319" s="101">
        <v>1100</v>
      </c>
    </row>
    <row r="1320" spans="3:6" ht="14.4" customHeight="1" x14ac:dyDescent="0.3">
      <c r="C1320" s="2">
        <v>100</v>
      </c>
      <c r="D1320" s="2" t="s">
        <v>609</v>
      </c>
      <c r="E1320" s="2" t="s">
        <v>774</v>
      </c>
      <c r="F1320" s="101">
        <v>4</v>
      </c>
    </row>
    <row r="1321" spans="3:6" ht="14.4" customHeight="1" x14ac:dyDescent="0.3">
      <c r="C1321" s="2">
        <v>100</v>
      </c>
      <c r="D1321" s="2" t="s">
        <v>454</v>
      </c>
      <c r="E1321" s="2" t="s">
        <v>770</v>
      </c>
      <c r="F1321" s="101">
        <v>695</v>
      </c>
    </row>
    <row r="1322" spans="3:6" ht="14.4" customHeight="1" x14ac:dyDescent="0.3">
      <c r="C1322" s="2">
        <v>100</v>
      </c>
      <c r="D1322" s="2" t="s">
        <v>588</v>
      </c>
      <c r="E1322" s="2" t="s">
        <v>771</v>
      </c>
      <c r="F1322" s="101">
        <v>345</v>
      </c>
    </row>
    <row r="1323" spans="3:6" ht="14.4" customHeight="1" x14ac:dyDescent="0.3">
      <c r="C1323" s="2">
        <v>100</v>
      </c>
      <c r="D1323" s="2" t="s">
        <v>362</v>
      </c>
      <c r="E1323" s="2" t="s">
        <v>775</v>
      </c>
      <c r="F1323" s="101">
        <v>8</v>
      </c>
    </row>
    <row r="1324" spans="3:6" ht="14.4" customHeight="1" x14ac:dyDescent="0.3">
      <c r="C1324" s="2">
        <v>100</v>
      </c>
      <c r="D1324" s="2" t="s">
        <v>411</v>
      </c>
      <c r="E1324" s="2" t="s">
        <v>771</v>
      </c>
      <c r="F1324" s="101">
        <v>44126</v>
      </c>
    </row>
    <row r="1325" spans="3:6" ht="14.4" customHeight="1" x14ac:dyDescent="0.3">
      <c r="C1325" s="2">
        <v>100</v>
      </c>
      <c r="D1325" s="2" t="s">
        <v>428</v>
      </c>
      <c r="E1325" s="2" t="s">
        <v>770</v>
      </c>
      <c r="F1325" s="101">
        <v>2417</v>
      </c>
    </row>
    <row r="1326" spans="3:6" ht="14.4" customHeight="1" x14ac:dyDescent="0.3">
      <c r="C1326" s="2">
        <v>100</v>
      </c>
      <c r="D1326" s="2" t="s">
        <v>571</v>
      </c>
      <c r="E1326" s="2" t="s">
        <v>769</v>
      </c>
      <c r="F1326" s="101">
        <v>49750</v>
      </c>
    </row>
    <row r="1327" spans="3:6" ht="14.4" customHeight="1" x14ac:dyDescent="0.3">
      <c r="C1327" s="2">
        <v>100</v>
      </c>
      <c r="D1327" s="2" t="s">
        <v>738</v>
      </c>
      <c r="E1327" s="2" t="s">
        <v>769</v>
      </c>
      <c r="F1327" s="101">
        <v>2568</v>
      </c>
    </row>
    <row r="1328" spans="3:6" ht="14.4" customHeight="1" x14ac:dyDescent="0.3">
      <c r="C1328" s="2">
        <v>100</v>
      </c>
      <c r="D1328" s="2" t="s">
        <v>296</v>
      </c>
      <c r="E1328" s="2" t="s">
        <v>770</v>
      </c>
      <c r="F1328" s="101">
        <v>30480</v>
      </c>
    </row>
    <row r="1329" spans="3:6" ht="14.4" customHeight="1" x14ac:dyDescent="0.3">
      <c r="C1329" s="2">
        <v>100</v>
      </c>
      <c r="D1329" s="2" t="s">
        <v>694</v>
      </c>
      <c r="E1329" s="2" t="s">
        <v>775</v>
      </c>
      <c r="F1329" s="101">
        <v>8</v>
      </c>
    </row>
    <row r="1330" spans="3:6" ht="14.4" customHeight="1" x14ac:dyDescent="0.3">
      <c r="C1330" s="2">
        <v>100</v>
      </c>
      <c r="D1330" s="2" t="s">
        <v>443</v>
      </c>
      <c r="E1330" s="2" t="s">
        <v>773</v>
      </c>
      <c r="F1330" s="101">
        <v>218</v>
      </c>
    </row>
    <row r="1331" spans="3:6" ht="14.4" customHeight="1" x14ac:dyDescent="0.3">
      <c r="C1331" s="2">
        <v>100</v>
      </c>
      <c r="D1331" s="2" t="s">
        <v>724</v>
      </c>
      <c r="E1331" s="2" t="s">
        <v>770</v>
      </c>
      <c r="F1331" s="101">
        <v>6526</v>
      </c>
    </row>
    <row r="1332" spans="3:6" ht="14.4" customHeight="1" x14ac:dyDescent="0.3">
      <c r="C1332" s="2">
        <v>100</v>
      </c>
      <c r="D1332" s="2" t="s">
        <v>544</v>
      </c>
      <c r="E1332" s="2" t="s">
        <v>771</v>
      </c>
      <c r="F1332" s="101">
        <v>12098</v>
      </c>
    </row>
    <row r="1333" spans="3:6" ht="14.4" customHeight="1" x14ac:dyDescent="0.3">
      <c r="C1333" s="2">
        <v>100</v>
      </c>
      <c r="D1333" s="2" t="s">
        <v>429</v>
      </c>
      <c r="E1333" s="2" t="s">
        <v>769</v>
      </c>
      <c r="F1333" s="101">
        <v>682397</v>
      </c>
    </row>
    <row r="1334" spans="3:6" ht="14.4" customHeight="1" x14ac:dyDescent="0.3">
      <c r="C1334" s="2">
        <v>100</v>
      </c>
      <c r="D1334" s="2" t="s">
        <v>204</v>
      </c>
      <c r="E1334" s="2" t="s">
        <v>773</v>
      </c>
      <c r="F1334" s="101">
        <v>3185</v>
      </c>
    </row>
    <row r="1335" spans="3:6" ht="14.4" customHeight="1" x14ac:dyDescent="0.3">
      <c r="C1335" s="2">
        <v>100</v>
      </c>
      <c r="D1335" s="2" t="s">
        <v>381</v>
      </c>
      <c r="E1335" s="2" t="s">
        <v>774</v>
      </c>
      <c r="F1335" s="101">
        <v>4396</v>
      </c>
    </row>
    <row r="1336" spans="3:6" ht="14.4" customHeight="1" x14ac:dyDescent="0.3">
      <c r="C1336" s="2">
        <v>100</v>
      </c>
      <c r="D1336" s="2" t="s">
        <v>636</v>
      </c>
      <c r="E1336" s="2" t="s">
        <v>774</v>
      </c>
      <c r="F1336" s="101">
        <v>460</v>
      </c>
    </row>
    <row r="1337" spans="3:6" ht="14.4" customHeight="1" x14ac:dyDescent="0.3">
      <c r="C1337" s="2">
        <v>100</v>
      </c>
      <c r="D1337" s="2" t="s">
        <v>767</v>
      </c>
      <c r="E1337" s="2" t="s">
        <v>769</v>
      </c>
      <c r="F1337" s="101">
        <v>1802</v>
      </c>
    </row>
    <row r="1338" spans="3:6" ht="14.4" customHeight="1" x14ac:dyDescent="0.3">
      <c r="C1338" s="2">
        <v>100</v>
      </c>
      <c r="D1338" s="2" t="s">
        <v>287</v>
      </c>
      <c r="E1338" s="2" t="s">
        <v>774</v>
      </c>
      <c r="F1338" s="101">
        <v>220</v>
      </c>
    </row>
    <row r="1339" spans="3:6" ht="14.4" customHeight="1" x14ac:dyDescent="0.3">
      <c r="C1339" s="2">
        <v>100</v>
      </c>
      <c r="D1339" s="2" t="s">
        <v>440</v>
      </c>
      <c r="E1339" s="2" t="s">
        <v>769</v>
      </c>
      <c r="F1339" s="101">
        <v>21993</v>
      </c>
    </row>
    <row r="1340" spans="3:6" ht="14.4" customHeight="1" x14ac:dyDescent="0.3">
      <c r="C1340" s="2">
        <v>100</v>
      </c>
      <c r="D1340" s="2" t="s">
        <v>411</v>
      </c>
      <c r="E1340" s="2" t="s">
        <v>775</v>
      </c>
      <c r="F1340" s="101">
        <v>496</v>
      </c>
    </row>
    <row r="1341" spans="3:6" ht="14.4" customHeight="1" x14ac:dyDescent="0.3">
      <c r="C1341" s="2">
        <v>100</v>
      </c>
      <c r="D1341" s="2" t="s">
        <v>437</v>
      </c>
      <c r="E1341" s="2" t="s">
        <v>774</v>
      </c>
      <c r="F1341" s="101">
        <v>17908</v>
      </c>
    </row>
    <row r="1342" spans="3:6" ht="14.4" customHeight="1" x14ac:dyDescent="0.3">
      <c r="C1342" s="2">
        <v>100</v>
      </c>
      <c r="D1342" s="2" t="s">
        <v>477</v>
      </c>
      <c r="E1342" s="2" t="s">
        <v>771</v>
      </c>
      <c r="F1342" s="101">
        <v>11185</v>
      </c>
    </row>
    <row r="1343" spans="3:6" ht="14.4" customHeight="1" x14ac:dyDescent="0.3">
      <c r="C1343" s="2">
        <v>100</v>
      </c>
      <c r="D1343" s="2" t="s">
        <v>498</v>
      </c>
      <c r="E1343" s="2" t="s">
        <v>775</v>
      </c>
      <c r="F1343" s="101">
        <v>433</v>
      </c>
    </row>
    <row r="1344" spans="3:6" ht="14.4" customHeight="1" x14ac:dyDescent="0.3">
      <c r="C1344" s="2">
        <v>100</v>
      </c>
      <c r="D1344" s="2" t="s">
        <v>627</v>
      </c>
      <c r="E1344" s="2" t="s">
        <v>775</v>
      </c>
      <c r="F1344" s="101">
        <v>8</v>
      </c>
    </row>
    <row r="1345" spans="3:6" ht="14.4" customHeight="1" x14ac:dyDescent="0.3">
      <c r="C1345" s="2">
        <v>100</v>
      </c>
      <c r="D1345" s="2" t="s">
        <v>263</v>
      </c>
      <c r="E1345" s="2" t="s">
        <v>774</v>
      </c>
      <c r="F1345" s="101">
        <v>23798</v>
      </c>
    </row>
    <row r="1346" spans="3:6" ht="14.4" customHeight="1" x14ac:dyDescent="0.3">
      <c r="C1346" s="2">
        <v>100</v>
      </c>
      <c r="D1346" s="2" t="s">
        <v>406</v>
      </c>
      <c r="E1346" s="2" t="s">
        <v>770</v>
      </c>
      <c r="F1346" s="101">
        <v>17525</v>
      </c>
    </row>
    <row r="1347" spans="3:6" ht="14.4" customHeight="1" x14ac:dyDescent="0.3">
      <c r="C1347" s="2">
        <v>100</v>
      </c>
      <c r="D1347" s="2" t="s">
        <v>582</v>
      </c>
      <c r="E1347" s="2" t="s">
        <v>774</v>
      </c>
      <c r="F1347" s="101">
        <v>0</v>
      </c>
    </row>
    <row r="1348" spans="3:6" ht="14.4" customHeight="1" x14ac:dyDescent="0.3">
      <c r="C1348" s="2">
        <v>100</v>
      </c>
      <c r="D1348" s="2" t="s">
        <v>520</v>
      </c>
      <c r="E1348" s="2" t="s">
        <v>769</v>
      </c>
      <c r="F1348" s="101">
        <v>23513</v>
      </c>
    </row>
    <row r="1349" spans="3:6" ht="14.4" customHeight="1" x14ac:dyDescent="0.3">
      <c r="C1349" s="2">
        <v>100</v>
      </c>
      <c r="D1349" s="2" t="s">
        <v>404</v>
      </c>
      <c r="E1349" s="2" t="s">
        <v>769</v>
      </c>
      <c r="F1349" s="101">
        <v>14056</v>
      </c>
    </row>
    <row r="1350" spans="3:6" ht="14.4" customHeight="1" x14ac:dyDescent="0.3">
      <c r="C1350" s="2">
        <v>100</v>
      </c>
      <c r="D1350" s="2" t="s">
        <v>422</v>
      </c>
      <c r="E1350" s="2" t="s">
        <v>772</v>
      </c>
      <c r="F1350" s="101">
        <v>67</v>
      </c>
    </row>
    <row r="1351" spans="3:6" ht="14.4" customHeight="1" x14ac:dyDescent="0.3">
      <c r="C1351" s="2">
        <v>100</v>
      </c>
      <c r="D1351" s="2" t="s">
        <v>279</v>
      </c>
      <c r="E1351" s="2" t="s">
        <v>769</v>
      </c>
      <c r="F1351" s="101">
        <v>246829</v>
      </c>
    </row>
    <row r="1352" spans="3:6" ht="14.4" customHeight="1" x14ac:dyDescent="0.3">
      <c r="C1352" s="2">
        <v>100</v>
      </c>
      <c r="D1352" s="2" t="s">
        <v>687</v>
      </c>
      <c r="E1352" s="2" t="s">
        <v>769</v>
      </c>
      <c r="F1352" s="101">
        <v>106956</v>
      </c>
    </row>
    <row r="1353" spans="3:6" ht="14.4" customHeight="1" x14ac:dyDescent="0.3">
      <c r="C1353" s="2">
        <v>100</v>
      </c>
      <c r="D1353" s="2" t="s">
        <v>261</v>
      </c>
      <c r="E1353" s="2" t="s">
        <v>773</v>
      </c>
      <c r="F1353" s="101">
        <v>-51440</v>
      </c>
    </row>
    <row r="1354" spans="3:6" ht="14.4" customHeight="1" x14ac:dyDescent="0.3">
      <c r="C1354" s="2">
        <v>100</v>
      </c>
      <c r="D1354" s="2" t="s">
        <v>370</v>
      </c>
      <c r="E1354" s="2" t="s">
        <v>774</v>
      </c>
      <c r="F1354" s="101">
        <v>0</v>
      </c>
    </row>
    <row r="1355" spans="3:6" ht="14.4" customHeight="1" x14ac:dyDescent="0.3">
      <c r="C1355" s="2">
        <v>100</v>
      </c>
      <c r="D1355" s="2" t="s">
        <v>268</v>
      </c>
      <c r="E1355" s="2" t="s">
        <v>773</v>
      </c>
      <c r="F1355" s="101">
        <v>5760</v>
      </c>
    </row>
    <row r="1356" spans="3:6" ht="14.4" customHeight="1" x14ac:dyDescent="0.3">
      <c r="C1356" s="2">
        <v>100</v>
      </c>
      <c r="D1356" s="2" t="s">
        <v>676</v>
      </c>
      <c r="E1356" s="2" t="s">
        <v>771</v>
      </c>
      <c r="F1356" s="101">
        <v>1599</v>
      </c>
    </row>
    <row r="1357" spans="3:6" ht="14.4" customHeight="1" x14ac:dyDescent="0.3">
      <c r="C1357" s="2">
        <v>100</v>
      </c>
      <c r="D1357" s="2" t="s">
        <v>507</v>
      </c>
      <c r="E1357" s="2" t="s">
        <v>773</v>
      </c>
      <c r="F1357" s="101">
        <v>200</v>
      </c>
    </row>
    <row r="1358" spans="3:6" ht="14.4" customHeight="1" x14ac:dyDescent="0.3">
      <c r="C1358" s="2">
        <v>100</v>
      </c>
      <c r="D1358" s="2" t="s">
        <v>510</v>
      </c>
      <c r="E1358" s="2" t="s">
        <v>774</v>
      </c>
      <c r="F1358" s="101">
        <v>13393</v>
      </c>
    </row>
    <row r="1359" spans="3:6" ht="14.4" customHeight="1" x14ac:dyDescent="0.3">
      <c r="C1359" s="2">
        <v>100</v>
      </c>
      <c r="D1359" s="2" t="s">
        <v>716</v>
      </c>
      <c r="E1359" s="2" t="s">
        <v>771</v>
      </c>
      <c r="F1359" s="101">
        <v>649</v>
      </c>
    </row>
    <row r="1360" spans="3:6" ht="14.4" customHeight="1" x14ac:dyDescent="0.3">
      <c r="C1360" s="2">
        <v>100</v>
      </c>
      <c r="D1360" s="2" t="s">
        <v>424</v>
      </c>
      <c r="E1360" s="2" t="s">
        <v>771</v>
      </c>
      <c r="F1360" s="101">
        <v>2829</v>
      </c>
    </row>
    <row r="1361" spans="3:6" ht="14.4" customHeight="1" x14ac:dyDescent="0.3">
      <c r="C1361" s="2">
        <v>100</v>
      </c>
      <c r="D1361" s="2" t="s">
        <v>326</v>
      </c>
      <c r="E1361" s="2" t="s">
        <v>774</v>
      </c>
      <c r="F1361" s="101">
        <v>0</v>
      </c>
    </row>
    <row r="1362" spans="3:6" ht="14.4" customHeight="1" x14ac:dyDescent="0.3">
      <c r="C1362" s="2">
        <v>100</v>
      </c>
      <c r="D1362" s="2" t="s">
        <v>752</v>
      </c>
      <c r="E1362" s="2" t="s">
        <v>777</v>
      </c>
      <c r="F1362" s="101">
        <v>12003</v>
      </c>
    </row>
    <row r="1363" spans="3:6" ht="14.4" customHeight="1" x14ac:dyDescent="0.3">
      <c r="C1363" s="2">
        <v>100</v>
      </c>
      <c r="D1363" s="2" t="s">
        <v>406</v>
      </c>
      <c r="E1363" s="2" t="s">
        <v>773</v>
      </c>
      <c r="F1363" s="101">
        <v>34566</v>
      </c>
    </row>
    <row r="1364" spans="3:6" ht="14.4" customHeight="1" x14ac:dyDescent="0.3">
      <c r="C1364" s="2">
        <v>100</v>
      </c>
      <c r="D1364" s="2" t="s">
        <v>345</v>
      </c>
      <c r="E1364" s="2" t="s">
        <v>774</v>
      </c>
      <c r="F1364" s="101">
        <v>-112</v>
      </c>
    </row>
    <row r="1365" spans="3:6" ht="14.4" customHeight="1" x14ac:dyDescent="0.3">
      <c r="C1365" s="2">
        <v>100</v>
      </c>
      <c r="D1365" s="2" t="s">
        <v>514</v>
      </c>
      <c r="E1365" s="2" t="s">
        <v>773</v>
      </c>
      <c r="F1365" s="101">
        <v>1368</v>
      </c>
    </row>
    <row r="1366" spans="3:6" ht="14.4" customHeight="1" x14ac:dyDescent="0.3">
      <c r="C1366" s="2">
        <v>100</v>
      </c>
      <c r="D1366" s="2" t="s">
        <v>305</v>
      </c>
      <c r="E1366" s="2" t="s">
        <v>773</v>
      </c>
      <c r="F1366" s="101">
        <v>1048</v>
      </c>
    </row>
    <row r="1367" spans="3:6" ht="14.4" customHeight="1" x14ac:dyDescent="0.3">
      <c r="C1367" s="2">
        <v>100</v>
      </c>
      <c r="D1367" s="2" t="s">
        <v>366</v>
      </c>
      <c r="E1367" s="2" t="s">
        <v>770</v>
      </c>
      <c r="F1367" s="101">
        <v>25</v>
      </c>
    </row>
    <row r="1368" spans="3:6" ht="14.4" customHeight="1" x14ac:dyDescent="0.3">
      <c r="C1368" s="2">
        <v>100</v>
      </c>
      <c r="D1368" s="2" t="s">
        <v>585</v>
      </c>
      <c r="E1368" s="2" t="s">
        <v>774</v>
      </c>
      <c r="F1368" s="101">
        <v>20875</v>
      </c>
    </row>
    <row r="1369" spans="3:6" ht="14.4" customHeight="1" x14ac:dyDescent="0.3">
      <c r="C1369" s="2">
        <v>100</v>
      </c>
      <c r="D1369" s="2" t="s">
        <v>366</v>
      </c>
      <c r="E1369" s="2" t="s">
        <v>771</v>
      </c>
      <c r="F1369" s="101">
        <v>1351</v>
      </c>
    </row>
    <row r="1370" spans="3:6" ht="14.4" customHeight="1" x14ac:dyDescent="0.3">
      <c r="C1370" s="2">
        <v>100</v>
      </c>
      <c r="D1370" s="2" t="s">
        <v>605</v>
      </c>
      <c r="E1370" s="2" t="s">
        <v>773</v>
      </c>
      <c r="F1370" s="101">
        <v>214</v>
      </c>
    </row>
    <row r="1371" spans="3:6" ht="14.4" customHeight="1" x14ac:dyDescent="0.3">
      <c r="C1371" s="2">
        <v>100</v>
      </c>
      <c r="D1371" s="2" t="s">
        <v>321</v>
      </c>
      <c r="E1371" s="2" t="s">
        <v>775</v>
      </c>
      <c r="F1371" s="101">
        <v>2471</v>
      </c>
    </row>
    <row r="1372" spans="3:6" ht="14.4" customHeight="1" x14ac:dyDescent="0.3">
      <c r="C1372" s="2">
        <v>100</v>
      </c>
      <c r="D1372" s="2" t="s">
        <v>627</v>
      </c>
      <c r="E1372" s="2" t="s">
        <v>770</v>
      </c>
      <c r="F1372" s="101">
        <v>143</v>
      </c>
    </row>
    <row r="1373" spans="3:6" ht="14.4" customHeight="1" x14ac:dyDescent="0.3">
      <c r="C1373" s="2">
        <v>100</v>
      </c>
      <c r="D1373" s="2" t="s">
        <v>568</v>
      </c>
      <c r="E1373" s="2" t="s">
        <v>772</v>
      </c>
      <c r="F1373" s="101">
        <v>1218</v>
      </c>
    </row>
    <row r="1374" spans="3:6" ht="14.4" customHeight="1" x14ac:dyDescent="0.3">
      <c r="C1374" s="2">
        <v>100</v>
      </c>
      <c r="D1374" s="2" t="s">
        <v>673</v>
      </c>
      <c r="E1374" s="2" t="s">
        <v>770</v>
      </c>
      <c r="F1374" s="101">
        <v>26</v>
      </c>
    </row>
    <row r="1375" spans="3:6" ht="14.4" customHeight="1" x14ac:dyDescent="0.3">
      <c r="C1375" s="2">
        <v>100</v>
      </c>
      <c r="D1375" s="2" t="s">
        <v>517</v>
      </c>
      <c r="E1375" s="2" t="s">
        <v>772</v>
      </c>
      <c r="F1375" s="101">
        <v>92</v>
      </c>
    </row>
    <row r="1376" spans="3:6" ht="14.4" customHeight="1" x14ac:dyDescent="0.3">
      <c r="C1376" s="2">
        <v>100</v>
      </c>
      <c r="D1376" s="2" t="s">
        <v>621</v>
      </c>
      <c r="E1376" s="2" t="s">
        <v>770</v>
      </c>
      <c r="F1376" s="101">
        <v>132</v>
      </c>
    </row>
    <row r="1377" spans="3:6" ht="14.4" customHeight="1" x14ac:dyDescent="0.3">
      <c r="C1377" s="2">
        <v>100</v>
      </c>
      <c r="D1377" s="2" t="s">
        <v>284</v>
      </c>
      <c r="E1377" s="2" t="s">
        <v>773</v>
      </c>
      <c r="F1377" s="101">
        <v>3779</v>
      </c>
    </row>
    <row r="1378" spans="3:6" ht="14.4" customHeight="1" x14ac:dyDescent="0.3">
      <c r="C1378" s="2">
        <v>100</v>
      </c>
      <c r="D1378" s="2" t="s">
        <v>621</v>
      </c>
      <c r="E1378" s="2" t="s">
        <v>771</v>
      </c>
      <c r="F1378" s="101">
        <v>622</v>
      </c>
    </row>
    <row r="1379" spans="3:6" ht="14.4" customHeight="1" x14ac:dyDescent="0.3">
      <c r="C1379" s="2">
        <v>100</v>
      </c>
      <c r="D1379" s="2" t="s">
        <v>797</v>
      </c>
      <c r="E1379" s="2" t="s">
        <v>769</v>
      </c>
      <c r="F1379" s="101">
        <v>414</v>
      </c>
    </row>
    <row r="1380" spans="3:6" ht="14.4" customHeight="1" x14ac:dyDescent="0.3">
      <c r="C1380" s="2">
        <v>100</v>
      </c>
      <c r="D1380" s="2" t="s">
        <v>419</v>
      </c>
      <c r="E1380" s="2" t="s">
        <v>769</v>
      </c>
      <c r="F1380" s="101">
        <v>51885</v>
      </c>
    </row>
    <row r="1381" spans="3:6" ht="14.4" customHeight="1" x14ac:dyDescent="0.3">
      <c r="C1381" s="2">
        <v>100</v>
      </c>
      <c r="D1381" s="2" t="s">
        <v>302</v>
      </c>
      <c r="E1381" s="2" t="s">
        <v>771</v>
      </c>
      <c r="F1381" s="101">
        <v>19298</v>
      </c>
    </row>
    <row r="1382" spans="3:6" ht="14.4" customHeight="1" x14ac:dyDescent="0.3">
      <c r="C1382" s="2">
        <v>100</v>
      </c>
      <c r="D1382" s="2" t="s">
        <v>450</v>
      </c>
      <c r="E1382" s="2" t="s">
        <v>771</v>
      </c>
      <c r="F1382" s="101">
        <v>9494</v>
      </c>
    </row>
    <row r="1383" spans="3:6" ht="14.4" customHeight="1" x14ac:dyDescent="0.3">
      <c r="C1383" s="2">
        <v>100</v>
      </c>
      <c r="D1383" s="2" t="s">
        <v>364</v>
      </c>
      <c r="E1383" s="2" t="s">
        <v>769</v>
      </c>
      <c r="F1383" s="101">
        <v>500553</v>
      </c>
    </row>
    <row r="1384" spans="3:6" ht="14.4" customHeight="1" x14ac:dyDescent="0.3">
      <c r="C1384" s="2">
        <v>100</v>
      </c>
      <c r="D1384" s="2" t="s">
        <v>570</v>
      </c>
      <c r="E1384" s="2" t="s">
        <v>775</v>
      </c>
      <c r="F1384" s="101">
        <v>66</v>
      </c>
    </row>
    <row r="1385" spans="3:6" ht="14.4" customHeight="1" x14ac:dyDescent="0.3">
      <c r="C1385" s="2">
        <v>100</v>
      </c>
      <c r="D1385" s="2" t="s">
        <v>576</v>
      </c>
      <c r="E1385" s="2" t="s">
        <v>773</v>
      </c>
      <c r="F1385" s="101">
        <v>44</v>
      </c>
    </row>
    <row r="1386" spans="3:6" ht="14.4" customHeight="1" x14ac:dyDescent="0.3">
      <c r="C1386" s="2">
        <v>100</v>
      </c>
      <c r="D1386" s="2" t="s">
        <v>450</v>
      </c>
      <c r="E1386" s="2" t="s">
        <v>775</v>
      </c>
      <c r="F1386" s="101">
        <v>89</v>
      </c>
    </row>
    <row r="1387" spans="3:6" ht="14.4" customHeight="1" x14ac:dyDescent="0.3">
      <c r="C1387" s="2">
        <v>100</v>
      </c>
      <c r="D1387" s="2" t="s">
        <v>338</v>
      </c>
      <c r="E1387" s="2" t="s">
        <v>771</v>
      </c>
      <c r="F1387" s="101">
        <v>1738</v>
      </c>
    </row>
    <row r="1388" spans="3:6" ht="14.4" customHeight="1" x14ac:dyDescent="0.3">
      <c r="C1388" s="2">
        <v>100</v>
      </c>
      <c r="D1388" s="2" t="s">
        <v>311</v>
      </c>
      <c r="E1388" s="2" t="s">
        <v>773</v>
      </c>
      <c r="F1388" s="101">
        <v>11651</v>
      </c>
    </row>
    <row r="1389" spans="3:6" ht="14.4" customHeight="1" x14ac:dyDescent="0.3">
      <c r="C1389" s="2">
        <v>100</v>
      </c>
      <c r="D1389" s="2" t="s">
        <v>530</v>
      </c>
      <c r="E1389" s="2" t="s">
        <v>771</v>
      </c>
      <c r="F1389" s="101">
        <v>3308</v>
      </c>
    </row>
    <row r="1390" spans="3:6" ht="14.4" customHeight="1" x14ac:dyDescent="0.3">
      <c r="C1390" s="2">
        <v>100</v>
      </c>
      <c r="D1390" s="2" t="s">
        <v>232</v>
      </c>
      <c r="E1390" s="2" t="s">
        <v>769</v>
      </c>
      <c r="F1390" s="101">
        <v>-16743</v>
      </c>
    </row>
    <row r="1391" spans="3:6" ht="14.4" customHeight="1" x14ac:dyDescent="0.3">
      <c r="C1391" s="2">
        <v>100</v>
      </c>
      <c r="D1391" s="2" t="s">
        <v>457</v>
      </c>
      <c r="E1391" s="2" t="s">
        <v>769</v>
      </c>
      <c r="F1391" s="101">
        <v>25379</v>
      </c>
    </row>
    <row r="1392" spans="3:6" ht="14.4" customHeight="1" x14ac:dyDescent="0.3">
      <c r="C1392" s="2">
        <v>100</v>
      </c>
      <c r="D1392" s="2" t="s">
        <v>277</v>
      </c>
      <c r="E1392" s="2" t="s">
        <v>769</v>
      </c>
      <c r="F1392" s="101">
        <v>210257</v>
      </c>
    </row>
    <row r="1393" spans="3:6" ht="14.4" customHeight="1" x14ac:dyDescent="0.3">
      <c r="C1393" s="2">
        <v>100</v>
      </c>
      <c r="D1393" s="2" t="s">
        <v>209</v>
      </c>
      <c r="E1393" s="2" t="s">
        <v>769</v>
      </c>
      <c r="F1393" s="101">
        <v>19640</v>
      </c>
    </row>
    <row r="1394" spans="3:6" ht="14.4" customHeight="1" x14ac:dyDescent="0.3">
      <c r="C1394" s="2">
        <v>100</v>
      </c>
      <c r="D1394" s="2" t="s">
        <v>497</v>
      </c>
      <c r="E1394" s="2" t="s">
        <v>769</v>
      </c>
      <c r="F1394" s="101">
        <v>5368</v>
      </c>
    </row>
    <row r="1395" spans="3:6" ht="14.4" customHeight="1" x14ac:dyDescent="0.3">
      <c r="C1395" s="2">
        <v>100</v>
      </c>
      <c r="D1395" s="2" t="s">
        <v>673</v>
      </c>
      <c r="E1395" s="2" t="s">
        <v>773</v>
      </c>
      <c r="F1395" s="101">
        <v>326</v>
      </c>
    </row>
    <row r="1396" spans="3:6" ht="14.4" customHeight="1" x14ac:dyDescent="0.3">
      <c r="C1396" s="2">
        <v>100</v>
      </c>
      <c r="D1396" s="2" t="s">
        <v>632</v>
      </c>
      <c r="E1396" s="2" t="s">
        <v>770</v>
      </c>
      <c r="F1396" s="101">
        <v>3861</v>
      </c>
    </row>
    <row r="1397" spans="3:6" ht="14.4" customHeight="1" x14ac:dyDescent="0.3">
      <c r="C1397" s="2">
        <v>100</v>
      </c>
      <c r="D1397" s="2" t="s">
        <v>223</v>
      </c>
      <c r="E1397" s="2" t="s">
        <v>771</v>
      </c>
      <c r="F1397" s="101">
        <v>6237</v>
      </c>
    </row>
    <row r="1398" spans="3:6" ht="14.4" customHeight="1" x14ac:dyDescent="0.3">
      <c r="C1398" s="2">
        <v>100</v>
      </c>
      <c r="D1398" s="2" t="s">
        <v>566</v>
      </c>
      <c r="E1398" s="2" t="s">
        <v>774</v>
      </c>
      <c r="F1398" s="101">
        <v>2364</v>
      </c>
    </row>
    <row r="1399" spans="3:6" ht="14.4" customHeight="1" x14ac:dyDescent="0.3">
      <c r="C1399" s="2">
        <v>100</v>
      </c>
      <c r="D1399" s="2" t="s">
        <v>534</v>
      </c>
      <c r="E1399" s="2" t="s">
        <v>777</v>
      </c>
      <c r="F1399" s="101">
        <v>8439</v>
      </c>
    </row>
    <row r="1400" spans="3:6" ht="14.4" customHeight="1" x14ac:dyDescent="0.3">
      <c r="C1400" s="2">
        <v>100</v>
      </c>
      <c r="D1400" s="2" t="s">
        <v>198</v>
      </c>
      <c r="E1400" s="2" t="s">
        <v>769</v>
      </c>
      <c r="F1400" s="101">
        <v>9295</v>
      </c>
    </row>
    <row r="1401" spans="3:6" ht="14.4" customHeight="1" x14ac:dyDescent="0.3">
      <c r="C1401" s="2">
        <v>100</v>
      </c>
      <c r="D1401" s="2" t="s">
        <v>223</v>
      </c>
      <c r="E1401" s="2" t="s">
        <v>770</v>
      </c>
      <c r="F1401" s="101">
        <v>983</v>
      </c>
    </row>
    <row r="1402" spans="3:6" ht="14.4" customHeight="1" x14ac:dyDescent="0.3">
      <c r="C1402" s="2">
        <v>100</v>
      </c>
      <c r="D1402" s="2" t="s">
        <v>504</v>
      </c>
      <c r="E1402" s="2" t="s">
        <v>773</v>
      </c>
      <c r="F1402" s="101">
        <v>864</v>
      </c>
    </row>
    <row r="1403" spans="3:6" ht="14.4" customHeight="1" x14ac:dyDescent="0.3">
      <c r="C1403" s="2">
        <v>100</v>
      </c>
      <c r="D1403" s="2" t="s">
        <v>366</v>
      </c>
      <c r="E1403" s="2" t="s">
        <v>769</v>
      </c>
      <c r="F1403" s="101">
        <v>39764</v>
      </c>
    </row>
    <row r="1404" spans="3:6" ht="14.4" customHeight="1" x14ac:dyDescent="0.3">
      <c r="C1404" s="2">
        <v>100</v>
      </c>
      <c r="D1404" s="2" t="s">
        <v>266</v>
      </c>
      <c r="E1404" s="2" t="s">
        <v>769</v>
      </c>
      <c r="F1404" s="101">
        <v>268161</v>
      </c>
    </row>
    <row r="1405" spans="3:6" ht="14.4" customHeight="1" x14ac:dyDescent="0.3">
      <c r="C1405" s="2">
        <v>100</v>
      </c>
      <c r="D1405" s="2" t="s">
        <v>305</v>
      </c>
      <c r="E1405" s="2" t="s">
        <v>777</v>
      </c>
      <c r="F1405" s="101">
        <v>14240</v>
      </c>
    </row>
    <row r="1406" spans="3:6" ht="14.4" customHeight="1" x14ac:dyDescent="0.3">
      <c r="C1406" s="2">
        <v>100</v>
      </c>
      <c r="D1406" s="2" t="s">
        <v>307</v>
      </c>
      <c r="E1406" s="2" t="s">
        <v>775</v>
      </c>
      <c r="F1406" s="101">
        <v>4541</v>
      </c>
    </row>
    <row r="1407" spans="3:6" ht="14.4" customHeight="1" x14ac:dyDescent="0.3">
      <c r="C1407" s="2">
        <v>100</v>
      </c>
      <c r="D1407" s="2" t="s">
        <v>225</v>
      </c>
      <c r="E1407" s="2" t="s">
        <v>773</v>
      </c>
      <c r="F1407" s="101">
        <v>2107673</v>
      </c>
    </row>
    <row r="1408" spans="3:6" ht="14.4" customHeight="1" x14ac:dyDescent="0.3">
      <c r="C1408" s="2">
        <v>100</v>
      </c>
      <c r="D1408" s="2" t="s">
        <v>403</v>
      </c>
      <c r="E1408" s="2" t="s">
        <v>771</v>
      </c>
      <c r="F1408" s="101">
        <v>95715</v>
      </c>
    </row>
    <row r="1409" spans="3:6" ht="14.4" customHeight="1" x14ac:dyDescent="0.3">
      <c r="C1409" s="2">
        <v>100</v>
      </c>
      <c r="D1409" s="2" t="s">
        <v>218</v>
      </c>
      <c r="E1409" s="2" t="s">
        <v>773</v>
      </c>
      <c r="F1409" s="101">
        <v>2595</v>
      </c>
    </row>
    <row r="1410" spans="3:6" ht="14.4" customHeight="1" x14ac:dyDescent="0.3">
      <c r="C1410" s="2">
        <v>100</v>
      </c>
      <c r="D1410" s="2" t="s">
        <v>435</v>
      </c>
      <c r="E1410" s="2" t="s">
        <v>774</v>
      </c>
      <c r="F1410" s="101">
        <v>14003</v>
      </c>
    </row>
    <row r="1411" spans="3:6" ht="14.4" customHeight="1" x14ac:dyDescent="0.3">
      <c r="C1411" s="2">
        <v>100</v>
      </c>
      <c r="D1411" s="2" t="s">
        <v>564</v>
      </c>
      <c r="E1411" s="2" t="s">
        <v>769</v>
      </c>
      <c r="F1411" s="101">
        <v>32473</v>
      </c>
    </row>
    <row r="1412" spans="3:6" ht="14.4" customHeight="1" x14ac:dyDescent="0.3">
      <c r="C1412" s="2">
        <v>100</v>
      </c>
      <c r="D1412" s="2" t="s">
        <v>418</v>
      </c>
      <c r="E1412" s="2" t="s">
        <v>770</v>
      </c>
      <c r="F1412" s="101">
        <v>26</v>
      </c>
    </row>
    <row r="1413" spans="3:6" ht="14.4" customHeight="1" x14ac:dyDescent="0.3">
      <c r="C1413" s="2">
        <v>100</v>
      </c>
      <c r="D1413" s="2" t="s">
        <v>507</v>
      </c>
      <c r="E1413" s="2" t="s">
        <v>777</v>
      </c>
      <c r="F1413" s="101">
        <v>1510</v>
      </c>
    </row>
    <row r="1414" spans="3:6" ht="14.4" customHeight="1" x14ac:dyDescent="0.3">
      <c r="C1414" s="2">
        <v>100</v>
      </c>
      <c r="D1414" s="2" t="s">
        <v>339</v>
      </c>
      <c r="E1414" s="2" t="s">
        <v>772</v>
      </c>
      <c r="F1414" s="101">
        <v>400</v>
      </c>
    </row>
    <row r="1415" spans="3:6" ht="14.4" customHeight="1" x14ac:dyDescent="0.3">
      <c r="C1415" s="2">
        <v>100</v>
      </c>
      <c r="D1415" s="2" t="s">
        <v>687</v>
      </c>
      <c r="E1415" s="2" t="s">
        <v>771</v>
      </c>
      <c r="F1415" s="101">
        <v>143</v>
      </c>
    </row>
    <row r="1416" spans="3:6" ht="14.4" customHeight="1" x14ac:dyDescent="0.3">
      <c r="C1416" s="2">
        <v>100</v>
      </c>
      <c r="D1416" s="2" t="s">
        <v>374</v>
      </c>
      <c r="E1416" s="2" t="s">
        <v>774</v>
      </c>
      <c r="F1416" s="101">
        <v>733</v>
      </c>
    </row>
    <row r="1417" spans="3:6" ht="14.4" customHeight="1" x14ac:dyDescent="0.3">
      <c r="C1417" s="2">
        <v>100</v>
      </c>
      <c r="D1417" s="2" t="s">
        <v>412</v>
      </c>
      <c r="E1417" s="2" t="s">
        <v>769</v>
      </c>
      <c r="F1417" s="101">
        <v>39026</v>
      </c>
    </row>
    <row r="1418" spans="3:6" ht="14.4" customHeight="1" x14ac:dyDescent="0.3">
      <c r="C1418" s="2">
        <v>100</v>
      </c>
      <c r="D1418" s="2" t="s">
        <v>798</v>
      </c>
      <c r="E1418" s="2" t="s">
        <v>771</v>
      </c>
      <c r="F1418" s="101">
        <v>45</v>
      </c>
    </row>
    <row r="1419" spans="3:6" ht="14.4" customHeight="1" x14ac:dyDescent="0.3">
      <c r="C1419" s="2">
        <v>100</v>
      </c>
      <c r="D1419" s="2" t="s">
        <v>505</v>
      </c>
      <c r="E1419" s="2" t="s">
        <v>775</v>
      </c>
      <c r="F1419" s="101">
        <v>1983</v>
      </c>
    </row>
    <row r="1420" spans="3:6" ht="14.4" customHeight="1" x14ac:dyDescent="0.3">
      <c r="C1420" s="2">
        <v>100</v>
      </c>
      <c r="D1420" s="2" t="s">
        <v>372</v>
      </c>
      <c r="E1420" s="2" t="s">
        <v>774</v>
      </c>
      <c r="F1420" s="101">
        <v>169</v>
      </c>
    </row>
    <row r="1421" spans="3:6" ht="14.4" customHeight="1" x14ac:dyDescent="0.3">
      <c r="C1421" s="2">
        <v>100</v>
      </c>
      <c r="D1421" s="2" t="s">
        <v>225</v>
      </c>
      <c r="E1421" s="2" t="s">
        <v>771</v>
      </c>
      <c r="F1421" s="101">
        <v>410316</v>
      </c>
    </row>
    <row r="1422" spans="3:6" ht="14.4" customHeight="1" x14ac:dyDescent="0.3">
      <c r="C1422" s="2">
        <v>100</v>
      </c>
      <c r="D1422" s="2" t="s">
        <v>218</v>
      </c>
      <c r="E1422" s="2" t="s">
        <v>770</v>
      </c>
      <c r="F1422" s="101">
        <v>15820</v>
      </c>
    </row>
    <row r="1423" spans="3:6" ht="14.4" customHeight="1" x14ac:dyDescent="0.3">
      <c r="C1423" s="2">
        <v>100</v>
      </c>
      <c r="D1423" s="2" t="s">
        <v>421</v>
      </c>
      <c r="E1423" s="2" t="s">
        <v>770</v>
      </c>
      <c r="F1423" s="101">
        <v>53</v>
      </c>
    </row>
    <row r="1424" spans="3:6" ht="14.4" customHeight="1" x14ac:dyDescent="0.3">
      <c r="C1424" s="2">
        <v>100</v>
      </c>
      <c r="D1424" s="2" t="s">
        <v>322</v>
      </c>
      <c r="E1424" s="2" t="s">
        <v>770</v>
      </c>
      <c r="F1424" s="101">
        <v>15447</v>
      </c>
    </row>
    <row r="1425" spans="3:6" ht="14.4" customHeight="1" x14ac:dyDescent="0.3">
      <c r="C1425" s="2">
        <v>100</v>
      </c>
      <c r="D1425" s="2" t="s">
        <v>605</v>
      </c>
      <c r="E1425" s="2" t="s">
        <v>769</v>
      </c>
      <c r="F1425" s="101">
        <v>3177</v>
      </c>
    </row>
    <row r="1426" spans="3:6" ht="14.4" customHeight="1" x14ac:dyDescent="0.3">
      <c r="C1426" s="2">
        <v>100</v>
      </c>
      <c r="D1426" s="2" t="s">
        <v>444</v>
      </c>
      <c r="E1426" s="2" t="s">
        <v>769</v>
      </c>
      <c r="F1426" s="101">
        <v>37531</v>
      </c>
    </row>
    <row r="1427" spans="3:6" ht="14.4" customHeight="1" x14ac:dyDescent="0.3">
      <c r="C1427" s="2">
        <v>100</v>
      </c>
      <c r="D1427" s="2" t="s">
        <v>223</v>
      </c>
      <c r="E1427" s="2" t="s">
        <v>769</v>
      </c>
      <c r="F1427" s="101">
        <v>63718</v>
      </c>
    </row>
    <row r="1428" spans="3:6" ht="14.4" customHeight="1" x14ac:dyDescent="0.3">
      <c r="C1428" s="2">
        <v>100</v>
      </c>
      <c r="D1428" s="2" t="s">
        <v>198</v>
      </c>
      <c r="E1428" s="2" t="s">
        <v>770</v>
      </c>
      <c r="F1428" s="101">
        <v>63</v>
      </c>
    </row>
    <row r="1429" spans="3:6" ht="14.4" customHeight="1" x14ac:dyDescent="0.3">
      <c r="C1429" s="2">
        <v>100</v>
      </c>
      <c r="D1429" s="2" t="s">
        <v>277</v>
      </c>
      <c r="E1429" s="2" t="s">
        <v>770</v>
      </c>
      <c r="F1429" s="101">
        <v>13615</v>
      </c>
    </row>
    <row r="1430" spans="3:6" ht="14.4" customHeight="1" x14ac:dyDescent="0.3">
      <c r="C1430" s="2">
        <v>100</v>
      </c>
      <c r="D1430" s="2" t="s">
        <v>643</v>
      </c>
      <c r="E1430" s="2" t="s">
        <v>770</v>
      </c>
      <c r="F1430" s="101">
        <v>771</v>
      </c>
    </row>
    <row r="1431" spans="3:6" ht="14.4" customHeight="1" x14ac:dyDescent="0.3">
      <c r="C1431" s="2">
        <v>100</v>
      </c>
      <c r="D1431" s="2" t="s">
        <v>209</v>
      </c>
      <c r="E1431" s="2" t="s">
        <v>770</v>
      </c>
      <c r="F1431" s="101">
        <v>1067</v>
      </c>
    </row>
    <row r="1432" spans="3:6" ht="14.4" customHeight="1" x14ac:dyDescent="0.3">
      <c r="C1432" s="2">
        <v>100</v>
      </c>
      <c r="D1432" s="2" t="s">
        <v>231</v>
      </c>
      <c r="E1432" s="2" t="s">
        <v>774</v>
      </c>
      <c r="F1432" s="101">
        <v>4744</v>
      </c>
    </row>
    <row r="1433" spans="3:6" ht="14.4" customHeight="1" x14ac:dyDescent="0.3">
      <c r="C1433" s="2">
        <v>100</v>
      </c>
      <c r="D1433" s="2" t="s">
        <v>280</v>
      </c>
      <c r="E1433" s="2" t="s">
        <v>770</v>
      </c>
      <c r="F1433" s="101">
        <v>1362</v>
      </c>
    </row>
    <row r="1434" spans="3:6" ht="14.4" customHeight="1" x14ac:dyDescent="0.3">
      <c r="C1434" s="2">
        <v>100</v>
      </c>
      <c r="D1434" s="2" t="s">
        <v>799</v>
      </c>
      <c r="E1434" s="2" t="s">
        <v>769</v>
      </c>
      <c r="F1434" s="101">
        <v>190</v>
      </c>
    </row>
    <row r="1435" spans="3:6" ht="14.4" customHeight="1" x14ac:dyDescent="0.3">
      <c r="C1435" s="2">
        <v>100</v>
      </c>
      <c r="D1435" s="2" t="s">
        <v>750</v>
      </c>
      <c r="E1435" s="2" t="s">
        <v>769</v>
      </c>
      <c r="F1435" s="101">
        <v>729</v>
      </c>
    </row>
    <row r="1436" spans="3:6" ht="14.4" customHeight="1" x14ac:dyDescent="0.3">
      <c r="C1436" s="2">
        <v>100</v>
      </c>
      <c r="D1436" s="2" t="s">
        <v>457</v>
      </c>
      <c r="E1436" s="2" t="s">
        <v>770</v>
      </c>
      <c r="F1436" s="101">
        <v>1712</v>
      </c>
    </row>
    <row r="1437" spans="3:6" ht="14.4" customHeight="1" x14ac:dyDescent="0.3">
      <c r="C1437" s="2">
        <v>100</v>
      </c>
      <c r="D1437" s="2" t="s">
        <v>283</v>
      </c>
      <c r="E1437" s="2" t="s">
        <v>774</v>
      </c>
      <c r="F1437" s="101">
        <v>10494</v>
      </c>
    </row>
    <row r="1438" spans="3:6" ht="14.4" customHeight="1" x14ac:dyDescent="0.3">
      <c r="C1438" s="2">
        <v>100</v>
      </c>
      <c r="D1438" s="2" t="s">
        <v>392</v>
      </c>
      <c r="E1438" s="2" t="s">
        <v>774</v>
      </c>
      <c r="F1438" s="101">
        <v>342</v>
      </c>
    </row>
    <row r="1439" spans="3:6" ht="14.4" customHeight="1" x14ac:dyDescent="0.3">
      <c r="C1439" s="2">
        <v>100</v>
      </c>
      <c r="D1439" s="2" t="s">
        <v>278</v>
      </c>
      <c r="E1439" s="2" t="s">
        <v>769</v>
      </c>
      <c r="F1439" s="101">
        <v>155412</v>
      </c>
    </row>
    <row r="1440" spans="3:6" ht="14.4" customHeight="1" x14ac:dyDescent="0.3">
      <c r="C1440" s="2">
        <v>100</v>
      </c>
      <c r="D1440" s="2" t="s">
        <v>495</v>
      </c>
      <c r="E1440" s="2" t="s">
        <v>774</v>
      </c>
      <c r="F1440" s="101">
        <v>-246</v>
      </c>
    </row>
    <row r="1441" spans="3:6" ht="14.4" customHeight="1" x14ac:dyDescent="0.3">
      <c r="C1441" s="2">
        <v>100</v>
      </c>
      <c r="D1441" s="2" t="s">
        <v>690</v>
      </c>
      <c r="E1441" s="2" t="s">
        <v>769</v>
      </c>
      <c r="F1441" s="101">
        <v>14637</v>
      </c>
    </row>
    <row r="1442" spans="3:6" ht="14.4" customHeight="1" x14ac:dyDescent="0.3">
      <c r="C1442" s="2">
        <v>100</v>
      </c>
      <c r="D1442" s="2" t="s">
        <v>665</v>
      </c>
      <c r="E1442" s="2" t="s">
        <v>775</v>
      </c>
      <c r="F1442" s="101">
        <v>8</v>
      </c>
    </row>
    <row r="1443" spans="3:6" ht="14.4" customHeight="1" x14ac:dyDescent="0.3">
      <c r="C1443" s="2">
        <v>100</v>
      </c>
      <c r="D1443" s="2" t="s">
        <v>797</v>
      </c>
      <c r="E1443" s="2" t="s">
        <v>771</v>
      </c>
      <c r="F1443" s="101">
        <v>10</v>
      </c>
    </row>
    <row r="1444" spans="3:6" ht="14.4" customHeight="1" x14ac:dyDescent="0.3">
      <c r="C1444" s="2">
        <v>100</v>
      </c>
      <c r="D1444" s="2" t="s">
        <v>491</v>
      </c>
      <c r="E1444" s="2" t="s">
        <v>769</v>
      </c>
      <c r="F1444" s="101">
        <v>2627</v>
      </c>
    </row>
    <row r="1445" spans="3:6" ht="14.4" customHeight="1" x14ac:dyDescent="0.3">
      <c r="C1445" s="2">
        <v>100</v>
      </c>
      <c r="D1445" s="2" t="s">
        <v>535</v>
      </c>
      <c r="E1445" s="2" t="s">
        <v>775</v>
      </c>
      <c r="F1445" s="101">
        <v>5</v>
      </c>
    </row>
    <row r="1446" spans="3:6" ht="14.4" customHeight="1" x14ac:dyDescent="0.3">
      <c r="C1446" s="2">
        <v>100</v>
      </c>
      <c r="D1446" s="2" t="s">
        <v>675</v>
      </c>
      <c r="E1446" s="2" t="s">
        <v>770</v>
      </c>
      <c r="F1446" s="101">
        <v>882</v>
      </c>
    </row>
    <row r="1447" spans="3:6" ht="14.4" customHeight="1" x14ac:dyDescent="0.3">
      <c r="C1447" s="2">
        <v>100</v>
      </c>
      <c r="D1447" s="2" t="s">
        <v>274</v>
      </c>
      <c r="E1447" s="2" t="s">
        <v>772</v>
      </c>
      <c r="F1447" s="101">
        <v>4295</v>
      </c>
    </row>
    <row r="1448" spans="3:6" ht="14.4" customHeight="1" x14ac:dyDescent="0.3">
      <c r="C1448" s="2">
        <v>100</v>
      </c>
      <c r="D1448" s="2" t="s">
        <v>621</v>
      </c>
      <c r="E1448" s="2" t="s">
        <v>769</v>
      </c>
      <c r="F1448" s="101">
        <v>3348</v>
      </c>
    </row>
    <row r="1449" spans="3:6" ht="14.4" customHeight="1" x14ac:dyDescent="0.3">
      <c r="C1449" s="2">
        <v>100</v>
      </c>
      <c r="D1449" s="2" t="s">
        <v>556</v>
      </c>
      <c r="E1449" s="2" t="s">
        <v>770</v>
      </c>
      <c r="F1449" s="101">
        <v>164</v>
      </c>
    </row>
    <row r="1450" spans="3:6" ht="14.4" customHeight="1" x14ac:dyDescent="0.3">
      <c r="C1450" s="2">
        <v>100</v>
      </c>
      <c r="D1450" s="2" t="s">
        <v>253</v>
      </c>
      <c r="E1450" s="2" t="s">
        <v>774</v>
      </c>
      <c r="F1450" s="101">
        <v>23996</v>
      </c>
    </row>
    <row r="1451" spans="3:6" ht="14.4" customHeight="1" x14ac:dyDescent="0.3">
      <c r="C1451" s="2">
        <v>100</v>
      </c>
      <c r="D1451" s="2" t="s">
        <v>526</v>
      </c>
      <c r="E1451" s="2" t="s">
        <v>774</v>
      </c>
      <c r="F1451" s="101">
        <v>215</v>
      </c>
    </row>
    <row r="1452" spans="3:6" ht="14.4" customHeight="1" x14ac:dyDescent="0.3">
      <c r="C1452" s="2">
        <v>100</v>
      </c>
      <c r="D1452" s="2" t="s">
        <v>271</v>
      </c>
      <c r="E1452" s="2" t="s">
        <v>773</v>
      </c>
      <c r="F1452" s="101">
        <v>2531</v>
      </c>
    </row>
    <row r="1453" spans="3:6" ht="14.4" customHeight="1" x14ac:dyDescent="0.3">
      <c r="C1453" s="2">
        <v>100</v>
      </c>
      <c r="D1453" s="2" t="s">
        <v>233</v>
      </c>
      <c r="E1453" s="2" t="s">
        <v>775</v>
      </c>
      <c r="F1453" s="101">
        <v>1427</v>
      </c>
    </row>
    <row r="1454" spans="3:6" ht="14.4" customHeight="1" x14ac:dyDescent="0.3">
      <c r="C1454" s="2">
        <v>100</v>
      </c>
      <c r="D1454" s="2" t="s">
        <v>569</v>
      </c>
      <c r="E1454" s="2" t="s">
        <v>771</v>
      </c>
      <c r="F1454" s="101">
        <v>3323</v>
      </c>
    </row>
    <row r="1455" spans="3:6" ht="14.4" customHeight="1" x14ac:dyDescent="0.3">
      <c r="C1455" s="2">
        <v>100</v>
      </c>
      <c r="D1455" s="2" t="s">
        <v>661</v>
      </c>
      <c r="E1455" s="2" t="s">
        <v>777</v>
      </c>
      <c r="F1455" s="101">
        <v>2279</v>
      </c>
    </row>
    <row r="1456" spans="3:6" ht="14.4" customHeight="1" x14ac:dyDescent="0.3">
      <c r="C1456" s="2">
        <v>100</v>
      </c>
      <c r="D1456" s="2" t="s">
        <v>485</v>
      </c>
      <c r="E1456" s="2" t="s">
        <v>769</v>
      </c>
      <c r="F1456" s="101">
        <v>151464</v>
      </c>
    </row>
    <row r="1457" spans="3:6" ht="14.4" customHeight="1" x14ac:dyDescent="0.3">
      <c r="C1457" s="2">
        <v>100</v>
      </c>
      <c r="D1457" s="2" t="s">
        <v>486</v>
      </c>
      <c r="E1457" s="2" t="s">
        <v>771</v>
      </c>
      <c r="F1457" s="101">
        <v>36704</v>
      </c>
    </row>
    <row r="1458" spans="3:6" ht="14.4" customHeight="1" x14ac:dyDescent="0.3">
      <c r="C1458" s="2">
        <v>100</v>
      </c>
      <c r="D1458" s="2" t="s">
        <v>684</v>
      </c>
      <c r="E1458" s="2" t="s">
        <v>770</v>
      </c>
      <c r="F1458" s="101">
        <v>419</v>
      </c>
    </row>
    <row r="1459" spans="3:6" ht="14.4" customHeight="1" x14ac:dyDescent="0.3">
      <c r="C1459" s="2">
        <v>100</v>
      </c>
      <c r="D1459" s="2" t="s">
        <v>493</v>
      </c>
      <c r="E1459" s="2" t="s">
        <v>773</v>
      </c>
      <c r="F1459" s="101">
        <v>36804</v>
      </c>
    </row>
    <row r="1460" spans="3:6" ht="14.4" customHeight="1" x14ac:dyDescent="0.3">
      <c r="C1460" s="2">
        <v>100</v>
      </c>
      <c r="D1460" s="2" t="s">
        <v>262</v>
      </c>
      <c r="E1460" s="2" t="s">
        <v>771</v>
      </c>
      <c r="F1460" s="101">
        <v>21171</v>
      </c>
    </row>
    <row r="1461" spans="3:6" ht="14.4" customHeight="1" x14ac:dyDescent="0.3">
      <c r="C1461" s="2">
        <v>100</v>
      </c>
      <c r="D1461" s="2" t="s">
        <v>357</v>
      </c>
      <c r="E1461" s="2" t="s">
        <v>771</v>
      </c>
      <c r="F1461" s="101">
        <v>18196</v>
      </c>
    </row>
    <row r="1462" spans="3:6" ht="14.4" customHeight="1" x14ac:dyDescent="0.3">
      <c r="C1462" s="2">
        <v>100</v>
      </c>
      <c r="D1462" s="2" t="s">
        <v>506</v>
      </c>
      <c r="E1462" s="2" t="s">
        <v>770</v>
      </c>
      <c r="F1462" s="101">
        <v>3221</v>
      </c>
    </row>
    <row r="1463" spans="3:6" ht="14.4" customHeight="1" x14ac:dyDescent="0.3">
      <c r="C1463" s="2">
        <v>100</v>
      </c>
      <c r="D1463" s="2" t="s">
        <v>317</v>
      </c>
      <c r="E1463" s="2" t="s">
        <v>770</v>
      </c>
      <c r="F1463" s="101">
        <v>2577</v>
      </c>
    </row>
    <row r="1464" spans="3:6" ht="14.4" customHeight="1" x14ac:dyDescent="0.3">
      <c r="C1464" s="2">
        <v>100</v>
      </c>
      <c r="D1464" s="2" t="s">
        <v>415</v>
      </c>
      <c r="E1464" s="2" t="s">
        <v>770</v>
      </c>
      <c r="F1464" s="101">
        <v>573</v>
      </c>
    </row>
    <row r="1465" spans="3:6" ht="14.4" customHeight="1" x14ac:dyDescent="0.3">
      <c r="C1465" s="2">
        <v>100</v>
      </c>
      <c r="D1465" s="2" t="s">
        <v>415</v>
      </c>
      <c r="E1465" s="2" t="s">
        <v>771</v>
      </c>
      <c r="F1465" s="101">
        <v>3492</v>
      </c>
    </row>
    <row r="1466" spans="3:6" ht="14.4" customHeight="1" x14ac:dyDescent="0.3">
      <c r="C1466" s="2">
        <v>100</v>
      </c>
      <c r="D1466" s="2" t="s">
        <v>622</v>
      </c>
      <c r="E1466" s="2" t="s">
        <v>770</v>
      </c>
      <c r="F1466" s="101">
        <v>2664</v>
      </c>
    </row>
    <row r="1467" spans="3:6" ht="14.4" customHeight="1" x14ac:dyDescent="0.3">
      <c r="C1467" s="2">
        <v>100</v>
      </c>
      <c r="D1467" s="2" t="s">
        <v>608</v>
      </c>
      <c r="E1467" s="2" t="s">
        <v>771</v>
      </c>
      <c r="F1467" s="101">
        <v>1423</v>
      </c>
    </row>
    <row r="1468" spans="3:6" ht="14.4" customHeight="1" x14ac:dyDescent="0.3">
      <c r="C1468" s="2">
        <v>100</v>
      </c>
      <c r="D1468" s="2" t="s">
        <v>448</v>
      </c>
      <c r="E1468" s="2" t="s">
        <v>770</v>
      </c>
      <c r="F1468" s="101">
        <v>28300</v>
      </c>
    </row>
    <row r="1469" spans="3:6" ht="14.4" customHeight="1" x14ac:dyDescent="0.3">
      <c r="C1469" s="2">
        <v>100</v>
      </c>
      <c r="D1469" s="2" t="s">
        <v>645</v>
      </c>
      <c r="E1469" s="2" t="s">
        <v>775</v>
      </c>
      <c r="F1469" s="101">
        <v>142</v>
      </c>
    </row>
    <row r="1470" spans="3:6" ht="14.4" customHeight="1" x14ac:dyDescent="0.3">
      <c r="C1470" s="2">
        <v>100</v>
      </c>
      <c r="D1470" s="2" t="s">
        <v>482</v>
      </c>
      <c r="E1470" s="2" t="s">
        <v>777</v>
      </c>
      <c r="F1470" s="101">
        <v>5773</v>
      </c>
    </row>
    <row r="1471" spans="3:6" ht="14.4" customHeight="1" x14ac:dyDescent="0.3">
      <c r="C1471" s="2">
        <v>100</v>
      </c>
      <c r="D1471" s="2" t="s">
        <v>651</v>
      </c>
      <c r="E1471" s="2" t="s">
        <v>770</v>
      </c>
      <c r="F1471" s="101">
        <v>128</v>
      </c>
    </row>
    <row r="1472" spans="3:6" ht="14.4" customHeight="1" x14ac:dyDescent="0.3">
      <c r="C1472" s="2">
        <v>100</v>
      </c>
      <c r="D1472" s="2" t="s">
        <v>214</v>
      </c>
      <c r="E1472" s="2" t="s">
        <v>774</v>
      </c>
      <c r="F1472" s="101">
        <v>22256</v>
      </c>
    </row>
    <row r="1473" spans="3:6" ht="14.4" customHeight="1" x14ac:dyDescent="0.3">
      <c r="C1473" s="2">
        <v>100</v>
      </c>
      <c r="D1473" s="2" t="s">
        <v>315</v>
      </c>
      <c r="E1473" s="2" t="s">
        <v>769</v>
      </c>
      <c r="F1473" s="101">
        <v>129537</v>
      </c>
    </row>
    <row r="1474" spans="3:6" ht="14.4" customHeight="1" x14ac:dyDescent="0.3">
      <c r="C1474" s="2">
        <v>100</v>
      </c>
      <c r="D1474" s="2" t="s">
        <v>512</v>
      </c>
      <c r="E1474" s="2" t="s">
        <v>770</v>
      </c>
      <c r="F1474" s="101">
        <v>2869</v>
      </c>
    </row>
    <row r="1475" spans="3:6" ht="14.4" customHeight="1" x14ac:dyDescent="0.3">
      <c r="C1475" s="2">
        <v>100</v>
      </c>
      <c r="D1475" s="2" t="s">
        <v>341</v>
      </c>
      <c r="E1475" s="2" t="s">
        <v>770</v>
      </c>
      <c r="F1475" s="101">
        <v>3</v>
      </c>
    </row>
    <row r="1476" spans="3:6" ht="14.4" customHeight="1" x14ac:dyDescent="0.3">
      <c r="C1476" s="2">
        <v>100</v>
      </c>
      <c r="D1476" s="2" t="s">
        <v>216</v>
      </c>
      <c r="E1476" s="2" t="s">
        <v>771</v>
      </c>
      <c r="F1476" s="101">
        <v>2167</v>
      </c>
    </row>
    <row r="1477" spans="3:6" ht="14.4" customHeight="1" x14ac:dyDescent="0.3">
      <c r="C1477" s="2">
        <v>100</v>
      </c>
      <c r="D1477" s="2" t="s">
        <v>465</v>
      </c>
      <c r="E1477" s="2" t="s">
        <v>769</v>
      </c>
      <c r="F1477" s="101">
        <v>1593400</v>
      </c>
    </row>
    <row r="1478" spans="3:6" ht="14.4" customHeight="1" x14ac:dyDescent="0.3">
      <c r="C1478" s="2">
        <v>100</v>
      </c>
      <c r="D1478" s="2" t="s">
        <v>375</v>
      </c>
      <c r="E1478" s="2" t="s">
        <v>771</v>
      </c>
      <c r="F1478" s="101">
        <v>7779</v>
      </c>
    </row>
    <row r="1479" spans="3:6" ht="14.4" customHeight="1" x14ac:dyDescent="0.3">
      <c r="C1479" s="2">
        <v>100</v>
      </c>
      <c r="D1479" s="2" t="s">
        <v>553</v>
      </c>
      <c r="E1479" s="2" t="s">
        <v>773</v>
      </c>
      <c r="F1479" s="101">
        <v>2668</v>
      </c>
    </row>
    <row r="1480" spans="3:6" ht="14.4" customHeight="1" x14ac:dyDescent="0.3">
      <c r="C1480" s="2">
        <v>100</v>
      </c>
      <c r="D1480" s="2" t="s">
        <v>553</v>
      </c>
      <c r="E1480" s="2" t="s">
        <v>775</v>
      </c>
      <c r="F1480" s="101">
        <v>81</v>
      </c>
    </row>
    <row r="1481" spans="3:6" ht="14.4" customHeight="1" x14ac:dyDescent="0.3">
      <c r="C1481" s="2">
        <v>100</v>
      </c>
      <c r="D1481" s="2" t="s">
        <v>710</v>
      </c>
      <c r="E1481" s="2" t="s">
        <v>770</v>
      </c>
      <c r="F1481" s="101">
        <v>305</v>
      </c>
    </row>
    <row r="1482" spans="3:6" ht="14.4" customHeight="1" x14ac:dyDescent="0.3">
      <c r="C1482" s="2">
        <v>100</v>
      </c>
      <c r="D1482" s="2" t="s">
        <v>710</v>
      </c>
      <c r="E1482" s="2" t="s">
        <v>771</v>
      </c>
      <c r="F1482" s="101">
        <v>1</v>
      </c>
    </row>
    <row r="1483" spans="3:6" ht="14.4" customHeight="1" x14ac:dyDescent="0.3">
      <c r="C1483" s="2">
        <v>100</v>
      </c>
      <c r="D1483" s="2" t="s">
        <v>549</v>
      </c>
      <c r="E1483" s="2" t="s">
        <v>771</v>
      </c>
      <c r="F1483" s="101">
        <v>7677</v>
      </c>
    </row>
    <row r="1484" spans="3:6" ht="14.4" customHeight="1" x14ac:dyDescent="0.3">
      <c r="C1484" s="2">
        <v>100</v>
      </c>
      <c r="D1484" s="2" t="s">
        <v>731</v>
      </c>
      <c r="E1484" s="2" t="s">
        <v>771</v>
      </c>
      <c r="F1484" s="101">
        <v>4454</v>
      </c>
    </row>
    <row r="1485" spans="3:6" ht="14.4" customHeight="1" x14ac:dyDescent="0.3">
      <c r="C1485" s="2">
        <v>100</v>
      </c>
      <c r="D1485" s="2" t="s">
        <v>519</v>
      </c>
      <c r="E1485" s="2" t="s">
        <v>769</v>
      </c>
      <c r="F1485" s="101">
        <v>38311</v>
      </c>
    </row>
    <row r="1486" spans="3:6" ht="14.4" customHeight="1" x14ac:dyDescent="0.3">
      <c r="C1486" s="2">
        <v>100</v>
      </c>
      <c r="D1486" s="2" t="s">
        <v>478</v>
      </c>
      <c r="E1486" s="2" t="s">
        <v>769</v>
      </c>
      <c r="F1486" s="101">
        <v>174268</v>
      </c>
    </row>
    <row r="1487" spans="3:6" ht="14.4" customHeight="1" x14ac:dyDescent="0.3">
      <c r="C1487" s="2">
        <v>100</v>
      </c>
      <c r="D1487" s="2" t="s">
        <v>468</v>
      </c>
      <c r="E1487" s="2" t="s">
        <v>770</v>
      </c>
      <c r="F1487" s="101">
        <v>366</v>
      </c>
    </row>
    <row r="1488" spans="3:6" ht="14.4" customHeight="1" x14ac:dyDescent="0.3">
      <c r="C1488" s="2">
        <v>100</v>
      </c>
      <c r="D1488" s="2" t="s">
        <v>694</v>
      </c>
      <c r="E1488" s="2" t="s">
        <v>769</v>
      </c>
      <c r="F1488" s="101">
        <v>7528</v>
      </c>
    </row>
    <row r="1489" spans="3:6" ht="14.4" customHeight="1" x14ac:dyDescent="0.3">
      <c r="C1489" s="2">
        <v>100</v>
      </c>
      <c r="D1489" s="2" t="s">
        <v>355</v>
      </c>
      <c r="E1489" s="2" t="s">
        <v>774</v>
      </c>
      <c r="F1489" s="101">
        <v>21161</v>
      </c>
    </row>
    <row r="1490" spans="3:6" ht="14.4" customHeight="1" x14ac:dyDescent="0.3">
      <c r="C1490" s="2">
        <v>100</v>
      </c>
      <c r="D1490" s="2" t="s">
        <v>789</v>
      </c>
      <c r="E1490" s="2" t="s">
        <v>771</v>
      </c>
      <c r="F1490" s="101">
        <v>23</v>
      </c>
    </row>
    <row r="1491" spans="3:6" ht="14.4" customHeight="1" x14ac:dyDescent="0.3">
      <c r="C1491" s="2">
        <v>100</v>
      </c>
      <c r="D1491" s="2" t="s">
        <v>269</v>
      </c>
      <c r="E1491" s="2" t="s">
        <v>770</v>
      </c>
      <c r="F1491" s="101">
        <v>144202</v>
      </c>
    </row>
    <row r="1492" spans="3:6" ht="14.4" customHeight="1" x14ac:dyDescent="0.3">
      <c r="C1492" s="2">
        <v>100</v>
      </c>
      <c r="D1492" s="2" t="s">
        <v>253</v>
      </c>
      <c r="E1492" s="2" t="s">
        <v>772</v>
      </c>
      <c r="F1492" s="101">
        <v>2963</v>
      </c>
    </row>
    <row r="1493" spans="3:6" ht="14.4" customHeight="1" x14ac:dyDescent="0.3">
      <c r="C1493" s="2">
        <v>100</v>
      </c>
      <c r="D1493" s="2" t="s">
        <v>494</v>
      </c>
      <c r="E1493" s="2" t="s">
        <v>771</v>
      </c>
      <c r="F1493" s="101">
        <v>87410</v>
      </c>
    </row>
    <row r="1494" spans="3:6" ht="14.4" customHeight="1" x14ac:dyDescent="0.3">
      <c r="C1494" s="2">
        <v>100</v>
      </c>
      <c r="D1494" s="2" t="s">
        <v>269</v>
      </c>
      <c r="E1494" s="2" t="s">
        <v>775</v>
      </c>
      <c r="F1494" s="101">
        <v>486204</v>
      </c>
    </row>
    <row r="1495" spans="3:6" ht="14.4" customHeight="1" x14ac:dyDescent="0.3">
      <c r="C1495" s="2">
        <v>100</v>
      </c>
      <c r="D1495" s="2" t="s">
        <v>397</v>
      </c>
      <c r="E1495" s="2" t="s">
        <v>771</v>
      </c>
      <c r="F1495" s="101">
        <v>13417</v>
      </c>
    </row>
    <row r="1496" spans="3:6" ht="14.4" customHeight="1" x14ac:dyDescent="0.3">
      <c r="C1496" s="2">
        <v>100</v>
      </c>
      <c r="D1496" s="2" t="s">
        <v>711</v>
      </c>
      <c r="E1496" s="2" t="s">
        <v>769</v>
      </c>
      <c r="F1496" s="101">
        <v>521676</v>
      </c>
    </row>
    <row r="1497" spans="3:6" ht="14.4" customHeight="1" x14ac:dyDescent="0.3">
      <c r="C1497" s="2">
        <v>100</v>
      </c>
      <c r="D1497" s="2" t="s">
        <v>478</v>
      </c>
      <c r="E1497" s="2" t="s">
        <v>777</v>
      </c>
      <c r="F1497" s="101">
        <v>51144</v>
      </c>
    </row>
    <row r="1498" spans="3:6" ht="14.4" customHeight="1" x14ac:dyDescent="0.3">
      <c r="C1498" s="2">
        <v>100</v>
      </c>
      <c r="D1498" s="2" t="s">
        <v>715</v>
      </c>
      <c r="E1498" s="2" t="s">
        <v>769</v>
      </c>
      <c r="F1498" s="101">
        <v>1877</v>
      </c>
    </row>
    <row r="1499" spans="3:6" ht="14.4" customHeight="1" x14ac:dyDescent="0.3">
      <c r="C1499" s="2">
        <v>100</v>
      </c>
      <c r="D1499" s="2" t="s">
        <v>423</v>
      </c>
      <c r="E1499" s="2" t="s">
        <v>777</v>
      </c>
      <c r="F1499" s="101">
        <v>5127</v>
      </c>
    </row>
    <row r="1500" spans="3:6" ht="14.4" customHeight="1" x14ac:dyDescent="0.3">
      <c r="C1500" s="2">
        <v>100</v>
      </c>
      <c r="D1500" s="2" t="s">
        <v>639</v>
      </c>
      <c r="E1500" s="2" t="s">
        <v>769</v>
      </c>
      <c r="F1500" s="101">
        <v>6929</v>
      </c>
    </row>
    <row r="1501" spans="3:6" ht="14.4" customHeight="1" x14ac:dyDescent="0.3">
      <c r="C1501" s="2">
        <v>100</v>
      </c>
      <c r="D1501" s="2" t="s">
        <v>409</v>
      </c>
      <c r="E1501" s="2" t="s">
        <v>769</v>
      </c>
      <c r="F1501" s="101">
        <v>24625</v>
      </c>
    </row>
    <row r="1502" spans="3:6" ht="14.4" customHeight="1" x14ac:dyDescent="0.3">
      <c r="C1502" s="2">
        <v>100</v>
      </c>
      <c r="D1502" s="2" t="s">
        <v>553</v>
      </c>
      <c r="E1502" s="2" t="s">
        <v>771</v>
      </c>
      <c r="F1502" s="101">
        <v>9480</v>
      </c>
    </row>
    <row r="1503" spans="3:6" ht="14.4" customHeight="1" x14ac:dyDescent="0.3">
      <c r="C1503" s="2">
        <v>100</v>
      </c>
      <c r="D1503" s="2" t="s">
        <v>333</v>
      </c>
      <c r="E1503" s="2" t="s">
        <v>769</v>
      </c>
      <c r="F1503" s="101">
        <v>216789</v>
      </c>
    </row>
    <row r="1504" spans="3:6" ht="14.4" customHeight="1" x14ac:dyDescent="0.3">
      <c r="C1504" s="2">
        <v>100</v>
      </c>
      <c r="D1504" s="2" t="s">
        <v>216</v>
      </c>
      <c r="E1504" s="2" t="s">
        <v>773</v>
      </c>
      <c r="F1504" s="101">
        <v>885</v>
      </c>
    </row>
    <row r="1505" spans="3:6" ht="14.4" customHeight="1" x14ac:dyDescent="0.3">
      <c r="C1505" s="2">
        <v>100</v>
      </c>
      <c r="D1505" s="2" t="s">
        <v>460</v>
      </c>
      <c r="E1505" s="2" t="s">
        <v>771</v>
      </c>
      <c r="F1505" s="101">
        <v>6070</v>
      </c>
    </row>
    <row r="1506" spans="3:6" ht="14.4" customHeight="1" x14ac:dyDescent="0.3">
      <c r="C1506" s="2">
        <v>100</v>
      </c>
      <c r="D1506" s="2" t="s">
        <v>229</v>
      </c>
      <c r="E1506" s="2" t="s">
        <v>770</v>
      </c>
      <c r="F1506" s="101">
        <v>2345</v>
      </c>
    </row>
    <row r="1507" spans="3:6" ht="14.4" customHeight="1" x14ac:dyDescent="0.3">
      <c r="C1507" s="2">
        <v>100</v>
      </c>
      <c r="D1507" s="2" t="s">
        <v>667</v>
      </c>
      <c r="E1507" s="2" t="s">
        <v>770</v>
      </c>
      <c r="F1507" s="101">
        <v>3050</v>
      </c>
    </row>
    <row r="1508" spans="3:6" ht="14.4" customHeight="1" x14ac:dyDescent="0.3">
      <c r="C1508" s="2">
        <v>100</v>
      </c>
      <c r="D1508" s="2" t="s">
        <v>269</v>
      </c>
      <c r="E1508" s="2" t="s">
        <v>783</v>
      </c>
      <c r="F1508" s="101">
        <v>29</v>
      </c>
    </row>
    <row r="1509" spans="3:6" ht="14.4" customHeight="1" x14ac:dyDescent="0.3">
      <c r="C1509" s="2">
        <v>100</v>
      </c>
      <c r="D1509" s="2" t="s">
        <v>566</v>
      </c>
      <c r="E1509" s="2" t="s">
        <v>775</v>
      </c>
      <c r="F1509" s="101">
        <v>25763</v>
      </c>
    </row>
    <row r="1510" spans="3:6" ht="14.4" customHeight="1" x14ac:dyDescent="0.3">
      <c r="C1510" s="2">
        <v>100</v>
      </c>
      <c r="D1510" s="2" t="s">
        <v>692</v>
      </c>
      <c r="E1510" s="2" t="s">
        <v>775</v>
      </c>
      <c r="F1510" s="101">
        <v>3395</v>
      </c>
    </row>
    <row r="1511" spans="3:6" ht="14.4" customHeight="1" x14ac:dyDescent="0.3">
      <c r="C1511" s="2">
        <v>100</v>
      </c>
      <c r="D1511" s="2" t="s">
        <v>273</v>
      </c>
      <c r="E1511" s="2" t="s">
        <v>770</v>
      </c>
      <c r="F1511" s="101">
        <v>2482</v>
      </c>
    </row>
    <row r="1512" spans="3:6" ht="14.4" customHeight="1" x14ac:dyDescent="0.3">
      <c r="C1512" s="2">
        <v>100</v>
      </c>
      <c r="D1512" s="2" t="s">
        <v>330</v>
      </c>
      <c r="E1512" s="2" t="s">
        <v>775</v>
      </c>
      <c r="F1512" s="101">
        <v>152837</v>
      </c>
    </row>
    <row r="1513" spans="3:6" ht="14.4" customHeight="1" x14ac:dyDescent="0.3">
      <c r="C1513" s="2">
        <v>100</v>
      </c>
      <c r="D1513" s="2" t="s">
        <v>215</v>
      </c>
      <c r="E1513" s="2" t="s">
        <v>774</v>
      </c>
      <c r="F1513" s="101">
        <v>1827</v>
      </c>
    </row>
    <row r="1514" spans="3:6" ht="14.4" customHeight="1" x14ac:dyDescent="0.3">
      <c r="C1514" s="2">
        <v>100</v>
      </c>
      <c r="D1514" s="2" t="s">
        <v>502</v>
      </c>
      <c r="E1514" s="2" t="s">
        <v>773</v>
      </c>
      <c r="F1514" s="101">
        <v>69</v>
      </c>
    </row>
    <row r="1515" spans="3:6" ht="14.4" customHeight="1" x14ac:dyDescent="0.3">
      <c r="C1515" s="2">
        <v>100</v>
      </c>
      <c r="D1515" s="2" t="s">
        <v>240</v>
      </c>
      <c r="E1515" s="2" t="s">
        <v>771</v>
      </c>
      <c r="F1515" s="101">
        <v>129590</v>
      </c>
    </row>
    <row r="1516" spans="3:6" ht="14.4" customHeight="1" x14ac:dyDescent="0.3">
      <c r="C1516" s="2">
        <v>100</v>
      </c>
      <c r="D1516" s="2" t="s">
        <v>254</v>
      </c>
      <c r="E1516" s="2" t="s">
        <v>774</v>
      </c>
      <c r="F1516" s="101">
        <v>83</v>
      </c>
    </row>
    <row r="1517" spans="3:6" ht="14.4" customHeight="1" x14ac:dyDescent="0.3">
      <c r="C1517" s="2">
        <v>100</v>
      </c>
      <c r="D1517" s="2" t="s">
        <v>308</v>
      </c>
      <c r="E1517" s="2" t="s">
        <v>773</v>
      </c>
      <c r="F1517" s="101">
        <v>327</v>
      </c>
    </row>
    <row r="1518" spans="3:6" ht="14.4" customHeight="1" x14ac:dyDescent="0.3">
      <c r="C1518" s="2">
        <v>100</v>
      </c>
      <c r="D1518" s="2" t="s">
        <v>329</v>
      </c>
      <c r="E1518" s="2" t="s">
        <v>771</v>
      </c>
      <c r="F1518" s="101">
        <v>149649</v>
      </c>
    </row>
    <row r="1519" spans="3:6" ht="14.4" customHeight="1" x14ac:dyDescent="0.3">
      <c r="C1519" s="2">
        <v>100</v>
      </c>
      <c r="D1519" s="2" t="s">
        <v>616</v>
      </c>
      <c r="E1519" s="2" t="s">
        <v>771</v>
      </c>
      <c r="F1519" s="101">
        <v>850</v>
      </c>
    </row>
    <row r="1520" spans="3:6" ht="14.4" customHeight="1" x14ac:dyDescent="0.3">
      <c r="C1520" s="2">
        <v>100</v>
      </c>
      <c r="D1520" s="2" t="s">
        <v>496</v>
      </c>
      <c r="E1520" s="2" t="s">
        <v>771</v>
      </c>
      <c r="F1520" s="101">
        <v>6797</v>
      </c>
    </row>
    <row r="1521" spans="3:6" ht="14.4" customHeight="1" x14ac:dyDescent="0.3">
      <c r="C1521" s="2">
        <v>100</v>
      </c>
      <c r="D1521" s="2" t="s">
        <v>499</v>
      </c>
      <c r="E1521" s="2" t="s">
        <v>773</v>
      </c>
      <c r="F1521" s="101">
        <v>118</v>
      </c>
    </row>
    <row r="1522" spans="3:6" ht="14.4" customHeight="1" x14ac:dyDescent="0.3">
      <c r="C1522" s="2">
        <v>100</v>
      </c>
      <c r="D1522" s="2" t="s">
        <v>610</v>
      </c>
      <c r="E1522" s="2" t="s">
        <v>771</v>
      </c>
      <c r="F1522" s="101">
        <v>118</v>
      </c>
    </row>
    <row r="1523" spans="3:6" ht="14.4" customHeight="1" x14ac:dyDescent="0.3">
      <c r="C1523" s="2">
        <v>100</v>
      </c>
      <c r="D1523" s="2" t="s">
        <v>219</v>
      </c>
      <c r="E1523" s="2" t="s">
        <v>775</v>
      </c>
      <c r="F1523" s="101">
        <v>172</v>
      </c>
    </row>
    <row r="1524" spans="3:6" ht="14.4" customHeight="1" x14ac:dyDescent="0.3">
      <c r="C1524" s="2">
        <v>100</v>
      </c>
      <c r="D1524" s="2" t="s">
        <v>361</v>
      </c>
      <c r="E1524" s="2" t="s">
        <v>769</v>
      </c>
      <c r="F1524" s="101">
        <v>232531</v>
      </c>
    </row>
    <row r="1525" spans="3:6" ht="14.4" customHeight="1" x14ac:dyDescent="0.3">
      <c r="C1525" s="2">
        <v>100</v>
      </c>
      <c r="D1525" s="2" t="s">
        <v>551</v>
      </c>
      <c r="E1525" s="2" t="s">
        <v>774</v>
      </c>
      <c r="F1525" s="101">
        <v>-4094</v>
      </c>
    </row>
    <row r="1526" spans="3:6" ht="14.4" customHeight="1" x14ac:dyDescent="0.3">
      <c r="C1526" s="2">
        <v>100</v>
      </c>
      <c r="D1526" s="2" t="s">
        <v>427</v>
      </c>
      <c r="E1526" s="2" t="s">
        <v>773</v>
      </c>
      <c r="F1526" s="101">
        <v>824</v>
      </c>
    </row>
    <row r="1527" spans="3:6" ht="14.4" customHeight="1" x14ac:dyDescent="0.3">
      <c r="C1527" s="2">
        <v>100</v>
      </c>
      <c r="D1527" s="2" t="s">
        <v>678</v>
      </c>
      <c r="E1527" s="2" t="s">
        <v>769</v>
      </c>
      <c r="F1527" s="101">
        <v>-17659</v>
      </c>
    </row>
    <row r="1528" spans="3:6" ht="14.4" customHeight="1" x14ac:dyDescent="0.3">
      <c r="C1528" s="2">
        <v>100</v>
      </c>
      <c r="D1528" s="2" t="s">
        <v>492</v>
      </c>
      <c r="E1528" s="2" t="s">
        <v>774</v>
      </c>
      <c r="F1528" s="101">
        <v>0</v>
      </c>
    </row>
    <row r="1529" spans="3:6" ht="14.4" customHeight="1" x14ac:dyDescent="0.3">
      <c r="C1529" s="2">
        <v>100</v>
      </c>
      <c r="D1529" s="2" t="s">
        <v>300</v>
      </c>
      <c r="E1529" s="2" t="s">
        <v>769</v>
      </c>
      <c r="F1529" s="101">
        <v>206833</v>
      </c>
    </row>
    <row r="1530" spans="3:6" ht="14.4" customHeight="1" x14ac:dyDescent="0.3">
      <c r="C1530" s="2">
        <v>100</v>
      </c>
      <c r="D1530" s="2" t="s">
        <v>213</v>
      </c>
      <c r="E1530" s="2" t="s">
        <v>777</v>
      </c>
      <c r="F1530" s="101">
        <v>378</v>
      </c>
    </row>
    <row r="1531" spans="3:6" ht="14.4" customHeight="1" x14ac:dyDescent="0.3">
      <c r="C1531" s="2">
        <v>100</v>
      </c>
      <c r="D1531" s="2" t="s">
        <v>365</v>
      </c>
      <c r="E1531" s="2" t="s">
        <v>771</v>
      </c>
      <c r="F1531" s="101">
        <v>83463</v>
      </c>
    </row>
    <row r="1532" spans="3:6" ht="14.4" customHeight="1" x14ac:dyDescent="0.3">
      <c r="C1532" s="2">
        <v>100</v>
      </c>
      <c r="D1532" s="2" t="s">
        <v>284</v>
      </c>
      <c r="E1532" s="2" t="s">
        <v>774</v>
      </c>
      <c r="F1532" s="101">
        <v>468</v>
      </c>
    </row>
    <row r="1533" spans="3:6" ht="14.4" customHeight="1" x14ac:dyDescent="0.3">
      <c r="C1533" s="2">
        <v>100</v>
      </c>
      <c r="D1533" s="2" t="s">
        <v>246</v>
      </c>
      <c r="E1533" s="2" t="s">
        <v>769</v>
      </c>
      <c r="F1533" s="101">
        <v>1427</v>
      </c>
    </row>
    <row r="1534" spans="3:6" ht="14.4" customHeight="1" x14ac:dyDescent="0.3">
      <c r="C1534" s="2">
        <v>100</v>
      </c>
      <c r="D1534" s="2" t="s">
        <v>445</v>
      </c>
      <c r="E1534" s="2" t="s">
        <v>770</v>
      </c>
      <c r="F1534" s="101">
        <v>25</v>
      </c>
    </row>
    <row r="1535" spans="3:6" ht="14.4" customHeight="1" x14ac:dyDescent="0.3">
      <c r="C1535" s="2">
        <v>100</v>
      </c>
      <c r="D1535" s="2" t="s">
        <v>692</v>
      </c>
      <c r="E1535" s="2" t="s">
        <v>771</v>
      </c>
      <c r="F1535" s="101">
        <v>382</v>
      </c>
    </row>
    <row r="1536" spans="3:6" ht="14.4" customHeight="1" x14ac:dyDescent="0.3">
      <c r="C1536" s="2">
        <v>100</v>
      </c>
      <c r="D1536" s="2" t="s">
        <v>712</v>
      </c>
      <c r="E1536" s="2" t="s">
        <v>774</v>
      </c>
      <c r="F1536" s="101">
        <v>0</v>
      </c>
    </row>
    <row r="1537" spans="3:6" ht="14.4" customHeight="1" x14ac:dyDescent="0.3">
      <c r="C1537" s="2">
        <v>100</v>
      </c>
      <c r="D1537" s="2" t="s">
        <v>320</v>
      </c>
      <c r="E1537" s="2" t="s">
        <v>774</v>
      </c>
      <c r="F1537" s="101">
        <v>8168</v>
      </c>
    </row>
    <row r="1538" spans="3:6" ht="14.4" customHeight="1" x14ac:dyDescent="0.3">
      <c r="C1538" s="2">
        <v>100</v>
      </c>
      <c r="D1538" s="2" t="s">
        <v>585</v>
      </c>
      <c r="E1538" s="2" t="s">
        <v>773</v>
      </c>
      <c r="F1538" s="101">
        <v>1561</v>
      </c>
    </row>
    <row r="1539" spans="3:6" ht="14.4" customHeight="1" x14ac:dyDescent="0.3">
      <c r="C1539" s="2">
        <v>100</v>
      </c>
      <c r="D1539" s="2" t="s">
        <v>385</v>
      </c>
      <c r="E1539" s="2" t="s">
        <v>771</v>
      </c>
      <c r="F1539" s="101">
        <v>9927</v>
      </c>
    </row>
    <row r="1540" spans="3:6" ht="14.4" customHeight="1" x14ac:dyDescent="0.3">
      <c r="C1540" s="2">
        <v>100</v>
      </c>
      <c r="D1540" s="2" t="s">
        <v>417</v>
      </c>
      <c r="E1540" s="2" t="s">
        <v>770</v>
      </c>
      <c r="F1540" s="101">
        <v>14664</v>
      </c>
    </row>
    <row r="1541" spans="3:6" ht="14.4" customHeight="1" x14ac:dyDescent="0.3">
      <c r="C1541" s="2">
        <v>100</v>
      </c>
      <c r="D1541" s="2" t="s">
        <v>695</v>
      </c>
      <c r="E1541" s="2" t="s">
        <v>770</v>
      </c>
      <c r="F1541" s="101">
        <v>3</v>
      </c>
    </row>
    <row r="1542" spans="3:6" ht="14.4" customHeight="1" x14ac:dyDescent="0.3">
      <c r="C1542" s="2">
        <v>100</v>
      </c>
      <c r="D1542" s="2" t="s">
        <v>582</v>
      </c>
      <c r="E1542" s="2" t="s">
        <v>771</v>
      </c>
      <c r="F1542" s="101">
        <v>12880</v>
      </c>
    </row>
    <row r="1543" spans="3:6" ht="14.4" customHeight="1" x14ac:dyDescent="0.3">
      <c r="C1543" s="2">
        <v>100</v>
      </c>
      <c r="D1543" s="2" t="s">
        <v>702</v>
      </c>
      <c r="E1543" s="2" t="s">
        <v>772</v>
      </c>
      <c r="F1543" s="101">
        <v>327</v>
      </c>
    </row>
    <row r="1544" spans="3:6" ht="14.4" customHeight="1" x14ac:dyDescent="0.3">
      <c r="C1544" s="2">
        <v>100</v>
      </c>
      <c r="D1544" s="2" t="s">
        <v>722</v>
      </c>
      <c r="E1544" s="2" t="s">
        <v>771</v>
      </c>
      <c r="F1544" s="101">
        <v>160</v>
      </c>
    </row>
    <row r="1545" spans="3:6" ht="14.4" customHeight="1" x14ac:dyDescent="0.3">
      <c r="C1545" s="2">
        <v>100</v>
      </c>
      <c r="D1545" s="2" t="s">
        <v>543</v>
      </c>
      <c r="E1545" s="2" t="s">
        <v>771</v>
      </c>
      <c r="F1545" s="101">
        <v>1098</v>
      </c>
    </row>
    <row r="1546" spans="3:6" ht="14.4" customHeight="1" x14ac:dyDescent="0.3">
      <c r="C1546" s="2">
        <v>100</v>
      </c>
      <c r="D1546" s="2" t="s">
        <v>626</v>
      </c>
      <c r="E1546" s="2" t="s">
        <v>769</v>
      </c>
      <c r="F1546" s="101">
        <v>99346</v>
      </c>
    </row>
    <row r="1547" spans="3:6" ht="14.4" customHeight="1" x14ac:dyDescent="0.3">
      <c r="C1547" s="2">
        <v>100</v>
      </c>
      <c r="D1547" s="2" t="s">
        <v>374</v>
      </c>
      <c r="E1547" s="2" t="s">
        <v>769</v>
      </c>
      <c r="F1547" s="101">
        <v>50377</v>
      </c>
    </row>
    <row r="1548" spans="3:6" ht="14.4" customHeight="1" x14ac:dyDescent="0.3">
      <c r="C1548" s="2">
        <v>100</v>
      </c>
      <c r="D1548" s="2" t="s">
        <v>542</v>
      </c>
      <c r="E1548" s="2" t="s">
        <v>775</v>
      </c>
      <c r="F1548" s="101">
        <v>3742</v>
      </c>
    </row>
    <row r="1549" spans="3:6" ht="14.4" customHeight="1" x14ac:dyDescent="0.3">
      <c r="C1549" s="2">
        <v>100</v>
      </c>
      <c r="D1549" s="2" t="s">
        <v>563</v>
      </c>
      <c r="E1549" s="2" t="s">
        <v>774</v>
      </c>
      <c r="F1549" s="101">
        <v>261</v>
      </c>
    </row>
    <row r="1550" spans="3:6" ht="14.4" customHeight="1" x14ac:dyDescent="0.3">
      <c r="C1550" s="2">
        <v>100</v>
      </c>
      <c r="D1550" s="2" t="s">
        <v>543</v>
      </c>
      <c r="E1550" s="2" t="s">
        <v>773</v>
      </c>
      <c r="F1550" s="101">
        <v>12</v>
      </c>
    </row>
    <row r="1551" spans="3:6" ht="14.4" customHeight="1" x14ac:dyDescent="0.3">
      <c r="C1551" s="2">
        <v>100</v>
      </c>
      <c r="D1551" s="2" t="s">
        <v>542</v>
      </c>
      <c r="E1551" s="2" t="s">
        <v>771</v>
      </c>
      <c r="F1551" s="101">
        <v>16210</v>
      </c>
    </row>
    <row r="1552" spans="3:6" ht="14.4" customHeight="1" x14ac:dyDescent="0.3">
      <c r="C1552" s="2">
        <v>100</v>
      </c>
      <c r="D1552" s="2" t="s">
        <v>542</v>
      </c>
      <c r="E1552" s="2" t="s">
        <v>770</v>
      </c>
      <c r="F1552" s="101">
        <v>3199</v>
      </c>
    </row>
    <row r="1553" spans="3:6" ht="14.4" customHeight="1" x14ac:dyDescent="0.3">
      <c r="C1553" s="2">
        <v>100</v>
      </c>
      <c r="D1553" s="2" t="s">
        <v>368</v>
      </c>
      <c r="E1553" s="2" t="s">
        <v>771</v>
      </c>
      <c r="F1553" s="101">
        <v>135</v>
      </c>
    </row>
    <row r="1554" spans="3:6" ht="14.4" customHeight="1" x14ac:dyDescent="0.3">
      <c r="C1554" s="2">
        <v>100</v>
      </c>
      <c r="D1554" s="2" t="s">
        <v>255</v>
      </c>
      <c r="E1554" s="2" t="s">
        <v>770</v>
      </c>
      <c r="F1554" s="101">
        <v>20215</v>
      </c>
    </row>
    <row r="1555" spans="3:6" ht="14.4" customHeight="1" x14ac:dyDescent="0.3">
      <c r="C1555" s="2">
        <v>100</v>
      </c>
      <c r="D1555" s="2" t="s">
        <v>255</v>
      </c>
      <c r="E1555" s="2" t="s">
        <v>771</v>
      </c>
      <c r="F1555" s="101">
        <v>112569</v>
      </c>
    </row>
    <row r="1556" spans="3:6" ht="14.4" customHeight="1" x14ac:dyDescent="0.3">
      <c r="C1556" s="2">
        <v>100</v>
      </c>
      <c r="D1556" s="2" t="s">
        <v>299</v>
      </c>
      <c r="E1556" s="2" t="s">
        <v>770</v>
      </c>
      <c r="F1556" s="101">
        <v>8406</v>
      </c>
    </row>
    <row r="1557" spans="3:6" ht="14.4" customHeight="1" x14ac:dyDescent="0.3">
      <c r="C1557" s="2">
        <v>100</v>
      </c>
      <c r="D1557" s="2" t="s">
        <v>265</v>
      </c>
      <c r="E1557" s="2" t="s">
        <v>770</v>
      </c>
      <c r="F1557" s="101">
        <v>10730</v>
      </c>
    </row>
    <row r="1558" spans="3:6" ht="14.4" customHeight="1" x14ac:dyDescent="0.3">
      <c r="C1558" s="2">
        <v>100</v>
      </c>
      <c r="D1558" s="2" t="s">
        <v>326</v>
      </c>
      <c r="E1558" s="2" t="s">
        <v>770</v>
      </c>
      <c r="F1558" s="101">
        <v>3994</v>
      </c>
    </row>
    <row r="1559" spans="3:6" ht="14.4" customHeight="1" x14ac:dyDescent="0.3">
      <c r="C1559" s="2">
        <v>100</v>
      </c>
      <c r="D1559" s="2" t="s">
        <v>334</v>
      </c>
      <c r="E1559" s="2" t="s">
        <v>770</v>
      </c>
      <c r="F1559" s="101">
        <v>52901</v>
      </c>
    </row>
    <row r="1560" spans="3:6" ht="14.4" customHeight="1" x14ac:dyDescent="0.3">
      <c r="C1560" s="2">
        <v>100</v>
      </c>
      <c r="D1560" s="2" t="s">
        <v>199</v>
      </c>
      <c r="E1560" s="2" t="s">
        <v>771</v>
      </c>
      <c r="F1560" s="101">
        <v>3749</v>
      </c>
    </row>
    <row r="1561" spans="3:6" ht="14.4" customHeight="1" x14ac:dyDescent="0.3">
      <c r="C1561" s="2">
        <v>100</v>
      </c>
      <c r="D1561" s="2" t="s">
        <v>334</v>
      </c>
      <c r="E1561" s="2" t="s">
        <v>771</v>
      </c>
      <c r="F1561" s="101">
        <v>37358</v>
      </c>
    </row>
    <row r="1562" spans="3:6" ht="14.4" customHeight="1" x14ac:dyDescent="0.3">
      <c r="C1562" s="2">
        <v>100</v>
      </c>
      <c r="D1562" s="2" t="s">
        <v>559</v>
      </c>
      <c r="E1562" s="2" t="s">
        <v>769</v>
      </c>
      <c r="F1562" s="101">
        <v>24908</v>
      </c>
    </row>
    <row r="1563" spans="3:6" ht="14.4" customHeight="1" x14ac:dyDescent="0.3">
      <c r="C1563" s="2">
        <v>100</v>
      </c>
      <c r="D1563" s="2" t="s">
        <v>420</v>
      </c>
      <c r="E1563" s="2" t="s">
        <v>783</v>
      </c>
      <c r="F1563" s="101">
        <v>38</v>
      </c>
    </row>
    <row r="1564" spans="3:6" ht="14.4" customHeight="1" x14ac:dyDescent="0.3">
      <c r="C1564" s="2">
        <v>100</v>
      </c>
      <c r="D1564" s="2" t="s">
        <v>376</v>
      </c>
      <c r="E1564" s="2" t="s">
        <v>777</v>
      </c>
      <c r="F1564" s="101">
        <v>15350</v>
      </c>
    </row>
    <row r="1565" spans="3:6" ht="14.4" customHeight="1" x14ac:dyDescent="0.3">
      <c r="C1565" s="2">
        <v>100</v>
      </c>
      <c r="D1565" s="2" t="s">
        <v>758</v>
      </c>
      <c r="E1565" s="2" t="s">
        <v>769</v>
      </c>
      <c r="F1565" s="101">
        <v>1172</v>
      </c>
    </row>
    <row r="1566" spans="3:6" ht="14.4" customHeight="1" x14ac:dyDescent="0.3">
      <c r="C1566" s="2">
        <v>100</v>
      </c>
      <c r="D1566" s="2" t="s">
        <v>582</v>
      </c>
      <c r="E1566" s="2" t="s">
        <v>773</v>
      </c>
      <c r="F1566" s="101">
        <v>1911</v>
      </c>
    </row>
    <row r="1567" spans="3:6" ht="14.4" customHeight="1" x14ac:dyDescent="0.3">
      <c r="C1567" s="2">
        <v>100</v>
      </c>
      <c r="D1567" s="2" t="s">
        <v>740</v>
      </c>
      <c r="E1567" s="2" t="s">
        <v>774</v>
      </c>
      <c r="F1567" s="101">
        <v>10000</v>
      </c>
    </row>
    <row r="1568" spans="3:6" ht="14.4" customHeight="1" x14ac:dyDescent="0.3">
      <c r="C1568" s="2">
        <v>100</v>
      </c>
      <c r="D1568" s="2" t="s">
        <v>697</v>
      </c>
      <c r="E1568" s="2" t="s">
        <v>769</v>
      </c>
      <c r="F1568" s="101">
        <v>4449</v>
      </c>
    </row>
    <row r="1569" spans="3:6" ht="14.4" customHeight="1" x14ac:dyDescent="0.3">
      <c r="C1569" s="2">
        <v>100</v>
      </c>
      <c r="D1569" s="2" t="s">
        <v>539</v>
      </c>
      <c r="E1569" s="2" t="s">
        <v>775</v>
      </c>
      <c r="F1569" s="101">
        <v>3643</v>
      </c>
    </row>
    <row r="1570" spans="3:6" ht="14.4" customHeight="1" x14ac:dyDescent="0.3">
      <c r="C1570" s="2">
        <v>100</v>
      </c>
      <c r="D1570" s="2" t="s">
        <v>640</v>
      </c>
      <c r="E1570" s="2" t="s">
        <v>774</v>
      </c>
      <c r="F1570" s="101">
        <v>15</v>
      </c>
    </row>
    <row r="1571" spans="3:6" ht="14.4" customHeight="1" x14ac:dyDescent="0.3">
      <c r="C1571" s="2">
        <v>100</v>
      </c>
      <c r="D1571" s="2" t="s">
        <v>585</v>
      </c>
      <c r="E1571" s="2" t="s">
        <v>771</v>
      </c>
      <c r="F1571" s="101">
        <v>1941</v>
      </c>
    </row>
    <row r="1572" spans="3:6" ht="14.4" customHeight="1" x14ac:dyDescent="0.3">
      <c r="C1572" s="2">
        <v>100</v>
      </c>
      <c r="D1572" s="2" t="s">
        <v>348</v>
      </c>
      <c r="E1572" s="2" t="s">
        <v>777</v>
      </c>
      <c r="F1572" s="101">
        <v>2805</v>
      </c>
    </row>
    <row r="1573" spans="3:6" ht="14.4" customHeight="1" x14ac:dyDescent="0.3">
      <c r="C1573" s="2">
        <v>100</v>
      </c>
      <c r="D1573" s="2" t="s">
        <v>629</v>
      </c>
      <c r="E1573" s="2" t="s">
        <v>769</v>
      </c>
      <c r="F1573" s="101">
        <v>5093</v>
      </c>
    </row>
    <row r="1574" spans="3:6" ht="14.4" customHeight="1" x14ac:dyDescent="0.3">
      <c r="C1574" s="2">
        <v>100</v>
      </c>
      <c r="D1574" s="2" t="s">
        <v>609</v>
      </c>
      <c r="E1574" s="2" t="s">
        <v>771</v>
      </c>
      <c r="F1574" s="101">
        <v>3386</v>
      </c>
    </row>
    <row r="1575" spans="3:6" ht="14.4" customHeight="1" x14ac:dyDescent="0.3">
      <c r="C1575" s="2">
        <v>100</v>
      </c>
      <c r="D1575" s="2" t="s">
        <v>289</v>
      </c>
      <c r="E1575" s="2" t="s">
        <v>770</v>
      </c>
      <c r="F1575" s="101">
        <v>6518</v>
      </c>
    </row>
    <row r="1576" spans="3:6" ht="14.4" customHeight="1" x14ac:dyDescent="0.3">
      <c r="C1576" s="2">
        <v>100</v>
      </c>
      <c r="D1576" s="2" t="s">
        <v>346</v>
      </c>
      <c r="E1576" s="2" t="s">
        <v>770</v>
      </c>
      <c r="F1576" s="101">
        <v>8133</v>
      </c>
    </row>
    <row r="1577" spans="3:6" ht="14.4" customHeight="1" x14ac:dyDescent="0.3">
      <c r="C1577" s="2">
        <v>100</v>
      </c>
      <c r="D1577" s="2" t="s">
        <v>531</v>
      </c>
      <c r="E1577" s="2" t="s">
        <v>770</v>
      </c>
      <c r="F1577" s="101">
        <v>4549</v>
      </c>
    </row>
    <row r="1578" spans="3:6" ht="14.4" customHeight="1" x14ac:dyDescent="0.3">
      <c r="C1578" s="2">
        <v>100</v>
      </c>
      <c r="D1578" s="2" t="s">
        <v>350</v>
      </c>
      <c r="E1578" s="2" t="s">
        <v>771</v>
      </c>
      <c r="F1578" s="101">
        <v>31845</v>
      </c>
    </row>
    <row r="1579" spans="3:6" ht="14.4" customHeight="1" x14ac:dyDescent="0.3">
      <c r="C1579" s="2">
        <v>100</v>
      </c>
      <c r="D1579" s="2" t="s">
        <v>437</v>
      </c>
      <c r="E1579" s="2" t="s">
        <v>773</v>
      </c>
      <c r="F1579" s="101">
        <v>1346</v>
      </c>
    </row>
    <row r="1580" spans="3:6" ht="14.4" customHeight="1" x14ac:dyDescent="0.3">
      <c r="C1580" s="2">
        <v>100</v>
      </c>
      <c r="D1580" s="2" t="s">
        <v>458</v>
      </c>
      <c r="E1580" s="2" t="s">
        <v>770</v>
      </c>
      <c r="F1580" s="101">
        <v>5517</v>
      </c>
    </row>
    <row r="1581" spans="3:6" ht="14.4" customHeight="1" x14ac:dyDescent="0.3">
      <c r="C1581" s="2">
        <v>100</v>
      </c>
      <c r="D1581" s="2" t="s">
        <v>636</v>
      </c>
      <c r="E1581" s="2" t="s">
        <v>773</v>
      </c>
      <c r="F1581" s="101">
        <v>850</v>
      </c>
    </row>
    <row r="1582" spans="3:6" ht="14.4" customHeight="1" x14ac:dyDescent="0.3">
      <c r="C1582" s="2">
        <v>100</v>
      </c>
      <c r="D1582" s="2" t="s">
        <v>517</v>
      </c>
      <c r="E1582" s="2" t="s">
        <v>773</v>
      </c>
      <c r="F1582" s="101">
        <v>5413</v>
      </c>
    </row>
    <row r="1583" spans="3:6" ht="14.4" customHeight="1" x14ac:dyDescent="0.3">
      <c r="C1583" s="2">
        <v>100</v>
      </c>
      <c r="D1583" s="2" t="s">
        <v>662</v>
      </c>
      <c r="E1583" s="2" t="s">
        <v>769</v>
      </c>
      <c r="F1583" s="101">
        <v>62853</v>
      </c>
    </row>
    <row r="1584" spans="3:6" ht="14.4" customHeight="1" x14ac:dyDescent="0.3">
      <c r="C1584" s="2">
        <v>100</v>
      </c>
      <c r="D1584" s="2" t="s">
        <v>590</v>
      </c>
      <c r="E1584" s="2" t="s">
        <v>777</v>
      </c>
      <c r="F1584" s="101">
        <v>258</v>
      </c>
    </row>
    <row r="1585" spans="3:6" ht="14.4" customHeight="1" x14ac:dyDescent="0.3">
      <c r="C1585" s="2">
        <v>100</v>
      </c>
      <c r="D1585" s="2" t="s">
        <v>636</v>
      </c>
      <c r="E1585" s="2" t="s">
        <v>771</v>
      </c>
      <c r="F1585" s="101">
        <v>10067</v>
      </c>
    </row>
    <row r="1586" spans="3:6" ht="14.4" customHeight="1" x14ac:dyDescent="0.3">
      <c r="C1586" s="2">
        <v>100</v>
      </c>
      <c r="D1586" s="2" t="s">
        <v>517</v>
      </c>
      <c r="E1586" s="2" t="s">
        <v>770</v>
      </c>
      <c r="F1586" s="101">
        <v>7071</v>
      </c>
    </row>
    <row r="1587" spans="3:6" ht="14.4" customHeight="1" x14ac:dyDescent="0.3">
      <c r="C1587" s="2">
        <v>100</v>
      </c>
      <c r="D1587" s="2" t="s">
        <v>381</v>
      </c>
      <c r="E1587" s="2" t="s">
        <v>770</v>
      </c>
      <c r="F1587" s="101">
        <v>29063</v>
      </c>
    </row>
    <row r="1588" spans="3:6" ht="14.4" customHeight="1" x14ac:dyDescent="0.3">
      <c r="C1588" s="2">
        <v>100</v>
      </c>
      <c r="D1588" s="2" t="s">
        <v>236</v>
      </c>
      <c r="E1588" s="2" t="s">
        <v>773</v>
      </c>
      <c r="F1588" s="101">
        <v>492998</v>
      </c>
    </row>
    <row r="1589" spans="3:6" ht="14.4" customHeight="1" x14ac:dyDescent="0.3">
      <c r="C1589" s="2">
        <v>100</v>
      </c>
      <c r="D1589" s="2" t="s">
        <v>236</v>
      </c>
      <c r="E1589" s="2" t="s">
        <v>775</v>
      </c>
      <c r="F1589" s="101">
        <v>99152</v>
      </c>
    </row>
    <row r="1590" spans="3:6" ht="14.4" customHeight="1" x14ac:dyDescent="0.3">
      <c r="C1590" s="2">
        <v>100</v>
      </c>
      <c r="D1590" s="2" t="s">
        <v>476</v>
      </c>
      <c r="E1590" s="2" t="s">
        <v>769</v>
      </c>
      <c r="F1590" s="101">
        <v>5433</v>
      </c>
    </row>
    <row r="1591" spans="3:6" ht="14.4" customHeight="1" x14ac:dyDescent="0.3">
      <c r="C1591" s="2">
        <v>100</v>
      </c>
      <c r="D1591" s="2" t="s">
        <v>432</v>
      </c>
      <c r="E1591" s="2" t="s">
        <v>771</v>
      </c>
      <c r="F1591" s="101">
        <v>44226</v>
      </c>
    </row>
    <row r="1592" spans="3:6" ht="14.4" customHeight="1" x14ac:dyDescent="0.3">
      <c r="C1592" s="2">
        <v>100</v>
      </c>
      <c r="D1592" s="2" t="s">
        <v>432</v>
      </c>
      <c r="E1592" s="2" t="s">
        <v>770</v>
      </c>
      <c r="F1592" s="101">
        <v>10386</v>
      </c>
    </row>
    <row r="1593" spans="3:6" ht="14.4" customHeight="1" x14ac:dyDescent="0.3">
      <c r="C1593" s="2">
        <v>100</v>
      </c>
      <c r="D1593" s="2" t="s">
        <v>458</v>
      </c>
      <c r="E1593" s="2" t="s">
        <v>773</v>
      </c>
      <c r="F1593" s="101">
        <v>5597</v>
      </c>
    </row>
    <row r="1594" spans="3:6" ht="14.4" customHeight="1" x14ac:dyDescent="0.3">
      <c r="C1594" s="2">
        <v>100</v>
      </c>
      <c r="D1594" s="2" t="s">
        <v>291</v>
      </c>
      <c r="E1594" s="2" t="s">
        <v>770</v>
      </c>
      <c r="F1594" s="101">
        <v>5083</v>
      </c>
    </row>
    <row r="1595" spans="3:6" ht="14.4" customHeight="1" x14ac:dyDescent="0.3">
      <c r="C1595" s="2">
        <v>100</v>
      </c>
      <c r="D1595" s="2" t="s">
        <v>601</v>
      </c>
      <c r="E1595" s="2" t="s">
        <v>769</v>
      </c>
      <c r="F1595" s="101">
        <v>15485</v>
      </c>
    </row>
    <row r="1596" spans="3:6" ht="14.4" customHeight="1" x14ac:dyDescent="0.3">
      <c r="C1596" s="2">
        <v>100</v>
      </c>
      <c r="D1596" s="2" t="s">
        <v>462</v>
      </c>
      <c r="E1596" s="2" t="s">
        <v>769</v>
      </c>
      <c r="F1596" s="101">
        <v>218818</v>
      </c>
    </row>
    <row r="1597" spans="3:6" ht="14.4" customHeight="1" x14ac:dyDescent="0.3">
      <c r="C1597" s="2">
        <v>100</v>
      </c>
      <c r="D1597" s="2" t="s">
        <v>378</v>
      </c>
      <c r="E1597" s="2" t="s">
        <v>771</v>
      </c>
      <c r="F1597" s="101">
        <v>29582</v>
      </c>
    </row>
    <row r="1598" spans="3:6" ht="14.4" customHeight="1" x14ac:dyDescent="0.3">
      <c r="C1598" s="2">
        <v>100</v>
      </c>
      <c r="D1598" s="2" t="s">
        <v>203</v>
      </c>
      <c r="E1598" s="2" t="s">
        <v>775</v>
      </c>
      <c r="F1598" s="101">
        <v>1949</v>
      </c>
    </row>
    <row r="1599" spans="3:6" ht="14.4" customHeight="1" x14ac:dyDescent="0.3">
      <c r="C1599" s="2">
        <v>100</v>
      </c>
      <c r="D1599" s="2" t="s">
        <v>207</v>
      </c>
      <c r="E1599" s="2" t="s">
        <v>769</v>
      </c>
      <c r="F1599" s="101">
        <v>1299</v>
      </c>
    </row>
    <row r="1600" spans="3:6" ht="14.4" customHeight="1" x14ac:dyDescent="0.3">
      <c r="C1600" s="2">
        <v>100</v>
      </c>
      <c r="D1600" s="2" t="s">
        <v>613</v>
      </c>
      <c r="E1600" s="2" t="s">
        <v>775</v>
      </c>
      <c r="F1600" s="101">
        <v>8</v>
      </c>
    </row>
    <row r="1601" spans="3:6" ht="14.4" customHeight="1" x14ac:dyDescent="0.3">
      <c r="C1601" s="2">
        <v>100</v>
      </c>
      <c r="D1601" s="2" t="s">
        <v>336</v>
      </c>
      <c r="E1601" s="2" t="s">
        <v>772</v>
      </c>
      <c r="F1601" s="101">
        <v>789</v>
      </c>
    </row>
    <row r="1602" spans="3:6" ht="14.4" customHeight="1" x14ac:dyDescent="0.3">
      <c r="C1602" s="2">
        <v>100</v>
      </c>
      <c r="D1602" s="2" t="s">
        <v>670</v>
      </c>
      <c r="E1602" s="2" t="s">
        <v>769</v>
      </c>
      <c r="F1602" s="101">
        <v>31956</v>
      </c>
    </row>
    <row r="1603" spans="3:6" ht="14.4" customHeight="1" x14ac:dyDescent="0.3">
      <c r="C1603" s="2">
        <v>100</v>
      </c>
      <c r="D1603" s="2" t="s">
        <v>456</v>
      </c>
      <c r="E1603" s="2" t="s">
        <v>774</v>
      </c>
      <c r="F1603" s="101">
        <v>0</v>
      </c>
    </row>
    <row r="1604" spans="3:6" ht="14.4" customHeight="1" x14ac:dyDescent="0.3">
      <c r="C1604" s="2">
        <v>100</v>
      </c>
      <c r="D1604" s="2" t="s">
        <v>663</v>
      </c>
      <c r="E1604" s="2" t="s">
        <v>773</v>
      </c>
      <c r="F1604" s="101">
        <v>574</v>
      </c>
    </row>
    <row r="1605" spans="3:6" ht="14.4" customHeight="1" x14ac:dyDescent="0.3">
      <c r="C1605" s="2">
        <v>100</v>
      </c>
      <c r="D1605" s="2" t="s">
        <v>319</v>
      </c>
      <c r="E1605" s="2" t="s">
        <v>771</v>
      </c>
      <c r="F1605" s="101">
        <v>11104</v>
      </c>
    </row>
    <row r="1606" spans="3:6" ht="14.4" customHeight="1" x14ac:dyDescent="0.3">
      <c r="C1606" s="2">
        <v>100</v>
      </c>
      <c r="D1606" s="2" t="s">
        <v>606</v>
      </c>
      <c r="E1606" s="2" t="s">
        <v>769</v>
      </c>
      <c r="F1606" s="101">
        <v>41902</v>
      </c>
    </row>
    <row r="1607" spans="3:6" ht="14.4" customHeight="1" x14ac:dyDescent="0.3">
      <c r="C1607" s="2">
        <v>100</v>
      </c>
      <c r="D1607" s="2" t="s">
        <v>480</v>
      </c>
      <c r="E1607" s="2" t="s">
        <v>773</v>
      </c>
      <c r="F1607" s="101">
        <v>518</v>
      </c>
    </row>
    <row r="1608" spans="3:6" ht="14.4" customHeight="1" x14ac:dyDescent="0.3">
      <c r="C1608" s="2">
        <v>100</v>
      </c>
      <c r="D1608" s="2" t="s">
        <v>245</v>
      </c>
      <c r="E1608" s="2" t="s">
        <v>769</v>
      </c>
      <c r="F1608" s="101">
        <v>115507</v>
      </c>
    </row>
    <row r="1609" spans="3:6" ht="14.4" customHeight="1" x14ac:dyDescent="0.3">
      <c r="C1609" s="2">
        <v>100</v>
      </c>
      <c r="D1609" s="2" t="s">
        <v>533</v>
      </c>
      <c r="E1609" s="2" t="s">
        <v>771</v>
      </c>
      <c r="F1609" s="101">
        <v>742</v>
      </c>
    </row>
    <row r="1610" spans="3:6" ht="14.4" customHeight="1" x14ac:dyDescent="0.3">
      <c r="C1610" s="2">
        <v>100</v>
      </c>
      <c r="D1610" s="2" t="s">
        <v>324</v>
      </c>
      <c r="E1610" s="2" t="s">
        <v>769</v>
      </c>
      <c r="F1610" s="101">
        <v>133981</v>
      </c>
    </row>
    <row r="1611" spans="3:6" ht="14.4" customHeight="1" x14ac:dyDescent="0.3">
      <c r="C1611" s="2">
        <v>100</v>
      </c>
      <c r="D1611" s="2" t="s">
        <v>297</v>
      </c>
      <c r="E1611" s="2" t="s">
        <v>769</v>
      </c>
      <c r="F1611" s="101">
        <v>141623</v>
      </c>
    </row>
    <row r="1612" spans="3:6" ht="14.4" customHeight="1" x14ac:dyDescent="0.3">
      <c r="C1612" s="2">
        <v>100</v>
      </c>
      <c r="D1612" s="2" t="s">
        <v>314</v>
      </c>
      <c r="E1612" s="2" t="s">
        <v>773</v>
      </c>
      <c r="F1612" s="101">
        <v>21093</v>
      </c>
    </row>
    <row r="1613" spans="3:6" ht="14.4" customHeight="1" x14ac:dyDescent="0.3">
      <c r="C1613" s="2">
        <v>100</v>
      </c>
      <c r="D1613" s="2" t="s">
        <v>474</v>
      </c>
      <c r="E1613" s="2" t="s">
        <v>769</v>
      </c>
      <c r="F1613" s="101">
        <v>1701</v>
      </c>
    </row>
    <row r="1614" spans="3:6" ht="14.4" customHeight="1" x14ac:dyDescent="0.3">
      <c r="C1614" s="2">
        <v>100</v>
      </c>
      <c r="D1614" s="2" t="s">
        <v>578</v>
      </c>
      <c r="E1614" s="2" t="s">
        <v>769</v>
      </c>
      <c r="F1614" s="101">
        <v>7435</v>
      </c>
    </row>
    <row r="1615" spans="3:6" ht="14.4" customHeight="1" x14ac:dyDescent="0.3">
      <c r="C1615" s="2">
        <v>100</v>
      </c>
      <c r="D1615" s="2" t="s">
        <v>384</v>
      </c>
      <c r="E1615" s="2" t="s">
        <v>772</v>
      </c>
      <c r="F1615" s="101">
        <v>190</v>
      </c>
    </row>
    <row r="1616" spans="3:6" ht="14.4" customHeight="1" x14ac:dyDescent="0.3">
      <c r="C1616" s="2">
        <v>100</v>
      </c>
      <c r="D1616" s="2" t="s">
        <v>701</v>
      </c>
      <c r="E1616" s="2" t="s">
        <v>775</v>
      </c>
      <c r="F1616" s="101">
        <v>80</v>
      </c>
    </row>
    <row r="1617" spans="3:6" ht="14.4" customHeight="1" x14ac:dyDescent="0.3">
      <c r="C1617" s="2">
        <v>100</v>
      </c>
      <c r="D1617" s="2" t="s">
        <v>389</v>
      </c>
      <c r="E1617" s="2" t="s">
        <v>773</v>
      </c>
      <c r="F1617" s="101">
        <v>10112</v>
      </c>
    </row>
    <row r="1618" spans="3:6" ht="14.4" customHeight="1" x14ac:dyDescent="0.3">
      <c r="C1618" s="2">
        <v>100</v>
      </c>
      <c r="D1618" s="2" t="s">
        <v>380</v>
      </c>
      <c r="E1618" s="2" t="s">
        <v>777</v>
      </c>
      <c r="F1618" s="101">
        <v>1225</v>
      </c>
    </row>
    <row r="1619" spans="3:6" ht="14.4" customHeight="1" x14ac:dyDescent="0.3">
      <c r="C1619" s="2">
        <v>100</v>
      </c>
      <c r="D1619" s="2" t="s">
        <v>485</v>
      </c>
      <c r="E1619" s="2" t="s">
        <v>774</v>
      </c>
      <c r="F1619" s="101">
        <v>588</v>
      </c>
    </row>
    <row r="1620" spans="3:6" ht="14.4" customHeight="1" x14ac:dyDescent="0.3">
      <c r="C1620" s="2">
        <v>100</v>
      </c>
      <c r="D1620" s="2" t="s">
        <v>663</v>
      </c>
      <c r="E1620" s="2" t="s">
        <v>771</v>
      </c>
      <c r="F1620" s="101">
        <v>5933</v>
      </c>
    </row>
    <row r="1621" spans="3:6" ht="14.4" customHeight="1" x14ac:dyDescent="0.3">
      <c r="C1621" s="2">
        <v>100</v>
      </c>
      <c r="D1621" s="2" t="s">
        <v>663</v>
      </c>
      <c r="E1621" s="2" t="s">
        <v>770</v>
      </c>
      <c r="F1621" s="101">
        <v>3495</v>
      </c>
    </row>
    <row r="1622" spans="3:6" ht="14.4" customHeight="1" x14ac:dyDescent="0.3">
      <c r="C1622" s="2">
        <v>100</v>
      </c>
      <c r="D1622" s="2" t="s">
        <v>257</v>
      </c>
      <c r="E1622" s="2" t="s">
        <v>775</v>
      </c>
      <c r="F1622" s="101">
        <v>2417</v>
      </c>
    </row>
    <row r="1623" spans="3:6" ht="14.4" customHeight="1" x14ac:dyDescent="0.3">
      <c r="C1623" s="2">
        <v>100</v>
      </c>
      <c r="D1623" s="2" t="s">
        <v>378</v>
      </c>
      <c r="E1623" s="2" t="s">
        <v>773</v>
      </c>
      <c r="F1623" s="101">
        <v>8517</v>
      </c>
    </row>
    <row r="1624" spans="3:6" ht="14.4" customHeight="1" x14ac:dyDescent="0.3">
      <c r="C1624" s="2">
        <v>100</v>
      </c>
      <c r="D1624" s="2" t="s">
        <v>203</v>
      </c>
      <c r="E1624" s="2" t="s">
        <v>770</v>
      </c>
      <c r="F1624" s="101">
        <v>3707</v>
      </c>
    </row>
    <row r="1625" spans="3:6" ht="14.4" customHeight="1" x14ac:dyDescent="0.3">
      <c r="C1625" s="2">
        <v>100</v>
      </c>
      <c r="D1625" s="2" t="s">
        <v>449</v>
      </c>
      <c r="E1625" s="2" t="s">
        <v>775</v>
      </c>
      <c r="F1625" s="101">
        <v>776</v>
      </c>
    </row>
    <row r="1626" spans="3:6" ht="14.4" customHeight="1" x14ac:dyDescent="0.3">
      <c r="C1626" s="2">
        <v>100</v>
      </c>
      <c r="D1626" s="2" t="s">
        <v>239</v>
      </c>
      <c r="E1626" s="2" t="s">
        <v>769</v>
      </c>
      <c r="F1626" s="101">
        <v>410272</v>
      </c>
    </row>
    <row r="1627" spans="3:6" ht="14.4" customHeight="1" x14ac:dyDescent="0.3">
      <c r="C1627" s="2">
        <v>100</v>
      </c>
      <c r="D1627" s="2" t="s">
        <v>614</v>
      </c>
      <c r="E1627" s="2" t="s">
        <v>769</v>
      </c>
      <c r="F1627" s="101">
        <v>18758</v>
      </c>
    </row>
    <row r="1628" spans="3:6" ht="14.4" customHeight="1" x14ac:dyDescent="0.3">
      <c r="C1628" s="2">
        <v>100</v>
      </c>
      <c r="D1628" s="2" t="s">
        <v>691</v>
      </c>
      <c r="E1628" s="2" t="s">
        <v>771</v>
      </c>
      <c r="F1628" s="101">
        <v>4078</v>
      </c>
    </row>
    <row r="1629" spans="3:6" ht="14.4" customHeight="1" x14ac:dyDescent="0.3">
      <c r="C1629" s="2">
        <v>100</v>
      </c>
      <c r="D1629" s="2" t="s">
        <v>291</v>
      </c>
      <c r="E1629" s="2" t="s">
        <v>769</v>
      </c>
      <c r="F1629" s="101">
        <v>14745</v>
      </c>
    </row>
    <row r="1630" spans="3:6" ht="14.4" customHeight="1" x14ac:dyDescent="0.3">
      <c r="C1630" s="2">
        <v>100</v>
      </c>
      <c r="D1630" s="2" t="s">
        <v>242</v>
      </c>
      <c r="E1630" s="2" t="s">
        <v>769</v>
      </c>
      <c r="F1630" s="101">
        <v>82510</v>
      </c>
    </row>
    <row r="1631" spans="3:6" ht="14.4" customHeight="1" x14ac:dyDescent="0.3">
      <c r="C1631" s="2">
        <v>100</v>
      </c>
      <c r="D1631" s="2" t="s">
        <v>430</v>
      </c>
      <c r="E1631" s="2" t="s">
        <v>777</v>
      </c>
      <c r="F1631" s="101">
        <v>28630</v>
      </c>
    </row>
    <row r="1632" spans="3:6" ht="14.4" customHeight="1" x14ac:dyDescent="0.3">
      <c r="C1632" s="2">
        <v>100</v>
      </c>
      <c r="D1632" s="2" t="s">
        <v>401</v>
      </c>
      <c r="E1632" s="2" t="s">
        <v>771</v>
      </c>
      <c r="F1632" s="101">
        <v>11579</v>
      </c>
    </row>
    <row r="1633" spans="3:6" ht="14.4" customHeight="1" x14ac:dyDescent="0.3">
      <c r="C1633" s="2">
        <v>100</v>
      </c>
      <c r="D1633" s="2" t="s">
        <v>260</v>
      </c>
      <c r="E1633" s="2" t="s">
        <v>773</v>
      </c>
      <c r="F1633" s="101">
        <v>26262</v>
      </c>
    </row>
    <row r="1634" spans="3:6" ht="14.4" customHeight="1" x14ac:dyDescent="0.3">
      <c r="C1634" s="2">
        <v>100</v>
      </c>
      <c r="D1634" s="2" t="s">
        <v>625</v>
      </c>
      <c r="E1634" s="2" t="s">
        <v>770</v>
      </c>
      <c r="F1634" s="101">
        <v>882</v>
      </c>
    </row>
    <row r="1635" spans="3:6" ht="14.4" customHeight="1" x14ac:dyDescent="0.3">
      <c r="C1635" s="2">
        <v>100</v>
      </c>
      <c r="D1635" s="2" t="s">
        <v>274</v>
      </c>
      <c r="E1635" s="2" t="s">
        <v>770</v>
      </c>
      <c r="F1635" s="101">
        <v>44167</v>
      </c>
    </row>
    <row r="1636" spans="3:6" ht="14.4" customHeight="1" x14ac:dyDescent="0.3">
      <c r="C1636" s="2">
        <v>100</v>
      </c>
      <c r="D1636" s="2" t="s">
        <v>202</v>
      </c>
      <c r="E1636" s="2" t="s">
        <v>775</v>
      </c>
      <c r="F1636" s="101">
        <v>33</v>
      </c>
    </row>
    <row r="1637" spans="3:6" ht="14.4" customHeight="1" x14ac:dyDescent="0.3">
      <c r="C1637" s="2">
        <v>100</v>
      </c>
      <c r="D1637" s="2" t="s">
        <v>488</v>
      </c>
      <c r="E1637" s="2" t="s">
        <v>773</v>
      </c>
      <c r="F1637" s="101">
        <v>176</v>
      </c>
    </row>
    <row r="1638" spans="3:6" ht="14.4" customHeight="1" x14ac:dyDescent="0.3">
      <c r="C1638" s="2">
        <v>100</v>
      </c>
      <c r="D1638" s="2" t="s">
        <v>440</v>
      </c>
      <c r="E1638" s="2" t="s">
        <v>774</v>
      </c>
      <c r="F1638" s="101">
        <v>100</v>
      </c>
    </row>
    <row r="1639" spans="3:6" ht="14.4" customHeight="1" x14ac:dyDescent="0.3">
      <c r="C1639" s="2">
        <v>100</v>
      </c>
      <c r="D1639" s="2" t="s">
        <v>607</v>
      </c>
      <c r="E1639" s="2" t="s">
        <v>773</v>
      </c>
      <c r="F1639" s="101">
        <v>88</v>
      </c>
    </row>
    <row r="1640" spans="3:6" ht="14.4" customHeight="1" x14ac:dyDescent="0.3">
      <c r="C1640" s="2">
        <v>100</v>
      </c>
      <c r="D1640" s="2" t="s">
        <v>672</v>
      </c>
      <c r="E1640" s="2" t="s">
        <v>769</v>
      </c>
      <c r="F1640" s="101">
        <v>62233</v>
      </c>
    </row>
    <row r="1641" spans="3:6" ht="14.4" customHeight="1" x14ac:dyDescent="0.3">
      <c r="C1641" s="2">
        <v>100</v>
      </c>
      <c r="D1641" s="2" t="s">
        <v>234</v>
      </c>
      <c r="E1641" s="2" t="s">
        <v>773</v>
      </c>
      <c r="F1641" s="101">
        <v>24</v>
      </c>
    </row>
    <row r="1642" spans="3:6" ht="14.4" customHeight="1" x14ac:dyDescent="0.3">
      <c r="C1642" s="2">
        <v>100</v>
      </c>
      <c r="D1642" s="2" t="s">
        <v>662</v>
      </c>
      <c r="E1642" s="2" t="s">
        <v>773</v>
      </c>
      <c r="F1642" s="101">
        <v>1365</v>
      </c>
    </row>
    <row r="1643" spans="3:6" ht="14.4" customHeight="1" x14ac:dyDescent="0.3">
      <c r="C1643" s="2">
        <v>100</v>
      </c>
      <c r="D1643" s="2" t="s">
        <v>607</v>
      </c>
      <c r="E1643" s="2" t="s">
        <v>770</v>
      </c>
      <c r="F1643" s="101">
        <v>127</v>
      </c>
    </row>
    <row r="1644" spans="3:6" ht="14.4" customHeight="1" x14ac:dyDescent="0.3">
      <c r="C1644" s="2">
        <v>100</v>
      </c>
      <c r="D1644" s="2" t="s">
        <v>429</v>
      </c>
      <c r="E1644" s="2" t="s">
        <v>774</v>
      </c>
      <c r="F1644" s="101">
        <v>9687</v>
      </c>
    </row>
    <row r="1645" spans="3:6" ht="14.4" customHeight="1" x14ac:dyDescent="0.3">
      <c r="C1645" s="2">
        <v>100</v>
      </c>
      <c r="D1645" s="2" t="s">
        <v>733</v>
      </c>
      <c r="E1645" s="2" t="s">
        <v>771</v>
      </c>
      <c r="F1645" s="101">
        <v>30687</v>
      </c>
    </row>
    <row r="1646" spans="3:6" ht="14.4" customHeight="1" x14ac:dyDescent="0.3">
      <c r="C1646" s="2">
        <v>100</v>
      </c>
      <c r="D1646" s="2" t="s">
        <v>251</v>
      </c>
      <c r="E1646" s="2" t="s">
        <v>770</v>
      </c>
      <c r="F1646" s="101">
        <v>6668</v>
      </c>
    </row>
    <row r="1647" spans="3:6" ht="14.4" customHeight="1" x14ac:dyDescent="0.3">
      <c r="C1647" s="2">
        <v>100</v>
      </c>
      <c r="D1647" s="2" t="s">
        <v>251</v>
      </c>
      <c r="E1647" s="2" t="s">
        <v>771</v>
      </c>
      <c r="F1647" s="101">
        <v>17909</v>
      </c>
    </row>
    <row r="1648" spans="3:6" ht="14.4" customHeight="1" x14ac:dyDescent="0.3">
      <c r="C1648" s="2">
        <v>100</v>
      </c>
      <c r="D1648" s="2" t="s">
        <v>800</v>
      </c>
      <c r="E1648" s="2" t="s">
        <v>769</v>
      </c>
      <c r="F1648" s="101">
        <v>613</v>
      </c>
    </row>
    <row r="1649" spans="3:6" ht="14.4" customHeight="1" x14ac:dyDescent="0.3">
      <c r="C1649" s="2">
        <v>100</v>
      </c>
      <c r="D1649" s="2" t="s">
        <v>224</v>
      </c>
      <c r="E1649" s="2" t="s">
        <v>775</v>
      </c>
      <c r="F1649" s="101">
        <v>6875</v>
      </c>
    </row>
    <row r="1650" spans="3:6" ht="14.4" customHeight="1" x14ac:dyDescent="0.3">
      <c r="C1650" s="2">
        <v>100</v>
      </c>
      <c r="D1650" s="2" t="s">
        <v>274</v>
      </c>
      <c r="E1650" s="2" t="s">
        <v>775</v>
      </c>
      <c r="F1650" s="101">
        <v>16419</v>
      </c>
    </row>
    <row r="1651" spans="3:6" ht="14.4" customHeight="1" x14ac:dyDescent="0.3">
      <c r="C1651" s="2">
        <v>100</v>
      </c>
      <c r="D1651" s="2" t="s">
        <v>462</v>
      </c>
      <c r="E1651" s="2" t="s">
        <v>773</v>
      </c>
      <c r="F1651" s="101">
        <v>15727</v>
      </c>
    </row>
    <row r="1652" spans="3:6" ht="14.4" customHeight="1" x14ac:dyDescent="0.3">
      <c r="C1652" s="2">
        <v>100</v>
      </c>
      <c r="D1652" s="2" t="s">
        <v>238</v>
      </c>
      <c r="E1652" s="2" t="s">
        <v>771</v>
      </c>
      <c r="F1652" s="101">
        <v>1198</v>
      </c>
    </row>
    <row r="1653" spans="3:6" ht="14.4" customHeight="1" x14ac:dyDescent="0.3">
      <c r="C1653" s="2">
        <v>100</v>
      </c>
      <c r="D1653" s="2" t="s">
        <v>791</v>
      </c>
      <c r="E1653" s="2" t="s">
        <v>775</v>
      </c>
      <c r="F1653" s="101">
        <v>3</v>
      </c>
    </row>
    <row r="1654" spans="3:6" ht="14.4" customHeight="1" x14ac:dyDescent="0.3">
      <c r="C1654" s="2">
        <v>100</v>
      </c>
      <c r="D1654" s="2" t="s">
        <v>238</v>
      </c>
      <c r="E1654" s="2" t="s">
        <v>770</v>
      </c>
      <c r="F1654" s="101">
        <v>305</v>
      </c>
    </row>
    <row r="1655" spans="3:6" ht="14.4" customHeight="1" x14ac:dyDescent="0.3">
      <c r="C1655" s="2">
        <v>100</v>
      </c>
      <c r="D1655" s="2" t="s">
        <v>462</v>
      </c>
      <c r="E1655" s="2" t="s">
        <v>775</v>
      </c>
      <c r="F1655" s="101">
        <v>42730</v>
      </c>
    </row>
    <row r="1656" spans="3:6" ht="14.4" customHeight="1" x14ac:dyDescent="0.3">
      <c r="C1656" s="2">
        <v>100</v>
      </c>
      <c r="D1656" s="2" t="s">
        <v>260</v>
      </c>
      <c r="E1656" s="2" t="s">
        <v>771</v>
      </c>
      <c r="F1656" s="101">
        <v>36854</v>
      </c>
    </row>
    <row r="1657" spans="3:6" ht="14.4" customHeight="1" x14ac:dyDescent="0.3">
      <c r="C1657" s="2">
        <v>100</v>
      </c>
      <c r="D1657" s="2" t="s">
        <v>292</v>
      </c>
      <c r="E1657" s="2" t="s">
        <v>770</v>
      </c>
      <c r="F1657" s="101">
        <v>29705</v>
      </c>
    </row>
    <row r="1658" spans="3:6" ht="14.4" customHeight="1" x14ac:dyDescent="0.3">
      <c r="C1658" s="2">
        <v>100</v>
      </c>
      <c r="D1658" s="2" t="s">
        <v>260</v>
      </c>
      <c r="E1658" s="2" t="s">
        <v>770</v>
      </c>
      <c r="F1658" s="101">
        <v>6440</v>
      </c>
    </row>
    <row r="1659" spans="3:6" ht="14.4" customHeight="1" x14ac:dyDescent="0.3">
      <c r="C1659" s="2">
        <v>100</v>
      </c>
      <c r="D1659" s="2" t="s">
        <v>531</v>
      </c>
      <c r="E1659" s="2" t="s">
        <v>769</v>
      </c>
      <c r="F1659" s="101">
        <v>43295</v>
      </c>
    </row>
    <row r="1660" spans="3:6" ht="14.4" customHeight="1" x14ac:dyDescent="0.3">
      <c r="C1660" s="2">
        <v>100</v>
      </c>
      <c r="D1660" s="2" t="s">
        <v>513</v>
      </c>
      <c r="E1660" s="2" t="s">
        <v>774</v>
      </c>
      <c r="F1660" s="101">
        <v>2071</v>
      </c>
    </row>
    <row r="1661" spans="3:6" ht="14.4" customHeight="1" x14ac:dyDescent="0.3">
      <c r="C1661" s="2">
        <v>100</v>
      </c>
      <c r="D1661" s="2" t="s">
        <v>387</v>
      </c>
      <c r="E1661" s="2" t="s">
        <v>774</v>
      </c>
      <c r="F1661" s="101">
        <v>850</v>
      </c>
    </row>
    <row r="1662" spans="3:6" ht="14.4" customHeight="1" x14ac:dyDescent="0.3">
      <c r="C1662" s="2">
        <v>100</v>
      </c>
      <c r="D1662" s="2" t="s">
        <v>449</v>
      </c>
      <c r="E1662" s="2" t="s">
        <v>777</v>
      </c>
      <c r="F1662" s="101">
        <v>950</v>
      </c>
    </row>
    <row r="1663" spans="3:6" ht="14.4" customHeight="1" x14ac:dyDescent="0.3">
      <c r="C1663" s="2">
        <v>100</v>
      </c>
      <c r="D1663" s="2" t="s">
        <v>691</v>
      </c>
      <c r="E1663" s="2" t="s">
        <v>769</v>
      </c>
      <c r="F1663" s="101">
        <v>33794</v>
      </c>
    </row>
    <row r="1664" spans="3:6" ht="14.4" customHeight="1" x14ac:dyDescent="0.3">
      <c r="C1664" s="2">
        <v>100</v>
      </c>
      <c r="D1664" s="2" t="s">
        <v>614</v>
      </c>
      <c r="E1664" s="2" t="s">
        <v>770</v>
      </c>
      <c r="F1664" s="101">
        <v>480</v>
      </c>
    </row>
    <row r="1665" spans="3:6" ht="14.4" customHeight="1" x14ac:dyDescent="0.3">
      <c r="C1665" s="2">
        <v>100</v>
      </c>
      <c r="D1665" s="2" t="s">
        <v>247</v>
      </c>
      <c r="E1665" s="2" t="s">
        <v>769</v>
      </c>
      <c r="F1665" s="101">
        <v>879193</v>
      </c>
    </row>
    <row r="1666" spans="3:6" ht="14.4" customHeight="1" x14ac:dyDescent="0.3">
      <c r="C1666" s="2">
        <v>100</v>
      </c>
      <c r="D1666" s="2" t="s">
        <v>677</v>
      </c>
      <c r="E1666" s="2" t="s">
        <v>769</v>
      </c>
      <c r="F1666" s="101">
        <v>13613</v>
      </c>
    </row>
    <row r="1667" spans="3:6" ht="14.4" customHeight="1" x14ac:dyDescent="0.3">
      <c r="C1667" s="2">
        <v>100</v>
      </c>
      <c r="D1667" s="2" t="s">
        <v>335</v>
      </c>
      <c r="E1667" s="2" t="s">
        <v>770</v>
      </c>
      <c r="F1667" s="101">
        <v>960</v>
      </c>
    </row>
    <row r="1668" spans="3:6" ht="14.4" customHeight="1" x14ac:dyDescent="0.3">
      <c r="C1668" s="2">
        <v>100</v>
      </c>
      <c r="D1668" s="2" t="s">
        <v>413</v>
      </c>
      <c r="E1668" s="2" t="s">
        <v>775</v>
      </c>
      <c r="F1668" s="101">
        <v>3</v>
      </c>
    </row>
    <row r="1669" spans="3:6" ht="14.4" customHeight="1" x14ac:dyDescent="0.3">
      <c r="C1669" s="2">
        <v>100</v>
      </c>
      <c r="D1669" s="2" t="s">
        <v>487</v>
      </c>
      <c r="E1669" s="2" t="s">
        <v>774</v>
      </c>
      <c r="F1669" s="101">
        <v>7013</v>
      </c>
    </row>
    <row r="1670" spans="3:6" ht="14.4" customHeight="1" x14ac:dyDescent="0.3">
      <c r="C1670" s="2">
        <v>100</v>
      </c>
      <c r="D1670" s="2" t="s">
        <v>663</v>
      </c>
      <c r="E1670" s="2" t="s">
        <v>769</v>
      </c>
      <c r="F1670" s="101">
        <v>36469</v>
      </c>
    </row>
    <row r="1671" spans="3:6" ht="14.4" customHeight="1" x14ac:dyDescent="0.3">
      <c r="C1671" s="2">
        <v>100</v>
      </c>
      <c r="D1671" s="2" t="s">
        <v>479</v>
      </c>
      <c r="E1671" s="2" t="s">
        <v>770</v>
      </c>
      <c r="F1671" s="101">
        <v>4056</v>
      </c>
    </row>
    <row r="1672" spans="3:6" ht="14.4" customHeight="1" x14ac:dyDescent="0.3">
      <c r="C1672" s="2">
        <v>100</v>
      </c>
      <c r="D1672" s="2" t="s">
        <v>479</v>
      </c>
      <c r="E1672" s="2" t="s">
        <v>771</v>
      </c>
      <c r="F1672" s="101">
        <v>15973</v>
      </c>
    </row>
    <row r="1673" spans="3:6" ht="14.4" customHeight="1" x14ac:dyDescent="0.3">
      <c r="C1673" s="2">
        <v>100</v>
      </c>
      <c r="D1673" s="2" t="s">
        <v>295</v>
      </c>
      <c r="E1673" s="2" t="s">
        <v>769</v>
      </c>
      <c r="F1673" s="101">
        <v>349</v>
      </c>
    </row>
    <row r="1674" spans="3:6" ht="14.4" customHeight="1" x14ac:dyDescent="0.3">
      <c r="C1674" s="2">
        <v>100</v>
      </c>
      <c r="D1674" s="2" t="s">
        <v>719</v>
      </c>
      <c r="E1674" s="2" t="s">
        <v>773</v>
      </c>
      <c r="F1674" s="101">
        <v>4620</v>
      </c>
    </row>
    <row r="1675" spans="3:6" ht="14.4" customHeight="1" x14ac:dyDescent="0.3">
      <c r="C1675" s="2">
        <v>100</v>
      </c>
      <c r="D1675" s="2" t="s">
        <v>394</v>
      </c>
      <c r="E1675" s="2" t="s">
        <v>777</v>
      </c>
      <c r="F1675" s="101">
        <v>11584</v>
      </c>
    </row>
    <row r="1676" spans="3:6" ht="14.4" customHeight="1" x14ac:dyDescent="0.3">
      <c r="C1676" s="2">
        <v>100</v>
      </c>
      <c r="D1676" s="2" t="s">
        <v>382</v>
      </c>
      <c r="E1676" s="2" t="s">
        <v>771</v>
      </c>
      <c r="F1676" s="101">
        <v>304</v>
      </c>
    </row>
    <row r="1677" spans="3:6" ht="14.4" customHeight="1" x14ac:dyDescent="0.3">
      <c r="C1677" s="2">
        <v>100</v>
      </c>
      <c r="D1677" s="2" t="s">
        <v>578</v>
      </c>
      <c r="E1677" s="2" t="s">
        <v>770</v>
      </c>
      <c r="F1677" s="101">
        <v>2171</v>
      </c>
    </row>
    <row r="1678" spans="3:6" ht="14.4" customHeight="1" x14ac:dyDescent="0.3">
      <c r="C1678" s="2">
        <v>100</v>
      </c>
      <c r="D1678" s="2" t="s">
        <v>281</v>
      </c>
      <c r="E1678" s="2" t="s">
        <v>773</v>
      </c>
      <c r="F1678" s="101">
        <v>1866</v>
      </c>
    </row>
    <row r="1679" spans="3:6" ht="14.4" customHeight="1" x14ac:dyDescent="0.3">
      <c r="C1679" s="2">
        <v>100</v>
      </c>
      <c r="D1679" s="2" t="s">
        <v>415</v>
      </c>
      <c r="E1679" s="2" t="s">
        <v>774</v>
      </c>
      <c r="F1679" s="101">
        <v>-83</v>
      </c>
    </row>
    <row r="1680" spans="3:6" ht="14.4" customHeight="1" x14ac:dyDescent="0.3">
      <c r="C1680" s="2">
        <v>100</v>
      </c>
      <c r="D1680" s="2" t="s">
        <v>708</v>
      </c>
      <c r="E1680" s="2" t="s">
        <v>771</v>
      </c>
      <c r="F1680" s="101">
        <v>1119</v>
      </c>
    </row>
    <row r="1681" spans="3:6" ht="14.4" customHeight="1" x14ac:dyDescent="0.3">
      <c r="C1681" s="2">
        <v>100</v>
      </c>
      <c r="D1681" s="2" t="s">
        <v>314</v>
      </c>
      <c r="E1681" s="2" t="s">
        <v>769</v>
      </c>
      <c r="F1681" s="101">
        <v>101045</v>
      </c>
    </row>
    <row r="1682" spans="3:6" ht="14.4" customHeight="1" x14ac:dyDescent="0.3">
      <c r="C1682" s="2">
        <v>100</v>
      </c>
      <c r="D1682" s="2" t="s">
        <v>344</v>
      </c>
      <c r="E1682" s="2" t="s">
        <v>773</v>
      </c>
      <c r="F1682" s="101">
        <v>399</v>
      </c>
    </row>
    <row r="1683" spans="3:6" ht="14.4" customHeight="1" x14ac:dyDescent="0.3">
      <c r="C1683" s="2">
        <v>100</v>
      </c>
      <c r="D1683" s="2" t="s">
        <v>319</v>
      </c>
      <c r="E1683" s="2" t="s">
        <v>769</v>
      </c>
      <c r="F1683" s="101">
        <v>327091</v>
      </c>
    </row>
    <row r="1684" spans="3:6" ht="14.4" customHeight="1" x14ac:dyDescent="0.3">
      <c r="C1684" s="2">
        <v>100</v>
      </c>
      <c r="D1684" s="2" t="s">
        <v>567</v>
      </c>
      <c r="E1684" s="2" t="s">
        <v>769</v>
      </c>
      <c r="F1684" s="101">
        <v>45990</v>
      </c>
    </row>
    <row r="1685" spans="3:6" ht="14.4" customHeight="1" x14ac:dyDescent="0.3">
      <c r="C1685" s="2">
        <v>100</v>
      </c>
      <c r="D1685" s="2" t="s">
        <v>380</v>
      </c>
      <c r="E1685" s="2" t="s">
        <v>770</v>
      </c>
      <c r="F1685" s="101">
        <v>6160</v>
      </c>
    </row>
    <row r="1686" spans="3:6" ht="14.4" customHeight="1" x14ac:dyDescent="0.3">
      <c r="C1686" s="2">
        <v>100</v>
      </c>
      <c r="D1686" s="2" t="s">
        <v>388</v>
      </c>
      <c r="E1686" s="2" t="s">
        <v>771</v>
      </c>
      <c r="F1686" s="101">
        <v>44320</v>
      </c>
    </row>
    <row r="1687" spans="3:6" ht="14.4" customHeight="1" x14ac:dyDescent="0.3">
      <c r="C1687" s="2">
        <v>100</v>
      </c>
      <c r="D1687" s="2" t="s">
        <v>335</v>
      </c>
      <c r="E1687" s="2" t="s">
        <v>773</v>
      </c>
      <c r="F1687" s="101">
        <v>512</v>
      </c>
    </row>
    <row r="1688" spans="3:6" ht="14.4" customHeight="1" x14ac:dyDescent="0.3">
      <c r="C1688" s="2">
        <v>100</v>
      </c>
      <c r="D1688" s="2" t="s">
        <v>335</v>
      </c>
      <c r="E1688" s="2" t="s">
        <v>775</v>
      </c>
      <c r="F1688" s="101">
        <v>3978</v>
      </c>
    </row>
    <row r="1689" spans="3:6" ht="14.4" customHeight="1" x14ac:dyDescent="0.3">
      <c r="C1689" s="2">
        <v>100</v>
      </c>
      <c r="D1689" s="2" t="s">
        <v>378</v>
      </c>
      <c r="E1689" s="2" t="s">
        <v>769</v>
      </c>
      <c r="F1689" s="101">
        <v>561252</v>
      </c>
    </row>
    <row r="1690" spans="3:6" ht="14.4" customHeight="1" x14ac:dyDescent="0.3">
      <c r="C1690" s="2">
        <v>100</v>
      </c>
      <c r="D1690" s="2" t="s">
        <v>304</v>
      </c>
      <c r="E1690" s="2" t="s">
        <v>773</v>
      </c>
      <c r="F1690" s="101">
        <v>24786</v>
      </c>
    </row>
    <row r="1691" spans="3:6" ht="14.4" customHeight="1" x14ac:dyDescent="0.3">
      <c r="C1691" s="2">
        <v>100</v>
      </c>
      <c r="D1691" s="2" t="s">
        <v>656</v>
      </c>
      <c r="E1691" s="2" t="s">
        <v>770</v>
      </c>
      <c r="F1691" s="101">
        <v>365</v>
      </c>
    </row>
    <row r="1692" spans="3:6" ht="14.4" customHeight="1" x14ac:dyDescent="0.3">
      <c r="C1692" s="2">
        <v>100</v>
      </c>
      <c r="D1692" s="2" t="s">
        <v>670</v>
      </c>
      <c r="E1692" s="2" t="s">
        <v>770</v>
      </c>
      <c r="F1692" s="101">
        <v>637</v>
      </c>
    </row>
    <row r="1693" spans="3:6" ht="14.4" customHeight="1" x14ac:dyDescent="0.3">
      <c r="C1693" s="2">
        <v>100</v>
      </c>
      <c r="D1693" s="2" t="s">
        <v>717</v>
      </c>
      <c r="E1693" s="2" t="s">
        <v>770</v>
      </c>
      <c r="F1693" s="101">
        <v>891</v>
      </c>
    </row>
    <row r="1694" spans="3:6" ht="14.4" customHeight="1" x14ac:dyDescent="0.3">
      <c r="C1694" s="2">
        <v>100</v>
      </c>
      <c r="D1694" s="2" t="s">
        <v>472</v>
      </c>
      <c r="E1694" s="2" t="s">
        <v>786</v>
      </c>
      <c r="F1694" s="101">
        <v>309</v>
      </c>
    </row>
    <row r="1695" spans="3:6" ht="14.4" customHeight="1" x14ac:dyDescent="0.3">
      <c r="C1695" s="2">
        <v>100</v>
      </c>
      <c r="D1695" s="2" t="s">
        <v>231</v>
      </c>
      <c r="E1695" s="2" t="s">
        <v>771</v>
      </c>
      <c r="F1695" s="101">
        <v>7348</v>
      </c>
    </row>
    <row r="1696" spans="3:6" ht="14.4" customHeight="1" x14ac:dyDescent="0.3">
      <c r="C1696" s="2">
        <v>100</v>
      </c>
      <c r="D1696" s="2" t="s">
        <v>631</v>
      </c>
      <c r="E1696" s="2" t="s">
        <v>777</v>
      </c>
      <c r="F1696" s="101">
        <v>234</v>
      </c>
    </row>
    <row r="1697" spans="3:6" ht="14.4" customHeight="1" x14ac:dyDescent="0.3">
      <c r="C1697" s="2">
        <v>100</v>
      </c>
      <c r="D1697" s="2" t="s">
        <v>206</v>
      </c>
      <c r="E1697" s="2" t="s">
        <v>775</v>
      </c>
      <c r="F1697" s="101">
        <v>10</v>
      </c>
    </row>
    <row r="1698" spans="3:6" ht="14.4" customHeight="1" x14ac:dyDescent="0.3">
      <c r="C1698" s="2">
        <v>100</v>
      </c>
      <c r="D1698" s="2" t="s">
        <v>434</v>
      </c>
      <c r="E1698" s="2" t="s">
        <v>773</v>
      </c>
      <c r="F1698" s="101">
        <v>1943</v>
      </c>
    </row>
    <row r="1699" spans="3:6" ht="14.4" customHeight="1" x14ac:dyDescent="0.3">
      <c r="C1699" s="2">
        <v>100</v>
      </c>
      <c r="D1699" s="2" t="s">
        <v>246</v>
      </c>
      <c r="E1699" s="2" t="s">
        <v>771</v>
      </c>
      <c r="F1699" s="101">
        <v>201</v>
      </c>
    </row>
    <row r="1700" spans="3:6" ht="14.4" customHeight="1" x14ac:dyDescent="0.3">
      <c r="C1700" s="2">
        <v>100</v>
      </c>
      <c r="D1700" s="2" t="s">
        <v>620</v>
      </c>
      <c r="E1700" s="2" t="s">
        <v>769</v>
      </c>
      <c r="F1700" s="101">
        <v>54511</v>
      </c>
    </row>
    <row r="1701" spans="3:6" ht="14.4" customHeight="1" x14ac:dyDescent="0.3">
      <c r="C1701" s="2">
        <v>100</v>
      </c>
      <c r="D1701" s="2" t="s">
        <v>502</v>
      </c>
      <c r="E1701" s="2" t="s">
        <v>769</v>
      </c>
      <c r="F1701" s="101">
        <v>28349</v>
      </c>
    </row>
    <row r="1702" spans="3:6" ht="14.4" customHeight="1" x14ac:dyDescent="0.3">
      <c r="C1702" s="2">
        <v>100</v>
      </c>
      <c r="D1702" s="2" t="s">
        <v>377</v>
      </c>
      <c r="E1702" s="2" t="s">
        <v>774</v>
      </c>
      <c r="F1702" s="101">
        <v>277</v>
      </c>
    </row>
    <row r="1703" spans="3:6" ht="14.4" customHeight="1" x14ac:dyDescent="0.3">
      <c r="C1703" s="2">
        <v>100</v>
      </c>
      <c r="D1703" s="2" t="s">
        <v>587</v>
      </c>
      <c r="E1703" s="2" t="s">
        <v>771</v>
      </c>
      <c r="F1703" s="101">
        <v>4544</v>
      </c>
    </row>
    <row r="1704" spans="3:6" ht="14.4" customHeight="1" x14ac:dyDescent="0.3">
      <c r="C1704" s="2">
        <v>100</v>
      </c>
      <c r="D1704" s="2" t="s">
        <v>329</v>
      </c>
      <c r="E1704" s="2" t="s">
        <v>777</v>
      </c>
      <c r="F1704" s="101">
        <v>52987</v>
      </c>
    </row>
    <row r="1705" spans="3:6" ht="14.4" customHeight="1" x14ac:dyDescent="0.3">
      <c r="C1705" s="2">
        <v>100</v>
      </c>
      <c r="D1705" s="2" t="s">
        <v>698</v>
      </c>
      <c r="E1705" s="2" t="s">
        <v>770</v>
      </c>
      <c r="F1705" s="101">
        <v>1771</v>
      </c>
    </row>
    <row r="1706" spans="3:6" ht="14.4" customHeight="1" x14ac:dyDescent="0.3">
      <c r="C1706" s="2">
        <v>100</v>
      </c>
      <c r="D1706" s="2" t="s">
        <v>283</v>
      </c>
      <c r="E1706" s="2" t="s">
        <v>771</v>
      </c>
      <c r="F1706" s="101">
        <v>17764</v>
      </c>
    </row>
    <row r="1707" spans="3:6" ht="14.4" customHeight="1" x14ac:dyDescent="0.3">
      <c r="C1707" s="2">
        <v>100</v>
      </c>
      <c r="D1707" s="2" t="s">
        <v>232</v>
      </c>
      <c r="E1707" s="2" t="s">
        <v>774</v>
      </c>
      <c r="F1707" s="101">
        <v>1992</v>
      </c>
    </row>
    <row r="1708" spans="3:6" ht="14.4" customHeight="1" x14ac:dyDescent="0.3">
      <c r="C1708" s="2">
        <v>100</v>
      </c>
      <c r="D1708" s="2" t="s">
        <v>300</v>
      </c>
      <c r="E1708" s="2" t="s">
        <v>771</v>
      </c>
      <c r="F1708" s="101">
        <v>1081</v>
      </c>
    </row>
    <row r="1709" spans="3:6" ht="14.4" customHeight="1" x14ac:dyDescent="0.3">
      <c r="C1709" s="2">
        <v>100</v>
      </c>
      <c r="D1709" s="2" t="s">
        <v>535</v>
      </c>
      <c r="E1709" s="2" t="s">
        <v>774</v>
      </c>
      <c r="F1709" s="101">
        <v>0</v>
      </c>
    </row>
    <row r="1710" spans="3:6" ht="14.4" customHeight="1" x14ac:dyDescent="0.3">
      <c r="C1710" s="2">
        <v>100</v>
      </c>
      <c r="D1710" s="2" t="s">
        <v>252</v>
      </c>
      <c r="E1710" s="2" t="s">
        <v>775</v>
      </c>
      <c r="F1710" s="101">
        <v>1740</v>
      </c>
    </row>
    <row r="1711" spans="3:6" ht="14.4" customHeight="1" x14ac:dyDescent="0.3">
      <c r="C1711" s="2">
        <v>100</v>
      </c>
      <c r="D1711" s="2" t="s">
        <v>465</v>
      </c>
      <c r="E1711" s="2" t="s">
        <v>782</v>
      </c>
      <c r="F1711" s="101">
        <v>55</v>
      </c>
    </row>
    <row r="1712" spans="3:6" ht="14.4" customHeight="1" x14ac:dyDescent="0.3">
      <c r="C1712" s="2">
        <v>100</v>
      </c>
      <c r="D1712" s="2" t="s">
        <v>219</v>
      </c>
      <c r="E1712" s="2" t="s">
        <v>769</v>
      </c>
      <c r="F1712" s="101">
        <v>731482</v>
      </c>
    </row>
    <row r="1713" spans="3:6" ht="14.4" customHeight="1" x14ac:dyDescent="0.3">
      <c r="C1713" s="2">
        <v>100</v>
      </c>
      <c r="D1713" s="2" t="s">
        <v>685</v>
      </c>
      <c r="E1713" s="2" t="s">
        <v>773</v>
      </c>
      <c r="F1713" s="101">
        <v>66</v>
      </c>
    </row>
    <row r="1714" spans="3:6" ht="14.4" customHeight="1" x14ac:dyDescent="0.3">
      <c r="C1714" s="2">
        <v>100</v>
      </c>
      <c r="D1714" s="2" t="s">
        <v>221</v>
      </c>
      <c r="E1714" s="2" t="s">
        <v>771</v>
      </c>
      <c r="F1714" s="101">
        <v>19389</v>
      </c>
    </row>
    <row r="1715" spans="3:6" ht="14.4" customHeight="1" x14ac:dyDescent="0.3">
      <c r="C1715" s="2">
        <v>100</v>
      </c>
      <c r="D1715" s="2" t="s">
        <v>323</v>
      </c>
      <c r="E1715" s="2" t="s">
        <v>769</v>
      </c>
      <c r="F1715" s="101">
        <v>5275</v>
      </c>
    </row>
    <row r="1716" spans="3:6" ht="14.4" customHeight="1" x14ac:dyDescent="0.3">
      <c r="C1716" s="2">
        <v>100</v>
      </c>
      <c r="D1716" s="2" t="s">
        <v>511</v>
      </c>
      <c r="E1716" s="2" t="s">
        <v>771</v>
      </c>
      <c r="F1716" s="101">
        <v>4759</v>
      </c>
    </row>
    <row r="1717" spans="3:6" ht="14.4" customHeight="1" x14ac:dyDescent="0.3">
      <c r="C1717" s="2">
        <v>100</v>
      </c>
      <c r="D1717" s="2" t="s">
        <v>364</v>
      </c>
      <c r="E1717" s="2" t="s">
        <v>774</v>
      </c>
      <c r="F1717" s="101">
        <v>11862</v>
      </c>
    </row>
    <row r="1718" spans="3:6" ht="14.4" customHeight="1" x14ac:dyDescent="0.3">
      <c r="C1718" s="2">
        <v>100</v>
      </c>
      <c r="D1718" s="2" t="s">
        <v>649</v>
      </c>
      <c r="E1718" s="2" t="s">
        <v>769</v>
      </c>
      <c r="F1718" s="101">
        <v>4656</v>
      </c>
    </row>
    <row r="1719" spans="3:6" ht="14.4" customHeight="1" x14ac:dyDescent="0.3">
      <c r="C1719" s="2">
        <v>100</v>
      </c>
      <c r="D1719" s="2" t="s">
        <v>211</v>
      </c>
      <c r="E1719" s="2" t="s">
        <v>769</v>
      </c>
      <c r="F1719" s="101">
        <v>254980</v>
      </c>
    </row>
    <row r="1720" spans="3:6" ht="14.4" customHeight="1" x14ac:dyDescent="0.3">
      <c r="C1720" s="2">
        <v>100</v>
      </c>
      <c r="D1720" s="2" t="s">
        <v>756</v>
      </c>
      <c r="E1720" s="2" t="s">
        <v>774</v>
      </c>
      <c r="F1720" s="101">
        <v>-2631</v>
      </c>
    </row>
    <row r="1721" spans="3:6" ht="14.4" customHeight="1" x14ac:dyDescent="0.3">
      <c r="C1721" s="2">
        <v>100</v>
      </c>
      <c r="D1721" s="2" t="s">
        <v>231</v>
      </c>
      <c r="E1721" s="2" t="s">
        <v>775</v>
      </c>
      <c r="F1721" s="101">
        <v>5624</v>
      </c>
    </row>
    <row r="1722" spans="3:6" ht="14.4" customHeight="1" x14ac:dyDescent="0.3">
      <c r="C1722" s="2">
        <v>100</v>
      </c>
      <c r="D1722" s="2" t="s">
        <v>206</v>
      </c>
      <c r="E1722" s="2" t="s">
        <v>770</v>
      </c>
      <c r="F1722" s="101">
        <v>243</v>
      </c>
    </row>
    <row r="1723" spans="3:6" ht="14.4" customHeight="1" x14ac:dyDescent="0.3">
      <c r="C1723" s="2">
        <v>100</v>
      </c>
      <c r="D1723" s="2" t="s">
        <v>560</v>
      </c>
      <c r="E1723" s="2" t="s">
        <v>774</v>
      </c>
      <c r="F1723" s="101">
        <v>30</v>
      </c>
    </row>
    <row r="1724" spans="3:6" ht="14.4" customHeight="1" x14ac:dyDescent="0.3">
      <c r="C1724" s="2">
        <v>100</v>
      </c>
      <c r="D1724" s="2" t="s">
        <v>717</v>
      </c>
      <c r="E1724" s="2" t="s">
        <v>775</v>
      </c>
      <c r="F1724" s="101">
        <v>14575</v>
      </c>
    </row>
    <row r="1725" spans="3:6" ht="14.4" customHeight="1" x14ac:dyDescent="0.3">
      <c r="C1725" s="2">
        <v>100</v>
      </c>
      <c r="D1725" s="2" t="s">
        <v>650</v>
      </c>
      <c r="E1725" s="2" t="s">
        <v>771</v>
      </c>
      <c r="F1725" s="101">
        <v>3284</v>
      </c>
    </row>
    <row r="1726" spans="3:6" ht="14.4" customHeight="1" x14ac:dyDescent="0.3">
      <c r="C1726" s="2">
        <v>100</v>
      </c>
      <c r="D1726" s="2" t="s">
        <v>566</v>
      </c>
      <c r="E1726" s="2" t="s">
        <v>777</v>
      </c>
      <c r="F1726" s="101">
        <v>1117</v>
      </c>
    </row>
    <row r="1727" spans="3:6" ht="14.4" customHeight="1" x14ac:dyDescent="0.3">
      <c r="C1727" s="2">
        <v>100</v>
      </c>
      <c r="D1727" s="2" t="s">
        <v>354</v>
      </c>
      <c r="E1727" s="2" t="s">
        <v>774</v>
      </c>
      <c r="F1727" s="101">
        <v>0</v>
      </c>
    </row>
    <row r="1728" spans="3:6" ht="14.4" customHeight="1" x14ac:dyDescent="0.3">
      <c r="C1728" s="2">
        <v>100</v>
      </c>
      <c r="D1728" s="2" t="s">
        <v>253</v>
      </c>
      <c r="E1728" s="2" t="s">
        <v>771</v>
      </c>
      <c r="F1728" s="101">
        <v>765061</v>
      </c>
    </row>
    <row r="1729" spans="3:6" ht="14.4" customHeight="1" x14ac:dyDescent="0.3">
      <c r="C1729" s="2">
        <v>100</v>
      </c>
      <c r="D1729" s="2" t="s">
        <v>585</v>
      </c>
      <c r="E1729" s="2" t="s">
        <v>769</v>
      </c>
      <c r="F1729" s="101">
        <v>70321</v>
      </c>
    </row>
    <row r="1730" spans="3:6" ht="14.4" customHeight="1" x14ac:dyDescent="0.3">
      <c r="C1730" s="2">
        <v>100</v>
      </c>
      <c r="D1730" s="2" t="s">
        <v>539</v>
      </c>
      <c r="E1730" s="2" t="s">
        <v>777</v>
      </c>
      <c r="F1730" s="101">
        <v>14476</v>
      </c>
    </row>
    <row r="1731" spans="3:6" ht="14.4" customHeight="1" x14ac:dyDescent="0.3">
      <c r="C1731" s="2">
        <v>100</v>
      </c>
      <c r="D1731" s="2" t="s">
        <v>697</v>
      </c>
      <c r="E1731" s="2" t="s">
        <v>771</v>
      </c>
      <c r="F1731" s="101">
        <v>260</v>
      </c>
    </row>
    <row r="1732" spans="3:6" ht="14.4" customHeight="1" x14ac:dyDescent="0.3">
      <c r="C1732" s="2">
        <v>100</v>
      </c>
      <c r="D1732" s="2" t="s">
        <v>371</v>
      </c>
      <c r="E1732" s="2" t="s">
        <v>769</v>
      </c>
      <c r="F1732" s="101">
        <v>9461</v>
      </c>
    </row>
    <row r="1733" spans="3:6" ht="14.4" customHeight="1" x14ac:dyDescent="0.3">
      <c r="C1733" s="2">
        <v>100</v>
      </c>
      <c r="D1733" s="2" t="s">
        <v>226</v>
      </c>
      <c r="E1733" s="2" t="s">
        <v>773</v>
      </c>
      <c r="F1733" s="101">
        <v>10430</v>
      </c>
    </row>
    <row r="1734" spans="3:6" ht="14.4" customHeight="1" x14ac:dyDescent="0.3">
      <c r="C1734" s="2">
        <v>100</v>
      </c>
      <c r="D1734" s="2" t="s">
        <v>275</v>
      </c>
      <c r="E1734" s="2" t="s">
        <v>771</v>
      </c>
      <c r="F1734" s="101">
        <v>26041</v>
      </c>
    </row>
    <row r="1735" spans="3:6" ht="14.4" customHeight="1" x14ac:dyDescent="0.3">
      <c r="C1735" s="2">
        <v>100</v>
      </c>
      <c r="D1735" s="2" t="s">
        <v>726</v>
      </c>
      <c r="E1735" s="2" t="s">
        <v>770</v>
      </c>
      <c r="F1735" s="101">
        <v>161</v>
      </c>
    </row>
    <row r="1736" spans="3:6" ht="14.4" customHeight="1" x14ac:dyDescent="0.3">
      <c r="C1736" s="2">
        <v>100</v>
      </c>
      <c r="D1736" s="2" t="s">
        <v>758</v>
      </c>
      <c r="E1736" s="2" t="s">
        <v>770</v>
      </c>
      <c r="F1736" s="101">
        <v>11</v>
      </c>
    </row>
    <row r="1737" spans="3:6" ht="14.4" customHeight="1" x14ac:dyDescent="0.3">
      <c r="C1737" s="2">
        <v>100</v>
      </c>
      <c r="D1737" s="2" t="s">
        <v>275</v>
      </c>
      <c r="E1737" s="2" t="s">
        <v>770</v>
      </c>
      <c r="F1737" s="101">
        <v>15937</v>
      </c>
    </row>
    <row r="1738" spans="3:6" ht="14.4" customHeight="1" x14ac:dyDescent="0.3">
      <c r="C1738" s="2">
        <v>100</v>
      </c>
      <c r="D1738" s="2" t="s">
        <v>376</v>
      </c>
      <c r="E1738" s="2" t="s">
        <v>775</v>
      </c>
      <c r="F1738" s="101">
        <v>4099</v>
      </c>
    </row>
    <row r="1739" spans="3:6" ht="14.4" customHeight="1" x14ac:dyDescent="0.3">
      <c r="C1739" s="2">
        <v>100</v>
      </c>
      <c r="D1739" s="2" t="s">
        <v>373</v>
      </c>
      <c r="E1739" s="2" t="s">
        <v>771</v>
      </c>
      <c r="F1739" s="101">
        <v>48368</v>
      </c>
    </row>
    <row r="1740" spans="3:6" ht="14.4" customHeight="1" x14ac:dyDescent="0.3">
      <c r="C1740" s="2">
        <v>100</v>
      </c>
      <c r="D1740" s="2" t="s">
        <v>463</v>
      </c>
      <c r="E1740" s="2" t="s">
        <v>774</v>
      </c>
      <c r="F1740" s="101">
        <v>-2718</v>
      </c>
    </row>
    <row r="1741" spans="3:6" ht="14.4" customHeight="1" x14ac:dyDescent="0.3">
      <c r="C1741" s="2">
        <v>100</v>
      </c>
      <c r="D1741" s="2" t="s">
        <v>199</v>
      </c>
      <c r="E1741" s="2" t="s">
        <v>769</v>
      </c>
      <c r="F1741" s="101">
        <v>7938</v>
      </c>
    </row>
    <row r="1742" spans="3:6" ht="14.4" customHeight="1" x14ac:dyDescent="0.3">
      <c r="C1742" s="2">
        <v>100</v>
      </c>
      <c r="D1742" s="2" t="s">
        <v>398</v>
      </c>
      <c r="E1742" s="2" t="s">
        <v>775</v>
      </c>
      <c r="F1742" s="101">
        <v>65</v>
      </c>
    </row>
    <row r="1743" spans="3:6" ht="14.4" customHeight="1" x14ac:dyDescent="0.3">
      <c r="C1743" s="2">
        <v>100</v>
      </c>
      <c r="D1743" s="2" t="s">
        <v>418</v>
      </c>
      <c r="E1743" s="2" t="s">
        <v>774</v>
      </c>
      <c r="F1743" s="101">
        <v>-51</v>
      </c>
    </row>
    <row r="1744" spans="3:6" ht="14.4" customHeight="1" x14ac:dyDescent="0.3">
      <c r="C1744" s="2">
        <v>100</v>
      </c>
      <c r="D1744" s="2" t="s">
        <v>374</v>
      </c>
      <c r="E1744" s="2" t="s">
        <v>773</v>
      </c>
      <c r="F1744" s="101">
        <v>1000</v>
      </c>
    </row>
    <row r="1745" spans="3:6" ht="14.4" customHeight="1" x14ac:dyDescent="0.3">
      <c r="C1745" s="2">
        <v>100</v>
      </c>
      <c r="D1745" s="2" t="s">
        <v>374</v>
      </c>
      <c r="E1745" s="2" t="s">
        <v>771</v>
      </c>
      <c r="F1745" s="101">
        <v>1783</v>
      </c>
    </row>
    <row r="1746" spans="3:6" ht="14.4" customHeight="1" x14ac:dyDescent="0.3">
      <c r="C1746" s="2">
        <v>100</v>
      </c>
      <c r="D1746" s="2" t="s">
        <v>404</v>
      </c>
      <c r="E1746" s="2" t="s">
        <v>774</v>
      </c>
      <c r="F1746" s="101">
        <v>42</v>
      </c>
    </row>
    <row r="1747" spans="3:6" ht="14.4" customHeight="1" x14ac:dyDescent="0.3">
      <c r="C1747" s="2">
        <v>100</v>
      </c>
      <c r="D1747" s="2" t="s">
        <v>373</v>
      </c>
      <c r="E1747" s="2" t="s">
        <v>775</v>
      </c>
      <c r="F1747" s="101">
        <v>11732</v>
      </c>
    </row>
    <row r="1748" spans="3:6" ht="14.4" customHeight="1" x14ac:dyDescent="0.3">
      <c r="C1748" s="2">
        <v>100</v>
      </c>
      <c r="D1748" s="2" t="s">
        <v>372</v>
      </c>
      <c r="E1748" s="2" t="s">
        <v>770</v>
      </c>
      <c r="F1748" s="101">
        <v>3416</v>
      </c>
    </row>
    <row r="1749" spans="3:6" ht="14.4" customHeight="1" x14ac:dyDescent="0.3">
      <c r="C1749" s="2">
        <v>100</v>
      </c>
      <c r="D1749" s="2" t="s">
        <v>752</v>
      </c>
      <c r="E1749" s="2" t="s">
        <v>774</v>
      </c>
      <c r="F1749" s="101">
        <v>0</v>
      </c>
    </row>
    <row r="1750" spans="3:6" ht="14.4" customHeight="1" x14ac:dyDescent="0.3">
      <c r="C1750" s="2">
        <v>100</v>
      </c>
      <c r="D1750" s="2" t="s">
        <v>760</v>
      </c>
      <c r="E1750" s="2" t="s">
        <v>771</v>
      </c>
      <c r="F1750" s="101">
        <v>46</v>
      </c>
    </row>
    <row r="1751" spans="3:6" ht="14.4" customHeight="1" x14ac:dyDescent="0.3">
      <c r="C1751" s="2">
        <v>100</v>
      </c>
      <c r="D1751" s="2" t="s">
        <v>559</v>
      </c>
      <c r="E1751" s="2" t="s">
        <v>773</v>
      </c>
      <c r="F1751" s="101">
        <v>2106</v>
      </c>
    </row>
    <row r="1752" spans="3:6" ht="14.4" customHeight="1" x14ac:dyDescent="0.3">
      <c r="C1752" s="2">
        <v>100</v>
      </c>
      <c r="D1752" s="2" t="s">
        <v>634</v>
      </c>
      <c r="E1752" s="2" t="s">
        <v>773</v>
      </c>
      <c r="F1752" s="101">
        <v>9</v>
      </c>
    </row>
    <row r="1753" spans="3:6" ht="14.4" customHeight="1" x14ac:dyDescent="0.3">
      <c r="C1753" s="2">
        <v>100</v>
      </c>
      <c r="D1753" s="2" t="s">
        <v>637</v>
      </c>
      <c r="E1753" s="2" t="s">
        <v>774</v>
      </c>
      <c r="F1753" s="101">
        <v>0</v>
      </c>
    </row>
    <row r="1754" spans="3:6" ht="14.4" customHeight="1" x14ac:dyDescent="0.3">
      <c r="C1754" s="2">
        <v>100</v>
      </c>
      <c r="D1754" s="2" t="s">
        <v>471</v>
      </c>
      <c r="E1754" s="2" t="s">
        <v>769</v>
      </c>
      <c r="F1754" s="101">
        <v>80785</v>
      </c>
    </row>
    <row r="1755" spans="3:6" ht="14.4" customHeight="1" x14ac:dyDescent="0.3">
      <c r="C1755" s="2">
        <v>100</v>
      </c>
      <c r="D1755" s="2" t="s">
        <v>328</v>
      </c>
      <c r="E1755" s="2" t="s">
        <v>773</v>
      </c>
      <c r="F1755" s="101">
        <v>20949</v>
      </c>
    </row>
    <row r="1756" spans="3:6" ht="14.4" customHeight="1" x14ac:dyDescent="0.3">
      <c r="C1756" s="2">
        <v>100</v>
      </c>
      <c r="D1756" s="2" t="s">
        <v>264</v>
      </c>
      <c r="E1756" s="2" t="s">
        <v>783</v>
      </c>
      <c r="F1756" s="101">
        <v>12</v>
      </c>
    </row>
    <row r="1757" spans="3:6" ht="14.4" customHeight="1" x14ac:dyDescent="0.3">
      <c r="C1757" s="2">
        <v>100</v>
      </c>
      <c r="D1757" s="2" t="s">
        <v>322</v>
      </c>
      <c r="E1757" s="2" t="s">
        <v>774</v>
      </c>
      <c r="F1757" s="101">
        <v>5877</v>
      </c>
    </row>
    <row r="1758" spans="3:6" ht="14.4" customHeight="1" x14ac:dyDescent="0.3">
      <c r="C1758" s="2">
        <v>100</v>
      </c>
      <c r="D1758" s="2" t="s">
        <v>328</v>
      </c>
      <c r="E1758" s="2" t="s">
        <v>775</v>
      </c>
      <c r="F1758" s="101">
        <v>9027</v>
      </c>
    </row>
    <row r="1759" spans="3:6" ht="14.4" customHeight="1" x14ac:dyDescent="0.3">
      <c r="C1759" s="2">
        <v>100</v>
      </c>
      <c r="D1759" s="2" t="s">
        <v>332</v>
      </c>
      <c r="E1759" s="2" t="s">
        <v>771</v>
      </c>
      <c r="F1759" s="101">
        <v>3590</v>
      </c>
    </row>
    <row r="1760" spans="3:6" ht="14.4" customHeight="1" x14ac:dyDescent="0.3">
      <c r="C1760" s="2">
        <v>100</v>
      </c>
      <c r="D1760" s="2" t="s">
        <v>385</v>
      </c>
      <c r="E1760" s="2" t="s">
        <v>769</v>
      </c>
      <c r="F1760" s="101">
        <v>425432</v>
      </c>
    </row>
    <row r="1761" spans="3:6" ht="14.4" customHeight="1" x14ac:dyDescent="0.3">
      <c r="C1761" s="2">
        <v>100</v>
      </c>
      <c r="D1761" s="2" t="s">
        <v>390</v>
      </c>
      <c r="E1761" s="2" t="s">
        <v>773</v>
      </c>
      <c r="F1761" s="101">
        <v>699</v>
      </c>
    </row>
    <row r="1762" spans="3:6" ht="14.4" customHeight="1" x14ac:dyDescent="0.3">
      <c r="C1762" s="2">
        <v>100</v>
      </c>
      <c r="D1762" s="2" t="s">
        <v>263</v>
      </c>
      <c r="E1762" s="2" t="s">
        <v>769</v>
      </c>
      <c r="F1762" s="101">
        <v>595210</v>
      </c>
    </row>
    <row r="1763" spans="3:6" ht="14.4" customHeight="1" x14ac:dyDescent="0.3">
      <c r="C1763" s="2">
        <v>100</v>
      </c>
      <c r="D1763" s="2" t="s">
        <v>378</v>
      </c>
      <c r="E1763" s="2" t="s">
        <v>774</v>
      </c>
      <c r="F1763" s="101">
        <v>13538</v>
      </c>
    </row>
    <row r="1764" spans="3:6" ht="14.4" customHeight="1" x14ac:dyDescent="0.3">
      <c r="C1764" s="2">
        <v>100</v>
      </c>
      <c r="D1764" s="2" t="s">
        <v>482</v>
      </c>
      <c r="E1764" s="2" t="s">
        <v>775</v>
      </c>
      <c r="F1764" s="101">
        <v>5558</v>
      </c>
    </row>
    <row r="1765" spans="3:6" ht="14.4" customHeight="1" x14ac:dyDescent="0.3">
      <c r="C1765" s="2">
        <v>100</v>
      </c>
      <c r="D1765" s="2" t="s">
        <v>205</v>
      </c>
      <c r="E1765" s="2" t="s">
        <v>773</v>
      </c>
      <c r="F1765" s="101">
        <v>3232</v>
      </c>
    </row>
    <row r="1766" spans="3:6" ht="14.4" customHeight="1" x14ac:dyDescent="0.3">
      <c r="C1766" s="2">
        <v>100</v>
      </c>
      <c r="D1766" s="2" t="s">
        <v>485</v>
      </c>
      <c r="E1766" s="2" t="s">
        <v>775</v>
      </c>
      <c r="F1766" s="101">
        <v>62</v>
      </c>
    </row>
    <row r="1767" spans="3:6" ht="14.4" customHeight="1" x14ac:dyDescent="0.3">
      <c r="C1767" s="2">
        <v>100</v>
      </c>
      <c r="D1767" s="2" t="s">
        <v>760</v>
      </c>
      <c r="E1767" s="2" t="s">
        <v>780</v>
      </c>
      <c r="F1767" s="101">
        <v>60993</v>
      </c>
    </row>
    <row r="1768" spans="3:6" ht="14.4" customHeight="1" x14ac:dyDescent="0.3">
      <c r="C1768" s="2">
        <v>100</v>
      </c>
      <c r="D1768" s="2" t="s">
        <v>244</v>
      </c>
      <c r="E1768" s="2" t="s">
        <v>769</v>
      </c>
      <c r="F1768" s="101">
        <v>45211</v>
      </c>
    </row>
    <row r="1769" spans="3:6" ht="14.4" customHeight="1" x14ac:dyDescent="0.3">
      <c r="C1769" s="2">
        <v>100</v>
      </c>
      <c r="D1769" s="2" t="s">
        <v>536</v>
      </c>
      <c r="E1769" s="2" t="s">
        <v>773</v>
      </c>
      <c r="F1769" s="101">
        <v>636</v>
      </c>
    </row>
    <row r="1770" spans="3:6" ht="14.4" customHeight="1" x14ac:dyDescent="0.3">
      <c r="C1770" s="2">
        <v>100</v>
      </c>
      <c r="D1770" s="2" t="s">
        <v>257</v>
      </c>
      <c r="E1770" s="2" t="s">
        <v>774</v>
      </c>
      <c r="F1770" s="101">
        <v>1638</v>
      </c>
    </row>
    <row r="1771" spans="3:6" ht="14.4" customHeight="1" x14ac:dyDescent="0.3">
      <c r="C1771" s="2">
        <v>100</v>
      </c>
      <c r="D1771" s="2" t="s">
        <v>420</v>
      </c>
      <c r="E1771" s="2" t="s">
        <v>769</v>
      </c>
      <c r="F1771" s="101">
        <v>10086</v>
      </c>
    </row>
    <row r="1772" spans="3:6" ht="14.4" customHeight="1" x14ac:dyDescent="0.3">
      <c r="C1772" s="2">
        <v>100</v>
      </c>
      <c r="D1772" s="2" t="s">
        <v>285</v>
      </c>
      <c r="E1772" s="2" t="s">
        <v>773</v>
      </c>
      <c r="F1772" s="101">
        <v>8249</v>
      </c>
    </row>
    <row r="1773" spans="3:6" ht="14.4" customHeight="1" x14ac:dyDescent="0.3">
      <c r="C1773" s="2">
        <v>100</v>
      </c>
      <c r="D1773" s="2" t="s">
        <v>402</v>
      </c>
      <c r="E1773" s="2" t="s">
        <v>769</v>
      </c>
      <c r="F1773" s="101">
        <v>43025</v>
      </c>
    </row>
    <row r="1774" spans="3:6" ht="14.4" customHeight="1" x14ac:dyDescent="0.3">
      <c r="C1774" s="2">
        <v>100</v>
      </c>
      <c r="D1774" s="2" t="s">
        <v>743</v>
      </c>
      <c r="E1774" s="2" t="s">
        <v>774</v>
      </c>
      <c r="F1774" s="101">
        <v>1990</v>
      </c>
    </row>
    <row r="1775" spans="3:6" ht="14.4" customHeight="1" x14ac:dyDescent="0.3">
      <c r="C1775" s="2">
        <v>100</v>
      </c>
      <c r="D1775" s="2" t="s">
        <v>541</v>
      </c>
      <c r="E1775" s="2" t="s">
        <v>773</v>
      </c>
      <c r="F1775" s="101">
        <v>272</v>
      </c>
    </row>
    <row r="1776" spans="3:6" ht="14.4" customHeight="1" x14ac:dyDescent="0.3">
      <c r="C1776" s="2">
        <v>100</v>
      </c>
      <c r="D1776" s="2" t="s">
        <v>608</v>
      </c>
      <c r="E1776" s="2" t="s">
        <v>769</v>
      </c>
      <c r="F1776" s="101">
        <v>52654</v>
      </c>
    </row>
    <row r="1777" spans="3:6" ht="14.4" customHeight="1" x14ac:dyDescent="0.3">
      <c r="C1777" s="2">
        <v>100</v>
      </c>
      <c r="D1777" s="2" t="s">
        <v>316</v>
      </c>
      <c r="E1777" s="2" t="s">
        <v>771</v>
      </c>
      <c r="F1777" s="101">
        <v>6671</v>
      </c>
    </row>
    <row r="1778" spans="3:6" ht="14.4" customHeight="1" x14ac:dyDescent="0.3">
      <c r="C1778" s="2">
        <v>100</v>
      </c>
      <c r="D1778" s="2" t="s">
        <v>699</v>
      </c>
      <c r="E1778" s="2" t="s">
        <v>774</v>
      </c>
      <c r="F1778" s="101">
        <v>0</v>
      </c>
    </row>
    <row r="1779" spans="3:6" ht="14.4" customHeight="1" x14ac:dyDescent="0.3">
      <c r="C1779" s="2">
        <v>100</v>
      </c>
      <c r="D1779" s="2" t="s">
        <v>248</v>
      </c>
      <c r="E1779" s="2" t="s">
        <v>770</v>
      </c>
      <c r="F1779" s="101">
        <v>5094</v>
      </c>
    </row>
    <row r="1780" spans="3:6" ht="14.4" customHeight="1" x14ac:dyDescent="0.3">
      <c r="C1780" s="2">
        <v>100</v>
      </c>
      <c r="D1780" s="2" t="s">
        <v>741</v>
      </c>
      <c r="E1780" s="2" t="s">
        <v>771</v>
      </c>
      <c r="F1780" s="101">
        <v>48</v>
      </c>
    </row>
    <row r="1781" spans="3:6" ht="14.4" customHeight="1" x14ac:dyDescent="0.3">
      <c r="C1781" s="2">
        <v>100</v>
      </c>
      <c r="D1781" s="2" t="s">
        <v>702</v>
      </c>
      <c r="E1781" s="2" t="s">
        <v>771</v>
      </c>
      <c r="F1781" s="101">
        <v>288</v>
      </c>
    </row>
    <row r="1782" spans="3:6" ht="14.4" customHeight="1" x14ac:dyDescent="0.3">
      <c r="C1782" s="2">
        <v>100</v>
      </c>
      <c r="D1782" s="2" t="s">
        <v>661</v>
      </c>
      <c r="E1782" s="2" t="s">
        <v>775</v>
      </c>
      <c r="F1782" s="101">
        <v>5964</v>
      </c>
    </row>
    <row r="1783" spans="3:6" ht="14.4" customHeight="1" x14ac:dyDescent="0.3">
      <c r="C1783" s="2">
        <v>100</v>
      </c>
      <c r="D1783" s="2" t="s">
        <v>573</v>
      </c>
      <c r="E1783" s="2" t="s">
        <v>773</v>
      </c>
      <c r="F1783" s="101">
        <v>355</v>
      </c>
    </row>
    <row r="1784" spans="3:6" ht="14.4" customHeight="1" x14ac:dyDescent="0.3">
      <c r="C1784" s="2">
        <v>100</v>
      </c>
      <c r="D1784" s="2" t="s">
        <v>315</v>
      </c>
      <c r="E1784" s="2" t="s">
        <v>773</v>
      </c>
      <c r="F1784" s="101">
        <v>5298</v>
      </c>
    </row>
    <row r="1785" spans="3:6" ht="14.4" customHeight="1" x14ac:dyDescent="0.3">
      <c r="C1785" s="2">
        <v>100</v>
      </c>
      <c r="D1785" s="2" t="s">
        <v>469</v>
      </c>
      <c r="E1785" s="2" t="s">
        <v>775</v>
      </c>
      <c r="F1785" s="101">
        <v>73</v>
      </c>
    </row>
    <row r="1786" spans="3:6" ht="14.4" customHeight="1" x14ac:dyDescent="0.3">
      <c r="C1786" s="2">
        <v>100</v>
      </c>
      <c r="D1786" s="2" t="s">
        <v>387</v>
      </c>
      <c r="E1786" s="2" t="s">
        <v>769</v>
      </c>
      <c r="F1786" s="101">
        <v>102116</v>
      </c>
    </row>
    <row r="1787" spans="3:6" ht="14.4" customHeight="1" x14ac:dyDescent="0.3">
      <c r="C1787" s="2">
        <v>100</v>
      </c>
      <c r="D1787" s="2" t="s">
        <v>233</v>
      </c>
      <c r="E1787" s="2" t="s">
        <v>777</v>
      </c>
      <c r="F1787" s="101">
        <v>103</v>
      </c>
    </row>
    <row r="1788" spans="3:6" ht="14.4" customHeight="1" x14ac:dyDescent="0.3">
      <c r="C1788" s="2">
        <v>100</v>
      </c>
      <c r="D1788" s="2" t="s">
        <v>286</v>
      </c>
      <c r="E1788" s="2" t="s">
        <v>769</v>
      </c>
      <c r="F1788" s="101">
        <v>105222</v>
      </c>
    </row>
    <row r="1789" spans="3:6" ht="14.4" customHeight="1" x14ac:dyDescent="0.3">
      <c r="C1789" s="2">
        <v>100</v>
      </c>
      <c r="D1789" s="2" t="s">
        <v>438</v>
      </c>
      <c r="E1789" s="2" t="s">
        <v>769</v>
      </c>
      <c r="F1789" s="101">
        <v>28146</v>
      </c>
    </row>
    <row r="1790" spans="3:6" ht="14.4" customHeight="1" x14ac:dyDescent="0.3">
      <c r="C1790" s="2">
        <v>100</v>
      </c>
      <c r="D1790" s="2" t="s">
        <v>613</v>
      </c>
      <c r="E1790" s="2" t="s">
        <v>774</v>
      </c>
      <c r="F1790" s="101">
        <v>0</v>
      </c>
    </row>
    <row r="1791" spans="3:6" ht="14.4" customHeight="1" x14ac:dyDescent="0.3">
      <c r="C1791" s="2">
        <v>100</v>
      </c>
      <c r="D1791" s="2" t="s">
        <v>333</v>
      </c>
      <c r="E1791" s="2" t="s">
        <v>770</v>
      </c>
      <c r="F1791" s="101">
        <v>15493</v>
      </c>
    </row>
    <row r="1792" spans="3:6" ht="14.4" customHeight="1" x14ac:dyDescent="0.3">
      <c r="C1792" s="2">
        <v>100</v>
      </c>
      <c r="D1792" s="2" t="s">
        <v>333</v>
      </c>
      <c r="E1792" s="2" t="s">
        <v>771</v>
      </c>
      <c r="F1792" s="101">
        <v>43780</v>
      </c>
    </row>
    <row r="1793" spans="3:6" ht="14.4" customHeight="1" x14ac:dyDescent="0.3">
      <c r="C1793" s="2">
        <v>100</v>
      </c>
      <c r="D1793" s="2" t="s">
        <v>588</v>
      </c>
      <c r="E1793" s="2" t="s">
        <v>770</v>
      </c>
      <c r="F1793" s="101">
        <v>513</v>
      </c>
    </row>
    <row r="1794" spans="3:6" ht="14.4" customHeight="1" x14ac:dyDescent="0.3">
      <c r="C1794" s="2">
        <v>100</v>
      </c>
      <c r="D1794" s="2" t="s">
        <v>411</v>
      </c>
      <c r="E1794" s="2" t="s">
        <v>770</v>
      </c>
      <c r="F1794" s="101">
        <v>16989</v>
      </c>
    </row>
    <row r="1795" spans="3:6" ht="14.4" customHeight="1" x14ac:dyDescent="0.3">
      <c r="C1795" s="2">
        <v>100</v>
      </c>
      <c r="D1795" s="2" t="s">
        <v>303</v>
      </c>
      <c r="E1795" s="2" t="s">
        <v>774</v>
      </c>
      <c r="F1795" s="101">
        <v>1661</v>
      </c>
    </row>
    <row r="1796" spans="3:6" ht="14.4" customHeight="1" x14ac:dyDescent="0.3">
      <c r="C1796" s="2">
        <v>100</v>
      </c>
      <c r="D1796" s="2" t="s">
        <v>350</v>
      </c>
      <c r="E1796" s="2" t="s">
        <v>774</v>
      </c>
      <c r="F1796" s="101">
        <v>17604</v>
      </c>
    </row>
    <row r="1797" spans="3:6" ht="14.4" customHeight="1" x14ac:dyDescent="0.3">
      <c r="C1797" s="2">
        <v>100</v>
      </c>
      <c r="D1797" s="2" t="s">
        <v>519</v>
      </c>
      <c r="E1797" s="2" t="s">
        <v>773</v>
      </c>
      <c r="F1797" s="101">
        <v>36</v>
      </c>
    </row>
    <row r="1798" spans="3:6" ht="14.4" customHeight="1" x14ac:dyDescent="0.3">
      <c r="C1798" s="2">
        <v>100</v>
      </c>
      <c r="D1798" s="2" t="s">
        <v>599</v>
      </c>
      <c r="E1798" s="2" t="s">
        <v>773</v>
      </c>
      <c r="F1798" s="101">
        <v>263</v>
      </c>
    </row>
    <row r="1799" spans="3:6" ht="14.4" customHeight="1" x14ac:dyDescent="0.3">
      <c r="C1799" s="2">
        <v>100</v>
      </c>
      <c r="D1799" s="2" t="s">
        <v>666</v>
      </c>
      <c r="E1799" s="2" t="s">
        <v>770</v>
      </c>
      <c r="F1799" s="101">
        <v>678</v>
      </c>
    </row>
    <row r="1800" spans="3:6" ht="14.4" customHeight="1" x14ac:dyDescent="0.3">
      <c r="C1800" s="2">
        <v>100</v>
      </c>
      <c r="D1800" s="2" t="s">
        <v>391</v>
      </c>
      <c r="E1800" s="2" t="s">
        <v>773</v>
      </c>
      <c r="F1800" s="101">
        <v>4032</v>
      </c>
    </row>
    <row r="1801" spans="3:6" ht="14.4" customHeight="1" x14ac:dyDescent="0.3">
      <c r="C1801" s="2">
        <v>100</v>
      </c>
      <c r="D1801" s="2" t="s">
        <v>243</v>
      </c>
      <c r="E1801" s="2" t="s">
        <v>772</v>
      </c>
      <c r="F1801" s="101">
        <v>91</v>
      </c>
    </row>
    <row r="1802" spans="3:6" ht="14.4" customHeight="1" x14ac:dyDescent="0.3">
      <c r="C1802" s="2">
        <v>100</v>
      </c>
      <c r="D1802" s="2" t="s">
        <v>296</v>
      </c>
      <c r="E1802" s="2" t="s">
        <v>771</v>
      </c>
      <c r="F1802" s="101">
        <v>98259</v>
      </c>
    </row>
    <row r="1803" spans="3:6" ht="14.4" customHeight="1" x14ac:dyDescent="0.3">
      <c r="C1803" s="2">
        <v>100</v>
      </c>
      <c r="D1803" s="2" t="s">
        <v>458</v>
      </c>
      <c r="E1803" s="2" t="s">
        <v>774</v>
      </c>
      <c r="F1803" s="101">
        <v>0</v>
      </c>
    </row>
    <row r="1804" spans="3:6" ht="14.4" customHeight="1" x14ac:dyDescent="0.3">
      <c r="C1804" s="2">
        <v>100</v>
      </c>
      <c r="D1804" s="2" t="s">
        <v>592</v>
      </c>
      <c r="E1804" s="2" t="s">
        <v>769</v>
      </c>
      <c r="F1804" s="101">
        <v>38600</v>
      </c>
    </row>
    <row r="1805" spans="3:6" ht="14.4" customHeight="1" x14ac:dyDescent="0.3">
      <c r="C1805" s="2">
        <v>100</v>
      </c>
      <c r="D1805" s="2" t="s">
        <v>494</v>
      </c>
      <c r="E1805" s="2" t="s">
        <v>769</v>
      </c>
      <c r="F1805" s="101">
        <v>963931</v>
      </c>
    </row>
    <row r="1806" spans="3:6" ht="14.4" customHeight="1" x14ac:dyDescent="0.3">
      <c r="C1806" s="2">
        <v>100</v>
      </c>
      <c r="D1806" s="2" t="s">
        <v>594</v>
      </c>
      <c r="E1806" s="2" t="s">
        <v>773</v>
      </c>
      <c r="F1806" s="101">
        <v>1460</v>
      </c>
    </row>
    <row r="1807" spans="3:6" ht="14.4" customHeight="1" x14ac:dyDescent="0.3">
      <c r="C1807" s="2">
        <v>100</v>
      </c>
      <c r="D1807" s="2" t="s">
        <v>688</v>
      </c>
      <c r="E1807" s="2" t="s">
        <v>774</v>
      </c>
      <c r="F1807" s="101">
        <v>50</v>
      </c>
    </row>
    <row r="1808" spans="3:6" ht="14.4" customHeight="1" x14ac:dyDescent="0.3">
      <c r="C1808" s="2">
        <v>100</v>
      </c>
      <c r="D1808" s="2" t="s">
        <v>619</v>
      </c>
      <c r="E1808" s="2" t="s">
        <v>769</v>
      </c>
      <c r="F1808" s="101">
        <v>67834</v>
      </c>
    </row>
    <row r="1809" spans="3:6" ht="14.4" customHeight="1" x14ac:dyDescent="0.3">
      <c r="C1809" s="2">
        <v>100</v>
      </c>
      <c r="D1809" s="2" t="s">
        <v>466</v>
      </c>
      <c r="E1809" s="2" t="s">
        <v>774</v>
      </c>
      <c r="F1809" s="101">
        <v>0</v>
      </c>
    </row>
    <row r="1810" spans="3:6" ht="14.4" customHeight="1" x14ac:dyDescent="0.3">
      <c r="C1810" s="2">
        <v>100</v>
      </c>
      <c r="D1810" s="2" t="s">
        <v>666</v>
      </c>
      <c r="E1810" s="2" t="s">
        <v>773</v>
      </c>
      <c r="F1810" s="101">
        <v>1042</v>
      </c>
    </row>
    <row r="1811" spans="3:6" ht="14.4" customHeight="1" x14ac:dyDescent="0.3">
      <c r="C1811" s="2">
        <v>100</v>
      </c>
      <c r="D1811" s="2" t="s">
        <v>478</v>
      </c>
      <c r="E1811" s="2" t="s">
        <v>771</v>
      </c>
      <c r="F1811" s="101">
        <v>7682</v>
      </c>
    </row>
    <row r="1812" spans="3:6" ht="14.4" customHeight="1" x14ac:dyDescent="0.3">
      <c r="C1812" s="2">
        <v>100</v>
      </c>
      <c r="D1812" s="2" t="s">
        <v>549</v>
      </c>
      <c r="E1812" s="2" t="s">
        <v>769</v>
      </c>
      <c r="F1812" s="101">
        <v>38109</v>
      </c>
    </row>
    <row r="1813" spans="3:6" ht="14.4" customHeight="1" x14ac:dyDescent="0.3">
      <c r="C1813" s="2">
        <v>100</v>
      </c>
      <c r="D1813" s="2" t="s">
        <v>731</v>
      </c>
      <c r="E1813" s="2" t="s">
        <v>769</v>
      </c>
      <c r="F1813" s="101">
        <v>44295</v>
      </c>
    </row>
    <row r="1814" spans="3:6" ht="14.4" customHeight="1" x14ac:dyDescent="0.3">
      <c r="C1814" s="2">
        <v>100</v>
      </c>
      <c r="D1814" s="2" t="s">
        <v>721</v>
      </c>
      <c r="E1814" s="2" t="s">
        <v>769</v>
      </c>
      <c r="F1814" s="101">
        <v>8397</v>
      </c>
    </row>
    <row r="1815" spans="3:6" ht="14.4" customHeight="1" x14ac:dyDescent="0.3">
      <c r="C1815" s="2">
        <v>100</v>
      </c>
      <c r="D1815" s="2" t="s">
        <v>341</v>
      </c>
      <c r="E1815" s="2" t="s">
        <v>769</v>
      </c>
      <c r="F1815" s="101">
        <v>3279</v>
      </c>
    </row>
    <row r="1816" spans="3:6" ht="14.4" customHeight="1" x14ac:dyDescent="0.3">
      <c r="C1816" s="2">
        <v>100</v>
      </c>
      <c r="D1816" s="2" t="s">
        <v>416</v>
      </c>
      <c r="E1816" s="2" t="s">
        <v>774</v>
      </c>
      <c r="F1816" s="101">
        <v>990</v>
      </c>
    </row>
    <row r="1817" spans="3:6" ht="14.4" customHeight="1" x14ac:dyDescent="0.3">
      <c r="C1817" s="2">
        <v>100</v>
      </c>
      <c r="D1817" s="2" t="s">
        <v>550</v>
      </c>
      <c r="E1817" s="2" t="s">
        <v>769</v>
      </c>
      <c r="F1817" s="101">
        <v>19888</v>
      </c>
    </row>
    <row r="1818" spans="3:6" ht="14.4" customHeight="1" x14ac:dyDescent="0.3">
      <c r="C1818" s="2">
        <v>100</v>
      </c>
      <c r="D1818" s="2" t="s">
        <v>746</v>
      </c>
      <c r="E1818" s="2" t="s">
        <v>769</v>
      </c>
      <c r="F1818" s="101">
        <v>2278</v>
      </c>
    </row>
    <row r="1819" spans="3:6" ht="14.4" customHeight="1" x14ac:dyDescent="0.3">
      <c r="C1819" s="2">
        <v>100</v>
      </c>
      <c r="D1819" s="2" t="s">
        <v>465</v>
      </c>
      <c r="E1819" s="2" t="s">
        <v>770</v>
      </c>
      <c r="F1819" s="101">
        <v>64606</v>
      </c>
    </row>
    <row r="1820" spans="3:6" ht="14.4" customHeight="1" x14ac:dyDescent="0.3">
      <c r="C1820" s="2">
        <v>100</v>
      </c>
      <c r="D1820" s="2" t="s">
        <v>216</v>
      </c>
      <c r="E1820" s="2" t="s">
        <v>769</v>
      </c>
      <c r="F1820" s="101">
        <v>14718</v>
      </c>
    </row>
    <row r="1821" spans="3:6" ht="14.4" customHeight="1" x14ac:dyDescent="0.3">
      <c r="C1821" s="2">
        <v>100</v>
      </c>
      <c r="D1821" s="2" t="s">
        <v>305</v>
      </c>
      <c r="E1821" s="2" t="s">
        <v>770</v>
      </c>
      <c r="F1821" s="101">
        <v>3623</v>
      </c>
    </row>
    <row r="1822" spans="3:6" ht="14.4" customHeight="1" x14ac:dyDescent="0.3">
      <c r="C1822" s="2">
        <v>100</v>
      </c>
      <c r="D1822" s="2" t="s">
        <v>321</v>
      </c>
      <c r="E1822" s="2" t="s">
        <v>770</v>
      </c>
      <c r="F1822" s="101">
        <v>19861</v>
      </c>
    </row>
    <row r="1823" spans="3:6" ht="14.4" customHeight="1" x14ac:dyDescent="0.3">
      <c r="C1823" s="2">
        <v>100</v>
      </c>
      <c r="D1823" s="2" t="s">
        <v>424</v>
      </c>
      <c r="E1823" s="2" t="s">
        <v>775</v>
      </c>
      <c r="F1823" s="101">
        <v>3951</v>
      </c>
    </row>
    <row r="1824" spans="3:6" ht="14.4" customHeight="1" x14ac:dyDescent="0.3">
      <c r="C1824" s="2">
        <v>100</v>
      </c>
      <c r="D1824" s="2" t="s">
        <v>564</v>
      </c>
      <c r="E1824" s="2" t="s">
        <v>773</v>
      </c>
      <c r="F1824" s="101">
        <v>27</v>
      </c>
    </row>
    <row r="1825" spans="3:6" ht="14.4" customHeight="1" x14ac:dyDescent="0.3">
      <c r="C1825" s="2">
        <v>100</v>
      </c>
      <c r="D1825" s="2" t="s">
        <v>261</v>
      </c>
      <c r="E1825" s="2" t="s">
        <v>775</v>
      </c>
      <c r="F1825" s="101">
        <v>235481</v>
      </c>
    </row>
    <row r="1826" spans="3:6" ht="14.4" customHeight="1" x14ac:dyDescent="0.3">
      <c r="C1826" s="2">
        <v>100</v>
      </c>
      <c r="D1826" s="2" t="s">
        <v>378</v>
      </c>
      <c r="E1826" s="2" t="s">
        <v>786</v>
      </c>
      <c r="F1826" s="101">
        <v>7160</v>
      </c>
    </row>
    <row r="1827" spans="3:6" ht="14.4" customHeight="1" x14ac:dyDescent="0.3">
      <c r="C1827" s="2">
        <v>100</v>
      </c>
      <c r="D1827" s="2" t="s">
        <v>563</v>
      </c>
      <c r="E1827" s="2" t="s">
        <v>773</v>
      </c>
      <c r="F1827" s="101">
        <v>25</v>
      </c>
    </row>
    <row r="1828" spans="3:6" ht="14.4" customHeight="1" x14ac:dyDescent="0.3">
      <c r="C1828" s="2">
        <v>100</v>
      </c>
      <c r="D1828" s="2" t="s">
        <v>612</v>
      </c>
      <c r="E1828" s="2" t="s">
        <v>771</v>
      </c>
      <c r="F1828" s="101">
        <v>940</v>
      </c>
    </row>
    <row r="1829" spans="3:6" ht="14.4" customHeight="1" x14ac:dyDescent="0.3">
      <c r="C1829" s="2">
        <v>100</v>
      </c>
      <c r="D1829" s="2" t="s">
        <v>442</v>
      </c>
      <c r="E1829" s="2" t="s">
        <v>773</v>
      </c>
      <c r="F1829" s="101">
        <v>1786</v>
      </c>
    </row>
    <row r="1830" spans="3:6" ht="14.4" customHeight="1" x14ac:dyDescent="0.3">
      <c r="C1830" s="2">
        <v>100</v>
      </c>
      <c r="D1830" s="2" t="s">
        <v>451</v>
      </c>
      <c r="E1830" s="2" t="s">
        <v>777</v>
      </c>
      <c r="F1830" s="101">
        <v>39648</v>
      </c>
    </row>
    <row r="1831" spans="3:6" ht="14.4" customHeight="1" x14ac:dyDescent="0.3">
      <c r="C1831" s="2">
        <v>100</v>
      </c>
      <c r="D1831" s="2" t="s">
        <v>713</v>
      </c>
      <c r="E1831" s="2" t="s">
        <v>777</v>
      </c>
      <c r="F1831" s="101">
        <v>20</v>
      </c>
    </row>
    <row r="1832" spans="3:6" ht="14.4" customHeight="1" x14ac:dyDescent="0.3">
      <c r="C1832" s="2">
        <v>100</v>
      </c>
      <c r="D1832" s="2" t="s">
        <v>336</v>
      </c>
      <c r="E1832" s="2" t="s">
        <v>773</v>
      </c>
      <c r="F1832" s="101">
        <v>26212</v>
      </c>
    </row>
    <row r="1833" spans="3:6" ht="14.4" customHeight="1" x14ac:dyDescent="0.3">
      <c r="C1833" s="2">
        <v>100</v>
      </c>
      <c r="D1833" s="2" t="s">
        <v>418</v>
      </c>
      <c r="E1833" s="2" t="s">
        <v>769</v>
      </c>
      <c r="F1833" s="101">
        <v>24193</v>
      </c>
    </row>
    <row r="1834" spans="3:6" ht="14.4" customHeight="1" x14ac:dyDescent="0.3">
      <c r="C1834" s="2">
        <v>100</v>
      </c>
      <c r="D1834" s="2" t="s">
        <v>687</v>
      </c>
      <c r="E1834" s="2" t="s">
        <v>777</v>
      </c>
      <c r="F1834" s="101">
        <v>7197</v>
      </c>
    </row>
    <row r="1835" spans="3:6" ht="14.4" customHeight="1" x14ac:dyDescent="0.3">
      <c r="C1835" s="2">
        <v>100</v>
      </c>
      <c r="D1835" s="2" t="s">
        <v>451</v>
      </c>
      <c r="E1835" s="2" t="s">
        <v>769</v>
      </c>
      <c r="F1835" s="101">
        <v>87627</v>
      </c>
    </row>
    <row r="1836" spans="3:6" ht="14.4" customHeight="1" x14ac:dyDescent="0.3">
      <c r="C1836" s="2">
        <v>100</v>
      </c>
      <c r="D1836" s="2" t="s">
        <v>368</v>
      </c>
      <c r="E1836" s="2" t="s">
        <v>774</v>
      </c>
      <c r="F1836" s="101">
        <v>3923</v>
      </c>
    </row>
    <row r="1837" spans="3:6" ht="14.4" customHeight="1" x14ac:dyDescent="0.3">
      <c r="C1837" s="2">
        <v>100</v>
      </c>
      <c r="D1837" s="2" t="s">
        <v>412</v>
      </c>
      <c r="E1837" s="2" t="s">
        <v>773</v>
      </c>
      <c r="F1837" s="101">
        <v>1308</v>
      </c>
    </row>
    <row r="1838" spans="3:6" ht="14.4" customHeight="1" x14ac:dyDescent="0.3">
      <c r="C1838" s="2">
        <v>100</v>
      </c>
      <c r="D1838" s="2" t="s">
        <v>336</v>
      </c>
      <c r="E1838" s="2" t="s">
        <v>771</v>
      </c>
      <c r="F1838" s="101">
        <v>109796</v>
      </c>
    </row>
    <row r="1839" spans="3:6" ht="14.4" customHeight="1" x14ac:dyDescent="0.3">
      <c r="C1839" s="2">
        <v>100</v>
      </c>
      <c r="D1839" s="2" t="s">
        <v>676</v>
      </c>
      <c r="E1839" s="2" t="s">
        <v>773</v>
      </c>
      <c r="F1839" s="101">
        <v>324</v>
      </c>
    </row>
    <row r="1840" spans="3:6" ht="14.4" customHeight="1" x14ac:dyDescent="0.3">
      <c r="C1840" s="2">
        <v>100</v>
      </c>
      <c r="D1840" s="2" t="s">
        <v>369</v>
      </c>
      <c r="E1840" s="2" t="s">
        <v>770</v>
      </c>
      <c r="F1840" s="101">
        <v>9502</v>
      </c>
    </row>
    <row r="1841" spans="3:6" ht="14.4" customHeight="1" x14ac:dyDescent="0.3">
      <c r="C1841" s="2">
        <v>100</v>
      </c>
      <c r="D1841" s="2" t="s">
        <v>403</v>
      </c>
      <c r="E1841" s="2" t="s">
        <v>769</v>
      </c>
      <c r="F1841" s="101">
        <v>385355</v>
      </c>
    </row>
    <row r="1842" spans="3:6" ht="14.4" customHeight="1" x14ac:dyDescent="0.3">
      <c r="C1842" s="2">
        <v>100</v>
      </c>
      <c r="D1842" s="2" t="s">
        <v>340</v>
      </c>
      <c r="E1842" s="2" t="s">
        <v>774</v>
      </c>
      <c r="F1842" s="101">
        <v>2456</v>
      </c>
    </row>
    <row r="1843" spans="3:6" ht="14.4" customHeight="1" x14ac:dyDescent="0.3">
      <c r="C1843" s="2">
        <v>100</v>
      </c>
      <c r="D1843" s="2" t="s">
        <v>312</v>
      </c>
      <c r="E1843" s="2" t="s">
        <v>774</v>
      </c>
      <c r="F1843" s="101">
        <v>7</v>
      </c>
    </row>
    <row r="1844" spans="3:6" ht="14.4" customHeight="1" x14ac:dyDescent="0.3">
      <c r="C1844" s="2">
        <v>100</v>
      </c>
      <c r="D1844" s="2" t="s">
        <v>266</v>
      </c>
      <c r="E1844" s="2" t="s">
        <v>771</v>
      </c>
      <c r="F1844" s="101">
        <v>13306</v>
      </c>
    </row>
    <row r="1845" spans="3:6" ht="14.4" customHeight="1" x14ac:dyDescent="0.3">
      <c r="C1845" s="2">
        <v>100</v>
      </c>
      <c r="D1845" s="2" t="s">
        <v>627</v>
      </c>
      <c r="E1845" s="2" t="s">
        <v>771</v>
      </c>
      <c r="F1845" s="101">
        <v>1031</v>
      </c>
    </row>
    <row r="1846" spans="3:6" ht="14.4" customHeight="1" x14ac:dyDescent="0.3">
      <c r="C1846" s="2">
        <v>100</v>
      </c>
      <c r="D1846" s="2" t="s">
        <v>222</v>
      </c>
      <c r="E1846" s="2" t="s">
        <v>770</v>
      </c>
      <c r="F1846" s="101">
        <v>5807</v>
      </c>
    </row>
    <row r="1847" spans="3:6" ht="14.4" customHeight="1" x14ac:dyDescent="0.3">
      <c r="C1847" s="2">
        <v>100</v>
      </c>
      <c r="D1847" s="2" t="s">
        <v>632</v>
      </c>
      <c r="E1847" s="2" t="s">
        <v>773</v>
      </c>
      <c r="F1847" s="101">
        <v>56286</v>
      </c>
    </row>
    <row r="1848" spans="3:6" ht="14.4" customHeight="1" x14ac:dyDescent="0.3">
      <c r="C1848" s="2">
        <v>100</v>
      </c>
      <c r="D1848" s="2" t="s">
        <v>414</v>
      </c>
      <c r="E1848" s="2" t="s">
        <v>773</v>
      </c>
      <c r="F1848" s="101">
        <v>7579</v>
      </c>
    </row>
    <row r="1849" spans="3:6" ht="14.4" customHeight="1" x14ac:dyDescent="0.3">
      <c r="C1849" s="2">
        <v>100</v>
      </c>
      <c r="D1849" s="2" t="s">
        <v>524</v>
      </c>
      <c r="E1849" s="2" t="s">
        <v>773</v>
      </c>
      <c r="F1849" s="101">
        <v>8532</v>
      </c>
    </row>
    <row r="1850" spans="3:6" ht="14.4" customHeight="1" x14ac:dyDescent="0.3">
      <c r="C1850" s="2">
        <v>100</v>
      </c>
      <c r="D1850" s="2" t="s">
        <v>381</v>
      </c>
      <c r="E1850" s="2" t="s">
        <v>772</v>
      </c>
      <c r="F1850" s="101">
        <v>91</v>
      </c>
    </row>
    <row r="1851" spans="3:6" ht="14.4" customHeight="1" x14ac:dyDescent="0.3">
      <c r="C1851" s="2">
        <v>100</v>
      </c>
      <c r="D1851" s="2" t="s">
        <v>396</v>
      </c>
      <c r="E1851" s="2" t="s">
        <v>769</v>
      </c>
      <c r="F1851" s="101">
        <v>51704</v>
      </c>
    </row>
    <row r="1852" spans="3:6" ht="14.4" customHeight="1" x14ac:dyDescent="0.3">
      <c r="C1852" s="2">
        <v>100</v>
      </c>
      <c r="D1852" s="2" t="s">
        <v>352</v>
      </c>
      <c r="E1852" s="2" t="s">
        <v>774</v>
      </c>
      <c r="F1852" s="101">
        <v>0</v>
      </c>
    </row>
    <row r="1853" spans="3:6" ht="14.4" customHeight="1" x14ac:dyDescent="0.3">
      <c r="C1853" s="2">
        <v>100</v>
      </c>
      <c r="D1853" s="2" t="s">
        <v>215</v>
      </c>
      <c r="E1853" s="2" t="s">
        <v>770</v>
      </c>
      <c r="F1853" s="101">
        <v>5198</v>
      </c>
    </row>
    <row r="1854" spans="3:6" ht="14.4" customHeight="1" x14ac:dyDescent="0.3">
      <c r="C1854" s="2">
        <v>100</v>
      </c>
      <c r="D1854" s="2" t="s">
        <v>284</v>
      </c>
      <c r="E1854" s="2" t="s">
        <v>775</v>
      </c>
      <c r="F1854" s="101">
        <v>81</v>
      </c>
    </row>
    <row r="1855" spans="3:6" ht="14.4" customHeight="1" x14ac:dyDescent="0.3">
      <c r="C1855" s="2">
        <v>100</v>
      </c>
      <c r="D1855" s="2" t="s">
        <v>311</v>
      </c>
      <c r="E1855" s="2" t="s">
        <v>771</v>
      </c>
      <c r="F1855" s="101">
        <v>20355</v>
      </c>
    </row>
    <row r="1856" spans="3:6" ht="14.4" customHeight="1" x14ac:dyDescent="0.3">
      <c r="C1856" s="2">
        <v>100</v>
      </c>
      <c r="D1856" s="2" t="s">
        <v>311</v>
      </c>
      <c r="E1856" s="2" t="s">
        <v>770</v>
      </c>
      <c r="F1856" s="101">
        <v>4893</v>
      </c>
    </row>
    <row r="1857" spans="3:6" ht="14.4" customHeight="1" x14ac:dyDescent="0.3">
      <c r="C1857" s="2">
        <v>100</v>
      </c>
      <c r="D1857" s="2" t="s">
        <v>750</v>
      </c>
      <c r="E1857" s="2" t="s">
        <v>773</v>
      </c>
      <c r="F1857" s="101">
        <v>33</v>
      </c>
    </row>
    <row r="1858" spans="3:6" ht="14.4" customHeight="1" x14ac:dyDescent="0.3">
      <c r="C1858" s="2">
        <v>100</v>
      </c>
      <c r="D1858" s="2" t="s">
        <v>278</v>
      </c>
      <c r="E1858" s="2" t="s">
        <v>775</v>
      </c>
      <c r="F1858" s="101">
        <v>2271</v>
      </c>
    </row>
    <row r="1859" spans="3:6" ht="14.4" customHeight="1" x14ac:dyDescent="0.3">
      <c r="C1859" s="2">
        <v>100</v>
      </c>
      <c r="D1859" s="2" t="s">
        <v>338</v>
      </c>
      <c r="E1859" s="2" t="s">
        <v>775</v>
      </c>
      <c r="F1859" s="101">
        <v>6</v>
      </c>
    </row>
    <row r="1860" spans="3:6" ht="14.4" customHeight="1" x14ac:dyDescent="0.3">
      <c r="C1860" s="2">
        <v>100</v>
      </c>
      <c r="D1860" s="2" t="s">
        <v>278</v>
      </c>
      <c r="E1860" s="2" t="s">
        <v>771</v>
      </c>
      <c r="F1860" s="101">
        <v>41208</v>
      </c>
    </row>
    <row r="1861" spans="3:6" ht="14.4" customHeight="1" x14ac:dyDescent="0.3">
      <c r="C1861" s="2">
        <v>100</v>
      </c>
      <c r="D1861" s="2" t="s">
        <v>570</v>
      </c>
      <c r="E1861" s="2" t="s">
        <v>771</v>
      </c>
      <c r="F1861" s="101">
        <v>3580</v>
      </c>
    </row>
    <row r="1862" spans="3:6" ht="14.4" customHeight="1" x14ac:dyDescent="0.3">
      <c r="C1862" s="2">
        <v>100</v>
      </c>
      <c r="D1862" s="2" t="s">
        <v>492</v>
      </c>
      <c r="E1862" s="2" t="s">
        <v>771</v>
      </c>
      <c r="F1862" s="101">
        <v>1930</v>
      </c>
    </row>
    <row r="1863" spans="3:6" ht="14.4" customHeight="1" x14ac:dyDescent="0.3">
      <c r="C1863" s="2">
        <v>100</v>
      </c>
      <c r="D1863" s="2" t="s">
        <v>593</v>
      </c>
      <c r="E1863" s="2" t="s">
        <v>770</v>
      </c>
      <c r="F1863" s="101">
        <v>436</v>
      </c>
    </row>
    <row r="1864" spans="3:6" ht="14.4" customHeight="1" x14ac:dyDescent="0.3">
      <c r="C1864" s="2">
        <v>100</v>
      </c>
      <c r="D1864" s="2" t="s">
        <v>200</v>
      </c>
      <c r="E1864" s="2" t="s">
        <v>773</v>
      </c>
      <c r="F1864" s="101">
        <v>1828</v>
      </c>
    </row>
    <row r="1865" spans="3:6" ht="14.4" customHeight="1" x14ac:dyDescent="0.3">
      <c r="C1865" s="2">
        <v>100</v>
      </c>
      <c r="D1865" s="2" t="s">
        <v>243</v>
      </c>
      <c r="E1865" s="2" t="s">
        <v>774</v>
      </c>
      <c r="F1865" s="101">
        <v>7888</v>
      </c>
    </row>
    <row r="1866" spans="3:6" ht="14.4" customHeight="1" x14ac:dyDescent="0.3">
      <c r="C1866" s="2">
        <v>100</v>
      </c>
      <c r="D1866" s="2" t="s">
        <v>643</v>
      </c>
      <c r="E1866" s="2" t="s">
        <v>769</v>
      </c>
      <c r="F1866" s="101">
        <v>14113</v>
      </c>
    </row>
    <row r="1867" spans="3:6" ht="14.4" customHeight="1" x14ac:dyDescent="0.3">
      <c r="C1867" s="2">
        <v>100</v>
      </c>
      <c r="D1867" s="2" t="s">
        <v>377</v>
      </c>
      <c r="E1867" s="2" t="s">
        <v>769</v>
      </c>
      <c r="F1867" s="101">
        <v>663227</v>
      </c>
    </row>
    <row r="1868" spans="3:6" ht="14.4" customHeight="1" x14ac:dyDescent="0.3">
      <c r="C1868" s="2">
        <v>100</v>
      </c>
      <c r="D1868" s="2" t="s">
        <v>439</v>
      </c>
      <c r="E1868" s="2" t="s">
        <v>773</v>
      </c>
      <c r="F1868" s="101">
        <v>274</v>
      </c>
    </row>
    <row r="1869" spans="3:6" ht="14.4" customHeight="1" x14ac:dyDescent="0.3">
      <c r="C1869" s="2">
        <v>100</v>
      </c>
      <c r="D1869" s="2" t="s">
        <v>236</v>
      </c>
      <c r="E1869" s="2" t="s">
        <v>772</v>
      </c>
      <c r="F1869" s="101">
        <v>5640</v>
      </c>
    </row>
    <row r="1870" spans="3:6" ht="14.4" customHeight="1" x14ac:dyDescent="0.3">
      <c r="C1870" s="2">
        <v>100</v>
      </c>
      <c r="D1870" s="2" t="s">
        <v>632</v>
      </c>
      <c r="E1870" s="2" t="s">
        <v>771</v>
      </c>
      <c r="F1870" s="101">
        <v>8438</v>
      </c>
    </row>
    <row r="1871" spans="3:6" ht="14.4" customHeight="1" x14ac:dyDescent="0.3">
      <c r="C1871" s="2">
        <v>100</v>
      </c>
      <c r="D1871" s="2" t="s">
        <v>633</v>
      </c>
      <c r="E1871" s="2" t="s">
        <v>770</v>
      </c>
      <c r="F1871" s="101">
        <v>3297</v>
      </c>
    </row>
    <row r="1872" spans="3:6" ht="14.4" customHeight="1" x14ac:dyDescent="0.3">
      <c r="C1872" s="2">
        <v>100</v>
      </c>
      <c r="D1872" s="2" t="s">
        <v>524</v>
      </c>
      <c r="E1872" s="2" t="s">
        <v>770</v>
      </c>
      <c r="F1872" s="101">
        <v>13183</v>
      </c>
    </row>
    <row r="1873" spans="3:6" ht="14.4" customHeight="1" x14ac:dyDescent="0.3">
      <c r="C1873" s="2">
        <v>100</v>
      </c>
      <c r="D1873" s="2" t="s">
        <v>414</v>
      </c>
      <c r="E1873" s="2" t="s">
        <v>770</v>
      </c>
      <c r="F1873" s="101">
        <v>4927</v>
      </c>
    </row>
    <row r="1874" spans="3:6" ht="14.4" customHeight="1" x14ac:dyDescent="0.3">
      <c r="C1874" s="2">
        <v>100</v>
      </c>
      <c r="D1874" s="2" t="s">
        <v>354</v>
      </c>
      <c r="E1874" s="2" t="s">
        <v>777</v>
      </c>
      <c r="F1874" s="101">
        <v>8058</v>
      </c>
    </row>
    <row r="1875" spans="3:6" ht="14.4" customHeight="1" x14ac:dyDescent="0.3">
      <c r="C1875" s="2">
        <v>100</v>
      </c>
      <c r="D1875" s="2" t="s">
        <v>318</v>
      </c>
      <c r="E1875" s="2" t="s">
        <v>775</v>
      </c>
      <c r="F1875" s="101">
        <v>2260</v>
      </c>
    </row>
    <row r="1876" spans="3:6" ht="14.4" customHeight="1" x14ac:dyDescent="0.3">
      <c r="C1876" s="2">
        <v>100</v>
      </c>
      <c r="D1876" s="2" t="s">
        <v>318</v>
      </c>
      <c r="E1876" s="2" t="s">
        <v>773</v>
      </c>
      <c r="F1876" s="101">
        <v>640</v>
      </c>
    </row>
    <row r="1877" spans="3:6" ht="14.4" customHeight="1" x14ac:dyDescent="0.3">
      <c r="C1877" s="2">
        <v>100</v>
      </c>
      <c r="D1877" s="2" t="s">
        <v>627</v>
      </c>
      <c r="E1877" s="2" t="s">
        <v>769</v>
      </c>
      <c r="F1877" s="101">
        <v>2917</v>
      </c>
    </row>
    <row r="1878" spans="3:6" ht="14.4" customHeight="1" x14ac:dyDescent="0.3">
      <c r="C1878" s="2">
        <v>100</v>
      </c>
      <c r="D1878" s="2" t="s">
        <v>751</v>
      </c>
      <c r="E1878" s="2" t="s">
        <v>786</v>
      </c>
      <c r="F1878" s="101">
        <v>13477</v>
      </c>
    </row>
    <row r="1879" spans="3:6" ht="14.4" customHeight="1" x14ac:dyDescent="0.3">
      <c r="C1879" s="2">
        <v>100</v>
      </c>
      <c r="D1879" s="2" t="s">
        <v>522</v>
      </c>
      <c r="E1879" s="2" t="s">
        <v>769</v>
      </c>
      <c r="F1879" s="101">
        <v>1044163</v>
      </c>
    </row>
    <row r="1880" spans="3:6" ht="14.4" customHeight="1" x14ac:dyDescent="0.3">
      <c r="C1880" s="2">
        <v>100</v>
      </c>
      <c r="D1880" s="2" t="s">
        <v>611</v>
      </c>
      <c r="E1880" s="2" t="s">
        <v>770</v>
      </c>
      <c r="F1880" s="101">
        <v>9886</v>
      </c>
    </row>
    <row r="1881" spans="3:6" ht="14.4" customHeight="1" x14ac:dyDescent="0.3">
      <c r="C1881" s="2">
        <v>100</v>
      </c>
      <c r="D1881" s="2" t="s">
        <v>225</v>
      </c>
      <c r="E1881" s="2" t="s">
        <v>775</v>
      </c>
      <c r="F1881" s="101">
        <v>428063</v>
      </c>
    </row>
    <row r="1882" spans="3:6" ht="14.4" customHeight="1" x14ac:dyDescent="0.3">
      <c r="C1882" s="2">
        <v>100</v>
      </c>
      <c r="D1882" s="2" t="s">
        <v>740</v>
      </c>
      <c r="E1882" s="2" t="s">
        <v>769</v>
      </c>
      <c r="F1882" s="101">
        <v>1064</v>
      </c>
    </row>
    <row r="1883" spans="3:6" ht="14.4" customHeight="1" x14ac:dyDescent="0.3">
      <c r="C1883" s="2">
        <v>100</v>
      </c>
      <c r="D1883" s="2" t="s">
        <v>481</v>
      </c>
      <c r="E1883" s="2" t="s">
        <v>771</v>
      </c>
      <c r="F1883" s="101">
        <v>21551</v>
      </c>
    </row>
    <row r="1884" spans="3:6" ht="14.4" customHeight="1" x14ac:dyDescent="0.3">
      <c r="C1884" s="2">
        <v>100</v>
      </c>
      <c r="D1884" s="2" t="s">
        <v>757</v>
      </c>
      <c r="E1884" s="2" t="s">
        <v>769</v>
      </c>
      <c r="F1884" s="101">
        <v>2029</v>
      </c>
    </row>
    <row r="1885" spans="3:6" ht="14.4" customHeight="1" x14ac:dyDescent="0.3">
      <c r="C1885" s="2">
        <v>100</v>
      </c>
      <c r="D1885" s="2" t="s">
        <v>442</v>
      </c>
      <c r="E1885" s="2" t="s">
        <v>769</v>
      </c>
      <c r="F1885" s="101">
        <v>163376</v>
      </c>
    </row>
    <row r="1886" spans="3:6" ht="14.4" customHeight="1" x14ac:dyDescent="0.3">
      <c r="C1886" s="2">
        <v>100</v>
      </c>
      <c r="D1886" s="2" t="s">
        <v>657</v>
      </c>
      <c r="E1886" s="2" t="s">
        <v>773</v>
      </c>
      <c r="F1886" s="101">
        <v>493</v>
      </c>
    </row>
    <row r="1887" spans="3:6" ht="14.4" customHeight="1" x14ac:dyDescent="0.3">
      <c r="C1887" s="2">
        <v>100</v>
      </c>
      <c r="D1887" s="2" t="s">
        <v>451</v>
      </c>
      <c r="E1887" s="2" t="s">
        <v>770</v>
      </c>
      <c r="F1887" s="101">
        <v>2724</v>
      </c>
    </row>
    <row r="1888" spans="3:6" ht="14.4" customHeight="1" x14ac:dyDescent="0.3">
      <c r="C1888" s="2">
        <v>100</v>
      </c>
      <c r="D1888" s="2" t="s">
        <v>451</v>
      </c>
      <c r="E1888" s="2" t="s">
        <v>771</v>
      </c>
      <c r="F1888" s="101">
        <v>8214</v>
      </c>
    </row>
    <row r="1889" spans="3:6" ht="14.4" customHeight="1" x14ac:dyDescent="0.3">
      <c r="C1889" s="2">
        <v>100</v>
      </c>
      <c r="D1889" s="2" t="s">
        <v>347</v>
      </c>
      <c r="E1889" s="2" t="s">
        <v>774</v>
      </c>
      <c r="F1889" s="101">
        <v>815</v>
      </c>
    </row>
    <row r="1890" spans="3:6" ht="14.4" customHeight="1" x14ac:dyDescent="0.3">
      <c r="C1890" s="2">
        <v>100</v>
      </c>
      <c r="D1890" s="2" t="s">
        <v>356</v>
      </c>
      <c r="E1890" s="2" t="s">
        <v>773</v>
      </c>
      <c r="F1890" s="101">
        <v>3113</v>
      </c>
    </row>
    <row r="1891" spans="3:6" ht="14.4" customHeight="1" x14ac:dyDescent="0.3">
      <c r="C1891" s="2">
        <v>100</v>
      </c>
      <c r="D1891" s="2" t="s">
        <v>734</v>
      </c>
      <c r="E1891" s="2" t="s">
        <v>769</v>
      </c>
      <c r="F1891" s="101">
        <v>18337</v>
      </c>
    </row>
    <row r="1892" spans="3:6" ht="14.4" customHeight="1" x14ac:dyDescent="0.3">
      <c r="C1892" s="2">
        <v>100</v>
      </c>
      <c r="D1892" s="2" t="s">
        <v>520</v>
      </c>
      <c r="E1892" s="2" t="s">
        <v>770</v>
      </c>
      <c r="F1892" s="101">
        <v>5</v>
      </c>
    </row>
    <row r="1893" spans="3:6" ht="14.4" customHeight="1" x14ac:dyDescent="0.3">
      <c r="C1893" s="2">
        <v>100</v>
      </c>
      <c r="D1893" s="2" t="s">
        <v>446</v>
      </c>
      <c r="E1893" s="2" t="s">
        <v>775</v>
      </c>
      <c r="F1893" s="101">
        <v>6072</v>
      </c>
    </row>
    <row r="1894" spans="3:6" ht="14.4" customHeight="1" x14ac:dyDescent="0.3">
      <c r="C1894" s="2">
        <v>100</v>
      </c>
      <c r="D1894" s="2" t="s">
        <v>384</v>
      </c>
      <c r="E1894" s="2" t="s">
        <v>769</v>
      </c>
      <c r="F1894" s="101">
        <v>653813</v>
      </c>
    </row>
    <row r="1895" spans="3:6" ht="14.4" customHeight="1" x14ac:dyDescent="0.3">
      <c r="C1895" s="2">
        <v>100</v>
      </c>
      <c r="D1895" s="2" t="s">
        <v>611</v>
      </c>
      <c r="E1895" s="2" t="s">
        <v>775</v>
      </c>
      <c r="F1895" s="101">
        <v>17</v>
      </c>
    </row>
    <row r="1896" spans="3:6" ht="14.4" customHeight="1" x14ac:dyDescent="0.3">
      <c r="C1896" s="2">
        <v>100</v>
      </c>
      <c r="D1896" s="2" t="s">
        <v>481</v>
      </c>
      <c r="E1896" s="2" t="s">
        <v>775</v>
      </c>
      <c r="F1896" s="101">
        <v>26</v>
      </c>
    </row>
    <row r="1897" spans="3:6" ht="14.4" customHeight="1" x14ac:dyDescent="0.3">
      <c r="C1897" s="2">
        <v>100</v>
      </c>
      <c r="D1897" s="2" t="s">
        <v>481</v>
      </c>
      <c r="E1897" s="2" t="s">
        <v>773</v>
      </c>
      <c r="F1897" s="101">
        <v>73</v>
      </c>
    </row>
    <row r="1898" spans="3:6" ht="14.4" customHeight="1" x14ac:dyDescent="0.3">
      <c r="C1898" s="2">
        <v>100</v>
      </c>
      <c r="D1898" s="2" t="s">
        <v>263</v>
      </c>
      <c r="F1898" s="101">
        <v>0</v>
      </c>
    </row>
    <row r="1899" spans="3:6" ht="14.4" customHeight="1" x14ac:dyDescent="0.3">
      <c r="C1899" s="2">
        <v>100</v>
      </c>
      <c r="D1899" s="2" t="s">
        <v>305</v>
      </c>
      <c r="E1899" s="2" t="s">
        <v>769</v>
      </c>
      <c r="F1899" s="101">
        <v>49928</v>
      </c>
    </row>
    <row r="1900" spans="3:6" ht="14.4" customHeight="1" x14ac:dyDescent="0.3">
      <c r="C1900" s="2">
        <v>100</v>
      </c>
      <c r="D1900" s="2" t="s">
        <v>382</v>
      </c>
      <c r="E1900" s="2" t="s">
        <v>772</v>
      </c>
      <c r="F1900" s="101">
        <v>0</v>
      </c>
    </row>
    <row r="1901" spans="3:6" ht="14.4" customHeight="1" x14ac:dyDescent="0.3">
      <c r="C1901" s="2">
        <v>100</v>
      </c>
      <c r="D1901" s="2" t="s">
        <v>739</v>
      </c>
      <c r="E1901" s="2" t="s">
        <v>769</v>
      </c>
      <c r="F1901" s="101">
        <v>10387</v>
      </c>
    </row>
    <row r="1902" spans="3:6" ht="14.4" customHeight="1" x14ac:dyDescent="0.3">
      <c r="C1902" s="2">
        <v>100</v>
      </c>
      <c r="D1902" s="2" t="s">
        <v>282</v>
      </c>
      <c r="E1902" s="2" t="s">
        <v>771</v>
      </c>
      <c r="F1902" s="101">
        <v>13033</v>
      </c>
    </row>
    <row r="1903" spans="3:6" ht="14.4" customHeight="1" x14ac:dyDescent="0.3">
      <c r="C1903" s="2">
        <v>100</v>
      </c>
      <c r="D1903" s="2" t="s">
        <v>321</v>
      </c>
      <c r="E1903" s="2" t="s">
        <v>769</v>
      </c>
      <c r="F1903" s="101">
        <v>75609</v>
      </c>
    </row>
    <row r="1904" spans="3:6" ht="14.4" customHeight="1" x14ac:dyDescent="0.3">
      <c r="C1904" s="2">
        <v>100</v>
      </c>
      <c r="D1904" s="2" t="s">
        <v>396</v>
      </c>
      <c r="E1904" s="2" t="s">
        <v>773</v>
      </c>
      <c r="F1904" s="101">
        <v>2354</v>
      </c>
    </row>
    <row r="1905" spans="3:6" ht="14.4" customHeight="1" x14ac:dyDescent="0.3">
      <c r="C1905" s="2">
        <v>100</v>
      </c>
      <c r="D1905" s="2" t="s">
        <v>396</v>
      </c>
      <c r="E1905" s="2" t="s">
        <v>775</v>
      </c>
      <c r="F1905" s="101">
        <v>1195</v>
      </c>
    </row>
    <row r="1906" spans="3:6" ht="14.4" customHeight="1" x14ac:dyDescent="0.3">
      <c r="C1906" s="2">
        <v>100</v>
      </c>
      <c r="D1906" s="2" t="s">
        <v>198</v>
      </c>
      <c r="E1906" s="2" t="s">
        <v>771</v>
      </c>
      <c r="F1906" s="101">
        <v>5361</v>
      </c>
    </row>
    <row r="1907" spans="3:6" ht="14.4" customHeight="1" x14ac:dyDescent="0.3">
      <c r="C1907" s="2">
        <v>100</v>
      </c>
      <c r="D1907" s="2" t="s">
        <v>298</v>
      </c>
      <c r="E1907" s="2" t="s">
        <v>770</v>
      </c>
      <c r="F1907" s="101">
        <v>30</v>
      </c>
    </row>
    <row r="1908" spans="3:6" ht="14.4" customHeight="1" x14ac:dyDescent="0.3">
      <c r="C1908" s="2">
        <v>100</v>
      </c>
      <c r="D1908" s="2" t="s">
        <v>309</v>
      </c>
      <c r="E1908" s="2" t="s">
        <v>774</v>
      </c>
      <c r="F1908" s="101">
        <v>-35</v>
      </c>
    </row>
    <row r="1909" spans="3:6" ht="14.4" customHeight="1" x14ac:dyDescent="0.3">
      <c r="C1909" s="2">
        <v>100</v>
      </c>
      <c r="D1909" s="2" t="s">
        <v>534</v>
      </c>
      <c r="E1909" s="2" t="s">
        <v>775</v>
      </c>
      <c r="F1909" s="101">
        <v>0</v>
      </c>
    </row>
    <row r="1910" spans="3:6" ht="14.4" customHeight="1" x14ac:dyDescent="0.3">
      <c r="C1910" s="2">
        <v>100</v>
      </c>
      <c r="D1910" s="2" t="s">
        <v>209</v>
      </c>
      <c r="E1910" s="2" t="s">
        <v>771</v>
      </c>
      <c r="F1910" s="101">
        <v>8115</v>
      </c>
    </row>
    <row r="1911" spans="3:6" ht="14.4" customHeight="1" x14ac:dyDescent="0.3">
      <c r="C1911" s="2">
        <v>100</v>
      </c>
      <c r="D1911" s="2" t="s">
        <v>331</v>
      </c>
      <c r="E1911" s="2" t="s">
        <v>769</v>
      </c>
      <c r="F1911" s="101">
        <v>478591</v>
      </c>
    </row>
    <row r="1912" spans="3:6" ht="14.4" customHeight="1" x14ac:dyDescent="0.3">
      <c r="C1912" s="2">
        <v>100</v>
      </c>
      <c r="D1912" s="2" t="s">
        <v>280</v>
      </c>
      <c r="E1912" s="2" t="s">
        <v>771</v>
      </c>
      <c r="F1912" s="101">
        <v>12892</v>
      </c>
    </row>
    <row r="1913" spans="3:6" ht="14.4" customHeight="1" x14ac:dyDescent="0.3">
      <c r="C1913" s="2">
        <v>100</v>
      </c>
      <c r="D1913" s="2" t="s">
        <v>665</v>
      </c>
      <c r="E1913" s="2" t="s">
        <v>771</v>
      </c>
      <c r="F1913" s="101">
        <v>59</v>
      </c>
    </row>
    <row r="1914" spans="3:6" ht="14.4" customHeight="1" x14ac:dyDescent="0.3">
      <c r="C1914" s="2">
        <v>100</v>
      </c>
      <c r="D1914" s="2" t="s">
        <v>756</v>
      </c>
      <c r="E1914" s="2" t="s">
        <v>775</v>
      </c>
      <c r="F1914" s="101">
        <v>412</v>
      </c>
    </row>
    <row r="1915" spans="3:6" ht="14.4" customHeight="1" x14ac:dyDescent="0.3">
      <c r="C1915" s="2">
        <v>100</v>
      </c>
      <c r="D1915" s="2" t="s">
        <v>530</v>
      </c>
      <c r="E1915" s="2" t="s">
        <v>769</v>
      </c>
      <c r="F1915" s="101">
        <v>30105</v>
      </c>
    </row>
    <row r="1916" spans="3:6" ht="14.4" customHeight="1" x14ac:dyDescent="0.3">
      <c r="C1916" s="2">
        <v>100</v>
      </c>
      <c r="D1916" s="2" t="s">
        <v>419</v>
      </c>
      <c r="E1916" s="2" t="s">
        <v>773</v>
      </c>
      <c r="F1916" s="101">
        <v>550</v>
      </c>
    </row>
    <row r="1917" spans="3:6" ht="14.4" customHeight="1" x14ac:dyDescent="0.3">
      <c r="C1917" s="2">
        <v>100</v>
      </c>
      <c r="D1917" s="2" t="s">
        <v>703</v>
      </c>
      <c r="E1917" s="2" t="s">
        <v>769</v>
      </c>
      <c r="F1917" s="101">
        <v>3973</v>
      </c>
    </row>
    <row r="1918" spans="3:6" ht="14.4" customHeight="1" x14ac:dyDescent="0.3">
      <c r="C1918" s="2">
        <v>100</v>
      </c>
      <c r="D1918" s="2" t="s">
        <v>337</v>
      </c>
      <c r="E1918" s="2" t="s">
        <v>770</v>
      </c>
      <c r="F1918" s="101">
        <v>40343</v>
      </c>
    </row>
    <row r="1919" spans="3:6" ht="14.4" customHeight="1" x14ac:dyDescent="0.3">
      <c r="C1919" s="2">
        <v>100</v>
      </c>
      <c r="D1919" s="2" t="s">
        <v>337</v>
      </c>
      <c r="E1919" s="2" t="s">
        <v>771</v>
      </c>
      <c r="F1919" s="101">
        <v>382665</v>
      </c>
    </row>
    <row r="1920" spans="3:6" ht="14.4" customHeight="1" x14ac:dyDescent="0.3">
      <c r="C1920" s="2">
        <v>100</v>
      </c>
      <c r="D1920" s="2" t="s">
        <v>338</v>
      </c>
      <c r="E1920" s="2" t="s">
        <v>769</v>
      </c>
      <c r="F1920" s="101">
        <v>7245</v>
      </c>
    </row>
    <row r="1921" spans="3:6" ht="14.4" customHeight="1" x14ac:dyDescent="0.3">
      <c r="C1921" s="2">
        <v>100</v>
      </c>
      <c r="D1921" s="2" t="s">
        <v>652</v>
      </c>
      <c r="E1921" s="2" t="s">
        <v>769</v>
      </c>
      <c r="F1921" s="101">
        <v>159933</v>
      </c>
    </row>
    <row r="1922" spans="3:6" ht="14.4" customHeight="1" x14ac:dyDescent="0.3">
      <c r="C1922" s="2">
        <v>100</v>
      </c>
      <c r="D1922" s="2" t="s">
        <v>754</v>
      </c>
      <c r="E1922" s="2" t="s">
        <v>772</v>
      </c>
      <c r="F1922" s="101">
        <v>442</v>
      </c>
    </row>
    <row r="1923" spans="3:6" ht="14.4" customHeight="1" x14ac:dyDescent="0.3">
      <c r="C1923" s="2">
        <v>100</v>
      </c>
      <c r="D1923" s="2" t="s">
        <v>450</v>
      </c>
      <c r="E1923" s="2" t="s">
        <v>769</v>
      </c>
      <c r="F1923" s="101">
        <v>88501</v>
      </c>
    </row>
    <row r="1924" spans="3:6" ht="14.4" customHeight="1" x14ac:dyDescent="0.3">
      <c r="C1924" s="2">
        <v>100</v>
      </c>
      <c r="D1924" s="2" t="s">
        <v>555</v>
      </c>
      <c r="E1924" s="2" t="s">
        <v>771</v>
      </c>
      <c r="F1924" s="101">
        <v>3925</v>
      </c>
    </row>
    <row r="1925" spans="3:6" ht="14.4" customHeight="1" x14ac:dyDescent="0.3">
      <c r="C1925" s="2">
        <v>100</v>
      </c>
      <c r="D1925" s="2" t="s">
        <v>303</v>
      </c>
      <c r="E1925" s="2" t="s">
        <v>782</v>
      </c>
      <c r="F1925" s="101">
        <v>50</v>
      </c>
    </row>
    <row r="1926" spans="3:6" ht="14.4" customHeight="1" x14ac:dyDescent="0.3">
      <c r="C1926" s="2">
        <v>100</v>
      </c>
      <c r="D1926" s="2" t="s">
        <v>419</v>
      </c>
      <c r="E1926" s="2" t="s">
        <v>771</v>
      </c>
      <c r="F1926" s="101">
        <v>5096</v>
      </c>
    </row>
    <row r="1927" spans="3:6" ht="14.4" customHeight="1" x14ac:dyDescent="0.3">
      <c r="C1927" s="2">
        <v>100</v>
      </c>
      <c r="D1927" s="2" t="s">
        <v>523</v>
      </c>
      <c r="E1927" s="2" t="s">
        <v>771</v>
      </c>
      <c r="F1927" s="101">
        <v>462</v>
      </c>
    </row>
    <row r="1928" spans="3:6" ht="14.4" customHeight="1" x14ac:dyDescent="0.3">
      <c r="C1928" s="2">
        <v>100</v>
      </c>
      <c r="D1928" s="2" t="s">
        <v>756</v>
      </c>
      <c r="E1928" s="2" t="s">
        <v>771</v>
      </c>
      <c r="F1928" s="101">
        <v>525</v>
      </c>
    </row>
    <row r="1929" spans="3:6" ht="14.4" customHeight="1" x14ac:dyDescent="0.3">
      <c r="C1929" s="2">
        <v>100</v>
      </c>
      <c r="D1929" s="2" t="s">
        <v>209</v>
      </c>
      <c r="E1929" s="2" t="s">
        <v>773</v>
      </c>
      <c r="F1929" s="101">
        <v>1613</v>
      </c>
    </row>
    <row r="1930" spans="3:6" ht="14.4" customHeight="1" x14ac:dyDescent="0.3">
      <c r="C1930" s="2">
        <v>100</v>
      </c>
      <c r="D1930" s="2" t="s">
        <v>490</v>
      </c>
      <c r="E1930" s="2" t="s">
        <v>777</v>
      </c>
      <c r="F1930" s="101">
        <v>410</v>
      </c>
    </row>
    <row r="1931" spans="3:6" ht="14.4" customHeight="1" x14ac:dyDescent="0.3">
      <c r="C1931" s="2">
        <v>100</v>
      </c>
      <c r="D1931" s="2" t="s">
        <v>354</v>
      </c>
      <c r="E1931" s="2" t="s">
        <v>771</v>
      </c>
      <c r="F1931" s="101">
        <v>110070</v>
      </c>
    </row>
    <row r="1932" spans="3:6" ht="14.4" customHeight="1" x14ac:dyDescent="0.3">
      <c r="C1932" s="2">
        <v>100</v>
      </c>
      <c r="D1932" s="2" t="s">
        <v>438</v>
      </c>
      <c r="E1932" s="2" t="s">
        <v>771</v>
      </c>
      <c r="F1932" s="101">
        <v>2542</v>
      </c>
    </row>
    <row r="1933" spans="3:6" ht="14.4" customHeight="1" x14ac:dyDescent="0.3">
      <c r="C1933" s="2">
        <v>100</v>
      </c>
      <c r="D1933" s="2" t="s">
        <v>239</v>
      </c>
      <c r="E1933" s="2" t="s">
        <v>774</v>
      </c>
      <c r="F1933" s="101">
        <v>9138</v>
      </c>
    </row>
    <row r="1934" spans="3:6" ht="14.4" customHeight="1" x14ac:dyDescent="0.3">
      <c r="C1934" s="2">
        <v>100</v>
      </c>
      <c r="D1934" s="2" t="s">
        <v>776</v>
      </c>
      <c r="E1934" s="2" t="s">
        <v>769</v>
      </c>
      <c r="F1934" s="101">
        <v>2077</v>
      </c>
    </row>
    <row r="1935" spans="3:6" ht="14.4" customHeight="1" x14ac:dyDescent="0.3">
      <c r="C1935" s="2">
        <v>100</v>
      </c>
      <c r="D1935" s="2" t="s">
        <v>205</v>
      </c>
      <c r="E1935" s="2" t="s">
        <v>769</v>
      </c>
      <c r="F1935" s="101">
        <v>163263</v>
      </c>
    </row>
    <row r="1936" spans="3:6" ht="14.4" customHeight="1" x14ac:dyDescent="0.3">
      <c r="C1936" s="2">
        <v>100</v>
      </c>
      <c r="D1936" s="2" t="s">
        <v>482</v>
      </c>
      <c r="E1936" s="2" t="s">
        <v>769</v>
      </c>
      <c r="F1936" s="101">
        <v>138669</v>
      </c>
    </row>
    <row r="1937" spans="3:6" ht="14.4" customHeight="1" x14ac:dyDescent="0.3">
      <c r="C1937" s="2">
        <v>100</v>
      </c>
      <c r="D1937" s="2" t="s">
        <v>760</v>
      </c>
      <c r="E1937" s="2" t="s">
        <v>772</v>
      </c>
      <c r="F1937" s="101">
        <v>2964</v>
      </c>
    </row>
    <row r="1938" spans="3:6" ht="14.4" customHeight="1" x14ac:dyDescent="0.3">
      <c r="C1938" s="2">
        <v>100</v>
      </c>
      <c r="D1938" s="2" t="s">
        <v>487</v>
      </c>
      <c r="E1938" s="2" t="s">
        <v>771</v>
      </c>
      <c r="F1938" s="101">
        <v>61286</v>
      </c>
    </row>
    <row r="1939" spans="3:6" ht="14.4" customHeight="1" x14ac:dyDescent="0.3">
      <c r="C1939" s="2">
        <v>100</v>
      </c>
      <c r="D1939" s="2" t="s">
        <v>536</v>
      </c>
      <c r="E1939" s="2" t="s">
        <v>769</v>
      </c>
      <c r="F1939" s="101">
        <v>35116</v>
      </c>
    </row>
    <row r="1940" spans="3:6" ht="14.4" customHeight="1" x14ac:dyDescent="0.3">
      <c r="C1940" s="2">
        <v>100</v>
      </c>
      <c r="D1940" s="2" t="s">
        <v>376</v>
      </c>
      <c r="E1940" s="2" t="s">
        <v>772</v>
      </c>
      <c r="F1940" s="101">
        <v>2161</v>
      </c>
    </row>
    <row r="1941" spans="3:6" ht="14.4" customHeight="1" x14ac:dyDescent="0.3">
      <c r="C1941" s="2">
        <v>100</v>
      </c>
      <c r="D1941" s="2" t="s">
        <v>459</v>
      </c>
      <c r="E1941" s="2" t="s">
        <v>769</v>
      </c>
      <c r="F1941" s="101">
        <v>103361</v>
      </c>
    </row>
    <row r="1942" spans="3:6" ht="14.4" customHeight="1" x14ac:dyDescent="0.3">
      <c r="C1942" s="2">
        <v>100</v>
      </c>
      <c r="D1942" s="2" t="s">
        <v>702</v>
      </c>
      <c r="E1942" s="2" t="s">
        <v>769</v>
      </c>
      <c r="F1942" s="101">
        <v>1828</v>
      </c>
    </row>
    <row r="1943" spans="3:6" ht="14.4" customHeight="1" x14ac:dyDescent="0.3">
      <c r="C1943" s="2">
        <v>100</v>
      </c>
      <c r="D1943" s="2" t="s">
        <v>493</v>
      </c>
      <c r="E1943" s="2" t="s">
        <v>775</v>
      </c>
      <c r="F1943" s="101">
        <v>1491</v>
      </c>
    </row>
    <row r="1944" spans="3:6" ht="14.4" customHeight="1" x14ac:dyDescent="0.3">
      <c r="C1944" s="2">
        <v>100</v>
      </c>
      <c r="D1944" s="2" t="s">
        <v>645</v>
      </c>
      <c r="E1944" s="2" t="s">
        <v>770</v>
      </c>
      <c r="F1944" s="101">
        <v>2025</v>
      </c>
    </row>
    <row r="1945" spans="3:6" ht="14.4" customHeight="1" x14ac:dyDescent="0.3">
      <c r="C1945" s="2">
        <v>100</v>
      </c>
      <c r="D1945" s="2" t="s">
        <v>281</v>
      </c>
      <c r="E1945" s="2" t="s">
        <v>774</v>
      </c>
      <c r="F1945" s="101">
        <v>292</v>
      </c>
    </row>
    <row r="1946" spans="3:6" ht="14.4" customHeight="1" x14ac:dyDescent="0.3">
      <c r="C1946" s="2">
        <v>100</v>
      </c>
      <c r="D1946" s="2" t="s">
        <v>297</v>
      </c>
      <c r="E1946" s="2" t="s">
        <v>774</v>
      </c>
      <c r="F1946" s="101">
        <v>0</v>
      </c>
    </row>
    <row r="1947" spans="3:6" ht="14.4" customHeight="1" x14ac:dyDescent="0.3">
      <c r="C1947" s="2">
        <v>100</v>
      </c>
      <c r="D1947" s="2" t="s">
        <v>608</v>
      </c>
      <c r="E1947" s="2" t="s">
        <v>773</v>
      </c>
      <c r="F1947" s="101">
        <v>423</v>
      </c>
    </row>
    <row r="1948" spans="3:6" ht="14.4" customHeight="1" x14ac:dyDescent="0.3">
      <c r="C1948" s="2">
        <v>100</v>
      </c>
      <c r="D1948" s="2" t="s">
        <v>310</v>
      </c>
      <c r="E1948" s="2" t="s">
        <v>773</v>
      </c>
      <c r="F1948" s="101">
        <v>48</v>
      </c>
    </row>
    <row r="1949" spans="3:6" ht="14.4" customHeight="1" x14ac:dyDescent="0.3">
      <c r="C1949" s="2">
        <v>100</v>
      </c>
      <c r="D1949" s="2" t="s">
        <v>583</v>
      </c>
      <c r="E1949" s="2" t="s">
        <v>771</v>
      </c>
      <c r="F1949" s="101">
        <v>48</v>
      </c>
    </row>
    <row r="1950" spans="3:6" ht="14.4" customHeight="1" x14ac:dyDescent="0.3">
      <c r="C1950" s="2">
        <v>100</v>
      </c>
      <c r="D1950" s="2" t="s">
        <v>751</v>
      </c>
      <c r="E1950" s="2" t="s">
        <v>774</v>
      </c>
      <c r="F1950" s="101">
        <v>0</v>
      </c>
    </row>
    <row r="1951" spans="3:6" ht="14.4" customHeight="1" x14ac:dyDescent="0.3">
      <c r="C1951" s="2">
        <v>100</v>
      </c>
      <c r="D1951" s="2" t="s">
        <v>608</v>
      </c>
      <c r="E1951" s="2" t="s">
        <v>775</v>
      </c>
      <c r="F1951" s="101">
        <v>2025</v>
      </c>
    </row>
    <row r="1952" spans="3:6" ht="14.4" customHeight="1" x14ac:dyDescent="0.3">
      <c r="C1952" s="2">
        <v>100</v>
      </c>
      <c r="D1952" s="2" t="s">
        <v>622</v>
      </c>
      <c r="E1952" s="2" t="s">
        <v>771</v>
      </c>
      <c r="F1952" s="101">
        <v>2475</v>
      </c>
    </row>
    <row r="1953" spans="3:6" ht="14.4" customHeight="1" x14ac:dyDescent="0.3">
      <c r="C1953" s="2">
        <v>100</v>
      </c>
      <c r="D1953" s="2" t="s">
        <v>448</v>
      </c>
      <c r="E1953" s="2" t="s">
        <v>771</v>
      </c>
      <c r="F1953" s="101">
        <v>45012</v>
      </c>
    </row>
    <row r="1954" spans="3:6" ht="14.4" customHeight="1" x14ac:dyDescent="0.3">
      <c r="C1954" s="2">
        <v>100</v>
      </c>
      <c r="D1954" s="2" t="s">
        <v>681</v>
      </c>
      <c r="E1954" s="2" t="s">
        <v>769</v>
      </c>
      <c r="F1954" s="101">
        <v>35180</v>
      </c>
    </row>
    <row r="1955" spans="3:6" ht="14.4" customHeight="1" x14ac:dyDescent="0.3">
      <c r="C1955" s="2">
        <v>100</v>
      </c>
      <c r="D1955" s="2" t="s">
        <v>651</v>
      </c>
      <c r="E1955" s="2" t="s">
        <v>771</v>
      </c>
      <c r="F1955" s="101">
        <v>6158</v>
      </c>
    </row>
    <row r="1956" spans="3:6" ht="14.4" customHeight="1" x14ac:dyDescent="0.3">
      <c r="C1956" s="2">
        <v>100</v>
      </c>
      <c r="D1956" s="2" t="s">
        <v>487</v>
      </c>
      <c r="E1956" s="2" t="s">
        <v>773</v>
      </c>
      <c r="F1956" s="101">
        <v>9293</v>
      </c>
    </row>
    <row r="1957" spans="3:6" ht="14.4" customHeight="1" x14ac:dyDescent="0.3">
      <c r="C1957" s="2">
        <v>100</v>
      </c>
      <c r="D1957" s="2" t="s">
        <v>573</v>
      </c>
      <c r="E1957" s="2" t="s">
        <v>769</v>
      </c>
      <c r="F1957" s="101">
        <v>14431</v>
      </c>
    </row>
    <row r="1958" spans="3:6" ht="14.4" customHeight="1" x14ac:dyDescent="0.3">
      <c r="C1958" s="2">
        <v>100</v>
      </c>
      <c r="D1958" s="2" t="s">
        <v>641</v>
      </c>
      <c r="E1958" s="2" t="s">
        <v>774</v>
      </c>
      <c r="F1958" s="101">
        <v>12000</v>
      </c>
    </row>
    <row r="1959" spans="3:6" ht="14.4" customHeight="1" x14ac:dyDescent="0.3">
      <c r="C1959" s="2">
        <v>100</v>
      </c>
      <c r="D1959" s="2" t="s">
        <v>487</v>
      </c>
      <c r="E1959" s="2" t="s">
        <v>775</v>
      </c>
      <c r="F1959" s="101">
        <v>92</v>
      </c>
    </row>
    <row r="1960" spans="3:6" ht="14.4" customHeight="1" x14ac:dyDescent="0.3">
      <c r="C1960" s="2">
        <v>100</v>
      </c>
      <c r="D1960" s="2" t="s">
        <v>584</v>
      </c>
      <c r="E1960" s="2" t="s">
        <v>770</v>
      </c>
      <c r="F1960" s="101">
        <v>637</v>
      </c>
    </row>
    <row r="1961" spans="3:6" ht="14.4" customHeight="1" x14ac:dyDescent="0.3">
      <c r="C1961" s="2">
        <v>100</v>
      </c>
      <c r="D1961" s="2" t="s">
        <v>554</v>
      </c>
      <c r="E1961" s="2" t="s">
        <v>774</v>
      </c>
      <c r="F1961" s="101">
        <v>1299</v>
      </c>
    </row>
    <row r="1962" spans="3:6" ht="14.4" customHeight="1" x14ac:dyDescent="0.3">
      <c r="C1962" s="2">
        <v>100</v>
      </c>
      <c r="D1962" s="2" t="s">
        <v>271</v>
      </c>
      <c r="E1962" s="2" t="s">
        <v>771</v>
      </c>
      <c r="F1962" s="101">
        <v>7300</v>
      </c>
    </row>
    <row r="1963" spans="3:6" ht="14.4" customHeight="1" x14ac:dyDescent="0.3">
      <c r="C1963" s="2">
        <v>100</v>
      </c>
      <c r="D1963" s="2" t="s">
        <v>233</v>
      </c>
      <c r="E1963" s="2" t="s">
        <v>770</v>
      </c>
      <c r="F1963" s="101">
        <v>460</v>
      </c>
    </row>
    <row r="1964" spans="3:6" ht="14.4" customHeight="1" x14ac:dyDescent="0.3">
      <c r="C1964" s="2">
        <v>100</v>
      </c>
      <c r="D1964" s="2" t="s">
        <v>569</v>
      </c>
      <c r="E1964" s="2" t="s">
        <v>775</v>
      </c>
      <c r="F1964" s="101">
        <v>295</v>
      </c>
    </row>
    <row r="1965" spans="3:6" ht="14.4" customHeight="1" x14ac:dyDescent="0.3">
      <c r="C1965" s="2">
        <v>100</v>
      </c>
      <c r="D1965" s="2" t="s">
        <v>438</v>
      </c>
      <c r="E1965" s="2" t="s">
        <v>775</v>
      </c>
      <c r="F1965" s="101">
        <v>3525</v>
      </c>
    </row>
    <row r="1966" spans="3:6" ht="14.4" customHeight="1" x14ac:dyDescent="0.3">
      <c r="C1966" s="2">
        <v>100</v>
      </c>
      <c r="D1966" s="2" t="s">
        <v>233</v>
      </c>
      <c r="E1966" s="2" t="s">
        <v>771</v>
      </c>
      <c r="F1966" s="101">
        <v>502</v>
      </c>
    </row>
    <row r="1967" spans="3:6" ht="14.4" customHeight="1" x14ac:dyDescent="0.3">
      <c r="C1967" s="2">
        <v>100</v>
      </c>
      <c r="D1967" s="2" t="s">
        <v>400</v>
      </c>
      <c r="E1967" s="2" t="s">
        <v>774</v>
      </c>
      <c r="F1967" s="101">
        <v>0</v>
      </c>
    </row>
    <row r="1968" spans="3:6" ht="14.4" customHeight="1" x14ac:dyDescent="0.3">
      <c r="C1968" s="2">
        <v>100</v>
      </c>
      <c r="D1968" s="2" t="s">
        <v>728</v>
      </c>
      <c r="E1968" s="2" t="s">
        <v>769</v>
      </c>
      <c r="F1968" s="101">
        <v>969</v>
      </c>
    </row>
    <row r="1969" spans="3:6" ht="14.4" customHeight="1" x14ac:dyDescent="0.3">
      <c r="C1969" s="2">
        <v>100</v>
      </c>
      <c r="D1969" s="2" t="s">
        <v>375</v>
      </c>
      <c r="E1969" s="2" t="s">
        <v>770</v>
      </c>
      <c r="F1969" s="101">
        <v>2984</v>
      </c>
    </row>
    <row r="1970" spans="3:6" ht="14.4" customHeight="1" x14ac:dyDescent="0.3">
      <c r="C1970" s="2">
        <v>100</v>
      </c>
      <c r="D1970" s="2" t="s">
        <v>571</v>
      </c>
      <c r="E1970" s="2" t="s">
        <v>773</v>
      </c>
      <c r="F1970" s="101">
        <v>525</v>
      </c>
    </row>
    <row r="1971" spans="3:6" ht="14.4" customHeight="1" x14ac:dyDescent="0.3">
      <c r="C1971" s="2">
        <v>100</v>
      </c>
      <c r="D1971" s="2" t="s">
        <v>259</v>
      </c>
      <c r="E1971" s="2" t="s">
        <v>775</v>
      </c>
      <c r="F1971" s="101">
        <v>2440</v>
      </c>
    </row>
    <row r="1972" spans="3:6" ht="14.4" customHeight="1" x14ac:dyDescent="0.3">
      <c r="C1972" s="2">
        <v>100</v>
      </c>
      <c r="D1972" s="2" t="s">
        <v>443</v>
      </c>
      <c r="E1972" s="2" t="s">
        <v>769</v>
      </c>
      <c r="F1972" s="101">
        <v>12135</v>
      </c>
    </row>
    <row r="1973" spans="3:6" ht="14.4" customHeight="1" x14ac:dyDescent="0.3">
      <c r="C1973" s="2">
        <v>100</v>
      </c>
      <c r="D1973" s="2" t="s">
        <v>468</v>
      </c>
      <c r="E1973" s="2" t="s">
        <v>771</v>
      </c>
      <c r="F1973" s="101">
        <v>7008</v>
      </c>
    </row>
    <row r="1974" spans="3:6" ht="14.4" customHeight="1" x14ac:dyDescent="0.3">
      <c r="C1974" s="2">
        <v>100</v>
      </c>
      <c r="D1974" s="2" t="s">
        <v>767</v>
      </c>
      <c r="E1974" s="2" t="s">
        <v>771</v>
      </c>
      <c r="F1974" s="101">
        <v>113</v>
      </c>
    </row>
    <row r="1975" spans="3:6" ht="14.4" customHeight="1" x14ac:dyDescent="0.3">
      <c r="C1975" s="2">
        <v>100</v>
      </c>
      <c r="D1975" s="2" t="s">
        <v>358</v>
      </c>
      <c r="E1975" s="2" t="s">
        <v>771</v>
      </c>
      <c r="F1975" s="101">
        <v>3464</v>
      </c>
    </row>
    <row r="1976" spans="3:6" ht="14.4" customHeight="1" x14ac:dyDescent="0.3">
      <c r="C1976" s="2">
        <v>100</v>
      </c>
      <c r="D1976" s="2" t="s">
        <v>397</v>
      </c>
      <c r="E1976" s="2" t="s">
        <v>775</v>
      </c>
      <c r="F1976" s="101">
        <v>551</v>
      </c>
    </row>
    <row r="1977" spans="3:6" ht="14.4" customHeight="1" x14ac:dyDescent="0.3">
      <c r="C1977" s="2">
        <v>100</v>
      </c>
      <c r="D1977" s="2" t="s">
        <v>590</v>
      </c>
      <c r="E1977" s="2" t="s">
        <v>774</v>
      </c>
      <c r="F1977" s="101">
        <v>10824</v>
      </c>
    </row>
    <row r="1978" spans="3:6" ht="14.4" customHeight="1" x14ac:dyDescent="0.3">
      <c r="C1978" s="2">
        <v>100</v>
      </c>
      <c r="D1978" s="2" t="s">
        <v>525</v>
      </c>
      <c r="E1978" s="2" t="s">
        <v>770</v>
      </c>
      <c r="F1978" s="101">
        <v>128</v>
      </c>
    </row>
    <row r="1979" spans="3:6" ht="14.4" customHeight="1" x14ac:dyDescent="0.3">
      <c r="C1979" s="2">
        <v>100</v>
      </c>
      <c r="D1979" s="2" t="s">
        <v>619</v>
      </c>
      <c r="E1979" s="2" t="s">
        <v>773</v>
      </c>
      <c r="F1979" s="101">
        <v>1512</v>
      </c>
    </row>
    <row r="1980" spans="3:6" ht="14.4" customHeight="1" x14ac:dyDescent="0.3">
      <c r="C1980" s="2">
        <v>100</v>
      </c>
      <c r="D1980" s="2" t="s">
        <v>662</v>
      </c>
      <c r="E1980" s="2" t="s">
        <v>774</v>
      </c>
      <c r="F1980" s="101">
        <v>23</v>
      </c>
    </row>
    <row r="1981" spans="3:6" ht="14.4" customHeight="1" x14ac:dyDescent="0.3">
      <c r="C1981" s="2">
        <v>100</v>
      </c>
      <c r="D1981" s="2" t="s">
        <v>269</v>
      </c>
      <c r="E1981" s="2" t="s">
        <v>773</v>
      </c>
      <c r="F1981" s="101">
        <v>146708</v>
      </c>
    </row>
    <row r="1982" spans="3:6" ht="14.4" customHeight="1" x14ac:dyDescent="0.3">
      <c r="C1982" s="2">
        <v>100</v>
      </c>
      <c r="D1982" s="2" t="s">
        <v>452</v>
      </c>
      <c r="E1982" s="2" t="s">
        <v>769</v>
      </c>
      <c r="F1982" s="101">
        <v>3466</v>
      </c>
    </row>
    <row r="1983" spans="3:6" ht="14.4" customHeight="1" x14ac:dyDescent="0.3">
      <c r="C1983" s="2">
        <v>100</v>
      </c>
      <c r="D1983" s="2" t="s">
        <v>753</v>
      </c>
      <c r="E1983" s="2" t="s">
        <v>769</v>
      </c>
      <c r="F1983" s="101">
        <v>5629</v>
      </c>
    </row>
    <row r="1984" spans="3:6" ht="14.4" customHeight="1" x14ac:dyDescent="0.3">
      <c r="C1984" s="2">
        <v>100</v>
      </c>
      <c r="D1984" s="2" t="s">
        <v>251</v>
      </c>
      <c r="E1984" s="2" t="s">
        <v>774</v>
      </c>
      <c r="F1984" s="101">
        <v>91</v>
      </c>
    </row>
    <row r="1985" spans="3:6" ht="14.4" customHeight="1" x14ac:dyDescent="0.3">
      <c r="C1985" s="2">
        <v>100</v>
      </c>
      <c r="D1985" s="2" t="s">
        <v>468</v>
      </c>
      <c r="E1985" s="2" t="s">
        <v>775</v>
      </c>
      <c r="F1985" s="101">
        <v>2895</v>
      </c>
    </row>
    <row r="1986" spans="3:6" ht="14.4" customHeight="1" x14ac:dyDescent="0.3">
      <c r="C1986" s="2">
        <v>100</v>
      </c>
      <c r="D1986" s="2" t="s">
        <v>549</v>
      </c>
      <c r="E1986" s="2" t="s">
        <v>773</v>
      </c>
      <c r="F1986" s="101">
        <v>1400</v>
      </c>
    </row>
    <row r="1987" spans="3:6" ht="14.4" customHeight="1" x14ac:dyDescent="0.3">
      <c r="C1987" s="2">
        <v>100</v>
      </c>
      <c r="D1987" s="2" t="s">
        <v>710</v>
      </c>
      <c r="E1987" s="2" t="s">
        <v>773</v>
      </c>
      <c r="F1987" s="101">
        <v>386</v>
      </c>
    </row>
    <row r="1988" spans="3:6" ht="14.4" customHeight="1" x14ac:dyDescent="0.3">
      <c r="C1988" s="2">
        <v>100</v>
      </c>
      <c r="D1988" s="2" t="s">
        <v>574</v>
      </c>
      <c r="E1988" s="2" t="s">
        <v>771</v>
      </c>
      <c r="F1988" s="101">
        <v>2244</v>
      </c>
    </row>
    <row r="1989" spans="3:6" ht="14.4" customHeight="1" x14ac:dyDescent="0.3">
      <c r="C1989" s="2">
        <v>100</v>
      </c>
      <c r="D1989" s="2" t="s">
        <v>509</v>
      </c>
      <c r="E1989" s="2" t="s">
        <v>770</v>
      </c>
      <c r="F1989" s="101">
        <v>8986</v>
      </c>
    </row>
    <row r="1990" spans="3:6" ht="14.4" customHeight="1" x14ac:dyDescent="0.3">
      <c r="C1990" s="2">
        <v>100</v>
      </c>
      <c r="D1990" s="2" t="s">
        <v>260</v>
      </c>
      <c r="E1990" s="2" t="s">
        <v>774</v>
      </c>
      <c r="F1990" s="101">
        <v>1215</v>
      </c>
    </row>
    <row r="1991" spans="3:6" ht="14.4" customHeight="1" x14ac:dyDescent="0.3">
      <c r="C1991" s="2">
        <v>100</v>
      </c>
      <c r="D1991" s="2" t="s">
        <v>650</v>
      </c>
      <c r="E1991" s="2" t="s">
        <v>769</v>
      </c>
      <c r="F1991" s="101">
        <v>34652</v>
      </c>
    </row>
    <row r="1992" spans="3:6" ht="14.4" customHeight="1" x14ac:dyDescent="0.3">
      <c r="C1992" s="2">
        <v>100</v>
      </c>
      <c r="D1992" s="2" t="s">
        <v>667</v>
      </c>
      <c r="E1992" s="2" t="s">
        <v>771</v>
      </c>
      <c r="F1992" s="101">
        <v>378</v>
      </c>
    </row>
    <row r="1993" spans="3:6" ht="14.4" customHeight="1" x14ac:dyDescent="0.3">
      <c r="C1993" s="2">
        <v>100</v>
      </c>
      <c r="D1993" s="2" t="s">
        <v>460</v>
      </c>
      <c r="E1993" s="2" t="s">
        <v>770</v>
      </c>
      <c r="F1993" s="101">
        <v>1876</v>
      </c>
    </row>
    <row r="1994" spans="3:6" ht="14.4" customHeight="1" x14ac:dyDescent="0.3">
      <c r="C1994" s="2">
        <v>100</v>
      </c>
      <c r="D1994" s="2" t="s">
        <v>655</v>
      </c>
      <c r="E1994" s="2" t="s">
        <v>769</v>
      </c>
      <c r="F1994" s="101">
        <v>2427</v>
      </c>
    </row>
    <row r="1995" spans="3:6" ht="14.4" customHeight="1" x14ac:dyDescent="0.3">
      <c r="C1995" s="2">
        <v>100</v>
      </c>
      <c r="D1995" s="2" t="s">
        <v>537</v>
      </c>
      <c r="E1995" s="2" t="s">
        <v>773</v>
      </c>
      <c r="F1995" s="101">
        <v>2402</v>
      </c>
    </row>
    <row r="1996" spans="3:6" ht="14.4" customHeight="1" x14ac:dyDescent="0.3">
      <c r="C1996" s="2">
        <v>100</v>
      </c>
      <c r="D1996" s="2" t="s">
        <v>674</v>
      </c>
      <c r="E1996" s="2" t="s">
        <v>774</v>
      </c>
      <c r="F1996" s="101">
        <v>-2478</v>
      </c>
    </row>
    <row r="1997" spans="3:6" ht="14.4" customHeight="1" x14ac:dyDescent="0.3">
      <c r="C1997" s="2">
        <v>100</v>
      </c>
      <c r="D1997" s="2" t="s">
        <v>352</v>
      </c>
      <c r="E1997" s="2" t="s">
        <v>770</v>
      </c>
      <c r="F1997" s="101">
        <v>52</v>
      </c>
    </row>
    <row r="1998" spans="3:6" ht="14.4" customHeight="1" x14ac:dyDescent="0.3">
      <c r="C1998" s="2">
        <v>100</v>
      </c>
      <c r="D1998" s="2" t="s">
        <v>540</v>
      </c>
      <c r="E1998" s="2" t="s">
        <v>769</v>
      </c>
      <c r="F1998" s="101">
        <v>27224</v>
      </c>
    </row>
    <row r="1999" spans="3:6" ht="14.4" customHeight="1" x14ac:dyDescent="0.3">
      <c r="C1999" s="2">
        <v>100</v>
      </c>
      <c r="D1999" s="2" t="s">
        <v>311</v>
      </c>
      <c r="E1999" s="2" t="s">
        <v>774</v>
      </c>
      <c r="F1999" s="101">
        <v>310</v>
      </c>
    </row>
    <row r="2000" spans="3:6" ht="14.4" customHeight="1" x14ac:dyDescent="0.3">
      <c r="C2000" s="2">
        <v>100</v>
      </c>
      <c r="D2000" s="2" t="s">
        <v>616</v>
      </c>
      <c r="E2000" s="2" t="s">
        <v>770</v>
      </c>
      <c r="F2000" s="101">
        <v>153</v>
      </c>
    </row>
    <row r="2001" spans="3:6" ht="14.4" customHeight="1" x14ac:dyDescent="0.3">
      <c r="C2001" s="2">
        <v>100</v>
      </c>
      <c r="D2001" s="2" t="s">
        <v>359</v>
      </c>
      <c r="E2001" s="2" t="s">
        <v>773</v>
      </c>
      <c r="F2001" s="101">
        <v>675</v>
      </c>
    </row>
    <row r="2002" spans="3:6" ht="14.4" customHeight="1" x14ac:dyDescent="0.3">
      <c r="C2002" s="2">
        <v>100</v>
      </c>
      <c r="D2002" s="2" t="s">
        <v>576</v>
      </c>
      <c r="E2002" s="2" t="s">
        <v>774</v>
      </c>
      <c r="F2002" s="101">
        <v>762</v>
      </c>
    </row>
    <row r="2003" spans="3:6" ht="14.4" customHeight="1" x14ac:dyDescent="0.3">
      <c r="C2003" s="2">
        <v>100</v>
      </c>
      <c r="D2003" s="2" t="s">
        <v>635</v>
      </c>
      <c r="E2003" s="2" t="s">
        <v>775</v>
      </c>
      <c r="F2003" s="101">
        <v>67986</v>
      </c>
    </row>
    <row r="2004" spans="3:6" ht="14.4" customHeight="1" x14ac:dyDescent="0.3">
      <c r="C2004" s="2">
        <v>100</v>
      </c>
      <c r="D2004" s="2" t="s">
        <v>685</v>
      </c>
      <c r="E2004" s="2" t="s">
        <v>769</v>
      </c>
      <c r="F2004" s="101">
        <v>13141</v>
      </c>
    </row>
    <row r="2005" spans="3:6" ht="14.4" customHeight="1" x14ac:dyDescent="0.3">
      <c r="C2005" s="2">
        <v>100</v>
      </c>
      <c r="D2005" s="2" t="s">
        <v>787</v>
      </c>
      <c r="E2005" s="2" t="s">
        <v>769</v>
      </c>
      <c r="F2005" s="101">
        <v>92</v>
      </c>
    </row>
    <row r="2006" spans="3:6" ht="14.4" customHeight="1" x14ac:dyDescent="0.3">
      <c r="C2006" s="2">
        <v>100</v>
      </c>
      <c r="D2006" s="2" t="s">
        <v>649</v>
      </c>
      <c r="E2006" s="2" t="s">
        <v>775</v>
      </c>
      <c r="F2006" s="101">
        <v>8</v>
      </c>
    </row>
    <row r="2007" spans="3:6" ht="14.4" customHeight="1" x14ac:dyDescent="0.3">
      <c r="C2007" s="2">
        <v>100</v>
      </c>
      <c r="D2007" s="2" t="s">
        <v>411</v>
      </c>
      <c r="E2007" s="2" t="s">
        <v>772</v>
      </c>
      <c r="F2007" s="101">
        <v>224</v>
      </c>
    </row>
    <row r="2008" spans="3:6" ht="14.4" customHeight="1" x14ac:dyDescent="0.3">
      <c r="C2008" s="2">
        <v>100</v>
      </c>
      <c r="D2008" s="2" t="s">
        <v>616</v>
      </c>
      <c r="E2008" s="2" t="s">
        <v>773</v>
      </c>
      <c r="F2008" s="101">
        <v>48</v>
      </c>
    </row>
    <row r="2009" spans="3:6" ht="14.4" customHeight="1" x14ac:dyDescent="0.3">
      <c r="C2009" s="2">
        <v>100</v>
      </c>
      <c r="D2009" s="2" t="s">
        <v>501</v>
      </c>
      <c r="E2009" s="2" t="s">
        <v>769</v>
      </c>
      <c r="F2009" s="101">
        <v>473984</v>
      </c>
    </row>
    <row r="2010" spans="3:6" ht="14.4" customHeight="1" x14ac:dyDescent="0.3">
      <c r="C2010" s="2">
        <v>100</v>
      </c>
      <c r="D2010" s="2" t="s">
        <v>331</v>
      </c>
      <c r="E2010" s="2" t="s">
        <v>774</v>
      </c>
      <c r="F2010" s="101">
        <v>4011</v>
      </c>
    </row>
    <row r="2011" spans="3:6" ht="14.4" customHeight="1" x14ac:dyDescent="0.3">
      <c r="C2011" s="2">
        <v>100</v>
      </c>
      <c r="D2011" s="2" t="s">
        <v>502</v>
      </c>
      <c r="E2011" s="2" t="s">
        <v>771</v>
      </c>
      <c r="F2011" s="101">
        <v>6800</v>
      </c>
    </row>
    <row r="2012" spans="3:6" ht="14.4" customHeight="1" x14ac:dyDescent="0.3">
      <c r="C2012" s="2">
        <v>100</v>
      </c>
      <c r="D2012" s="2" t="s">
        <v>240</v>
      </c>
      <c r="E2012" s="2" t="s">
        <v>773</v>
      </c>
      <c r="F2012" s="101">
        <v>821</v>
      </c>
    </row>
    <row r="2013" spans="3:6" ht="14.4" customHeight="1" x14ac:dyDescent="0.3">
      <c r="C2013" s="2">
        <v>100</v>
      </c>
      <c r="D2013" s="2" t="s">
        <v>490</v>
      </c>
      <c r="E2013" s="2" t="s">
        <v>774</v>
      </c>
      <c r="F2013" s="101">
        <v>1269</v>
      </c>
    </row>
    <row r="2014" spans="3:6" ht="14.4" customHeight="1" x14ac:dyDescent="0.3">
      <c r="C2014" s="2">
        <v>100</v>
      </c>
      <c r="D2014" s="2" t="s">
        <v>460</v>
      </c>
      <c r="E2014" s="2" t="s">
        <v>773</v>
      </c>
      <c r="F2014" s="101">
        <v>9099</v>
      </c>
    </row>
    <row r="2015" spans="3:6" ht="14.4" customHeight="1" x14ac:dyDescent="0.3">
      <c r="C2015" s="2">
        <v>100</v>
      </c>
      <c r="D2015" s="2" t="s">
        <v>229</v>
      </c>
      <c r="E2015" s="2" t="s">
        <v>773</v>
      </c>
      <c r="F2015" s="101">
        <v>836</v>
      </c>
    </row>
    <row r="2016" spans="3:6" ht="14.4" customHeight="1" x14ac:dyDescent="0.3">
      <c r="C2016" s="2">
        <v>100</v>
      </c>
      <c r="D2016" s="2" t="s">
        <v>352</v>
      </c>
      <c r="E2016" s="2" t="s">
        <v>773</v>
      </c>
      <c r="F2016" s="101">
        <v>4776</v>
      </c>
    </row>
    <row r="2017" spans="3:6" ht="14.4" customHeight="1" x14ac:dyDescent="0.3">
      <c r="C2017" s="2">
        <v>100</v>
      </c>
      <c r="D2017" s="2" t="s">
        <v>223</v>
      </c>
      <c r="E2017" s="2" t="s">
        <v>774</v>
      </c>
      <c r="F2017" s="101">
        <v>8323</v>
      </c>
    </row>
    <row r="2018" spans="3:6" ht="14.4" customHeight="1" x14ac:dyDescent="0.3">
      <c r="C2018" s="2">
        <v>100</v>
      </c>
      <c r="D2018" s="2" t="s">
        <v>692</v>
      </c>
      <c r="E2018" s="2" t="s">
        <v>770</v>
      </c>
      <c r="F2018" s="101">
        <v>5878</v>
      </c>
    </row>
    <row r="2019" spans="3:6" ht="14.4" customHeight="1" x14ac:dyDescent="0.3">
      <c r="C2019" s="2">
        <v>100</v>
      </c>
      <c r="D2019" s="2" t="s">
        <v>227</v>
      </c>
      <c r="E2019" s="2" t="s">
        <v>771</v>
      </c>
      <c r="F2019" s="101">
        <v>8260</v>
      </c>
    </row>
    <row r="2020" spans="3:6" ht="14.4" customHeight="1" x14ac:dyDescent="0.3">
      <c r="C2020" s="2">
        <v>100</v>
      </c>
      <c r="D2020" s="2" t="s">
        <v>539</v>
      </c>
      <c r="E2020" s="2" t="s">
        <v>770</v>
      </c>
      <c r="F2020" s="101">
        <v>5920</v>
      </c>
    </row>
    <row r="2021" spans="3:6" ht="14.4" customHeight="1" x14ac:dyDescent="0.3">
      <c r="C2021" s="2">
        <v>100</v>
      </c>
      <c r="D2021" s="2" t="s">
        <v>267</v>
      </c>
      <c r="E2021" s="2" t="s">
        <v>775</v>
      </c>
      <c r="F2021" s="101">
        <v>97</v>
      </c>
    </row>
    <row r="2022" spans="3:6" ht="14.4" customHeight="1" x14ac:dyDescent="0.3">
      <c r="C2022" s="2">
        <v>100</v>
      </c>
      <c r="D2022" s="2" t="s">
        <v>353</v>
      </c>
      <c r="E2022" s="2" t="s">
        <v>773</v>
      </c>
      <c r="F2022" s="101">
        <v>58864</v>
      </c>
    </row>
    <row r="2023" spans="3:6" ht="14.4" customHeight="1" x14ac:dyDescent="0.3">
      <c r="C2023" s="2">
        <v>100</v>
      </c>
      <c r="D2023" s="2" t="s">
        <v>471</v>
      </c>
      <c r="E2023" s="2" t="s">
        <v>770</v>
      </c>
      <c r="F2023" s="101">
        <v>6694</v>
      </c>
    </row>
    <row r="2024" spans="3:6" ht="14.4" customHeight="1" x14ac:dyDescent="0.3">
      <c r="C2024" s="2">
        <v>100</v>
      </c>
      <c r="D2024" s="2" t="s">
        <v>709</v>
      </c>
      <c r="E2024" s="2" t="s">
        <v>771</v>
      </c>
      <c r="F2024" s="101">
        <v>1081</v>
      </c>
    </row>
    <row r="2025" spans="3:6" ht="14.4" customHeight="1" x14ac:dyDescent="0.3">
      <c r="C2025" s="2">
        <v>100</v>
      </c>
      <c r="D2025" s="2" t="s">
        <v>293</v>
      </c>
      <c r="E2025" s="2" t="s">
        <v>773</v>
      </c>
      <c r="F2025" s="101">
        <v>-6786</v>
      </c>
    </row>
    <row r="2026" spans="3:6" ht="14.4" customHeight="1" x14ac:dyDescent="0.3">
      <c r="C2026" s="2">
        <v>100</v>
      </c>
      <c r="D2026" s="2" t="s">
        <v>676</v>
      </c>
      <c r="E2026" s="2" t="s">
        <v>774</v>
      </c>
      <c r="F2026" s="101">
        <v>0</v>
      </c>
    </row>
    <row r="2027" spans="3:6" ht="14.4" customHeight="1" x14ac:dyDescent="0.3">
      <c r="C2027" s="2">
        <v>100</v>
      </c>
      <c r="D2027" s="2" t="s">
        <v>290</v>
      </c>
      <c r="E2027" s="2" t="s">
        <v>770</v>
      </c>
      <c r="F2027" s="101">
        <v>15616</v>
      </c>
    </row>
    <row r="2028" spans="3:6" ht="14.4" customHeight="1" x14ac:dyDescent="0.3">
      <c r="C2028" s="2">
        <v>100</v>
      </c>
      <c r="D2028" s="2" t="s">
        <v>709</v>
      </c>
      <c r="E2028" s="2" t="s">
        <v>775</v>
      </c>
      <c r="F2028" s="101">
        <v>62</v>
      </c>
    </row>
    <row r="2029" spans="3:6" ht="14.4" customHeight="1" x14ac:dyDescent="0.3">
      <c r="C2029" s="2">
        <v>100</v>
      </c>
      <c r="D2029" s="2" t="s">
        <v>290</v>
      </c>
      <c r="E2029" s="2" t="s">
        <v>773</v>
      </c>
      <c r="F2029" s="101">
        <v>259306</v>
      </c>
    </row>
    <row r="2030" spans="3:6" ht="14.4" customHeight="1" x14ac:dyDescent="0.3">
      <c r="C2030" s="2">
        <v>100</v>
      </c>
      <c r="D2030" s="2" t="s">
        <v>299</v>
      </c>
      <c r="E2030" s="2" t="s">
        <v>771</v>
      </c>
      <c r="F2030" s="101">
        <v>29239</v>
      </c>
    </row>
    <row r="2031" spans="3:6" ht="14.4" customHeight="1" x14ac:dyDescent="0.3">
      <c r="C2031" s="2">
        <v>100</v>
      </c>
      <c r="D2031" s="2" t="s">
        <v>503</v>
      </c>
      <c r="E2031" s="2" t="s">
        <v>773</v>
      </c>
      <c r="F2031" s="101">
        <v>592</v>
      </c>
    </row>
    <row r="2032" spans="3:6" ht="14.4" customHeight="1" x14ac:dyDescent="0.3">
      <c r="C2032" s="2">
        <v>100</v>
      </c>
      <c r="D2032" s="2" t="s">
        <v>644</v>
      </c>
      <c r="E2032" s="2" t="s">
        <v>777</v>
      </c>
      <c r="F2032" s="101">
        <v>1225</v>
      </c>
    </row>
    <row r="2033" spans="3:6" ht="14.4" customHeight="1" x14ac:dyDescent="0.3">
      <c r="C2033" s="2">
        <v>100</v>
      </c>
      <c r="D2033" s="2" t="s">
        <v>522</v>
      </c>
      <c r="E2033" s="2" t="s">
        <v>774</v>
      </c>
      <c r="F2033" s="101">
        <v>31978</v>
      </c>
    </row>
    <row r="2034" spans="3:6" ht="14.4" customHeight="1" x14ac:dyDescent="0.3">
      <c r="C2034" s="2">
        <v>100</v>
      </c>
      <c r="D2034" s="2" t="s">
        <v>340</v>
      </c>
      <c r="E2034" s="2" t="s">
        <v>770</v>
      </c>
      <c r="F2034" s="101">
        <v>4063</v>
      </c>
    </row>
    <row r="2035" spans="3:6" ht="14.4" customHeight="1" x14ac:dyDescent="0.3">
      <c r="C2035" s="2">
        <v>100</v>
      </c>
      <c r="D2035" s="2" t="s">
        <v>328</v>
      </c>
      <c r="E2035" s="2" t="s">
        <v>769</v>
      </c>
      <c r="F2035" s="101">
        <v>322848</v>
      </c>
    </row>
    <row r="2036" spans="3:6" ht="14.4" customHeight="1" x14ac:dyDescent="0.3">
      <c r="C2036" s="2">
        <v>100</v>
      </c>
      <c r="D2036" s="2" t="s">
        <v>366</v>
      </c>
      <c r="E2036" s="2" t="s">
        <v>774</v>
      </c>
      <c r="F2036" s="101">
        <v>3860</v>
      </c>
    </row>
    <row r="2037" spans="3:6" ht="14.4" customHeight="1" x14ac:dyDescent="0.3">
      <c r="C2037" s="2">
        <v>100</v>
      </c>
      <c r="D2037" s="2" t="s">
        <v>371</v>
      </c>
      <c r="E2037" s="2" t="s">
        <v>770</v>
      </c>
      <c r="F2037" s="101">
        <v>2349</v>
      </c>
    </row>
    <row r="2038" spans="3:6" ht="14.4" customHeight="1" x14ac:dyDescent="0.3">
      <c r="C2038" s="2">
        <v>100</v>
      </c>
      <c r="D2038" s="2" t="s">
        <v>263</v>
      </c>
      <c r="E2038" s="2" t="s">
        <v>775</v>
      </c>
      <c r="F2038" s="101">
        <v>3349943</v>
      </c>
    </row>
    <row r="2039" spans="3:6" ht="14.4" customHeight="1" x14ac:dyDescent="0.3">
      <c r="C2039" s="2">
        <v>100</v>
      </c>
      <c r="D2039" s="2" t="s">
        <v>454</v>
      </c>
      <c r="E2039" s="2" t="s">
        <v>774</v>
      </c>
      <c r="F2039" s="101">
        <v>6128</v>
      </c>
    </row>
    <row r="2040" spans="3:6" ht="14.4" customHeight="1" x14ac:dyDescent="0.3">
      <c r="C2040" s="2">
        <v>100</v>
      </c>
      <c r="D2040" s="2" t="s">
        <v>416</v>
      </c>
      <c r="E2040" s="2" t="s">
        <v>773</v>
      </c>
      <c r="F2040" s="101">
        <v>681</v>
      </c>
    </row>
    <row r="2041" spans="3:6" ht="14.4" customHeight="1" x14ac:dyDescent="0.3">
      <c r="C2041" s="2">
        <v>100</v>
      </c>
      <c r="D2041" s="2" t="s">
        <v>462</v>
      </c>
      <c r="E2041" s="2" t="s">
        <v>777</v>
      </c>
      <c r="F2041" s="101">
        <v>7018</v>
      </c>
    </row>
    <row r="2042" spans="3:6" ht="14.4" customHeight="1" x14ac:dyDescent="0.3">
      <c r="C2042" s="2">
        <v>100</v>
      </c>
      <c r="D2042" s="2" t="s">
        <v>346</v>
      </c>
      <c r="E2042" s="2" t="s">
        <v>771</v>
      </c>
      <c r="F2042" s="101">
        <v>48170</v>
      </c>
    </row>
    <row r="2043" spans="3:6" ht="14.4" customHeight="1" x14ac:dyDescent="0.3">
      <c r="C2043" s="2">
        <v>100</v>
      </c>
      <c r="D2043" s="2" t="s">
        <v>430</v>
      </c>
      <c r="E2043" s="2" t="s">
        <v>771</v>
      </c>
      <c r="F2043" s="101">
        <v>89615</v>
      </c>
    </row>
    <row r="2044" spans="3:6" ht="14.4" customHeight="1" x14ac:dyDescent="0.3">
      <c r="C2044" s="2">
        <v>100</v>
      </c>
      <c r="D2044" s="2" t="s">
        <v>217</v>
      </c>
      <c r="E2044" s="2" t="s">
        <v>769</v>
      </c>
      <c r="F2044" s="101">
        <v>10756</v>
      </c>
    </row>
    <row r="2045" spans="3:6" ht="14.4" customHeight="1" x14ac:dyDescent="0.3">
      <c r="C2045" s="2">
        <v>100</v>
      </c>
      <c r="D2045" s="2" t="s">
        <v>331</v>
      </c>
      <c r="E2045" s="2" t="s">
        <v>772</v>
      </c>
      <c r="F2045" s="101">
        <v>1358</v>
      </c>
    </row>
    <row r="2046" spans="3:6" ht="14.4" customHeight="1" x14ac:dyDescent="0.3">
      <c r="C2046" s="2">
        <v>100</v>
      </c>
      <c r="D2046" s="2" t="s">
        <v>545</v>
      </c>
      <c r="E2046" s="2" t="s">
        <v>769</v>
      </c>
      <c r="F2046" s="101">
        <v>80711</v>
      </c>
    </row>
    <row r="2047" spans="3:6" ht="14.4" customHeight="1" x14ac:dyDescent="0.3">
      <c r="C2047" s="2">
        <v>100</v>
      </c>
      <c r="D2047" s="2" t="s">
        <v>201</v>
      </c>
      <c r="E2047" s="2" t="s">
        <v>773</v>
      </c>
      <c r="F2047" s="101">
        <v>2718</v>
      </c>
    </row>
    <row r="2048" spans="3:6" ht="14.4" customHeight="1" x14ac:dyDescent="0.3">
      <c r="C2048" s="2">
        <v>100</v>
      </c>
      <c r="D2048" s="2" t="s">
        <v>672</v>
      </c>
      <c r="E2048" s="2" t="s">
        <v>773</v>
      </c>
      <c r="F2048" s="101">
        <v>756</v>
      </c>
    </row>
    <row r="2049" spans="3:6" ht="14.4" customHeight="1" x14ac:dyDescent="0.3">
      <c r="C2049" s="2">
        <v>100</v>
      </c>
      <c r="D2049" s="2" t="s">
        <v>517</v>
      </c>
      <c r="E2049" s="2" t="s">
        <v>775</v>
      </c>
      <c r="F2049" s="101">
        <v>101</v>
      </c>
    </row>
    <row r="2050" spans="3:6" ht="14.4" customHeight="1" x14ac:dyDescent="0.3">
      <c r="C2050" s="2">
        <v>100</v>
      </c>
      <c r="D2050" s="2" t="s">
        <v>484</v>
      </c>
      <c r="E2050" s="2" t="s">
        <v>775</v>
      </c>
      <c r="F2050" s="101">
        <v>65</v>
      </c>
    </row>
    <row r="2051" spans="3:6" ht="14.4" customHeight="1" x14ac:dyDescent="0.3">
      <c r="C2051" s="2">
        <v>100</v>
      </c>
      <c r="D2051" s="2" t="s">
        <v>688</v>
      </c>
      <c r="E2051" s="2" t="s">
        <v>770</v>
      </c>
      <c r="F2051" s="101">
        <v>2653</v>
      </c>
    </row>
    <row r="2052" spans="3:6" ht="14.4" customHeight="1" x14ac:dyDescent="0.3">
      <c r="C2052" s="2">
        <v>100</v>
      </c>
      <c r="D2052" s="2" t="s">
        <v>230</v>
      </c>
      <c r="E2052" s="2" t="s">
        <v>775</v>
      </c>
      <c r="F2052" s="101">
        <v>44</v>
      </c>
    </row>
    <row r="2053" spans="3:6" ht="14.4" customHeight="1" x14ac:dyDescent="0.3">
      <c r="C2053" s="2">
        <v>100</v>
      </c>
      <c r="D2053" s="2" t="s">
        <v>672</v>
      </c>
      <c r="E2053" s="2" t="s">
        <v>771</v>
      </c>
      <c r="F2053" s="101">
        <v>4083</v>
      </c>
    </row>
    <row r="2054" spans="3:6" ht="14.4" customHeight="1" x14ac:dyDescent="0.3">
      <c r="C2054" s="2">
        <v>100</v>
      </c>
      <c r="D2054" s="2" t="s">
        <v>636</v>
      </c>
      <c r="E2054" s="2" t="s">
        <v>770</v>
      </c>
      <c r="F2054" s="101">
        <v>1756</v>
      </c>
    </row>
    <row r="2055" spans="3:6" ht="14.4" customHeight="1" x14ac:dyDescent="0.3">
      <c r="C2055" s="2">
        <v>100</v>
      </c>
      <c r="D2055" s="2" t="s">
        <v>204</v>
      </c>
      <c r="E2055" s="2" t="s">
        <v>774</v>
      </c>
      <c r="F2055" s="101">
        <v>714</v>
      </c>
    </row>
    <row r="2056" spans="3:6" ht="14.4" customHeight="1" x14ac:dyDescent="0.3">
      <c r="C2056" s="2">
        <v>100</v>
      </c>
      <c r="D2056" s="2" t="s">
        <v>287</v>
      </c>
      <c r="E2056" s="2" t="s">
        <v>771</v>
      </c>
      <c r="F2056" s="101">
        <v>2906</v>
      </c>
    </row>
    <row r="2057" spans="3:6" ht="14.4" customHeight="1" x14ac:dyDescent="0.3">
      <c r="C2057" s="2">
        <v>100</v>
      </c>
      <c r="D2057" s="2" t="s">
        <v>287</v>
      </c>
      <c r="E2057" s="2" t="s">
        <v>770</v>
      </c>
      <c r="F2057" s="101">
        <v>2075</v>
      </c>
    </row>
    <row r="2058" spans="3:6" ht="14.4" customHeight="1" x14ac:dyDescent="0.3">
      <c r="C2058" s="2">
        <v>100</v>
      </c>
      <c r="D2058" s="2" t="s">
        <v>508</v>
      </c>
      <c r="E2058" s="2" t="s">
        <v>773</v>
      </c>
      <c r="F2058" s="101">
        <v>640</v>
      </c>
    </row>
    <row r="2059" spans="3:6" ht="14.4" customHeight="1" x14ac:dyDescent="0.3">
      <c r="C2059" s="2">
        <v>100</v>
      </c>
      <c r="D2059" s="2" t="s">
        <v>201</v>
      </c>
      <c r="E2059" s="2" t="s">
        <v>771</v>
      </c>
      <c r="F2059" s="101">
        <v>25803</v>
      </c>
    </row>
    <row r="2060" spans="3:6" ht="14.4" customHeight="1" x14ac:dyDescent="0.3">
      <c r="C2060" s="2">
        <v>100</v>
      </c>
      <c r="D2060" s="2" t="s">
        <v>201</v>
      </c>
      <c r="E2060" s="2" t="s">
        <v>770</v>
      </c>
      <c r="F2060" s="101">
        <v>27247</v>
      </c>
    </row>
    <row r="2061" spans="3:6" ht="14.4" customHeight="1" x14ac:dyDescent="0.3">
      <c r="C2061" s="2">
        <v>100</v>
      </c>
      <c r="D2061" s="2" t="s">
        <v>508</v>
      </c>
      <c r="E2061" s="2" t="s">
        <v>775</v>
      </c>
      <c r="F2061" s="101">
        <v>2500</v>
      </c>
    </row>
    <row r="2062" spans="3:6" ht="14.4" customHeight="1" x14ac:dyDescent="0.3">
      <c r="C2062" s="2">
        <v>100</v>
      </c>
      <c r="D2062" s="2" t="s">
        <v>458</v>
      </c>
      <c r="E2062" s="2" t="s">
        <v>775</v>
      </c>
      <c r="F2062" s="101">
        <v>92</v>
      </c>
    </row>
    <row r="2063" spans="3:6" ht="14.4" customHeight="1" x14ac:dyDescent="0.3">
      <c r="C2063" s="2">
        <v>100</v>
      </c>
      <c r="D2063" s="2" t="s">
        <v>303</v>
      </c>
      <c r="E2063" s="2" t="s">
        <v>773</v>
      </c>
      <c r="F2063" s="101">
        <v>79</v>
      </c>
    </row>
    <row r="2064" spans="3:6" ht="14.4" customHeight="1" x14ac:dyDescent="0.3">
      <c r="C2064" s="2">
        <v>100</v>
      </c>
      <c r="D2064" s="2" t="s">
        <v>410</v>
      </c>
      <c r="E2064" s="2" t="s">
        <v>771</v>
      </c>
      <c r="F2064" s="101">
        <v>0</v>
      </c>
    </row>
    <row r="2065" spans="3:6" ht="14.4" customHeight="1" x14ac:dyDescent="0.3">
      <c r="C2065" s="2">
        <v>100</v>
      </c>
      <c r="D2065" s="2" t="s">
        <v>437</v>
      </c>
      <c r="E2065" s="2" t="s">
        <v>771</v>
      </c>
      <c r="F2065" s="101">
        <v>4730</v>
      </c>
    </row>
    <row r="2066" spans="3:6" ht="14.4" customHeight="1" x14ac:dyDescent="0.3">
      <c r="C2066" s="2">
        <v>100</v>
      </c>
      <c r="D2066" s="2" t="s">
        <v>519</v>
      </c>
      <c r="E2066" s="2" t="s">
        <v>774</v>
      </c>
      <c r="F2066" s="101">
        <v>4670</v>
      </c>
    </row>
    <row r="2067" spans="3:6" ht="14.4" customHeight="1" x14ac:dyDescent="0.3">
      <c r="C2067" s="2">
        <v>100</v>
      </c>
      <c r="D2067" s="2" t="s">
        <v>302</v>
      </c>
      <c r="E2067" s="2" t="s">
        <v>772</v>
      </c>
      <c r="F2067" s="101">
        <v>86</v>
      </c>
    </row>
    <row r="2068" spans="3:6" ht="14.4" customHeight="1" x14ac:dyDescent="0.3">
      <c r="C2068" s="2">
        <v>100</v>
      </c>
      <c r="D2068" s="2" t="s">
        <v>465</v>
      </c>
      <c r="E2068" s="2" t="s">
        <v>774</v>
      </c>
      <c r="F2068" s="101">
        <v>275320</v>
      </c>
    </row>
    <row r="2069" spans="3:6" ht="14.4" customHeight="1" x14ac:dyDescent="0.3">
      <c r="C2069" s="2">
        <v>100</v>
      </c>
      <c r="D2069" s="2" t="s">
        <v>289</v>
      </c>
      <c r="E2069" s="2" t="s">
        <v>773</v>
      </c>
      <c r="F2069" s="101">
        <v>7142</v>
      </c>
    </row>
    <row r="2070" spans="3:6" ht="14.4" customHeight="1" x14ac:dyDescent="0.3">
      <c r="C2070" s="2">
        <v>100</v>
      </c>
      <c r="D2070" s="2" t="s">
        <v>292</v>
      </c>
      <c r="E2070" s="2" t="s">
        <v>777</v>
      </c>
      <c r="F2070" s="101">
        <v>-43088</v>
      </c>
    </row>
    <row r="2071" spans="3:6" ht="14.4" customHeight="1" x14ac:dyDescent="0.3">
      <c r="C2071" s="2">
        <v>100</v>
      </c>
      <c r="D2071" s="2" t="s">
        <v>260</v>
      </c>
      <c r="E2071" s="2" t="s">
        <v>777</v>
      </c>
      <c r="F2071" s="101">
        <v>147402</v>
      </c>
    </row>
    <row r="2072" spans="3:6" ht="14.4" customHeight="1" x14ac:dyDescent="0.3">
      <c r="C2072" s="2">
        <v>100</v>
      </c>
      <c r="D2072" s="2" t="s">
        <v>261</v>
      </c>
      <c r="E2072" s="2" t="s">
        <v>772</v>
      </c>
      <c r="F2072" s="101">
        <v>176</v>
      </c>
    </row>
    <row r="2073" spans="3:6" ht="14.4" customHeight="1" x14ac:dyDescent="0.3">
      <c r="C2073" s="2">
        <v>100</v>
      </c>
      <c r="D2073" s="2" t="s">
        <v>475</v>
      </c>
      <c r="E2073" s="2" t="s">
        <v>769</v>
      </c>
      <c r="F2073" s="101">
        <v>107431</v>
      </c>
    </row>
    <row r="2074" spans="3:6" ht="14.4" customHeight="1" x14ac:dyDescent="0.3">
      <c r="C2074" s="2">
        <v>100</v>
      </c>
      <c r="D2074" s="2" t="s">
        <v>247</v>
      </c>
      <c r="E2074" s="2" t="s">
        <v>773</v>
      </c>
      <c r="F2074" s="101">
        <v>22847</v>
      </c>
    </row>
    <row r="2075" spans="3:6" ht="14.4" customHeight="1" x14ac:dyDescent="0.3">
      <c r="C2075" s="2">
        <v>100</v>
      </c>
      <c r="D2075" s="2" t="s">
        <v>304</v>
      </c>
      <c r="E2075" s="2" t="s">
        <v>777</v>
      </c>
      <c r="F2075" s="101">
        <v>31336</v>
      </c>
    </row>
    <row r="2076" spans="3:6" ht="14.4" customHeight="1" x14ac:dyDescent="0.3">
      <c r="C2076" s="2">
        <v>100</v>
      </c>
      <c r="D2076" s="2" t="s">
        <v>691</v>
      </c>
      <c r="E2076" s="2" t="s">
        <v>773</v>
      </c>
      <c r="F2076" s="101">
        <v>4916</v>
      </c>
    </row>
    <row r="2077" spans="3:6" ht="14.4" customHeight="1" x14ac:dyDescent="0.3">
      <c r="C2077" s="2">
        <v>100</v>
      </c>
      <c r="D2077" s="2" t="s">
        <v>677</v>
      </c>
      <c r="E2077" s="2" t="s">
        <v>775</v>
      </c>
      <c r="F2077" s="101">
        <v>374083</v>
      </c>
    </row>
    <row r="2078" spans="3:6" ht="14.4" customHeight="1" x14ac:dyDescent="0.3">
      <c r="C2078" s="2">
        <v>100</v>
      </c>
      <c r="D2078" s="2" t="s">
        <v>677</v>
      </c>
      <c r="E2078" s="2" t="s">
        <v>773</v>
      </c>
      <c r="F2078" s="101">
        <v>12</v>
      </c>
    </row>
    <row r="2079" spans="3:6" ht="14.4" customHeight="1" x14ac:dyDescent="0.3">
      <c r="C2079" s="2">
        <v>100</v>
      </c>
      <c r="D2079" s="2" t="s">
        <v>393</v>
      </c>
      <c r="E2079" s="2" t="s">
        <v>773</v>
      </c>
      <c r="F2079" s="101">
        <v>862</v>
      </c>
    </row>
    <row r="2080" spans="3:6" ht="14.4" customHeight="1" x14ac:dyDescent="0.3">
      <c r="C2080" s="2">
        <v>100</v>
      </c>
      <c r="D2080" s="2" t="s">
        <v>315</v>
      </c>
      <c r="E2080" s="2" t="s">
        <v>774</v>
      </c>
      <c r="F2080" s="101">
        <v>438</v>
      </c>
    </row>
    <row r="2081" spans="3:6" ht="14.4" customHeight="1" x14ac:dyDescent="0.3">
      <c r="C2081" s="2">
        <v>100</v>
      </c>
      <c r="D2081" s="2" t="s">
        <v>573</v>
      </c>
      <c r="E2081" s="2" t="s">
        <v>774</v>
      </c>
      <c r="F2081" s="101">
        <v>1421</v>
      </c>
    </row>
    <row r="2082" spans="3:6" ht="14.4" customHeight="1" x14ac:dyDescent="0.3">
      <c r="C2082" s="2">
        <v>100</v>
      </c>
      <c r="D2082" s="2" t="s">
        <v>663</v>
      </c>
      <c r="E2082" s="2" t="s">
        <v>775</v>
      </c>
      <c r="F2082" s="101">
        <v>0</v>
      </c>
    </row>
    <row r="2083" spans="3:6" ht="14.4" customHeight="1" x14ac:dyDescent="0.3">
      <c r="C2083" s="2">
        <v>100</v>
      </c>
      <c r="D2083" s="2" t="s">
        <v>483</v>
      </c>
      <c r="E2083" s="2" t="s">
        <v>774</v>
      </c>
      <c r="F2083" s="101">
        <v>8775</v>
      </c>
    </row>
    <row r="2084" spans="3:6" ht="14.4" customHeight="1" x14ac:dyDescent="0.3">
      <c r="C2084" s="2">
        <v>100</v>
      </c>
      <c r="D2084" s="2" t="s">
        <v>718</v>
      </c>
      <c r="E2084" s="2" t="s">
        <v>777</v>
      </c>
      <c r="F2084" s="101">
        <v>26539</v>
      </c>
    </row>
    <row r="2085" spans="3:6" ht="14.4" customHeight="1" x14ac:dyDescent="0.3">
      <c r="C2085" s="2">
        <v>100</v>
      </c>
      <c r="D2085" s="2" t="s">
        <v>394</v>
      </c>
      <c r="E2085" s="2" t="s">
        <v>770</v>
      </c>
      <c r="F2085" s="101">
        <v>16557</v>
      </c>
    </row>
    <row r="2086" spans="3:6" ht="14.4" customHeight="1" x14ac:dyDescent="0.3">
      <c r="C2086" s="2">
        <v>100</v>
      </c>
      <c r="D2086" s="2" t="s">
        <v>349</v>
      </c>
      <c r="E2086" s="2" t="s">
        <v>771</v>
      </c>
      <c r="F2086" s="101">
        <v>101344</v>
      </c>
    </row>
    <row r="2087" spans="3:6" ht="14.4" customHeight="1" x14ac:dyDescent="0.3">
      <c r="C2087" s="2">
        <v>100</v>
      </c>
      <c r="D2087" s="2" t="s">
        <v>500</v>
      </c>
      <c r="E2087" s="2" t="s">
        <v>769</v>
      </c>
      <c r="F2087" s="101">
        <v>7884</v>
      </c>
    </row>
    <row r="2088" spans="3:6" ht="14.4" customHeight="1" x14ac:dyDescent="0.3">
      <c r="C2088" s="2">
        <v>100</v>
      </c>
      <c r="D2088" s="2" t="s">
        <v>648</v>
      </c>
      <c r="E2088" s="2" t="s">
        <v>770</v>
      </c>
      <c r="F2088" s="101">
        <v>1300</v>
      </c>
    </row>
    <row r="2089" spans="3:6" ht="14.4" customHeight="1" x14ac:dyDescent="0.3">
      <c r="C2089" s="2">
        <v>100</v>
      </c>
      <c r="D2089" s="2" t="s">
        <v>276</v>
      </c>
      <c r="E2089" s="2" t="s">
        <v>773</v>
      </c>
      <c r="F2089" s="101">
        <v>87</v>
      </c>
    </row>
    <row r="2090" spans="3:6" ht="14.4" customHeight="1" x14ac:dyDescent="0.3">
      <c r="C2090" s="2">
        <v>100</v>
      </c>
      <c r="D2090" s="2" t="s">
        <v>344</v>
      </c>
      <c r="E2090" s="2" t="s">
        <v>769</v>
      </c>
      <c r="F2090" s="101">
        <v>161186</v>
      </c>
    </row>
    <row r="2091" spans="3:6" ht="14.4" customHeight="1" x14ac:dyDescent="0.3">
      <c r="C2091" s="2">
        <v>100</v>
      </c>
      <c r="D2091" s="2" t="s">
        <v>316</v>
      </c>
      <c r="E2091" s="2" t="s">
        <v>774</v>
      </c>
      <c r="F2091" s="101">
        <v>2856</v>
      </c>
    </row>
    <row r="2092" spans="3:6" ht="14.4" customHeight="1" x14ac:dyDescent="0.3">
      <c r="C2092" s="2">
        <v>100</v>
      </c>
      <c r="D2092" s="2" t="s">
        <v>288</v>
      </c>
      <c r="E2092" s="2" t="s">
        <v>770</v>
      </c>
      <c r="F2092" s="101">
        <v>85</v>
      </c>
    </row>
    <row r="2093" spans="3:6" ht="14.4" customHeight="1" x14ac:dyDescent="0.3">
      <c r="C2093" s="2">
        <v>100</v>
      </c>
      <c r="D2093" s="2" t="s">
        <v>270</v>
      </c>
      <c r="E2093" s="2" t="s">
        <v>774</v>
      </c>
      <c r="F2093" s="101">
        <v>350</v>
      </c>
    </row>
    <row r="2094" spans="3:6" ht="14.4" customHeight="1" x14ac:dyDescent="0.3">
      <c r="C2094" s="2">
        <v>100</v>
      </c>
      <c r="D2094" s="2" t="s">
        <v>558</v>
      </c>
      <c r="E2094" s="2" t="s">
        <v>770</v>
      </c>
      <c r="F2094" s="101">
        <v>17771</v>
      </c>
    </row>
    <row r="2095" spans="3:6" ht="14.4" customHeight="1" x14ac:dyDescent="0.3">
      <c r="C2095" s="2">
        <v>100</v>
      </c>
      <c r="D2095" s="2" t="s">
        <v>395</v>
      </c>
      <c r="E2095" s="2" t="s">
        <v>770</v>
      </c>
      <c r="F2095" s="101">
        <v>506</v>
      </c>
    </row>
    <row r="2096" spans="3:6" ht="14.4" customHeight="1" x14ac:dyDescent="0.3">
      <c r="C2096" s="2">
        <v>100</v>
      </c>
      <c r="D2096" s="2" t="s">
        <v>536</v>
      </c>
      <c r="E2096" s="2" t="s">
        <v>774</v>
      </c>
      <c r="F2096" s="101">
        <v>26</v>
      </c>
    </row>
    <row r="2097" spans="3:6" ht="14.4" customHeight="1" x14ac:dyDescent="0.3">
      <c r="C2097" s="2">
        <v>100</v>
      </c>
      <c r="D2097" s="2" t="s">
        <v>744</v>
      </c>
      <c r="E2097" s="2" t="s">
        <v>773</v>
      </c>
      <c r="F2097" s="101">
        <v>12</v>
      </c>
    </row>
    <row r="2098" spans="3:6" ht="14.4" customHeight="1" x14ac:dyDescent="0.3">
      <c r="C2098" s="2">
        <v>100</v>
      </c>
      <c r="D2098" s="2" t="s">
        <v>335</v>
      </c>
      <c r="E2098" s="2" t="s">
        <v>769</v>
      </c>
      <c r="F2098" s="101">
        <v>46376</v>
      </c>
    </row>
    <row r="2099" spans="3:6" ht="14.4" customHeight="1" x14ac:dyDescent="0.3">
      <c r="C2099" s="2">
        <v>100</v>
      </c>
      <c r="D2099" s="2" t="s">
        <v>367</v>
      </c>
      <c r="E2099" s="2" t="s">
        <v>769</v>
      </c>
      <c r="F2099" s="101">
        <v>685299</v>
      </c>
    </row>
    <row r="2100" spans="3:6" ht="14.4" customHeight="1" x14ac:dyDescent="0.3">
      <c r="C2100" s="2">
        <v>100</v>
      </c>
      <c r="D2100" s="2" t="s">
        <v>422</v>
      </c>
      <c r="E2100" s="2" t="s">
        <v>770</v>
      </c>
      <c r="F2100" s="101">
        <v>891</v>
      </c>
    </row>
    <row r="2101" spans="3:6" ht="14.4" customHeight="1" x14ac:dyDescent="0.3">
      <c r="C2101" s="2">
        <v>100</v>
      </c>
      <c r="D2101" s="2" t="s">
        <v>680</v>
      </c>
      <c r="E2101" s="2" t="s">
        <v>777</v>
      </c>
      <c r="F2101" s="101">
        <v>371</v>
      </c>
    </row>
    <row r="2102" spans="3:6" ht="14.4" customHeight="1" x14ac:dyDescent="0.3">
      <c r="C2102" s="2">
        <v>100</v>
      </c>
      <c r="D2102" s="2" t="s">
        <v>339</v>
      </c>
      <c r="E2102" s="2" t="s">
        <v>769</v>
      </c>
      <c r="F2102" s="101">
        <v>1160135</v>
      </c>
    </row>
    <row r="2103" spans="3:6" ht="14.4" customHeight="1" x14ac:dyDescent="0.3">
      <c r="C2103" s="2">
        <v>100</v>
      </c>
      <c r="D2103" s="2" t="s">
        <v>294</v>
      </c>
      <c r="E2103" s="2" t="s">
        <v>774</v>
      </c>
      <c r="F2103" s="101">
        <v>96</v>
      </c>
    </row>
    <row r="2104" spans="3:6" ht="14.4" customHeight="1" x14ac:dyDescent="0.3">
      <c r="C2104" s="2">
        <v>100</v>
      </c>
      <c r="D2104" s="2" t="s">
        <v>436</v>
      </c>
      <c r="E2104" s="2" t="s">
        <v>775</v>
      </c>
      <c r="F2104" s="101">
        <v>0</v>
      </c>
    </row>
    <row r="2105" spans="3:6" ht="14.4" customHeight="1" x14ac:dyDescent="0.3">
      <c r="C2105" s="2">
        <v>100</v>
      </c>
      <c r="D2105" s="2" t="s">
        <v>601</v>
      </c>
      <c r="E2105" s="2" t="s">
        <v>770</v>
      </c>
      <c r="F2105" s="101">
        <v>1767</v>
      </c>
    </row>
    <row r="2106" spans="3:6" ht="14.4" customHeight="1" x14ac:dyDescent="0.3">
      <c r="C2106" s="2">
        <v>100</v>
      </c>
      <c r="D2106" s="2" t="s">
        <v>410</v>
      </c>
      <c r="E2106" s="2" t="s">
        <v>769</v>
      </c>
      <c r="F2106" s="101">
        <v>4791</v>
      </c>
    </row>
    <row r="2107" spans="3:6" ht="14.4" customHeight="1" x14ac:dyDescent="0.3">
      <c r="C2107" s="2">
        <v>100</v>
      </c>
      <c r="D2107" s="2" t="s">
        <v>237</v>
      </c>
      <c r="E2107" s="2" t="s">
        <v>771</v>
      </c>
      <c r="F2107" s="101">
        <v>23475</v>
      </c>
    </row>
    <row r="2108" spans="3:6" ht="14.4" customHeight="1" x14ac:dyDescent="0.3">
      <c r="C2108" s="2">
        <v>100</v>
      </c>
      <c r="D2108" s="2" t="s">
        <v>274</v>
      </c>
      <c r="E2108" s="2" t="s">
        <v>771</v>
      </c>
      <c r="F2108" s="101">
        <v>137476</v>
      </c>
    </row>
    <row r="2109" spans="3:6" ht="14.4" customHeight="1" x14ac:dyDescent="0.3">
      <c r="C2109" s="2">
        <v>100</v>
      </c>
      <c r="D2109" s="2" t="s">
        <v>545</v>
      </c>
      <c r="E2109" s="2" t="s">
        <v>775</v>
      </c>
      <c r="F2109" s="101">
        <v>753</v>
      </c>
    </row>
    <row r="2110" spans="3:6" ht="14.4" customHeight="1" x14ac:dyDescent="0.3">
      <c r="C2110" s="2">
        <v>100</v>
      </c>
      <c r="D2110" s="2" t="s">
        <v>733</v>
      </c>
      <c r="E2110" s="2" t="s">
        <v>773</v>
      </c>
      <c r="F2110" s="101">
        <v>111</v>
      </c>
    </row>
    <row r="2111" spans="3:6" ht="14.4" customHeight="1" x14ac:dyDescent="0.3">
      <c r="C2111" s="2">
        <v>100</v>
      </c>
      <c r="D2111" s="2" t="s">
        <v>358</v>
      </c>
      <c r="E2111" s="2" t="s">
        <v>774</v>
      </c>
      <c r="F2111" s="101">
        <v>0</v>
      </c>
    </row>
    <row r="2112" spans="3:6" ht="14.4" customHeight="1" x14ac:dyDescent="0.3">
      <c r="C2112" s="2">
        <v>100</v>
      </c>
      <c r="D2112" s="2" t="s">
        <v>433</v>
      </c>
      <c r="E2112" s="2" t="s">
        <v>773</v>
      </c>
      <c r="F2112" s="101">
        <v>3632</v>
      </c>
    </row>
    <row r="2113" spans="3:6" ht="14.4" customHeight="1" x14ac:dyDescent="0.3">
      <c r="C2113" s="2">
        <v>100</v>
      </c>
      <c r="D2113" s="2" t="s">
        <v>287</v>
      </c>
      <c r="E2113" s="2" t="s">
        <v>769</v>
      </c>
      <c r="F2113" s="101">
        <v>26819</v>
      </c>
    </row>
    <row r="2114" spans="3:6" ht="14.4" customHeight="1" x14ac:dyDescent="0.3">
      <c r="C2114" s="2">
        <v>100</v>
      </c>
      <c r="D2114" s="2" t="s">
        <v>470</v>
      </c>
      <c r="E2114" s="2" t="s">
        <v>773</v>
      </c>
      <c r="F2114" s="101">
        <v>704</v>
      </c>
    </row>
    <row r="2115" spans="3:6" ht="14.4" customHeight="1" x14ac:dyDescent="0.3">
      <c r="C2115" s="2">
        <v>100</v>
      </c>
      <c r="D2115" s="2" t="s">
        <v>607</v>
      </c>
      <c r="E2115" s="2" t="s">
        <v>771</v>
      </c>
      <c r="F2115" s="101">
        <v>2168</v>
      </c>
    </row>
    <row r="2116" spans="3:6" ht="14.4" customHeight="1" x14ac:dyDescent="0.3">
      <c r="C2116" s="2">
        <v>100</v>
      </c>
      <c r="D2116" s="2" t="s">
        <v>433</v>
      </c>
      <c r="E2116" s="2" t="s">
        <v>771</v>
      </c>
      <c r="F2116" s="101">
        <v>15157</v>
      </c>
    </row>
    <row r="2117" spans="3:6" ht="14.4" customHeight="1" x14ac:dyDescent="0.3">
      <c r="C2117" s="2">
        <v>100</v>
      </c>
      <c r="D2117" s="2" t="s">
        <v>590</v>
      </c>
      <c r="E2117" s="2" t="s">
        <v>773</v>
      </c>
      <c r="F2117" s="101">
        <v>14974</v>
      </c>
    </row>
    <row r="2118" spans="3:6" ht="14.4" customHeight="1" x14ac:dyDescent="0.3">
      <c r="C2118" s="2">
        <v>100</v>
      </c>
      <c r="D2118" s="2" t="s">
        <v>688</v>
      </c>
      <c r="E2118" s="2" t="s">
        <v>769</v>
      </c>
      <c r="F2118" s="101">
        <v>29970</v>
      </c>
    </row>
    <row r="2119" spans="3:6" ht="14.4" customHeight="1" x14ac:dyDescent="0.3">
      <c r="C2119" s="2">
        <v>100</v>
      </c>
      <c r="D2119" s="2" t="s">
        <v>662</v>
      </c>
      <c r="E2119" s="2" t="s">
        <v>770</v>
      </c>
      <c r="F2119" s="101">
        <v>2738</v>
      </c>
    </row>
    <row r="2120" spans="3:6" ht="14.4" customHeight="1" x14ac:dyDescent="0.3">
      <c r="C2120" s="2">
        <v>100</v>
      </c>
      <c r="D2120" s="2" t="s">
        <v>516</v>
      </c>
      <c r="E2120" s="2" t="s">
        <v>771</v>
      </c>
      <c r="F2120" s="101">
        <v>2253</v>
      </c>
    </row>
    <row r="2121" spans="3:6" ht="14.4" customHeight="1" x14ac:dyDescent="0.3">
      <c r="C2121" s="2">
        <v>100</v>
      </c>
      <c r="D2121" s="2" t="s">
        <v>515</v>
      </c>
      <c r="E2121" s="2" t="s">
        <v>771</v>
      </c>
      <c r="F2121" s="101">
        <v>326</v>
      </c>
    </row>
    <row r="2122" spans="3:6" ht="14.4" customHeight="1" x14ac:dyDescent="0.3">
      <c r="C2122" s="2">
        <v>100</v>
      </c>
      <c r="D2122" s="2" t="s">
        <v>733</v>
      </c>
      <c r="E2122" s="2" t="s">
        <v>770</v>
      </c>
      <c r="F2122" s="101">
        <v>51</v>
      </c>
    </row>
    <row r="2123" spans="3:6" ht="14.4" customHeight="1" x14ac:dyDescent="0.3">
      <c r="C2123" s="2">
        <v>100</v>
      </c>
      <c r="D2123" s="2" t="s">
        <v>552</v>
      </c>
      <c r="E2123" s="2" t="s">
        <v>773</v>
      </c>
      <c r="F2123" s="101">
        <v>6194</v>
      </c>
    </row>
    <row r="2124" spans="3:6" ht="14.4" customHeight="1" x14ac:dyDescent="0.3">
      <c r="C2124" s="2">
        <v>100</v>
      </c>
      <c r="D2124" s="2" t="s">
        <v>589</v>
      </c>
      <c r="E2124" s="2" t="s">
        <v>773</v>
      </c>
      <c r="F2124" s="101">
        <v>3910</v>
      </c>
    </row>
    <row r="2125" spans="3:6" ht="14.4" customHeight="1" x14ac:dyDescent="0.3">
      <c r="C2125" s="2">
        <v>100</v>
      </c>
      <c r="D2125" s="2" t="s">
        <v>589</v>
      </c>
      <c r="E2125" s="2" t="s">
        <v>775</v>
      </c>
      <c r="F2125" s="101">
        <v>1455</v>
      </c>
    </row>
    <row r="2126" spans="3:6" ht="14.4" customHeight="1" x14ac:dyDescent="0.3">
      <c r="C2126" s="2">
        <v>100</v>
      </c>
      <c r="D2126" s="2" t="s">
        <v>303</v>
      </c>
      <c r="E2126" s="2" t="s">
        <v>769</v>
      </c>
      <c r="F2126" s="101">
        <v>50480</v>
      </c>
    </row>
    <row r="2127" spans="3:6" ht="14.4" customHeight="1" x14ac:dyDescent="0.3">
      <c r="C2127" s="2">
        <v>100</v>
      </c>
      <c r="D2127" s="2" t="s">
        <v>553</v>
      </c>
      <c r="E2127" s="2" t="s">
        <v>774</v>
      </c>
      <c r="F2127" s="101">
        <v>461</v>
      </c>
    </row>
    <row r="2128" spans="3:6" ht="14.4" customHeight="1" x14ac:dyDescent="0.3">
      <c r="C2128" s="2">
        <v>100</v>
      </c>
      <c r="D2128" s="2" t="s">
        <v>217</v>
      </c>
      <c r="E2128" s="2" t="s">
        <v>770</v>
      </c>
      <c r="F2128" s="101">
        <v>1207</v>
      </c>
    </row>
    <row r="2129" spans="3:6" ht="14.4" customHeight="1" x14ac:dyDescent="0.3">
      <c r="C2129" s="2">
        <v>100</v>
      </c>
      <c r="D2129" s="2" t="s">
        <v>274</v>
      </c>
      <c r="E2129" s="2" t="s">
        <v>773</v>
      </c>
      <c r="F2129" s="101">
        <v>20623</v>
      </c>
    </row>
    <row r="2130" spans="3:6" ht="14.4" customHeight="1" x14ac:dyDescent="0.3">
      <c r="C2130" s="2">
        <v>100</v>
      </c>
      <c r="D2130" s="2" t="s">
        <v>400</v>
      </c>
      <c r="E2130" s="2" t="s">
        <v>775</v>
      </c>
      <c r="F2130" s="101">
        <v>8</v>
      </c>
    </row>
    <row r="2131" spans="3:6" ht="14.4" customHeight="1" x14ac:dyDescent="0.3">
      <c r="C2131" s="2">
        <v>100</v>
      </c>
      <c r="D2131" s="2" t="s">
        <v>671</v>
      </c>
      <c r="E2131" s="2" t="s">
        <v>771</v>
      </c>
      <c r="F2131" s="101">
        <v>842</v>
      </c>
    </row>
    <row r="2132" spans="3:6" ht="14.4" customHeight="1" x14ac:dyDescent="0.3">
      <c r="C2132" s="2">
        <v>100</v>
      </c>
      <c r="D2132" s="2" t="s">
        <v>292</v>
      </c>
      <c r="E2132" s="2" t="s">
        <v>771</v>
      </c>
      <c r="F2132" s="101">
        <v>59500</v>
      </c>
    </row>
    <row r="2133" spans="3:6" ht="14.4" customHeight="1" x14ac:dyDescent="0.3">
      <c r="C2133" s="2">
        <v>100</v>
      </c>
      <c r="D2133" s="2" t="s">
        <v>526</v>
      </c>
      <c r="E2133" s="2" t="s">
        <v>770</v>
      </c>
      <c r="F2133" s="101">
        <v>11872</v>
      </c>
    </row>
    <row r="2134" spans="3:6" ht="14.4" customHeight="1" x14ac:dyDescent="0.3">
      <c r="C2134" s="2">
        <v>100</v>
      </c>
      <c r="D2134" s="2" t="s">
        <v>339</v>
      </c>
      <c r="E2134" s="2" t="s">
        <v>770</v>
      </c>
      <c r="F2134" s="101">
        <v>28951</v>
      </c>
    </row>
    <row r="2135" spans="3:6" ht="14.4" customHeight="1" x14ac:dyDescent="0.3">
      <c r="C2135" s="2">
        <v>100</v>
      </c>
      <c r="D2135" s="2" t="s">
        <v>670</v>
      </c>
      <c r="E2135" s="2" t="s">
        <v>773</v>
      </c>
      <c r="F2135" s="101">
        <v>353</v>
      </c>
    </row>
    <row r="2136" spans="3:6" ht="14.4" customHeight="1" x14ac:dyDescent="0.3">
      <c r="C2136" s="2">
        <v>100</v>
      </c>
      <c r="D2136" s="2" t="s">
        <v>239</v>
      </c>
      <c r="E2136" s="2" t="s">
        <v>770</v>
      </c>
      <c r="F2136" s="101">
        <v>26139</v>
      </c>
    </row>
    <row r="2137" spans="3:6" ht="14.4" customHeight="1" x14ac:dyDescent="0.3">
      <c r="C2137" s="2">
        <v>100</v>
      </c>
      <c r="D2137" s="2" t="s">
        <v>597</v>
      </c>
      <c r="E2137" s="2" t="s">
        <v>773</v>
      </c>
      <c r="F2137" s="101">
        <v>2450</v>
      </c>
    </row>
    <row r="2138" spans="3:6" ht="14.4" customHeight="1" x14ac:dyDescent="0.3">
      <c r="C2138" s="2">
        <v>100</v>
      </c>
      <c r="D2138" s="2" t="s">
        <v>313</v>
      </c>
      <c r="E2138" s="2" t="s">
        <v>773</v>
      </c>
      <c r="F2138" s="101">
        <v>19859</v>
      </c>
    </row>
    <row r="2139" spans="3:6" ht="14.4" customHeight="1" x14ac:dyDescent="0.3">
      <c r="C2139" s="2">
        <v>100</v>
      </c>
      <c r="D2139" s="2" t="s">
        <v>313</v>
      </c>
      <c r="E2139" s="2" t="s">
        <v>775</v>
      </c>
      <c r="F2139" s="101">
        <v>229</v>
      </c>
    </row>
    <row r="2140" spans="3:6" ht="14.4" customHeight="1" x14ac:dyDescent="0.3">
      <c r="C2140" s="2">
        <v>100</v>
      </c>
      <c r="D2140" s="2" t="s">
        <v>660</v>
      </c>
      <c r="E2140" s="2" t="s">
        <v>770</v>
      </c>
      <c r="F2140" s="101">
        <v>3273</v>
      </c>
    </row>
    <row r="2141" spans="3:6" ht="14.4" customHeight="1" x14ac:dyDescent="0.3">
      <c r="C2141" s="2">
        <v>100</v>
      </c>
      <c r="D2141" s="2" t="s">
        <v>344</v>
      </c>
      <c r="E2141" s="2" t="s">
        <v>770</v>
      </c>
      <c r="F2141" s="101">
        <v>3450</v>
      </c>
    </row>
    <row r="2142" spans="3:6" ht="14.4" customHeight="1" x14ac:dyDescent="0.3">
      <c r="C2142" s="2">
        <v>100</v>
      </c>
      <c r="D2142" s="2" t="s">
        <v>718</v>
      </c>
      <c r="E2142" s="2" t="s">
        <v>770</v>
      </c>
      <c r="F2142" s="101">
        <v>1003</v>
      </c>
    </row>
    <row r="2143" spans="3:6" ht="14.4" customHeight="1" x14ac:dyDescent="0.3">
      <c r="C2143" s="2">
        <v>100</v>
      </c>
      <c r="D2143" s="2" t="s">
        <v>718</v>
      </c>
      <c r="E2143" s="2" t="s">
        <v>771</v>
      </c>
      <c r="F2143" s="101">
        <v>104</v>
      </c>
    </row>
    <row r="2144" spans="3:6" ht="14.4" customHeight="1" x14ac:dyDescent="0.3">
      <c r="C2144" s="2">
        <v>100</v>
      </c>
      <c r="D2144" s="2" t="s">
        <v>441</v>
      </c>
      <c r="E2144" s="2" t="s">
        <v>771</v>
      </c>
      <c r="F2144" s="101">
        <v>9074</v>
      </c>
    </row>
    <row r="2145" spans="3:6" ht="14.4" customHeight="1" x14ac:dyDescent="0.3">
      <c r="C2145" s="2">
        <v>100</v>
      </c>
      <c r="D2145" s="2" t="s">
        <v>317</v>
      </c>
      <c r="E2145" s="2" t="s">
        <v>774</v>
      </c>
      <c r="F2145" s="101">
        <v>3445</v>
      </c>
    </row>
    <row r="2146" spans="3:6" ht="14.4" customHeight="1" x14ac:dyDescent="0.3">
      <c r="C2146" s="2">
        <v>100</v>
      </c>
      <c r="D2146" s="2" t="s">
        <v>583</v>
      </c>
      <c r="E2146" s="2" t="s">
        <v>774</v>
      </c>
      <c r="F2146" s="101">
        <v>0</v>
      </c>
    </row>
    <row r="2147" spans="3:6" ht="14.4" customHeight="1" x14ac:dyDescent="0.3">
      <c r="C2147" s="2">
        <v>100</v>
      </c>
      <c r="D2147" s="2" t="s">
        <v>394</v>
      </c>
      <c r="E2147" s="2" t="s">
        <v>769</v>
      </c>
      <c r="F2147" s="101">
        <v>646646</v>
      </c>
    </row>
    <row r="2148" spans="3:6" ht="14.4" customHeight="1" x14ac:dyDescent="0.3">
      <c r="C2148" s="2">
        <v>100</v>
      </c>
      <c r="D2148" s="2" t="s">
        <v>281</v>
      </c>
      <c r="E2148" s="2" t="s">
        <v>775</v>
      </c>
      <c r="F2148" s="101">
        <v>3</v>
      </c>
    </row>
    <row r="2149" spans="3:6" ht="14.4" customHeight="1" x14ac:dyDescent="0.3">
      <c r="C2149" s="2">
        <v>100</v>
      </c>
      <c r="D2149" s="2" t="s">
        <v>743</v>
      </c>
      <c r="E2149" s="2" t="s">
        <v>769</v>
      </c>
      <c r="F2149" s="101">
        <v>9556</v>
      </c>
    </row>
    <row r="2150" spans="3:6" ht="14.4" customHeight="1" x14ac:dyDescent="0.3">
      <c r="C2150" s="2">
        <v>100</v>
      </c>
      <c r="D2150" s="2" t="s">
        <v>568</v>
      </c>
      <c r="E2150" s="2" t="s">
        <v>769</v>
      </c>
      <c r="F2150" s="101">
        <v>81386</v>
      </c>
    </row>
    <row r="2151" spans="3:6" ht="14.4" customHeight="1" x14ac:dyDescent="0.3">
      <c r="C2151" s="2">
        <v>100</v>
      </c>
      <c r="D2151" s="2" t="s">
        <v>324</v>
      </c>
      <c r="E2151" s="2" t="s">
        <v>770</v>
      </c>
      <c r="F2151" s="101">
        <v>5078</v>
      </c>
    </row>
    <row r="2152" spans="3:6" ht="14.4" customHeight="1" x14ac:dyDescent="0.3">
      <c r="C2152" s="2">
        <v>100</v>
      </c>
      <c r="D2152" s="2" t="s">
        <v>249</v>
      </c>
      <c r="E2152" s="2" t="s">
        <v>769</v>
      </c>
      <c r="F2152" s="101">
        <v>466145</v>
      </c>
    </row>
    <row r="2153" spans="3:6" ht="14.4" customHeight="1" x14ac:dyDescent="0.3">
      <c r="C2153" s="2">
        <v>100</v>
      </c>
      <c r="D2153" s="2" t="s">
        <v>677</v>
      </c>
      <c r="E2153" s="2" t="s">
        <v>777</v>
      </c>
      <c r="F2153" s="101">
        <v>57629</v>
      </c>
    </row>
    <row r="2154" spans="3:6" ht="14.4" customHeight="1" x14ac:dyDescent="0.3">
      <c r="C2154" s="2">
        <v>100</v>
      </c>
      <c r="D2154" s="2" t="s">
        <v>744</v>
      </c>
      <c r="E2154" s="2" t="s">
        <v>769</v>
      </c>
      <c r="F2154" s="101">
        <v>6725</v>
      </c>
    </row>
    <row r="2155" spans="3:6" ht="14.4" customHeight="1" x14ac:dyDescent="0.3">
      <c r="C2155" s="2">
        <v>100</v>
      </c>
      <c r="D2155" s="2" t="s">
        <v>663</v>
      </c>
      <c r="E2155" s="2" t="s">
        <v>777</v>
      </c>
      <c r="F2155" s="101">
        <v>2084</v>
      </c>
    </row>
    <row r="2156" spans="3:6" ht="14.4" customHeight="1" x14ac:dyDescent="0.3">
      <c r="C2156" s="2">
        <v>100</v>
      </c>
      <c r="D2156" s="2" t="s">
        <v>682</v>
      </c>
      <c r="E2156" s="2" t="s">
        <v>771</v>
      </c>
      <c r="F2156" s="101">
        <v>0</v>
      </c>
    </row>
    <row r="2157" spans="3:6" ht="14.4" customHeight="1" x14ac:dyDescent="0.3">
      <c r="C2157" s="2">
        <v>100</v>
      </c>
      <c r="D2157" s="2" t="s">
        <v>617</v>
      </c>
      <c r="E2157" s="2" t="s">
        <v>774</v>
      </c>
      <c r="F2157" s="101">
        <v>121</v>
      </c>
    </row>
    <row r="2158" spans="3:6" ht="14.4" customHeight="1" x14ac:dyDescent="0.3">
      <c r="C2158" s="2">
        <v>100</v>
      </c>
      <c r="D2158" s="2" t="s">
        <v>261</v>
      </c>
      <c r="E2158" s="2" t="s">
        <v>783</v>
      </c>
      <c r="F2158" s="101">
        <v>114</v>
      </c>
    </row>
    <row r="2159" spans="3:6" ht="14.4" customHeight="1" x14ac:dyDescent="0.3">
      <c r="C2159" s="2">
        <v>100</v>
      </c>
      <c r="D2159" s="2" t="s">
        <v>670</v>
      </c>
      <c r="E2159" s="2" t="s">
        <v>771</v>
      </c>
      <c r="F2159" s="101">
        <v>3745</v>
      </c>
    </row>
    <row r="2160" spans="3:6" ht="14.4" customHeight="1" x14ac:dyDescent="0.3">
      <c r="C2160" s="2">
        <v>100</v>
      </c>
      <c r="D2160" s="2" t="s">
        <v>449</v>
      </c>
      <c r="E2160" s="2" t="s">
        <v>769</v>
      </c>
      <c r="F2160" s="101">
        <v>186463</v>
      </c>
    </row>
    <row r="2161" spans="3:6" ht="14.4" customHeight="1" x14ac:dyDescent="0.3">
      <c r="C2161" s="2">
        <v>100</v>
      </c>
      <c r="D2161" s="2" t="s">
        <v>656</v>
      </c>
      <c r="E2161" s="2" t="s">
        <v>771</v>
      </c>
      <c r="F2161" s="101">
        <v>287</v>
      </c>
    </row>
    <row r="2162" spans="3:6" ht="14.4" customHeight="1" x14ac:dyDescent="0.3">
      <c r="C2162" s="2">
        <v>100</v>
      </c>
      <c r="D2162" s="2" t="s">
        <v>198</v>
      </c>
      <c r="E2162" s="2" t="s">
        <v>774</v>
      </c>
      <c r="F2162" s="101">
        <v>61</v>
      </c>
    </row>
    <row r="2163" spans="3:6" ht="14.4" customHeight="1" x14ac:dyDescent="0.3">
      <c r="C2163" s="2">
        <v>100</v>
      </c>
      <c r="D2163" s="2" t="s">
        <v>642</v>
      </c>
      <c r="E2163" s="2" t="s">
        <v>775</v>
      </c>
      <c r="F2163" s="101">
        <v>27</v>
      </c>
    </row>
    <row r="2164" spans="3:6" ht="14.4" customHeight="1" x14ac:dyDescent="0.3">
      <c r="C2164" s="2">
        <v>100</v>
      </c>
      <c r="D2164" s="2" t="s">
        <v>231</v>
      </c>
      <c r="E2164" s="2" t="s">
        <v>770</v>
      </c>
      <c r="F2164" s="101">
        <v>13982</v>
      </c>
    </row>
    <row r="2165" spans="3:6" ht="14.4" customHeight="1" x14ac:dyDescent="0.3">
      <c r="C2165" s="2">
        <v>100</v>
      </c>
      <c r="D2165" s="2" t="s">
        <v>351</v>
      </c>
      <c r="E2165" s="2" t="s">
        <v>771</v>
      </c>
      <c r="F2165" s="101">
        <v>505</v>
      </c>
    </row>
    <row r="2166" spans="3:6" ht="14.4" customHeight="1" x14ac:dyDescent="0.3">
      <c r="C2166" s="2">
        <v>100</v>
      </c>
      <c r="D2166" s="2" t="s">
        <v>654</v>
      </c>
      <c r="E2166" s="2" t="s">
        <v>769</v>
      </c>
      <c r="F2166" s="101">
        <v>3664</v>
      </c>
    </row>
    <row r="2167" spans="3:6" ht="14.4" customHeight="1" x14ac:dyDescent="0.3">
      <c r="C2167" s="2">
        <v>100</v>
      </c>
      <c r="D2167" s="2" t="s">
        <v>659</v>
      </c>
      <c r="E2167" s="2" t="s">
        <v>775</v>
      </c>
      <c r="F2167" s="101">
        <v>43</v>
      </c>
    </row>
    <row r="2168" spans="3:6" ht="14.4" customHeight="1" x14ac:dyDescent="0.3">
      <c r="C2168" s="2">
        <v>100</v>
      </c>
      <c r="D2168" s="2" t="s">
        <v>698</v>
      </c>
      <c r="E2168" s="2" t="s">
        <v>771</v>
      </c>
      <c r="F2168" s="101">
        <v>8940</v>
      </c>
    </row>
    <row r="2169" spans="3:6" ht="14.4" customHeight="1" x14ac:dyDescent="0.3">
      <c r="C2169" s="2">
        <v>100</v>
      </c>
      <c r="D2169" s="2" t="s">
        <v>499</v>
      </c>
      <c r="E2169" s="2" t="s">
        <v>769</v>
      </c>
      <c r="F2169" s="101">
        <v>41487</v>
      </c>
    </row>
    <row r="2170" spans="3:6" ht="14.4" customHeight="1" x14ac:dyDescent="0.3">
      <c r="C2170" s="2">
        <v>100</v>
      </c>
      <c r="D2170" s="2" t="s">
        <v>457</v>
      </c>
      <c r="E2170" s="2" t="s">
        <v>774</v>
      </c>
      <c r="F2170" s="101">
        <v>0</v>
      </c>
    </row>
    <row r="2171" spans="3:6" ht="14.4" customHeight="1" x14ac:dyDescent="0.3">
      <c r="C2171" s="2">
        <v>100</v>
      </c>
      <c r="D2171" s="2" t="s">
        <v>496</v>
      </c>
      <c r="E2171" s="2" t="s">
        <v>777</v>
      </c>
      <c r="F2171" s="101">
        <v>731</v>
      </c>
    </row>
    <row r="2172" spans="3:6" ht="14.4" customHeight="1" x14ac:dyDescent="0.3">
      <c r="C2172" s="2">
        <v>100</v>
      </c>
      <c r="D2172" s="2" t="s">
        <v>511</v>
      </c>
      <c r="E2172" s="2" t="s">
        <v>773</v>
      </c>
      <c r="F2172" s="101">
        <v>320</v>
      </c>
    </row>
    <row r="2173" spans="3:6" ht="14.4" customHeight="1" x14ac:dyDescent="0.3">
      <c r="C2173" s="2">
        <v>100</v>
      </c>
      <c r="D2173" s="2" t="s">
        <v>333</v>
      </c>
      <c r="E2173" s="2" t="s">
        <v>788</v>
      </c>
      <c r="F2173" s="101">
        <v>58</v>
      </c>
    </row>
    <row r="2174" spans="3:6" ht="14.4" customHeight="1" x14ac:dyDescent="0.3">
      <c r="C2174" s="2">
        <v>100</v>
      </c>
      <c r="D2174" s="2" t="s">
        <v>685</v>
      </c>
      <c r="E2174" s="2" t="s">
        <v>775</v>
      </c>
      <c r="F2174" s="101">
        <v>41</v>
      </c>
    </row>
    <row r="2175" spans="3:6" ht="14.4" customHeight="1" x14ac:dyDescent="0.3">
      <c r="C2175" s="2">
        <v>100</v>
      </c>
      <c r="D2175" s="2" t="s">
        <v>221</v>
      </c>
      <c r="E2175" s="2" t="s">
        <v>770</v>
      </c>
      <c r="F2175" s="101">
        <v>7720</v>
      </c>
    </row>
    <row r="2176" spans="3:6" ht="14.4" customHeight="1" x14ac:dyDescent="0.3">
      <c r="C2176" s="2">
        <v>100</v>
      </c>
      <c r="D2176" s="2" t="s">
        <v>221</v>
      </c>
      <c r="E2176" s="2" t="s">
        <v>773</v>
      </c>
      <c r="F2176" s="101">
        <v>2870</v>
      </c>
    </row>
    <row r="2177" spans="3:6" ht="14.4" customHeight="1" x14ac:dyDescent="0.3">
      <c r="C2177" s="2">
        <v>100</v>
      </c>
      <c r="D2177" s="2" t="s">
        <v>685</v>
      </c>
      <c r="E2177" s="2" t="s">
        <v>771</v>
      </c>
      <c r="F2177" s="101">
        <v>6736</v>
      </c>
    </row>
    <row r="2178" spans="3:6" ht="14.4" customHeight="1" x14ac:dyDescent="0.3">
      <c r="C2178" s="2">
        <v>100</v>
      </c>
      <c r="D2178" s="2" t="s">
        <v>580</v>
      </c>
      <c r="E2178" s="2" t="s">
        <v>771</v>
      </c>
      <c r="F2178" s="101">
        <v>2836</v>
      </c>
    </row>
    <row r="2179" spans="3:6" ht="14.4" customHeight="1" x14ac:dyDescent="0.3">
      <c r="C2179" s="2">
        <v>100</v>
      </c>
      <c r="D2179" s="2" t="s">
        <v>496</v>
      </c>
      <c r="E2179" s="2" t="s">
        <v>769</v>
      </c>
      <c r="F2179" s="101">
        <v>28197</v>
      </c>
    </row>
    <row r="2180" spans="3:6" ht="14.4" customHeight="1" x14ac:dyDescent="0.3">
      <c r="C2180" s="2">
        <v>100</v>
      </c>
      <c r="D2180" s="2" t="s">
        <v>300</v>
      </c>
      <c r="E2180" s="2" t="s">
        <v>773</v>
      </c>
      <c r="F2180" s="101">
        <v>2532</v>
      </c>
    </row>
    <row r="2181" spans="3:6" ht="14.4" customHeight="1" x14ac:dyDescent="0.3">
      <c r="C2181" s="2">
        <v>100</v>
      </c>
      <c r="D2181" s="2" t="s">
        <v>365</v>
      </c>
      <c r="E2181" s="2" t="s">
        <v>777</v>
      </c>
      <c r="F2181" s="101">
        <v>70252</v>
      </c>
    </row>
    <row r="2182" spans="3:6" ht="14.4" customHeight="1" x14ac:dyDescent="0.3">
      <c r="C2182" s="2">
        <v>100</v>
      </c>
      <c r="D2182" s="2" t="s">
        <v>587</v>
      </c>
      <c r="E2182" s="2" t="s">
        <v>773</v>
      </c>
      <c r="F2182" s="101">
        <v>338</v>
      </c>
    </row>
    <row r="2183" spans="3:6" ht="14.4" customHeight="1" x14ac:dyDescent="0.3">
      <c r="C2183" s="2">
        <v>100</v>
      </c>
      <c r="D2183" s="2" t="s">
        <v>351</v>
      </c>
      <c r="E2183" s="2" t="s">
        <v>773</v>
      </c>
      <c r="F2183" s="101">
        <v>0</v>
      </c>
    </row>
    <row r="2184" spans="3:6" ht="14.4" customHeight="1" x14ac:dyDescent="0.3">
      <c r="C2184" s="2">
        <v>100</v>
      </c>
      <c r="D2184" s="2" t="s">
        <v>735</v>
      </c>
      <c r="E2184" s="2" t="s">
        <v>769</v>
      </c>
      <c r="F2184" s="101">
        <v>21710</v>
      </c>
    </row>
    <row r="2185" spans="3:6" ht="14.4" customHeight="1" x14ac:dyDescent="0.3">
      <c r="C2185" s="2">
        <v>100</v>
      </c>
      <c r="D2185" s="2" t="s">
        <v>229</v>
      </c>
      <c r="E2185" s="2" t="s">
        <v>769</v>
      </c>
      <c r="F2185" s="101">
        <v>206467</v>
      </c>
    </row>
    <row r="2186" spans="3:6" ht="14.4" customHeight="1" x14ac:dyDescent="0.3">
      <c r="C2186" s="2">
        <v>100</v>
      </c>
      <c r="D2186" s="2" t="s">
        <v>460</v>
      </c>
      <c r="E2186" s="2" t="s">
        <v>769</v>
      </c>
      <c r="F2186" s="101">
        <v>233304</v>
      </c>
    </row>
    <row r="2187" spans="3:6" ht="14.4" customHeight="1" x14ac:dyDescent="0.3">
      <c r="C2187" s="2">
        <v>100</v>
      </c>
      <c r="D2187" s="2" t="s">
        <v>309</v>
      </c>
      <c r="E2187" s="2" t="s">
        <v>773</v>
      </c>
      <c r="F2187" s="101">
        <v>180</v>
      </c>
    </row>
    <row r="2188" spans="3:6" ht="14.4" customHeight="1" x14ac:dyDescent="0.3">
      <c r="C2188" s="2">
        <v>100</v>
      </c>
      <c r="D2188" s="2" t="s">
        <v>332</v>
      </c>
      <c r="E2188" s="2" t="s">
        <v>773</v>
      </c>
      <c r="F2188" s="101">
        <v>973</v>
      </c>
    </row>
    <row r="2189" spans="3:6" ht="14.4" customHeight="1" x14ac:dyDescent="0.3">
      <c r="C2189" s="2">
        <v>100</v>
      </c>
      <c r="D2189" s="2" t="s">
        <v>263</v>
      </c>
      <c r="E2189" s="2" t="s">
        <v>777</v>
      </c>
      <c r="F2189" s="101">
        <v>74406</v>
      </c>
    </row>
    <row r="2190" spans="3:6" ht="14.4" customHeight="1" x14ac:dyDescent="0.3">
      <c r="C2190" s="2">
        <v>100</v>
      </c>
      <c r="D2190" s="2" t="s">
        <v>417</v>
      </c>
      <c r="E2190" s="2" t="s">
        <v>777</v>
      </c>
      <c r="F2190" s="101">
        <v>1276</v>
      </c>
    </row>
    <row r="2191" spans="3:6" ht="14.4" customHeight="1" x14ac:dyDescent="0.3">
      <c r="C2191" s="2">
        <v>100</v>
      </c>
      <c r="D2191" s="2" t="s">
        <v>467</v>
      </c>
      <c r="E2191" s="2" t="s">
        <v>771</v>
      </c>
      <c r="F2191" s="101">
        <v>130</v>
      </c>
    </row>
    <row r="2192" spans="3:6" ht="14.4" customHeight="1" x14ac:dyDescent="0.3">
      <c r="C2192" s="2">
        <v>100</v>
      </c>
      <c r="D2192" s="2" t="s">
        <v>267</v>
      </c>
      <c r="E2192" s="2" t="s">
        <v>769</v>
      </c>
      <c r="F2192" s="101">
        <v>218929</v>
      </c>
    </row>
    <row r="2193" spans="3:6" ht="14.4" customHeight="1" x14ac:dyDescent="0.3">
      <c r="C2193" s="2">
        <v>100</v>
      </c>
      <c r="D2193" s="2" t="s">
        <v>345</v>
      </c>
      <c r="E2193" s="2" t="s">
        <v>769</v>
      </c>
      <c r="F2193" s="101">
        <v>79776</v>
      </c>
    </row>
    <row r="2194" spans="3:6" ht="14.4" customHeight="1" x14ac:dyDescent="0.3">
      <c r="C2194" s="2">
        <v>100</v>
      </c>
      <c r="D2194" s="2" t="s">
        <v>448</v>
      </c>
      <c r="E2194" s="2" t="s">
        <v>772</v>
      </c>
      <c r="F2194" s="101">
        <v>213</v>
      </c>
    </row>
    <row r="2195" spans="3:6" ht="14.4" customHeight="1" x14ac:dyDescent="0.3">
      <c r="C2195" s="2">
        <v>100</v>
      </c>
      <c r="D2195" s="2" t="s">
        <v>328</v>
      </c>
      <c r="E2195" s="2" t="s">
        <v>770</v>
      </c>
      <c r="F2195" s="101">
        <v>28685</v>
      </c>
    </row>
    <row r="2196" spans="3:6" ht="14.4" customHeight="1" x14ac:dyDescent="0.3">
      <c r="C2196" s="2">
        <v>100</v>
      </c>
      <c r="D2196" s="2" t="s">
        <v>596</v>
      </c>
      <c r="E2196" s="2" t="s">
        <v>773</v>
      </c>
      <c r="F2196" s="101">
        <v>433</v>
      </c>
    </row>
    <row r="2197" spans="3:6" ht="14.4" customHeight="1" x14ac:dyDescent="0.3">
      <c r="C2197" s="2">
        <v>100</v>
      </c>
      <c r="D2197" s="2" t="s">
        <v>420</v>
      </c>
      <c r="E2197" s="2" t="s">
        <v>772</v>
      </c>
      <c r="F2197" s="101">
        <v>93</v>
      </c>
    </row>
    <row r="2198" spans="3:6" ht="14.4" customHeight="1" x14ac:dyDescent="0.3">
      <c r="C2198" s="2">
        <v>100</v>
      </c>
      <c r="D2198" s="2" t="s">
        <v>250</v>
      </c>
      <c r="E2198" s="2" t="s">
        <v>770</v>
      </c>
      <c r="F2198" s="101">
        <v>3498</v>
      </c>
    </row>
    <row r="2199" spans="3:6" ht="14.4" customHeight="1" x14ac:dyDescent="0.3">
      <c r="C2199" s="2">
        <v>100</v>
      </c>
      <c r="D2199" s="2" t="s">
        <v>256</v>
      </c>
      <c r="E2199" s="2" t="s">
        <v>774</v>
      </c>
      <c r="F2199" s="101">
        <v>331</v>
      </c>
    </row>
    <row r="2200" spans="3:6" ht="14.4" customHeight="1" x14ac:dyDescent="0.3">
      <c r="C2200" s="2">
        <v>100</v>
      </c>
      <c r="D2200" s="2" t="s">
        <v>518</v>
      </c>
      <c r="E2200" s="2" t="s">
        <v>770</v>
      </c>
      <c r="F2200" s="101">
        <v>127</v>
      </c>
    </row>
    <row r="2201" spans="3:6" ht="14.4" customHeight="1" x14ac:dyDescent="0.3">
      <c r="C2201" s="2">
        <v>100</v>
      </c>
      <c r="D2201" s="2" t="s">
        <v>451</v>
      </c>
      <c r="E2201" s="2" t="s">
        <v>774</v>
      </c>
      <c r="F2201" s="101">
        <v>-1006</v>
      </c>
    </row>
    <row r="2202" spans="3:6" ht="14.4" customHeight="1" x14ac:dyDescent="0.3">
      <c r="C2202" s="2">
        <v>100</v>
      </c>
      <c r="D2202" s="2" t="s">
        <v>368</v>
      </c>
      <c r="E2202" s="2" t="s">
        <v>769</v>
      </c>
      <c r="F2202" s="101">
        <v>71492</v>
      </c>
    </row>
    <row r="2203" spans="3:6" ht="14.4" customHeight="1" x14ac:dyDescent="0.3">
      <c r="C2203" s="2">
        <v>100</v>
      </c>
      <c r="D2203" s="2" t="s">
        <v>356</v>
      </c>
      <c r="E2203" s="2" t="s">
        <v>774</v>
      </c>
      <c r="F2203" s="101">
        <v>4614</v>
      </c>
    </row>
    <row r="2204" spans="3:6" ht="14.4" customHeight="1" x14ac:dyDescent="0.3">
      <c r="C2204" s="2">
        <v>100</v>
      </c>
      <c r="D2204" s="2" t="s">
        <v>505</v>
      </c>
      <c r="E2204" s="2" t="s">
        <v>774</v>
      </c>
      <c r="F2204" s="101">
        <v>0</v>
      </c>
    </row>
    <row r="2205" spans="3:6" ht="14.4" customHeight="1" x14ac:dyDescent="0.3">
      <c r="C2205" s="2">
        <v>100</v>
      </c>
      <c r="D2205" s="2" t="s">
        <v>687</v>
      </c>
      <c r="E2205" s="2" t="s">
        <v>774</v>
      </c>
      <c r="F2205" s="101">
        <v>8665</v>
      </c>
    </row>
    <row r="2206" spans="3:6" ht="14.4" customHeight="1" x14ac:dyDescent="0.3">
      <c r="C2206" s="2">
        <v>100</v>
      </c>
      <c r="D2206" s="2" t="s">
        <v>626</v>
      </c>
      <c r="E2206" s="2" t="s">
        <v>770</v>
      </c>
      <c r="F2206" s="101">
        <v>8702</v>
      </c>
    </row>
    <row r="2207" spans="3:6" ht="14.4" customHeight="1" x14ac:dyDescent="0.3">
      <c r="C2207" s="2">
        <v>100</v>
      </c>
      <c r="D2207" s="2" t="s">
        <v>370</v>
      </c>
      <c r="E2207" s="2" t="s">
        <v>769</v>
      </c>
      <c r="F2207" s="101">
        <v>30001</v>
      </c>
    </row>
    <row r="2208" spans="3:6" ht="14.4" customHeight="1" x14ac:dyDescent="0.3">
      <c r="C2208" s="2">
        <v>100</v>
      </c>
      <c r="D2208" s="2" t="s">
        <v>438</v>
      </c>
      <c r="E2208" s="2" t="s">
        <v>772</v>
      </c>
      <c r="F2208" s="101">
        <v>136</v>
      </c>
    </row>
    <row r="2209" spans="3:6" ht="14.4" customHeight="1" x14ac:dyDescent="0.3">
      <c r="C2209" s="2">
        <v>100</v>
      </c>
      <c r="D2209" s="2" t="s">
        <v>374</v>
      </c>
      <c r="E2209" s="2" t="s">
        <v>770</v>
      </c>
      <c r="F2209" s="101">
        <v>404</v>
      </c>
    </row>
    <row r="2210" spans="3:6" ht="14.4" customHeight="1" x14ac:dyDescent="0.3">
      <c r="C2210" s="2">
        <v>100</v>
      </c>
      <c r="D2210" s="2" t="s">
        <v>693</v>
      </c>
      <c r="E2210" s="2" t="s">
        <v>769</v>
      </c>
      <c r="F2210" s="101">
        <v>1603</v>
      </c>
    </row>
    <row r="2211" spans="3:6" ht="14.4" customHeight="1" x14ac:dyDescent="0.3">
      <c r="C2211" s="2">
        <v>100</v>
      </c>
      <c r="D2211" s="2" t="s">
        <v>596</v>
      </c>
      <c r="E2211" s="2" t="s">
        <v>771</v>
      </c>
      <c r="F2211" s="101">
        <v>4055</v>
      </c>
    </row>
    <row r="2212" spans="3:6" ht="14.4" customHeight="1" x14ac:dyDescent="0.3">
      <c r="C2212" s="2">
        <v>100</v>
      </c>
      <c r="D2212" s="2" t="s">
        <v>596</v>
      </c>
      <c r="E2212" s="2" t="s">
        <v>770</v>
      </c>
      <c r="F2212" s="101">
        <v>870</v>
      </c>
    </row>
    <row r="2213" spans="3:6" ht="14.4" customHeight="1" x14ac:dyDescent="0.3">
      <c r="C2213" s="2">
        <v>100</v>
      </c>
      <c r="D2213" s="2" t="s">
        <v>275</v>
      </c>
      <c r="E2213" s="2" t="s">
        <v>773</v>
      </c>
      <c r="F2213" s="101">
        <v>1361</v>
      </c>
    </row>
    <row r="2214" spans="3:6" ht="14.4" customHeight="1" x14ac:dyDescent="0.3">
      <c r="C2214" s="2">
        <v>100</v>
      </c>
      <c r="D2214" s="2" t="s">
        <v>226</v>
      </c>
      <c r="E2214" s="2" t="s">
        <v>770</v>
      </c>
      <c r="F2214" s="101">
        <v>19784</v>
      </c>
    </row>
    <row r="2215" spans="3:6" ht="14.4" customHeight="1" x14ac:dyDescent="0.3">
      <c r="C2215" s="2">
        <v>100</v>
      </c>
      <c r="D2215" s="2" t="s">
        <v>47</v>
      </c>
      <c r="E2215" s="2" t="s">
        <v>775</v>
      </c>
      <c r="F2215" s="101">
        <v>372718</v>
      </c>
    </row>
    <row r="2216" spans="3:6" ht="14.4" customHeight="1" x14ac:dyDescent="0.3">
      <c r="C2216" s="2">
        <v>100</v>
      </c>
      <c r="D2216" s="2" t="s">
        <v>584</v>
      </c>
      <c r="E2216" s="2" t="s">
        <v>769</v>
      </c>
      <c r="F2216" s="101">
        <v>161466</v>
      </c>
    </row>
    <row r="2217" spans="3:6" ht="14.4" customHeight="1" x14ac:dyDescent="0.3">
      <c r="C2217" s="2">
        <v>100</v>
      </c>
      <c r="D2217" s="2" t="s">
        <v>469</v>
      </c>
      <c r="E2217" s="2" t="s">
        <v>770</v>
      </c>
      <c r="F2217" s="101">
        <v>409</v>
      </c>
    </row>
    <row r="2218" spans="3:6" ht="14.4" customHeight="1" x14ac:dyDescent="0.3">
      <c r="C2218" s="2">
        <v>100</v>
      </c>
      <c r="D2218" s="2" t="s">
        <v>399</v>
      </c>
      <c r="E2218" s="2" t="s">
        <v>769</v>
      </c>
      <c r="F2218" s="101">
        <v>132587</v>
      </c>
    </row>
    <row r="2219" spans="3:6" ht="14.4" customHeight="1" x14ac:dyDescent="0.3">
      <c r="C2219" s="2">
        <v>100</v>
      </c>
      <c r="D2219" s="2" t="s">
        <v>661</v>
      </c>
      <c r="E2219" s="2" t="s">
        <v>770</v>
      </c>
      <c r="F2219" s="101">
        <v>1939</v>
      </c>
    </row>
    <row r="2220" spans="3:6" ht="14.4" customHeight="1" x14ac:dyDescent="0.3">
      <c r="C2220" s="2">
        <v>100</v>
      </c>
      <c r="D2220" s="2" t="s">
        <v>453</v>
      </c>
      <c r="E2220" s="2" t="s">
        <v>769</v>
      </c>
      <c r="F2220" s="101">
        <v>11089</v>
      </c>
    </row>
    <row r="2221" spans="3:6" ht="14.4" customHeight="1" x14ac:dyDescent="0.3">
      <c r="C2221" s="2">
        <v>100</v>
      </c>
      <c r="D2221" s="2" t="s">
        <v>315</v>
      </c>
      <c r="E2221" s="2" t="s">
        <v>771</v>
      </c>
      <c r="F2221" s="101">
        <v>36103</v>
      </c>
    </row>
    <row r="2222" spans="3:6" ht="14.4" customHeight="1" x14ac:dyDescent="0.3">
      <c r="C2222" s="2">
        <v>100</v>
      </c>
      <c r="D2222" s="2" t="s">
        <v>334</v>
      </c>
      <c r="E2222" s="2" t="s">
        <v>772</v>
      </c>
      <c r="F2222" s="101">
        <v>645</v>
      </c>
    </row>
    <row r="2223" spans="3:6" ht="14.4" customHeight="1" x14ac:dyDescent="0.3">
      <c r="C2223" s="2">
        <v>100</v>
      </c>
      <c r="D2223" s="2" t="s">
        <v>459</v>
      </c>
      <c r="E2223" s="2" t="s">
        <v>773</v>
      </c>
      <c r="F2223" s="101">
        <v>3258</v>
      </c>
    </row>
    <row r="2224" spans="3:6" ht="14.4" customHeight="1" x14ac:dyDescent="0.3">
      <c r="C2224" s="2">
        <v>100</v>
      </c>
      <c r="D2224" s="2" t="s">
        <v>360</v>
      </c>
      <c r="E2224" s="2" t="s">
        <v>769</v>
      </c>
      <c r="F2224" s="101">
        <v>14507</v>
      </c>
    </row>
    <row r="2225" spans="3:6" ht="14.4" customHeight="1" x14ac:dyDescent="0.3">
      <c r="C2225" s="2">
        <v>100</v>
      </c>
      <c r="D2225" s="2" t="s">
        <v>249</v>
      </c>
      <c r="E2225" s="2" t="s">
        <v>774</v>
      </c>
      <c r="F2225" s="101">
        <v>-297</v>
      </c>
    </row>
    <row r="2226" spans="3:6" ht="14.4" customHeight="1" x14ac:dyDescent="0.3">
      <c r="C2226" s="2">
        <v>100</v>
      </c>
      <c r="D2226" s="2" t="s">
        <v>448</v>
      </c>
      <c r="E2226" s="2" t="s">
        <v>769</v>
      </c>
      <c r="F2226" s="101">
        <v>388558</v>
      </c>
    </row>
    <row r="2227" spans="3:6" ht="14.4" customHeight="1" x14ac:dyDescent="0.3">
      <c r="C2227" s="2">
        <v>100</v>
      </c>
      <c r="D2227" s="2" t="s">
        <v>349</v>
      </c>
      <c r="E2227" s="2" t="s">
        <v>774</v>
      </c>
      <c r="F2227" s="101">
        <v>3901</v>
      </c>
    </row>
    <row r="2228" spans="3:6" ht="14.4" customHeight="1" x14ac:dyDescent="0.3">
      <c r="C2228" s="2">
        <v>100</v>
      </c>
      <c r="D2228" s="2" t="s">
        <v>533</v>
      </c>
      <c r="E2228" s="2" t="s">
        <v>774</v>
      </c>
      <c r="F2228" s="101">
        <v>0</v>
      </c>
    </row>
    <row r="2229" spans="3:6" ht="14.4" customHeight="1" x14ac:dyDescent="0.3">
      <c r="C2229" s="2">
        <v>100</v>
      </c>
      <c r="D2229" s="2" t="s">
        <v>314</v>
      </c>
      <c r="E2229" s="2" t="s">
        <v>774</v>
      </c>
      <c r="F2229" s="101">
        <v>7086</v>
      </c>
    </row>
    <row r="2230" spans="3:6" ht="14.4" customHeight="1" x14ac:dyDescent="0.3">
      <c r="C2230" s="2">
        <v>100</v>
      </c>
      <c r="D2230" s="2" t="s">
        <v>707</v>
      </c>
      <c r="E2230" s="2" t="s">
        <v>769</v>
      </c>
      <c r="F2230" s="101">
        <v>1977</v>
      </c>
    </row>
    <row r="2231" spans="3:6" ht="14.4" customHeight="1" x14ac:dyDescent="0.3">
      <c r="C2231" s="2">
        <v>100</v>
      </c>
      <c r="D2231" s="2" t="s">
        <v>459</v>
      </c>
      <c r="E2231" s="2" t="s">
        <v>771</v>
      </c>
      <c r="F2231" s="101">
        <v>9224</v>
      </c>
    </row>
    <row r="2232" spans="3:6" ht="14.4" customHeight="1" x14ac:dyDescent="0.3">
      <c r="C2232" s="2">
        <v>100</v>
      </c>
      <c r="D2232" s="2" t="s">
        <v>270</v>
      </c>
      <c r="E2232" s="2" t="s">
        <v>770</v>
      </c>
      <c r="F2232" s="101">
        <v>281</v>
      </c>
    </row>
    <row r="2233" spans="3:6" ht="14.4" customHeight="1" x14ac:dyDescent="0.3">
      <c r="C2233" s="2">
        <v>100</v>
      </c>
      <c r="D2233" s="2" t="s">
        <v>483</v>
      </c>
      <c r="E2233" s="2" t="s">
        <v>773</v>
      </c>
      <c r="F2233" s="101">
        <v>8462</v>
      </c>
    </row>
    <row r="2234" spans="3:6" ht="14.4" customHeight="1" x14ac:dyDescent="0.3">
      <c r="C2234" s="2">
        <v>100</v>
      </c>
      <c r="D2234" s="2" t="s">
        <v>456</v>
      </c>
      <c r="E2234" s="2" t="s">
        <v>775</v>
      </c>
      <c r="F2234" s="101">
        <v>248766</v>
      </c>
    </row>
    <row r="2235" spans="3:6" ht="14.4" customHeight="1" x14ac:dyDescent="0.3">
      <c r="C2235" s="2">
        <v>100</v>
      </c>
      <c r="D2235" s="2" t="s">
        <v>485</v>
      </c>
      <c r="E2235" s="2" t="s">
        <v>770</v>
      </c>
      <c r="F2235" s="101">
        <v>1439</v>
      </c>
    </row>
    <row r="2236" spans="3:6" ht="14.4" customHeight="1" x14ac:dyDescent="0.3">
      <c r="C2236" s="2">
        <v>100</v>
      </c>
      <c r="D2236" s="2" t="s">
        <v>205</v>
      </c>
      <c r="E2236" s="2" t="s">
        <v>771</v>
      </c>
      <c r="F2236" s="101">
        <v>33562</v>
      </c>
    </row>
    <row r="2237" spans="3:6" ht="14.4" customHeight="1" x14ac:dyDescent="0.3">
      <c r="C2237" s="2">
        <v>100</v>
      </c>
      <c r="D2237" s="2" t="s">
        <v>315</v>
      </c>
      <c r="E2237" s="2" t="s">
        <v>775</v>
      </c>
      <c r="F2237" s="101">
        <v>2</v>
      </c>
    </row>
    <row r="2238" spans="3:6" ht="14.4" customHeight="1" x14ac:dyDescent="0.3">
      <c r="C2238" s="2">
        <v>100</v>
      </c>
      <c r="D2238" s="2" t="s">
        <v>426</v>
      </c>
      <c r="E2238" s="2" t="s">
        <v>770</v>
      </c>
      <c r="F2238" s="101">
        <v>397</v>
      </c>
    </row>
    <row r="2239" spans="3:6" ht="14.4" customHeight="1" x14ac:dyDescent="0.3">
      <c r="C2239" s="2">
        <v>100</v>
      </c>
      <c r="D2239" s="2" t="s">
        <v>569</v>
      </c>
      <c r="E2239" s="2" t="s">
        <v>769</v>
      </c>
      <c r="F2239" s="101">
        <v>74179</v>
      </c>
    </row>
    <row r="2240" spans="3:6" ht="14.4" customHeight="1" x14ac:dyDescent="0.3">
      <c r="C2240" s="2">
        <v>100</v>
      </c>
      <c r="D2240" s="2" t="s">
        <v>294</v>
      </c>
      <c r="E2240" s="2" t="s">
        <v>771</v>
      </c>
      <c r="F2240" s="101">
        <v>3050</v>
      </c>
    </row>
    <row r="2241" spans="3:6" ht="14.4" customHeight="1" x14ac:dyDescent="0.3">
      <c r="C2241" s="2">
        <v>100</v>
      </c>
      <c r="D2241" s="2" t="s">
        <v>776</v>
      </c>
      <c r="E2241" s="2" t="s">
        <v>771</v>
      </c>
      <c r="F2241" s="101">
        <v>290</v>
      </c>
    </row>
    <row r="2242" spans="3:6" ht="14.4" customHeight="1" x14ac:dyDescent="0.3">
      <c r="C2242" s="2">
        <v>100</v>
      </c>
      <c r="D2242" s="2" t="s">
        <v>574</v>
      </c>
      <c r="E2242" s="2" t="s">
        <v>769</v>
      </c>
      <c r="F2242" s="101">
        <v>11960</v>
      </c>
    </row>
    <row r="2243" spans="3:6" ht="14.4" customHeight="1" x14ac:dyDescent="0.3">
      <c r="C2243" s="2">
        <v>100</v>
      </c>
      <c r="D2243" s="2" t="s">
        <v>430</v>
      </c>
      <c r="E2243" s="2" t="s">
        <v>774</v>
      </c>
      <c r="F2243" s="101">
        <v>4457</v>
      </c>
    </row>
    <row r="2244" spans="3:6" ht="14.4" customHeight="1" x14ac:dyDescent="0.3">
      <c r="C2244" s="2">
        <v>100</v>
      </c>
      <c r="D2244" s="2" t="s">
        <v>259</v>
      </c>
      <c r="E2244" s="2" t="s">
        <v>769</v>
      </c>
      <c r="F2244" s="101">
        <v>428532</v>
      </c>
    </row>
    <row r="2245" spans="3:6" ht="14.4" customHeight="1" x14ac:dyDescent="0.3">
      <c r="C2245" s="2">
        <v>100</v>
      </c>
      <c r="D2245" s="2" t="s">
        <v>519</v>
      </c>
      <c r="E2245" s="2" t="s">
        <v>775</v>
      </c>
      <c r="F2245" s="101">
        <v>16244</v>
      </c>
    </row>
    <row r="2246" spans="3:6" ht="14.4" customHeight="1" x14ac:dyDescent="0.3">
      <c r="C2246" s="2">
        <v>100</v>
      </c>
      <c r="D2246" s="2" t="s">
        <v>365</v>
      </c>
      <c r="E2246" s="2" t="s">
        <v>772</v>
      </c>
      <c r="F2246" s="101">
        <v>5706</v>
      </c>
    </row>
    <row r="2247" spans="3:6" ht="14.4" customHeight="1" x14ac:dyDescent="0.3">
      <c r="C2247" s="2">
        <v>100</v>
      </c>
      <c r="D2247" s="2" t="s">
        <v>694</v>
      </c>
      <c r="E2247" s="2" t="s">
        <v>773</v>
      </c>
      <c r="F2247" s="101">
        <v>331</v>
      </c>
    </row>
    <row r="2248" spans="3:6" ht="14.4" customHeight="1" x14ac:dyDescent="0.3">
      <c r="C2248" s="2">
        <v>100</v>
      </c>
      <c r="D2248" s="2" t="s">
        <v>227</v>
      </c>
      <c r="E2248" s="2" t="s">
        <v>772</v>
      </c>
      <c r="F2248" s="101">
        <v>174</v>
      </c>
    </row>
    <row r="2249" spans="3:6" ht="14.4" customHeight="1" x14ac:dyDescent="0.3">
      <c r="C2249" s="2">
        <v>100</v>
      </c>
      <c r="D2249" s="2" t="s">
        <v>472</v>
      </c>
      <c r="E2249" s="2" t="s">
        <v>769</v>
      </c>
      <c r="F2249" s="101">
        <v>50196</v>
      </c>
    </row>
    <row r="2250" spans="3:6" ht="14.4" customHeight="1" x14ac:dyDescent="0.3">
      <c r="C2250" s="2">
        <v>100</v>
      </c>
      <c r="D2250" s="2" t="s">
        <v>544</v>
      </c>
      <c r="E2250" s="2" t="s">
        <v>773</v>
      </c>
      <c r="F2250" s="101">
        <v>10184</v>
      </c>
    </row>
    <row r="2251" spans="3:6" ht="14.4" customHeight="1" x14ac:dyDescent="0.3">
      <c r="C2251" s="2">
        <v>100</v>
      </c>
      <c r="D2251" s="2" t="s">
        <v>391</v>
      </c>
      <c r="E2251" s="2" t="s">
        <v>771</v>
      </c>
      <c r="F2251" s="101">
        <v>5987</v>
      </c>
    </row>
    <row r="2252" spans="3:6" ht="14.4" customHeight="1" x14ac:dyDescent="0.3">
      <c r="C2252" s="2">
        <v>100</v>
      </c>
      <c r="D2252" s="2" t="s">
        <v>296</v>
      </c>
      <c r="E2252" s="2" t="s">
        <v>775</v>
      </c>
      <c r="F2252" s="101">
        <v>111757</v>
      </c>
    </row>
    <row r="2253" spans="3:6" ht="14.4" customHeight="1" x14ac:dyDescent="0.3">
      <c r="C2253" s="2">
        <v>100</v>
      </c>
      <c r="D2253" s="2" t="s">
        <v>715</v>
      </c>
      <c r="E2253" s="2" t="s">
        <v>775</v>
      </c>
      <c r="F2253" s="101">
        <v>27</v>
      </c>
    </row>
    <row r="2254" spans="3:6" ht="14.4" customHeight="1" x14ac:dyDescent="0.3">
      <c r="C2254" s="2">
        <v>100</v>
      </c>
      <c r="D2254" s="2" t="s">
        <v>468</v>
      </c>
      <c r="E2254" s="2" t="s">
        <v>769</v>
      </c>
      <c r="F2254" s="101">
        <v>27680</v>
      </c>
    </row>
    <row r="2255" spans="3:6" ht="14.4" customHeight="1" x14ac:dyDescent="0.3">
      <c r="C2255" s="2">
        <v>100</v>
      </c>
      <c r="D2255" s="2" t="s">
        <v>443</v>
      </c>
      <c r="E2255" s="2" t="s">
        <v>771</v>
      </c>
      <c r="F2255" s="101">
        <v>2603</v>
      </c>
    </row>
    <row r="2256" spans="3:6" ht="14.4" customHeight="1" x14ac:dyDescent="0.3">
      <c r="C2256" s="2">
        <v>100</v>
      </c>
      <c r="D2256" s="2" t="s">
        <v>423</v>
      </c>
      <c r="E2256" s="2" t="s">
        <v>771</v>
      </c>
      <c r="F2256" s="101">
        <v>28482</v>
      </c>
    </row>
    <row r="2257" spans="3:6" ht="14.4" customHeight="1" x14ac:dyDescent="0.3">
      <c r="C2257" s="2">
        <v>100</v>
      </c>
      <c r="D2257" s="2" t="s">
        <v>362</v>
      </c>
      <c r="E2257" s="2" t="s">
        <v>770</v>
      </c>
      <c r="F2257" s="101">
        <v>18219</v>
      </c>
    </row>
    <row r="2258" spans="3:6" ht="14.4" customHeight="1" x14ac:dyDescent="0.3">
      <c r="C2258" s="2">
        <v>100</v>
      </c>
      <c r="D2258" s="2" t="s">
        <v>428</v>
      </c>
      <c r="E2258" s="2" t="s">
        <v>775</v>
      </c>
      <c r="F2258" s="101">
        <v>25</v>
      </c>
    </row>
    <row r="2259" spans="3:6" ht="14.4" customHeight="1" x14ac:dyDescent="0.3">
      <c r="C2259" s="2">
        <v>100</v>
      </c>
      <c r="D2259" s="2" t="s">
        <v>653</v>
      </c>
      <c r="E2259" s="2" t="s">
        <v>769</v>
      </c>
      <c r="F2259" s="101">
        <v>1823</v>
      </c>
    </row>
    <row r="2260" spans="3:6" ht="14.4" customHeight="1" x14ac:dyDescent="0.3">
      <c r="C2260" s="2">
        <v>100</v>
      </c>
      <c r="D2260" s="2" t="s">
        <v>242</v>
      </c>
      <c r="E2260" s="2" t="s">
        <v>774</v>
      </c>
      <c r="F2260" s="101">
        <v>12</v>
      </c>
    </row>
    <row r="2261" spans="3:6" ht="14.4" customHeight="1" x14ac:dyDescent="0.3">
      <c r="C2261" s="2">
        <v>100</v>
      </c>
      <c r="D2261" s="2" t="s">
        <v>477</v>
      </c>
      <c r="E2261" s="2" t="s">
        <v>770</v>
      </c>
      <c r="F2261" s="101">
        <v>3611</v>
      </c>
    </row>
    <row r="2262" spans="3:6" ht="14.4" customHeight="1" x14ac:dyDescent="0.3">
      <c r="C2262" s="2">
        <v>100</v>
      </c>
      <c r="D2262" s="2" t="s">
        <v>266</v>
      </c>
      <c r="E2262" s="2" t="s">
        <v>775</v>
      </c>
      <c r="F2262" s="101">
        <v>49</v>
      </c>
    </row>
    <row r="2263" spans="3:6" ht="14.4" customHeight="1" x14ac:dyDescent="0.3">
      <c r="C2263" s="2">
        <v>100</v>
      </c>
      <c r="D2263" s="2" t="s">
        <v>532</v>
      </c>
      <c r="E2263" s="2" t="s">
        <v>769</v>
      </c>
      <c r="F2263" s="101">
        <v>19553</v>
      </c>
    </row>
    <row r="2264" spans="3:6" ht="14.4" customHeight="1" x14ac:dyDescent="0.3">
      <c r="C2264" s="2">
        <v>100</v>
      </c>
      <c r="D2264" s="2" t="s">
        <v>385</v>
      </c>
      <c r="E2264" s="2" t="s">
        <v>774</v>
      </c>
      <c r="F2264" s="101">
        <v>83611</v>
      </c>
    </row>
    <row r="2265" spans="3:6" ht="14.4" customHeight="1" x14ac:dyDescent="0.3">
      <c r="C2265" s="2">
        <v>100</v>
      </c>
      <c r="D2265" s="2" t="s">
        <v>222</v>
      </c>
      <c r="E2265" s="2" t="s">
        <v>773</v>
      </c>
      <c r="F2265" s="101">
        <v>986</v>
      </c>
    </row>
    <row r="2266" spans="3:6" ht="14.4" customHeight="1" x14ac:dyDescent="0.3">
      <c r="C2266" s="2">
        <v>100</v>
      </c>
      <c r="D2266" s="2" t="s">
        <v>444</v>
      </c>
      <c r="E2266" s="2" t="s">
        <v>770</v>
      </c>
      <c r="F2266" s="101">
        <v>11792</v>
      </c>
    </row>
    <row r="2267" spans="3:6" ht="14.4" customHeight="1" x14ac:dyDescent="0.3">
      <c r="C2267" s="2">
        <v>100</v>
      </c>
      <c r="D2267" s="2" t="s">
        <v>403</v>
      </c>
      <c r="E2267" s="2" t="s">
        <v>777</v>
      </c>
      <c r="F2267" s="101">
        <v>5856</v>
      </c>
    </row>
    <row r="2268" spans="3:6" ht="14.4" customHeight="1" x14ac:dyDescent="0.3">
      <c r="C2268" s="2">
        <v>100</v>
      </c>
      <c r="D2268" s="2" t="s">
        <v>225</v>
      </c>
      <c r="E2268" s="2" t="s">
        <v>769</v>
      </c>
      <c r="F2268" s="101">
        <v>3487478</v>
      </c>
    </row>
    <row r="2269" spans="3:6" ht="14.4" customHeight="1" x14ac:dyDescent="0.3">
      <c r="C2269" s="2">
        <v>100</v>
      </c>
      <c r="D2269" s="2" t="s">
        <v>471</v>
      </c>
      <c r="E2269" s="2" t="s">
        <v>774</v>
      </c>
      <c r="F2269" s="101">
        <v>0</v>
      </c>
    </row>
    <row r="2270" spans="3:6" ht="14.4" customHeight="1" x14ac:dyDescent="0.3">
      <c r="C2270" s="2">
        <v>100</v>
      </c>
      <c r="D2270" s="2" t="s">
        <v>732</v>
      </c>
      <c r="E2270" s="2" t="s">
        <v>771</v>
      </c>
      <c r="F2270" s="101">
        <v>433</v>
      </c>
    </row>
    <row r="2271" spans="3:6" ht="14.4" customHeight="1" x14ac:dyDescent="0.3">
      <c r="C2271" s="2">
        <v>100</v>
      </c>
      <c r="D2271" s="2" t="s">
        <v>730</v>
      </c>
      <c r="E2271" s="2" t="s">
        <v>769</v>
      </c>
      <c r="F2271" s="101">
        <v>50758</v>
      </c>
    </row>
    <row r="2272" spans="3:6" ht="14.4" customHeight="1" x14ac:dyDescent="0.3">
      <c r="C2272" s="2">
        <v>100</v>
      </c>
      <c r="D2272" s="2" t="s">
        <v>369</v>
      </c>
      <c r="E2272" s="2" t="s">
        <v>773</v>
      </c>
      <c r="F2272" s="101">
        <v>7356</v>
      </c>
    </row>
    <row r="2273" spans="3:6" ht="14.4" customHeight="1" x14ac:dyDescent="0.3">
      <c r="C2273" s="2">
        <v>100</v>
      </c>
      <c r="D2273" s="2" t="s">
        <v>442</v>
      </c>
      <c r="E2273" s="2" t="s">
        <v>775</v>
      </c>
      <c r="F2273" s="101">
        <v>8393</v>
      </c>
    </row>
    <row r="2274" spans="3:6" ht="14.4" customHeight="1" x14ac:dyDescent="0.3">
      <c r="C2274" s="2">
        <v>100</v>
      </c>
      <c r="D2274" s="2" t="s">
        <v>709</v>
      </c>
      <c r="E2274" s="2" t="s">
        <v>774</v>
      </c>
      <c r="F2274" s="101">
        <v>45</v>
      </c>
    </row>
    <row r="2275" spans="3:6" ht="14.4" customHeight="1" x14ac:dyDescent="0.3">
      <c r="C2275" s="2">
        <v>100</v>
      </c>
      <c r="D2275" s="2" t="s">
        <v>563</v>
      </c>
      <c r="E2275" s="2" t="s">
        <v>771</v>
      </c>
      <c r="F2275" s="101">
        <v>2914</v>
      </c>
    </row>
    <row r="2276" spans="3:6" ht="14.4" customHeight="1" x14ac:dyDescent="0.3">
      <c r="C2276" s="2">
        <v>100</v>
      </c>
      <c r="D2276" s="2" t="s">
        <v>714</v>
      </c>
      <c r="E2276" s="2" t="s">
        <v>769</v>
      </c>
      <c r="F2276" s="101">
        <v>2711</v>
      </c>
    </row>
    <row r="2277" spans="3:6" ht="14.4" customHeight="1" x14ac:dyDescent="0.3">
      <c r="C2277" s="2">
        <v>100</v>
      </c>
      <c r="D2277" s="2" t="s">
        <v>261</v>
      </c>
      <c r="E2277" s="2" t="s">
        <v>771</v>
      </c>
      <c r="F2277" s="101">
        <v>131922</v>
      </c>
    </row>
    <row r="2278" spans="3:6" ht="14.4" customHeight="1" x14ac:dyDescent="0.3">
      <c r="C2278" s="2">
        <v>100</v>
      </c>
      <c r="D2278" s="2" t="s">
        <v>612</v>
      </c>
      <c r="E2278" s="2" t="s">
        <v>773</v>
      </c>
      <c r="F2278" s="101">
        <v>50</v>
      </c>
    </row>
    <row r="2279" spans="3:6" ht="14.4" customHeight="1" x14ac:dyDescent="0.3">
      <c r="C2279" s="2">
        <v>100</v>
      </c>
      <c r="D2279" s="2" t="s">
        <v>412</v>
      </c>
      <c r="E2279" s="2" t="s">
        <v>775</v>
      </c>
      <c r="F2279" s="101">
        <v>50</v>
      </c>
    </row>
    <row r="2280" spans="3:6" ht="14.4" customHeight="1" x14ac:dyDescent="0.3">
      <c r="C2280" s="2">
        <v>100</v>
      </c>
      <c r="D2280" s="2" t="s">
        <v>734</v>
      </c>
      <c r="E2280" s="2" t="s">
        <v>775</v>
      </c>
      <c r="F2280" s="101">
        <v>17</v>
      </c>
    </row>
    <row r="2281" spans="3:6" ht="14.4" customHeight="1" x14ac:dyDescent="0.3">
      <c r="C2281" s="2">
        <v>100</v>
      </c>
      <c r="D2281" s="2" t="s">
        <v>299</v>
      </c>
      <c r="E2281" s="2" t="s">
        <v>774</v>
      </c>
      <c r="F2281" s="101">
        <v>337</v>
      </c>
    </row>
    <row r="2282" spans="3:6" ht="14.4" customHeight="1" x14ac:dyDescent="0.3">
      <c r="C2282" s="2">
        <v>100</v>
      </c>
      <c r="D2282" s="2" t="s">
        <v>334</v>
      </c>
      <c r="E2282" s="2" t="s">
        <v>774</v>
      </c>
      <c r="F2282" s="101">
        <v>10256</v>
      </c>
    </row>
    <row r="2283" spans="3:6" ht="14.4" customHeight="1" x14ac:dyDescent="0.3">
      <c r="C2283" s="2">
        <v>100</v>
      </c>
      <c r="D2283" s="2" t="s">
        <v>384</v>
      </c>
      <c r="E2283" s="2" t="s">
        <v>773</v>
      </c>
      <c r="F2283" s="101">
        <v>22379</v>
      </c>
    </row>
    <row r="2284" spans="3:6" ht="14.4" customHeight="1" x14ac:dyDescent="0.3">
      <c r="C2284" s="2">
        <v>100</v>
      </c>
      <c r="D2284" s="2" t="s">
        <v>611</v>
      </c>
      <c r="E2284" s="2" t="s">
        <v>769</v>
      </c>
      <c r="F2284" s="101">
        <v>19926</v>
      </c>
    </row>
    <row r="2285" spans="3:6" ht="14.4" customHeight="1" x14ac:dyDescent="0.3">
      <c r="C2285" s="2">
        <v>100</v>
      </c>
      <c r="D2285" s="2" t="s">
        <v>514</v>
      </c>
      <c r="E2285" s="2" t="s">
        <v>775</v>
      </c>
      <c r="F2285" s="101">
        <v>1675</v>
      </c>
    </row>
    <row r="2286" spans="3:6" ht="14.4" customHeight="1" x14ac:dyDescent="0.3">
      <c r="C2286" s="2">
        <v>100</v>
      </c>
      <c r="D2286" s="2" t="s">
        <v>349</v>
      </c>
      <c r="E2286" s="2" t="s">
        <v>772</v>
      </c>
      <c r="F2286" s="101">
        <v>392</v>
      </c>
    </row>
    <row r="2287" spans="3:6" ht="14.4" customHeight="1" x14ac:dyDescent="0.3">
      <c r="C2287" s="2">
        <v>100</v>
      </c>
      <c r="D2287" s="2" t="s">
        <v>640</v>
      </c>
      <c r="E2287" s="2" t="s">
        <v>771</v>
      </c>
      <c r="F2287" s="101">
        <v>6918</v>
      </c>
    </row>
    <row r="2288" spans="3:6" ht="14.4" customHeight="1" x14ac:dyDescent="0.3">
      <c r="C2288" s="2">
        <v>100</v>
      </c>
      <c r="D2288" s="2" t="s">
        <v>305</v>
      </c>
      <c r="E2288" s="2" t="s">
        <v>775</v>
      </c>
      <c r="F2288" s="101">
        <v>3285</v>
      </c>
    </row>
    <row r="2289" spans="3:6" ht="14.4" customHeight="1" x14ac:dyDescent="0.3">
      <c r="C2289" s="2">
        <v>100</v>
      </c>
      <c r="D2289" s="2" t="s">
        <v>321</v>
      </c>
      <c r="E2289" s="2" t="s">
        <v>773</v>
      </c>
      <c r="F2289" s="101">
        <v>159</v>
      </c>
    </row>
    <row r="2290" spans="3:6" ht="14.4" customHeight="1" x14ac:dyDescent="0.3">
      <c r="C2290" s="2">
        <v>100</v>
      </c>
      <c r="D2290" s="2" t="s">
        <v>636</v>
      </c>
      <c r="E2290" s="2" t="s">
        <v>772</v>
      </c>
      <c r="F2290" s="101">
        <v>776</v>
      </c>
    </row>
    <row r="2291" spans="3:6" ht="14.4" customHeight="1" x14ac:dyDescent="0.3">
      <c r="C2291" s="2">
        <v>100</v>
      </c>
      <c r="D2291" s="2" t="s">
        <v>439</v>
      </c>
      <c r="E2291" s="2" t="s">
        <v>771</v>
      </c>
      <c r="F2291" s="101">
        <v>5924</v>
      </c>
    </row>
    <row r="2292" spans="3:6" ht="14.4" customHeight="1" x14ac:dyDescent="0.3">
      <c r="C2292" s="2">
        <v>100</v>
      </c>
      <c r="D2292" s="2" t="s">
        <v>556</v>
      </c>
      <c r="E2292" s="2" t="s">
        <v>769</v>
      </c>
      <c r="F2292" s="101">
        <v>32221</v>
      </c>
    </row>
    <row r="2293" spans="3:6" ht="14.4" customHeight="1" x14ac:dyDescent="0.3">
      <c r="C2293" s="2">
        <v>100</v>
      </c>
      <c r="D2293" s="2" t="s">
        <v>633</v>
      </c>
      <c r="E2293" s="2" t="s">
        <v>773</v>
      </c>
      <c r="F2293" s="101">
        <v>2672</v>
      </c>
    </row>
    <row r="2294" spans="3:6" ht="14.4" customHeight="1" x14ac:dyDescent="0.3">
      <c r="C2294" s="2">
        <v>100</v>
      </c>
      <c r="D2294" s="2" t="s">
        <v>673</v>
      </c>
      <c r="E2294" s="2" t="s">
        <v>771</v>
      </c>
      <c r="F2294" s="101">
        <v>1474</v>
      </c>
    </row>
    <row r="2295" spans="3:6" ht="14.4" customHeight="1" x14ac:dyDescent="0.3">
      <c r="C2295" s="2">
        <v>100</v>
      </c>
      <c r="D2295" s="2" t="s">
        <v>504</v>
      </c>
      <c r="E2295" s="2" t="s">
        <v>771</v>
      </c>
      <c r="F2295" s="101">
        <v>2997</v>
      </c>
    </row>
    <row r="2296" spans="3:6" ht="14.4" customHeight="1" x14ac:dyDescent="0.3">
      <c r="C2296" s="2">
        <v>100</v>
      </c>
      <c r="D2296" s="2" t="s">
        <v>280</v>
      </c>
      <c r="E2296" s="2" t="s">
        <v>777</v>
      </c>
      <c r="F2296" s="101">
        <v>15992</v>
      </c>
    </row>
    <row r="2297" spans="3:6" ht="14.4" customHeight="1" x14ac:dyDescent="0.3">
      <c r="C2297" s="2">
        <v>100</v>
      </c>
      <c r="D2297" s="2" t="s">
        <v>254</v>
      </c>
      <c r="E2297" s="2" t="s">
        <v>770</v>
      </c>
      <c r="F2297" s="101">
        <v>1374</v>
      </c>
    </row>
    <row r="2298" spans="3:6" ht="14.4" customHeight="1" x14ac:dyDescent="0.3">
      <c r="C2298" s="2">
        <v>100</v>
      </c>
      <c r="D2298" s="2" t="s">
        <v>523</v>
      </c>
      <c r="E2298" s="2" t="s">
        <v>769</v>
      </c>
      <c r="F2298" s="101">
        <v>5147</v>
      </c>
    </row>
    <row r="2299" spans="3:6" ht="14.4" customHeight="1" x14ac:dyDescent="0.3">
      <c r="C2299" s="2">
        <v>100</v>
      </c>
      <c r="D2299" s="2" t="s">
        <v>200</v>
      </c>
      <c r="E2299" s="2" t="s">
        <v>771</v>
      </c>
      <c r="F2299" s="101">
        <v>11101</v>
      </c>
    </row>
    <row r="2300" spans="3:6" ht="14.4" customHeight="1" x14ac:dyDescent="0.3">
      <c r="C2300" s="2">
        <v>100</v>
      </c>
      <c r="D2300" s="2" t="s">
        <v>576</v>
      </c>
      <c r="E2300" s="2" t="s">
        <v>771</v>
      </c>
      <c r="F2300" s="101">
        <v>717</v>
      </c>
    </row>
    <row r="2301" spans="3:6" ht="14.4" customHeight="1" x14ac:dyDescent="0.3">
      <c r="C2301" s="2">
        <v>100</v>
      </c>
      <c r="D2301" s="2" t="s">
        <v>555</v>
      </c>
      <c r="E2301" s="2" t="s">
        <v>777</v>
      </c>
      <c r="F2301" s="101">
        <v>14697</v>
      </c>
    </row>
    <row r="2302" spans="3:6" ht="14.4" customHeight="1" x14ac:dyDescent="0.3">
      <c r="C2302" s="2">
        <v>100</v>
      </c>
      <c r="D2302" s="2" t="s">
        <v>278</v>
      </c>
      <c r="E2302" s="2" t="s">
        <v>770</v>
      </c>
      <c r="F2302" s="101">
        <v>10244</v>
      </c>
    </row>
    <row r="2303" spans="3:6" ht="14.4" customHeight="1" x14ac:dyDescent="0.3">
      <c r="C2303" s="2">
        <v>100</v>
      </c>
      <c r="D2303" s="2" t="s">
        <v>325</v>
      </c>
      <c r="E2303" s="2" t="s">
        <v>771</v>
      </c>
      <c r="F2303" s="101">
        <v>14684</v>
      </c>
    </row>
    <row r="2304" spans="3:6" ht="14.4" customHeight="1" x14ac:dyDescent="0.3">
      <c r="C2304" s="2">
        <v>100</v>
      </c>
      <c r="D2304" s="2" t="s">
        <v>338</v>
      </c>
      <c r="E2304" s="2" t="s">
        <v>770</v>
      </c>
      <c r="F2304" s="101">
        <v>76</v>
      </c>
    </row>
    <row r="2305" spans="3:6" ht="14.4" customHeight="1" x14ac:dyDescent="0.3">
      <c r="C2305" s="2">
        <v>100</v>
      </c>
      <c r="D2305" s="2" t="s">
        <v>652</v>
      </c>
      <c r="E2305" s="2" t="s">
        <v>770</v>
      </c>
      <c r="F2305" s="101">
        <v>3258</v>
      </c>
    </row>
    <row r="2306" spans="3:6" ht="14.4" customHeight="1" x14ac:dyDescent="0.3">
      <c r="C2306" s="2">
        <v>100</v>
      </c>
      <c r="D2306" s="2" t="s">
        <v>593</v>
      </c>
      <c r="E2306" s="2" t="s">
        <v>771</v>
      </c>
      <c r="F2306" s="101">
        <v>76</v>
      </c>
    </row>
    <row r="2307" spans="3:6" ht="14.4" customHeight="1" x14ac:dyDescent="0.3">
      <c r="C2307" s="2">
        <v>100</v>
      </c>
      <c r="D2307" s="2" t="s">
        <v>615</v>
      </c>
      <c r="E2307" s="2" t="s">
        <v>771</v>
      </c>
      <c r="F2307" s="101">
        <v>1941</v>
      </c>
    </row>
    <row r="2308" spans="3:6" ht="14.4" customHeight="1" x14ac:dyDescent="0.3">
      <c r="C2308" s="2">
        <v>100</v>
      </c>
      <c r="D2308" s="2" t="s">
        <v>47</v>
      </c>
      <c r="E2308" s="2" t="s">
        <v>774</v>
      </c>
      <c r="F2308" s="101">
        <v>5847</v>
      </c>
    </row>
    <row r="2309" spans="3:6" ht="14.4" customHeight="1" x14ac:dyDescent="0.3">
      <c r="C2309" s="2">
        <v>100</v>
      </c>
      <c r="D2309" s="2" t="s">
        <v>742</v>
      </c>
      <c r="E2309" s="2" t="s">
        <v>769</v>
      </c>
      <c r="F2309" s="101">
        <v>1251</v>
      </c>
    </row>
    <row r="2310" spans="3:6" ht="14.4" customHeight="1" x14ac:dyDescent="0.3">
      <c r="C2310" s="2">
        <v>100</v>
      </c>
      <c r="D2310" s="2" t="s">
        <v>623</v>
      </c>
      <c r="E2310" s="2" t="s">
        <v>771</v>
      </c>
      <c r="F2310" s="101">
        <v>2034</v>
      </c>
    </row>
    <row r="2311" spans="3:6" ht="14.4" customHeight="1" x14ac:dyDescent="0.3">
      <c r="C2311" s="2">
        <v>100</v>
      </c>
      <c r="D2311" s="2" t="s">
        <v>611</v>
      </c>
      <c r="E2311" s="2" t="s">
        <v>771</v>
      </c>
      <c r="F2311" s="101">
        <v>1306</v>
      </c>
    </row>
    <row r="2312" spans="3:6" ht="14.4" customHeight="1" x14ac:dyDescent="0.3">
      <c r="C2312" s="2">
        <v>100</v>
      </c>
      <c r="D2312" s="2" t="s">
        <v>637</v>
      </c>
      <c r="E2312" s="2" t="s">
        <v>773</v>
      </c>
      <c r="F2312" s="101">
        <v>307</v>
      </c>
    </row>
    <row r="2313" spans="3:6" ht="14.4" customHeight="1" x14ac:dyDescent="0.3">
      <c r="C2313" s="2">
        <v>100</v>
      </c>
      <c r="D2313" s="2" t="s">
        <v>403</v>
      </c>
      <c r="E2313" s="2" t="s">
        <v>770</v>
      </c>
      <c r="F2313" s="101">
        <v>18752</v>
      </c>
    </row>
    <row r="2314" spans="3:6" ht="14.4" customHeight="1" x14ac:dyDescent="0.3">
      <c r="C2314" s="2">
        <v>100</v>
      </c>
      <c r="D2314" s="2" t="s">
        <v>322</v>
      </c>
      <c r="E2314" s="2" t="s">
        <v>773</v>
      </c>
      <c r="F2314" s="101">
        <v>58843</v>
      </c>
    </row>
    <row r="2315" spans="3:6" ht="14.4" customHeight="1" x14ac:dyDescent="0.3">
      <c r="C2315" s="2">
        <v>100</v>
      </c>
      <c r="D2315" s="2" t="s">
        <v>388</v>
      </c>
      <c r="E2315" s="2" t="s">
        <v>772</v>
      </c>
      <c r="F2315" s="101">
        <v>2208</v>
      </c>
    </row>
    <row r="2316" spans="3:6" ht="14.4" customHeight="1" x14ac:dyDescent="0.3">
      <c r="C2316" s="2">
        <v>100</v>
      </c>
      <c r="D2316" s="2" t="s">
        <v>547</v>
      </c>
      <c r="E2316" s="2" t="s">
        <v>770</v>
      </c>
      <c r="F2316" s="101">
        <v>46</v>
      </c>
    </row>
    <row r="2317" spans="3:6" ht="14.4" customHeight="1" x14ac:dyDescent="0.3">
      <c r="C2317" s="2">
        <v>100</v>
      </c>
      <c r="D2317" s="2" t="s">
        <v>446</v>
      </c>
      <c r="E2317" s="2" t="s">
        <v>771</v>
      </c>
      <c r="F2317" s="101">
        <v>14858</v>
      </c>
    </row>
    <row r="2318" spans="3:6" ht="14.4" customHeight="1" x14ac:dyDescent="0.3">
      <c r="C2318" s="2">
        <v>100</v>
      </c>
      <c r="D2318" s="2" t="s">
        <v>446</v>
      </c>
      <c r="E2318" s="2" t="s">
        <v>770</v>
      </c>
      <c r="F2318" s="101">
        <v>1498</v>
      </c>
    </row>
    <row r="2319" spans="3:6" ht="14.4" customHeight="1" x14ac:dyDescent="0.3">
      <c r="C2319" s="2">
        <v>100</v>
      </c>
      <c r="D2319" s="2" t="s">
        <v>272</v>
      </c>
      <c r="E2319" s="2" t="s">
        <v>772</v>
      </c>
      <c r="F2319" s="101">
        <v>180</v>
      </c>
    </row>
    <row r="2320" spans="3:6" ht="14.4" customHeight="1" x14ac:dyDescent="0.3">
      <c r="C2320" s="2">
        <v>100</v>
      </c>
      <c r="D2320" s="2" t="s">
        <v>306</v>
      </c>
      <c r="E2320" s="2" t="s">
        <v>769</v>
      </c>
      <c r="F2320" s="101">
        <v>42959</v>
      </c>
    </row>
    <row r="2321" spans="3:6" ht="14.4" customHeight="1" x14ac:dyDescent="0.3">
      <c r="C2321" s="2">
        <v>100</v>
      </c>
      <c r="D2321" s="2" t="s">
        <v>256</v>
      </c>
      <c r="E2321" s="2" t="s">
        <v>770</v>
      </c>
      <c r="F2321" s="101">
        <v>329</v>
      </c>
    </row>
    <row r="2322" spans="3:6" ht="14.4" customHeight="1" x14ac:dyDescent="0.3">
      <c r="C2322" s="2">
        <v>100</v>
      </c>
      <c r="D2322" s="2" t="s">
        <v>716</v>
      </c>
      <c r="E2322" s="2" t="s">
        <v>769</v>
      </c>
      <c r="F2322" s="101">
        <v>12354</v>
      </c>
    </row>
    <row r="2323" spans="3:6" ht="14.4" customHeight="1" x14ac:dyDescent="0.3">
      <c r="C2323" s="2">
        <v>100</v>
      </c>
      <c r="D2323" s="2" t="s">
        <v>398</v>
      </c>
      <c r="E2323" s="2" t="s">
        <v>774</v>
      </c>
      <c r="F2323" s="101">
        <v>-49</v>
      </c>
    </row>
    <row r="2324" spans="3:6" ht="14.4" customHeight="1" x14ac:dyDescent="0.3">
      <c r="C2324" s="2">
        <v>100</v>
      </c>
      <c r="D2324" s="2" t="s">
        <v>612</v>
      </c>
      <c r="E2324" s="2" t="s">
        <v>769</v>
      </c>
      <c r="F2324" s="101">
        <v>3589</v>
      </c>
    </row>
    <row r="2325" spans="3:6" ht="14.4" customHeight="1" x14ac:dyDescent="0.3">
      <c r="C2325" s="2">
        <v>100</v>
      </c>
      <c r="D2325" s="2" t="s">
        <v>256</v>
      </c>
      <c r="E2325" s="2" t="s">
        <v>773</v>
      </c>
      <c r="F2325" s="101">
        <v>0</v>
      </c>
    </row>
    <row r="2326" spans="3:6" ht="14.4" customHeight="1" x14ac:dyDescent="0.3">
      <c r="C2326" s="2">
        <v>100</v>
      </c>
      <c r="D2326" s="2" t="s">
        <v>646</v>
      </c>
      <c r="E2326" s="2" t="s">
        <v>774</v>
      </c>
      <c r="F2326" s="101">
        <v>-63</v>
      </c>
    </row>
    <row r="2327" spans="3:6" ht="14.4" customHeight="1" x14ac:dyDescent="0.3">
      <c r="C2327" s="2">
        <v>100</v>
      </c>
      <c r="D2327" s="2" t="s">
        <v>446</v>
      </c>
      <c r="E2327" s="2" t="s">
        <v>773</v>
      </c>
      <c r="F2327" s="101">
        <v>708</v>
      </c>
    </row>
    <row r="2328" spans="3:6" ht="14.4" customHeight="1" x14ac:dyDescent="0.3">
      <c r="C2328" s="2">
        <v>100</v>
      </c>
      <c r="D2328" s="2" t="s">
        <v>547</v>
      </c>
      <c r="E2328" s="2" t="s">
        <v>773</v>
      </c>
      <c r="F2328" s="101">
        <v>0</v>
      </c>
    </row>
    <row r="2329" spans="3:6" ht="14.4" customHeight="1" x14ac:dyDescent="0.3">
      <c r="C2329" s="2">
        <v>100</v>
      </c>
      <c r="D2329" s="2" t="s">
        <v>376</v>
      </c>
      <c r="E2329" s="2" t="s">
        <v>774</v>
      </c>
      <c r="F2329" s="101">
        <v>260617</v>
      </c>
    </row>
    <row r="2330" spans="3:6" ht="14.4" customHeight="1" x14ac:dyDescent="0.3">
      <c r="C2330" s="2">
        <v>100</v>
      </c>
      <c r="D2330" s="2" t="s">
        <v>406</v>
      </c>
      <c r="E2330" s="2" t="s">
        <v>769</v>
      </c>
      <c r="F2330" s="101">
        <v>606119</v>
      </c>
    </row>
    <row r="2331" spans="3:6" ht="14.4" customHeight="1" x14ac:dyDescent="0.3">
      <c r="C2331" s="2">
        <v>100</v>
      </c>
      <c r="D2331" s="2" t="s">
        <v>778</v>
      </c>
      <c r="E2331" s="2" t="s">
        <v>773</v>
      </c>
      <c r="F2331" s="101">
        <v>150000</v>
      </c>
    </row>
    <row r="2332" spans="3:6" ht="14.4" customHeight="1" x14ac:dyDescent="0.3">
      <c r="C2332" s="2">
        <v>100</v>
      </c>
      <c r="D2332" s="2" t="s">
        <v>623</v>
      </c>
      <c r="E2332" s="2" t="s">
        <v>773</v>
      </c>
      <c r="F2332" s="101">
        <v>3517094</v>
      </c>
    </row>
    <row r="2333" spans="3:6" ht="14.4" customHeight="1" x14ac:dyDescent="0.3">
      <c r="C2333" s="2">
        <v>100</v>
      </c>
      <c r="D2333" s="2" t="s">
        <v>720</v>
      </c>
      <c r="E2333" s="2" t="s">
        <v>771</v>
      </c>
      <c r="F2333" s="101">
        <v>1379</v>
      </c>
    </row>
    <row r="2334" spans="3:6" ht="14.4" customHeight="1" x14ac:dyDescent="0.3">
      <c r="C2334" s="2">
        <v>100</v>
      </c>
      <c r="D2334" s="2" t="s">
        <v>307</v>
      </c>
      <c r="E2334" s="2" t="s">
        <v>770</v>
      </c>
      <c r="F2334" s="101">
        <v>2734</v>
      </c>
    </row>
    <row r="2335" spans="3:6" ht="14.4" customHeight="1" x14ac:dyDescent="0.3">
      <c r="C2335" s="2">
        <v>100</v>
      </c>
      <c r="D2335" s="2" t="s">
        <v>632</v>
      </c>
      <c r="E2335" s="2" t="s">
        <v>769</v>
      </c>
      <c r="F2335" s="101">
        <v>214589</v>
      </c>
    </row>
    <row r="2336" spans="3:6" ht="14.4" customHeight="1" x14ac:dyDescent="0.3">
      <c r="C2336" s="2">
        <v>100</v>
      </c>
      <c r="D2336" s="2" t="s">
        <v>298</v>
      </c>
      <c r="E2336" s="2" t="s">
        <v>771</v>
      </c>
      <c r="F2336" s="101">
        <v>1670</v>
      </c>
    </row>
    <row r="2337" spans="3:6" ht="14.4" customHeight="1" x14ac:dyDescent="0.3">
      <c r="C2337" s="2">
        <v>100</v>
      </c>
      <c r="D2337" s="2" t="s">
        <v>643</v>
      </c>
      <c r="E2337" s="2" t="s">
        <v>771</v>
      </c>
      <c r="F2337" s="101">
        <v>1132</v>
      </c>
    </row>
    <row r="2338" spans="3:6" ht="14.4" customHeight="1" x14ac:dyDescent="0.3">
      <c r="C2338" s="2">
        <v>100</v>
      </c>
      <c r="D2338" s="2" t="s">
        <v>779</v>
      </c>
      <c r="E2338" s="2" t="s">
        <v>769</v>
      </c>
      <c r="F2338" s="101">
        <v>1233</v>
      </c>
    </row>
    <row r="2339" spans="3:6" ht="14.4" customHeight="1" x14ac:dyDescent="0.3">
      <c r="C2339" s="2">
        <v>100</v>
      </c>
      <c r="D2339" s="2" t="s">
        <v>364</v>
      </c>
      <c r="E2339" s="2" t="s">
        <v>773</v>
      </c>
      <c r="F2339" s="101">
        <v>2507</v>
      </c>
    </row>
    <row r="2340" spans="3:6" ht="14.4" customHeight="1" x14ac:dyDescent="0.3">
      <c r="C2340" s="2">
        <v>100</v>
      </c>
      <c r="D2340" s="2" t="s">
        <v>576</v>
      </c>
      <c r="E2340" s="2" t="s">
        <v>769</v>
      </c>
      <c r="F2340" s="101">
        <v>7496</v>
      </c>
    </row>
    <row r="2341" spans="3:6" ht="14.4" customHeight="1" x14ac:dyDescent="0.3">
      <c r="C2341" s="2">
        <v>100</v>
      </c>
      <c r="D2341" s="2" t="s">
        <v>364</v>
      </c>
      <c r="E2341" s="2" t="s">
        <v>770</v>
      </c>
      <c r="F2341" s="101">
        <v>4944</v>
      </c>
    </row>
    <row r="2342" spans="3:6" ht="14.4" customHeight="1" x14ac:dyDescent="0.3">
      <c r="C2342" s="2">
        <v>100</v>
      </c>
      <c r="D2342" s="2" t="s">
        <v>570</v>
      </c>
      <c r="E2342" s="2" t="s">
        <v>777</v>
      </c>
      <c r="F2342" s="101">
        <v>13846</v>
      </c>
    </row>
    <row r="2343" spans="3:6" ht="14.4" customHeight="1" x14ac:dyDescent="0.3">
      <c r="C2343" s="2">
        <v>100</v>
      </c>
      <c r="D2343" s="2" t="s">
        <v>523</v>
      </c>
      <c r="E2343" s="2" t="s">
        <v>770</v>
      </c>
      <c r="F2343" s="101">
        <v>1203</v>
      </c>
    </row>
    <row r="2344" spans="3:6" ht="14.4" customHeight="1" x14ac:dyDescent="0.3">
      <c r="C2344" s="2">
        <v>100</v>
      </c>
      <c r="D2344" s="2" t="s">
        <v>457</v>
      </c>
      <c r="E2344" s="2" t="s">
        <v>773</v>
      </c>
      <c r="F2344" s="101">
        <v>2291</v>
      </c>
    </row>
    <row r="2345" spans="3:6" ht="14.4" customHeight="1" x14ac:dyDescent="0.3">
      <c r="C2345" s="2">
        <v>100</v>
      </c>
      <c r="D2345" s="2" t="s">
        <v>560</v>
      </c>
      <c r="E2345" s="2" t="s">
        <v>770</v>
      </c>
      <c r="F2345" s="101">
        <v>6197</v>
      </c>
    </row>
    <row r="2346" spans="3:6" ht="14.4" customHeight="1" x14ac:dyDescent="0.3">
      <c r="C2346" s="2">
        <v>100</v>
      </c>
      <c r="D2346" s="2" t="s">
        <v>745</v>
      </c>
      <c r="E2346" s="2" t="s">
        <v>771</v>
      </c>
      <c r="F2346" s="101">
        <v>24</v>
      </c>
    </row>
    <row r="2347" spans="3:6" ht="14.4" customHeight="1" x14ac:dyDescent="0.3">
      <c r="C2347" s="2">
        <v>100</v>
      </c>
      <c r="D2347" s="2" t="s">
        <v>254</v>
      </c>
      <c r="E2347" s="2" t="s">
        <v>769</v>
      </c>
      <c r="F2347" s="101">
        <v>37903</v>
      </c>
    </row>
    <row r="2348" spans="3:6" ht="14.4" customHeight="1" x14ac:dyDescent="0.3">
      <c r="C2348" s="2">
        <v>100</v>
      </c>
      <c r="D2348" s="2" t="s">
        <v>759</v>
      </c>
      <c r="E2348" s="2" t="s">
        <v>772</v>
      </c>
      <c r="F2348" s="101">
        <v>72</v>
      </c>
    </row>
    <row r="2349" spans="3:6" ht="14.4" customHeight="1" x14ac:dyDescent="0.3">
      <c r="C2349" s="2">
        <v>100</v>
      </c>
      <c r="D2349" s="2" t="s">
        <v>524</v>
      </c>
      <c r="E2349" s="2" t="s">
        <v>777</v>
      </c>
      <c r="F2349" s="101">
        <v>210</v>
      </c>
    </row>
    <row r="2350" spans="3:6" ht="14.4" customHeight="1" x14ac:dyDescent="0.3">
      <c r="C2350" s="2">
        <v>100</v>
      </c>
      <c r="D2350" s="2" t="s">
        <v>749</v>
      </c>
      <c r="E2350" s="2" t="s">
        <v>774</v>
      </c>
      <c r="F2350" s="101">
        <v>204</v>
      </c>
    </row>
    <row r="2351" spans="3:6" ht="14.4" customHeight="1" x14ac:dyDescent="0.3">
      <c r="C2351" s="2">
        <v>100</v>
      </c>
      <c r="D2351" s="2" t="s">
        <v>504</v>
      </c>
      <c r="E2351" s="2" t="s">
        <v>769</v>
      </c>
      <c r="F2351" s="101">
        <v>12316</v>
      </c>
    </row>
    <row r="2352" spans="3:6" ht="14.4" customHeight="1" x14ac:dyDescent="0.3">
      <c r="C2352" s="2">
        <v>100</v>
      </c>
      <c r="D2352" s="2" t="s">
        <v>534</v>
      </c>
      <c r="E2352" s="2" t="s">
        <v>771</v>
      </c>
      <c r="F2352" s="101">
        <v>6342</v>
      </c>
    </row>
    <row r="2353" spans="3:6" ht="14.4" customHeight="1" x14ac:dyDescent="0.3">
      <c r="C2353" s="2">
        <v>100</v>
      </c>
      <c r="D2353" s="2" t="s">
        <v>617</v>
      </c>
      <c r="E2353" s="2" t="s">
        <v>775</v>
      </c>
      <c r="F2353" s="101">
        <v>13</v>
      </c>
    </row>
    <row r="2354" spans="3:6" ht="14.4" customHeight="1" x14ac:dyDescent="0.3">
      <c r="C2354" s="2">
        <v>100</v>
      </c>
      <c r="D2354" s="2" t="s">
        <v>527</v>
      </c>
      <c r="E2354" s="2" t="s">
        <v>771</v>
      </c>
      <c r="F2354" s="101">
        <v>6474</v>
      </c>
    </row>
    <row r="2355" spans="3:6" ht="14.4" customHeight="1" x14ac:dyDescent="0.3">
      <c r="C2355" s="2">
        <v>100</v>
      </c>
      <c r="D2355" s="2" t="s">
        <v>210</v>
      </c>
      <c r="E2355" s="2" t="s">
        <v>774</v>
      </c>
      <c r="F2355" s="101">
        <v>71547</v>
      </c>
    </row>
    <row r="2356" spans="3:6" ht="14.4" customHeight="1" x14ac:dyDescent="0.3">
      <c r="C2356" s="2">
        <v>100</v>
      </c>
      <c r="D2356" s="2" t="s">
        <v>294</v>
      </c>
      <c r="E2356" s="2" t="s">
        <v>769</v>
      </c>
      <c r="F2356" s="101">
        <v>21903</v>
      </c>
    </row>
    <row r="2357" spans="3:6" ht="14.4" customHeight="1" x14ac:dyDescent="0.3">
      <c r="C2357" s="2">
        <v>100</v>
      </c>
      <c r="D2357" s="2" t="s">
        <v>399</v>
      </c>
      <c r="E2357" s="2" t="s">
        <v>775</v>
      </c>
      <c r="F2357" s="101">
        <v>3</v>
      </c>
    </row>
    <row r="2358" spans="3:6" ht="14.4" customHeight="1" x14ac:dyDescent="0.3">
      <c r="C2358" s="2">
        <v>100</v>
      </c>
      <c r="D2358" s="2" t="s">
        <v>244</v>
      </c>
      <c r="E2358" s="2" t="s">
        <v>775</v>
      </c>
      <c r="F2358" s="101">
        <v>8456</v>
      </c>
    </row>
    <row r="2359" spans="3:6" ht="14.4" customHeight="1" x14ac:dyDescent="0.3">
      <c r="C2359" s="2">
        <v>100</v>
      </c>
      <c r="D2359" s="2" t="s">
        <v>486</v>
      </c>
      <c r="E2359" s="2" t="s">
        <v>770</v>
      </c>
      <c r="F2359" s="101">
        <v>15228</v>
      </c>
    </row>
    <row r="2360" spans="3:6" ht="14.4" customHeight="1" x14ac:dyDescent="0.3">
      <c r="C2360" s="2">
        <v>100</v>
      </c>
      <c r="D2360" s="2" t="s">
        <v>367</v>
      </c>
      <c r="E2360" s="2" t="s">
        <v>774</v>
      </c>
      <c r="F2360" s="101">
        <v>45718</v>
      </c>
    </row>
    <row r="2361" spans="3:6" ht="14.4" customHeight="1" x14ac:dyDescent="0.3">
      <c r="C2361" s="2">
        <v>100</v>
      </c>
      <c r="D2361" s="2" t="s">
        <v>479</v>
      </c>
      <c r="E2361" s="2" t="s">
        <v>774</v>
      </c>
      <c r="F2361" s="101">
        <v>-95</v>
      </c>
    </row>
    <row r="2362" spans="3:6" ht="14.4" customHeight="1" x14ac:dyDescent="0.3">
      <c r="C2362" s="2">
        <v>100</v>
      </c>
      <c r="D2362" s="2" t="s">
        <v>226</v>
      </c>
      <c r="E2362" s="2" t="s">
        <v>772</v>
      </c>
      <c r="F2362" s="101">
        <v>197</v>
      </c>
    </row>
    <row r="2363" spans="3:6" ht="14.4" customHeight="1" x14ac:dyDescent="0.3">
      <c r="C2363" s="2">
        <v>100</v>
      </c>
      <c r="D2363" s="2" t="s">
        <v>248</v>
      </c>
      <c r="E2363" s="2" t="s">
        <v>769</v>
      </c>
      <c r="F2363" s="101">
        <v>53626</v>
      </c>
    </row>
    <row r="2364" spans="3:6" ht="14.4" customHeight="1" x14ac:dyDescent="0.3">
      <c r="C2364" s="2">
        <v>100</v>
      </c>
      <c r="D2364" s="2" t="s">
        <v>645</v>
      </c>
      <c r="E2364" s="2" t="s">
        <v>771</v>
      </c>
      <c r="F2364" s="101">
        <v>3006</v>
      </c>
    </row>
    <row r="2365" spans="3:6" ht="14.4" customHeight="1" x14ac:dyDescent="0.3">
      <c r="C2365" s="2">
        <v>100</v>
      </c>
      <c r="D2365" s="2" t="s">
        <v>448</v>
      </c>
      <c r="E2365" s="2" t="s">
        <v>775</v>
      </c>
      <c r="F2365" s="101">
        <v>186</v>
      </c>
    </row>
    <row r="2366" spans="3:6" ht="14.4" customHeight="1" x14ac:dyDescent="0.3">
      <c r="C2366" s="2">
        <v>100</v>
      </c>
      <c r="D2366" s="2" t="s">
        <v>408</v>
      </c>
      <c r="E2366" s="2" t="s">
        <v>769</v>
      </c>
      <c r="F2366" s="101">
        <v>100221</v>
      </c>
    </row>
    <row r="2367" spans="3:6" ht="14.4" customHeight="1" x14ac:dyDescent="0.3">
      <c r="C2367" s="2">
        <v>100</v>
      </c>
      <c r="D2367" s="2" t="s">
        <v>622</v>
      </c>
      <c r="E2367" s="2" t="s">
        <v>773</v>
      </c>
      <c r="F2367" s="101">
        <v>880</v>
      </c>
    </row>
    <row r="2368" spans="3:6" ht="14.4" customHeight="1" x14ac:dyDescent="0.3">
      <c r="C2368" s="2">
        <v>100</v>
      </c>
      <c r="D2368" s="2" t="s">
        <v>262</v>
      </c>
      <c r="E2368" s="2" t="s">
        <v>773</v>
      </c>
      <c r="F2368" s="101">
        <v>18076</v>
      </c>
    </row>
    <row r="2369" spans="3:6" ht="14.4" customHeight="1" x14ac:dyDescent="0.3">
      <c r="C2369" s="2">
        <v>100</v>
      </c>
      <c r="D2369" s="2" t="s">
        <v>317</v>
      </c>
      <c r="E2369" s="2" t="s">
        <v>773</v>
      </c>
      <c r="F2369" s="101">
        <v>545</v>
      </c>
    </row>
    <row r="2370" spans="3:6" ht="14.4" customHeight="1" x14ac:dyDescent="0.3">
      <c r="C2370" s="2">
        <v>100</v>
      </c>
      <c r="D2370" s="2" t="s">
        <v>402</v>
      </c>
      <c r="E2370" s="2" t="s">
        <v>770</v>
      </c>
      <c r="F2370" s="101">
        <v>120</v>
      </c>
    </row>
    <row r="2371" spans="3:6" ht="14.4" customHeight="1" x14ac:dyDescent="0.3">
      <c r="C2371" s="2">
        <v>100</v>
      </c>
      <c r="D2371" s="2" t="s">
        <v>317</v>
      </c>
      <c r="E2371" s="2" t="s">
        <v>775</v>
      </c>
      <c r="F2371" s="101">
        <v>8</v>
      </c>
    </row>
    <row r="2372" spans="3:6" ht="14.4" customHeight="1" x14ac:dyDescent="0.3">
      <c r="C2372" s="2">
        <v>100</v>
      </c>
      <c r="D2372" s="2" t="s">
        <v>608</v>
      </c>
      <c r="E2372" s="2" t="s">
        <v>770</v>
      </c>
      <c r="F2372" s="101">
        <v>5765</v>
      </c>
    </row>
    <row r="2373" spans="3:6" ht="14.4" customHeight="1" x14ac:dyDescent="0.3">
      <c r="C2373" s="2">
        <v>100</v>
      </c>
      <c r="D2373" s="2" t="s">
        <v>360</v>
      </c>
      <c r="E2373" s="2" t="s">
        <v>771</v>
      </c>
      <c r="F2373" s="101">
        <v>1176</v>
      </c>
    </row>
    <row r="2374" spans="3:6" ht="14.4" customHeight="1" x14ac:dyDescent="0.3">
      <c r="C2374" s="2">
        <v>100</v>
      </c>
      <c r="D2374" s="2" t="s">
        <v>483</v>
      </c>
      <c r="E2374" s="2" t="s">
        <v>769</v>
      </c>
      <c r="F2374" s="101">
        <v>146073</v>
      </c>
    </row>
    <row r="2375" spans="3:6" ht="14.4" customHeight="1" x14ac:dyDescent="0.3">
      <c r="C2375" s="2">
        <v>100</v>
      </c>
      <c r="D2375" s="2" t="s">
        <v>212</v>
      </c>
      <c r="E2375" s="2" t="s">
        <v>773</v>
      </c>
      <c r="F2375" s="101">
        <v>349</v>
      </c>
    </row>
    <row r="2376" spans="3:6" ht="14.4" customHeight="1" x14ac:dyDescent="0.3">
      <c r="C2376" s="2">
        <v>100</v>
      </c>
      <c r="D2376" s="2" t="s">
        <v>244</v>
      </c>
      <c r="E2376" s="2" t="s">
        <v>770</v>
      </c>
      <c r="F2376" s="101">
        <v>837</v>
      </c>
    </row>
    <row r="2377" spans="3:6" ht="14.4" customHeight="1" x14ac:dyDescent="0.3">
      <c r="C2377" s="2">
        <v>100</v>
      </c>
      <c r="D2377" s="2" t="s">
        <v>486</v>
      </c>
      <c r="E2377" s="2" t="s">
        <v>773</v>
      </c>
      <c r="F2377" s="101">
        <v>6502</v>
      </c>
    </row>
    <row r="2378" spans="3:6" ht="14.4" customHeight="1" x14ac:dyDescent="0.3">
      <c r="C2378" s="2">
        <v>100</v>
      </c>
      <c r="D2378" s="2" t="s">
        <v>486</v>
      </c>
      <c r="E2378" s="2" t="s">
        <v>775</v>
      </c>
      <c r="F2378" s="101">
        <v>4540</v>
      </c>
    </row>
    <row r="2379" spans="3:6" ht="14.4" customHeight="1" x14ac:dyDescent="0.3">
      <c r="C2379" s="2">
        <v>100</v>
      </c>
      <c r="D2379" s="2" t="s">
        <v>527</v>
      </c>
      <c r="E2379" s="2" t="s">
        <v>775</v>
      </c>
      <c r="F2379" s="101">
        <v>643</v>
      </c>
    </row>
    <row r="2380" spans="3:6" ht="14.4" customHeight="1" x14ac:dyDescent="0.3">
      <c r="C2380" s="2">
        <v>100</v>
      </c>
      <c r="D2380" s="2" t="s">
        <v>597</v>
      </c>
      <c r="E2380" s="2" t="s">
        <v>774</v>
      </c>
      <c r="F2380" s="101">
        <v>0</v>
      </c>
    </row>
    <row r="2381" spans="3:6" ht="14.4" customHeight="1" x14ac:dyDescent="0.3">
      <c r="C2381" s="2">
        <v>100</v>
      </c>
      <c r="D2381" s="2" t="s">
        <v>438</v>
      </c>
      <c r="E2381" s="2" t="s">
        <v>773</v>
      </c>
      <c r="F2381" s="101">
        <v>11823</v>
      </c>
    </row>
    <row r="2382" spans="3:6" ht="14.4" customHeight="1" x14ac:dyDescent="0.3">
      <c r="C2382" s="2">
        <v>100</v>
      </c>
      <c r="D2382" s="2" t="s">
        <v>286</v>
      </c>
      <c r="E2382" s="2" t="s">
        <v>773</v>
      </c>
      <c r="F2382" s="101">
        <v>65136</v>
      </c>
    </row>
    <row r="2383" spans="3:6" ht="14.4" customHeight="1" x14ac:dyDescent="0.3">
      <c r="C2383" s="2">
        <v>100</v>
      </c>
      <c r="D2383" s="2" t="s">
        <v>399</v>
      </c>
      <c r="E2383" s="2" t="s">
        <v>770</v>
      </c>
      <c r="F2383" s="101">
        <v>2642</v>
      </c>
    </row>
    <row r="2384" spans="3:6" ht="14.4" customHeight="1" x14ac:dyDescent="0.3">
      <c r="C2384" s="2">
        <v>100</v>
      </c>
      <c r="D2384" s="2" t="s">
        <v>721</v>
      </c>
      <c r="E2384" s="2" t="s">
        <v>771</v>
      </c>
      <c r="F2384" s="101">
        <v>125</v>
      </c>
    </row>
    <row r="2385" spans="3:6" ht="14.4" customHeight="1" x14ac:dyDescent="0.3">
      <c r="C2385" s="2">
        <v>100</v>
      </c>
      <c r="D2385" s="2" t="s">
        <v>509</v>
      </c>
      <c r="E2385" s="2" t="s">
        <v>775</v>
      </c>
      <c r="F2385" s="101">
        <v>44</v>
      </c>
    </row>
    <row r="2386" spans="3:6" ht="14.4" customHeight="1" x14ac:dyDescent="0.3">
      <c r="C2386" s="2">
        <v>100</v>
      </c>
      <c r="D2386" s="2" t="s">
        <v>224</v>
      </c>
      <c r="E2386" s="2" t="s">
        <v>774</v>
      </c>
      <c r="F2386" s="101">
        <v>4392</v>
      </c>
    </row>
    <row r="2387" spans="3:6" ht="14.4" customHeight="1" x14ac:dyDescent="0.3">
      <c r="C2387" s="2">
        <v>100</v>
      </c>
      <c r="D2387" s="2" t="s">
        <v>738</v>
      </c>
      <c r="E2387" s="2" t="s">
        <v>775</v>
      </c>
      <c r="F2387" s="101">
        <v>3</v>
      </c>
    </row>
    <row r="2388" spans="3:6" ht="14.4" customHeight="1" x14ac:dyDescent="0.3">
      <c r="C2388" s="2">
        <v>100</v>
      </c>
      <c r="D2388" s="2" t="s">
        <v>379</v>
      </c>
      <c r="E2388" s="2" t="s">
        <v>774</v>
      </c>
      <c r="F2388" s="101">
        <v>0</v>
      </c>
    </row>
    <row r="2389" spans="3:6" ht="14.4" customHeight="1" x14ac:dyDescent="0.3">
      <c r="C2389" s="2">
        <v>100</v>
      </c>
      <c r="D2389" s="2" t="s">
        <v>296</v>
      </c>
      <c r="E2389" s="2" t="s">
        <v>777</v>
      </c>
      <c r="F2389" s="101">
        <v>81558</v>
      </c>
    </row>
    <row r="2390" spans="3:6" ht="14.4" customHeight="1" x14ac:dyDescent="0.3">
      <c r="C2390" s="2">
        <v>100</v>
      </c>
      <c r="D2390" s="2" t="s">
        <v>391</v>
      </c>
      <c r="E2390" s="2" t="s">
        <v>769</v>
      </c>
      <c r="F2390" s="101">
        <v>62424</v>
      </c>
    </row>
    <row r="2391" spans="3:6" ht="14.4" customHeight="1" x14ac:dyDescent="0.3">
      <c r="C2391" s="2">
        <v>100</v>
      </c>
      <c r="D2391" s="2" t="s">
        <v>538</v>
      </c>
      <c r="E2391" s="2" t="s">
        <v>770</v>
      </c>
      <c r="F2391" s="101">
        <v>265</v>
      </c>
    </row>
    <row r="2392" spans="3:6" ht="14.4" customHeight="1" x14ac:dyDescent="0.3">
      <c r="C2392" s="2">
        <v>100</v>
      </c>
      <c r="D2392" s="2" t="s">
        <v>502</v>
      </c>
      <c r="E2392" s="2" t="s">
        <v>780</v>
      </c>
      <c r="F2392" s="101">
        <v>27</v>
      </c>
    </row>
    <row r="2393" spans="3:6" ht="14.4" customHeight="1" x14ac:dyDescent="0.3">
      <c r="C2393" s="2">
        <v>100</v>
      </c>
      <c r="D2393" s="2" t="s">
        <v>619</v>
      </c>
      <c r="E2393" s="2" t="s">
        <v>770</v>
      </c>
      <c r="F2393" s="101">
        <v>918</v>
      </c>
    </row>
    <row r="2394" spans="3:6" ht="14.4" customHeight="1" x14ac:dyDescent="0.3">
      <c r="C2394" s="2">
        <v>100</v>
      </c>
      <c r="D2394" s="2" t="s">
        <v>525</v>
      </c>
      <c r="E2394" s="2" t="s">
        <v>771</v>
      </c>
      <c r="F2394" s="101">
        <v>236</v>
      </c>
    </row>
    <row r="2395" spans="3:6" ht="14.4" customHeight="1" x14ac:dyDescent="0.3">
      <c r="C2395" s="2">
        <v>100</v>
      </c>
      <c r="D2395" s="2" t="s">
        <v>397</v>
      </c>
      <c r="E2395" s="2" t="s">
        <v>773</v>
      </c>
      <c r="F2395" s="101">
        <v>4698</v>
      </c>
    </row>
    <row r="2396" spans="3:6" ht="14.4" customHeight="1" x14ac:dyDescent="0.3">
      <c r="C2396" s="2">
        <v>100</v>
      </c>
      <c r="D2396" s="2" t="s">
        <v>358</v>
      </c>
      <c r="E2396" s="2" t="s">
        <v>770</v>
      </c>
      <c r="F2396" s="101">
        <v>687</v>
      </c>
    </row>
    <row r="2397" spans="3:6" ht="14.4" customHeight="1" x14ac:dyDescent="0.3">
      <c r="C2397" s="2">
        <v>100</v>
      </c>
      <c r="D2397" s="2" t="s">
        <v>429</v>
      </c>
      <c r="E2397" s="2" t="s">
        <v>773</v>
      </c>
      <c r="F2397" s="101">
        <v>20732</v>
      </c>
    </row>
    <row r="2398" spans="3:6" ht="14.4" customHeight="1" x14ac:dyDescent="0.3">
      <c r="C2398" s="2">
        <v>100</v>
      </c>
      <c r="D2398" s="2" t="s">
        <v>494</v>
      </c>
      <c r="E2398" s="2" t="s">
        <v>770</v>
      </c>
      <c r="F2398" s="101">
        <v>20127</v>
      </c>
    </row>
    <row r="2399" spans="3:6" ht="14.4" customHeight="1" x14ac:dyDescent="0.3">
      <c r="C2399" s="2">
        <v>100</v>
      </c>
      <c r="D2399" s="2" t="s">
        <v>472</v>
      </c>
      <c r="E2399" s="2" t="s">
        <v>775</v>
      </c>
      <c r="F2399" s="101">
        <v>0</v>
      </c>
    </row>
    <row r="2400" spans="3:6" ht="14.4" customHeight="1" x14ac:dyDescent="0.3">
      <c r="C2400" s="2">
        <v>100</v>
      </c>
      <c r="D2400" s="2" t="s">
        <v>429</v>
      </c>
      <c r="E2400" s="2" t="s">
        <v>771</v>
      </c>
      <c r="F2400" s="101">
        <v>99085</v>
      </c>
    </row>
    <row r="2401" spans="3:6" ht="14.4" customHeight="1" x14ac:dyDescent="0.3">
      <c r="C2401" s="2">
        <v>100</v>
      </c>
      <c r="D2401" s="2" t="s">
        <v>545</v>
      </c>
      <c r="E2401" s="2" t="s">
        <v>774</v>
      </c>
      <c r="F2401" s="101">
        <v>-588</v>
      </c>
    </row>
    <row r="2402" spans="3:6" ht="14.4" customHeight="1" x14ac:dyDescent="0.3">
      <c r="C2402" s="2">
        <v>100</v>
      </c>
      <c r="D2402" s="2" t="s">
        <v>781</v>
      </c>
      <c r="E2402" s="2" t="s">
        <v>769</v>
      </c>
      <c r="F2402" s="101">
        <v>367</v>
      </c>
    </row>
    <row r="2403" spans="3:6" ht="14.4" customHeight="1" x14ac:dyDescent="0.3">
      <c r="C2403" s="2">
        <v>100</v>
      </c>
      <c r="D2403" s="2" t="s">
        <v>678</v>
      </c>
      <c r="E2403" s="2" t="s">
        <v>772</v>
      </c>
      <c r="F2403" s="101">
        <v>10145</v>
      </c>
    </row>
    <row r="2404" spans="3:6" ht="14.4" customHeight="1" x14ac:dyDescent="0.3">
      <c r="C2404" s="2">
        <v>100</v>
      </c>
      <c r="D2404" s="2" t="s">
        <v>375</v>
      </c>
      <c r="E2404" s="2" t="s">
        <v>773</v>
      </c>
      <c r="F2404" s="101">
        <v>1926</v>
      </c>
    </row>
    <row r="2405" spans="3:6" ht="14.4" customHeight="1" x14ac:dyDescent="0.3">
      <c r="C2405" s="2">
        <v>100</v>
      </c>
      <c r="D2405" s="2" t="s">
        <v>571</v>
      </c>
      <c r="E2405" s="2" t="s">
        <v>771</v>
      </c>
      <c r="F2405" s="101">
        <v>10984</v>
      </c>
    </row>
    <row r="2406" spans="3:6" ht="14.4" customHeight="1" x14ac:dyDescent="0.3">
      <c r="C2406" s="2">
        <v>100</v>
      </c>
      <c r="D2406" s="2" t="s">
        <v>710</v>
      </c>
      <c r="E2406" s="2" t="s">
        <v>775</v>
      </c>
      <c r="F2406" s="101">
        <v>27</v>
      </c>
    </row>
    <row r="2407" spans="3:6" ht="14.4" customHeight="1" x14ac:dyDescent="0.3">
      <c r="C2407" s="2">
        <v>100</v>
      </c>
      <c r="D2407" s="2" t="s">
        <v>202</v>
      </c>
      <c r="E2407" s="2" t="s">
        <v>774</v>
      </c>
      <c r="F2407" s="101">
        <v>318</v>
      </c>
    </row>
    <row r="2408" spans="3:6" ht="14.4" customHeight="1" x14ac:dyDescent="0.3">
      <c r="C2408" s="2">
        <v>100</v>
      </c>
      <c r="D2408" s="2" t="s">
        <v>574</v>
      </c>
      <c r="E2408" s="2" t="s">
        <v>770</v>
      </c>
      <c r="F2408" s="101">
        <v>298</v>
      </c>
    </row>
    <row r="2409" spans="3:6" ht="14.4" customHeight="1" x14ac:dyDescent="0.3">
      <c r="C2409" s="2">
        <v>100</v>
      </c>
      <c r="D2409" s="2" t="s">
        <v>221</v>
      </c>
      <c r="E2409" s="2" t="s">
        <v>772</v>
      </c>
      <c r="F2409" s="101">
        <v>190</v>
      </c>
    </row>
    <row r="2410" spans="3:6" ht="14.4" customHeight="1" x14ac:dyDescent="0.3">
      <c r="C2410" s="2">
        <v>100</v>
      </c>
      <c r="D2410" s="2" t="s">
        <v>445</v>
      </c>
      <c r="E2410" s="2" t="s">
        <v>773</v>
      </c>
      <c r="F2410" s="101">
        <v>394</v>
      </c>
    </row>
    <row r="2411" spans="3:6" ht="14.4" customHeight="1" x14ac:dyDescent="0.3">
      <c r="C2411" s="2">
        <v>100</v>
      </c>
      <c r="D2411" s="2" t="s">
        <v>575</v>
      </c>
      <c r="E2411" s="2" t="s">
        <v>770</v>
      </c>
      <c r="F2411" s="101">
        <v>1211</v>
      </c>
    </row>
    <row r="2412" spans="3:6" ht="14.4" customHeight="1" x14ac:dyDescent="0.3">
      <c r="C2412" s="2">
        <v>100</v>
      </c>
      <c r="D2412" s="2" t="s">
        <v>631</v>
      </c>
      <c r="E2412" s="2" t="s">
        <v>770</v>
      </c>
      <c r="F2412" s="101">
        <v>2740</v>
      </c>
    </row>
    <row r="2413" spans="3:6" ht="14.4" customHeight="1" x14ac:dyDescent="0.3">
      <c r="C2413" s="2">
        <v>100</v>
      </c>
      <c r="D2413" s="2" t="s">
        <v>243</v>
      </c>
      <c r="E2413" s="2" t="s">
        <v>775</v>
      </c>
      <c r="F2413" s="101">
        <v>4060</v>
      </c>
    </row>
    <row r="2414" spans="3:6" ht="14.4" customHeight="1" x14ac:dyDescent="0.3">
      <c r="C2414" s="2">
        <v>100</v>
      </c>
      <c r="D2414" s="2" t="s">
        <v>330</v>
      </c>
      <c r="E2414" s="2" t="s">
        <v>773</v>
      </c>
      <c r="F2414" s="101">
        <v>3319</v>
      </c>
    </row>
    <row r="2415" spans="3:6" ht="14.4" customHeight="1" x14ac:dyDescent="0.3">
      <c r="C2415" s="2">
        <v>100</v>
      </c>
      <c r="D2415" s="2" t="s">
        <v>213</v>
      </c>
      <c r="E2415" s="2" t="s">
        <v>769</v>
      </c>
      <c r="F2415" s="101">
        <v>9445</v>
      </c>
    </row>
    <row r="2416" spans="3:6" ht="14.4" customHeight="1" x14ac:dyDescent="0.3">
      <c r="C2416" s="2">
        <v>100</v>
      </c>
      <c r="D2416" s="2" t="s">
        <v>211</v>
      </c>
      <c r="E2416" s="2" t="s">
        <v>771</v>
      </c>
      <c r="F2416" s="101">
        <v>21639</v>
      </c>
    </row>
    <row r="2417" spans="3:6" ht="14.4" customHeight="1" x14ac:dyDescent="0.3">
      <c r="C2417" s="2">
        <v>100</v>
      </c>
      <c r="D2417" s="2" t="s">
        <v>649</v>
      </c>
      <c r="E2417" s="2" t="s">
        <v>770</v>
      </c>
      <c r="F2417" s="101">
        <v>436</v>
      </c>
    </row>
    <row r="2418" spans="3:6" ht="14.4" customHeight="1" x14ac:dyDescent="0.3">
      <c r="C2418" s="2">
        <v>100</v>
      </c>
      <c r="D2418" s="2" t="s">
        <v>649</v>
      </c>
      <c r="E2418" s="2" t="s">
        <v>771</v>
      </c>
      <c r="F2418" s="101">
        <v>350</v>
      </c>
    </row>
    <row r="2419" spans="3:6" ht="14.4" customHeight="1" x14ac:dyDescent="0.3">
      <c r="C2419" s="2">
        <v>100</v>
      </c>
      <c r="D2419" s="2" t="s">
        <v>690</v>
      </c>
      <c r="E2419" s="2" t="s">
        <v>774</v>
      </c>
      <c r="F2419" s="101">
        <v>86</v>
      </c>
    </row>
    <row r="2420" spans="3:6" ht="14.4" customHeight="1" x14ac:dyDescent="0.3">
      <c r="C2420" s="2">
        <v>100</v>
      </c>
      <c r="D2420" s="2" t="s">
        <v>635</v>
      </c>
      <c r="E2420" s="2" t="s">
        <v>770</v>
      </c>
      <c r="F2420" s="101">
        <v>24662</v>
      </c>
    </row>
    <row r="2421" spans="3:6" ht="14.4" customHeight="1" x14ac:dyDescent="0.3">
      <c r="C2421" s="2">
        <v>100</v>
      </c>
      <c r="D2421" s="2" t="s">
        <v>219</v>
      </c>
      <c r="E2421" s="2" t="s">
        <v>770</v>
      </c>
      <c r="F2421" s="101">
        <v>20583</v>
      </c>
    </row>
    <row r="2422" spans="3:6" ht="14.4" customHeight="1" x14ac:dyDescent="0.3">
      <c r="C2422" s="2">
        <v>100</v>
      </c>
      <c r="D2422" s="2" t="s">
        <v>649</v>
      </c>
      <c r="E2422" s="2" t="s">
        <v>773</v>
      </c>
      <c r="F2422" s="101">
        <v>4569</v>
      </c>
    </row>
    <row r="2423" spans="3:6" ht="14.4" customHeight="1" x14ac:dyDescent="0.3">
      <c r="C2423" s="2">
        <v>100</v>
      </c>
      <c r="D2423" s="2" t="s">
        <v>283</v>
      </c>
      <c r="E2423" s="2" t="s">
        <v>769</v>
      </c>
      <c r="F2423" s="101">
        <v>295752</v>
      </c>
    </row>
    <row r="2424" spans="3:6" ht="14.4" customHeight="1" x14ac:dyDescent="0.3">
      <c r="C2424" s="2">
        <v>100</v>
      </c>
      <c r="D2424" s="2" t="s">
        <v>499</v>
      </c>
      <c r="E2424" s="2" t="s">
        <v>771</v>
      </c>
      <c r="F2424" s="101">
        <v>2525</v>
      </c>
    </row>
    <row r="2425" spans="3:6" ht="14.4" customHeight="1" x14ac:dyDescent="0.3">
      <c r="C2425" s="2">
        <v>100</v>
      </c>
      <c r="D2425" s="2" t="s">
        <v>631</v>
      </c>
      <c r="E2425" s="2" t="s">
        <v>773</v>
      </c>
      <c r="F2425" s="101">
        <v>263</v>
      </c>
    </row>
    <row r="2426" spans="3:6" ht="14.4" customHeight="1" x14ac:dyDescent="0.3">
      <c r="C2426" s="2">
        <v>100</v>
      </c>
      <c r="D2426" s="2" t="s">
        <v>445</v>
      </c>
      <c r="E2426" s="2" t="s">
        <v>771</v>
      </c>
      <c r="F2426" s="101">
        <v>170</v>
      </c>
    </row>
    <row r="2427" spans="3:6" ht="14.4" customHeight="1" x14ac:dyDescent="0.3">
      <c r="C2427" s="2">
        <v>100</v>
      </c>
      <c r="D2427" s="2" t="s">
        <v>524</v>
      </c>
      <c r="E2427" s="2" t="s">
        <v>774</v>
      </c>
      <c r="F2427" s="101">
        <v>7702</v>
      </c>
    </row>
    <row r="2428" spans="3:6" ht="14.4" customHeight="1" x14ac:dyDescent="0.3">
      <c r="C2428" s="2">
        <v>100</v>
      </c>
      <c r="D2428" s="2" t="s">
        <v>667</v>
      </c>
      <c r="E2428" s="2" t="s">
        <v>773</v>
      </c>
      <c r="F2428" s="101">
        <v>12</v>
      </c>
    </row>
    <row r="2429" spans="3:6" ht="14.4" customHeight="1" x14ac:dyDescent="0.3">
      <c r="C2429" s="2">
        <v>100</v>
      </c>
      <c r="D2429" s="2" t="s">
        <v>269</v>
      </c>
      <c r="E2429" s="2" t="s">
        <v>782</v>
      </c>
      <c r="F2429" s="101">
        <v>0</v>
      </c>
    </row>
    <row r="2430" spans="3:6" ht="14.4" customHeight="1" x14ac:dyDescent="0.3">
      <c r="C2430" s="2">
        <v>100</v>
      </c>
      <c r="D2430" s="2" t="s">
        <v>647</v>
      </c>
      <c r="E2430" s="2" t="s">
        <v>770</v>
      </c>
      <c r="F2430" s="101">
        <v>34583</v>
      </c>
    </row>
    <row r="2431" spans="3:6" ht="14.4" customHeight="1" x14ac:dyDescent="0.3">
      <c r="C2431" s="2">
        <v>100</v>
      </c>
      <c r="D2431" s="2" t="s">
        <v>227</v>
      </c>
      <c r="E2431" s="2" t="s">
        <v>770</v>
      </c>
      <c r="F2431" s="101">
        <v>1275</v>
      </c>
    </row>
    <row r="2432" spans="3:6" ht="14.4" customHeight="1" x14ac:dyDescent="0.3">
      <c r="C2432" s="2">
        <v>100</v>
      </c>
      <c r="D2432" s="2" t="s">
        <v>537</v>
      </c>
      <c r="E2432" s="2" t="s">
        <v>771</v>
      </c>
      <c r="F2432" s="101">
        <v>2977</v>
      </c>
    </row>
    <row r="2433" spans="3:6" ht="14.4" customHeight="1" x14ac:dyDescent="0.3">
      <c r="C2433" s="2">
        <v>100</v>
      </c>
      <c r="D2433" s="2" t="s">
        <v>585</v>
      </c>
      <c r="E2433" s="2" t="s">
        <v>775</v>
      </c>
      <c r="F2433" s="101">
        <v>52</v>
      </c>
    </row>
    <row r="2434" spans="3:6" ht="14.4" customHeight="1" x14ac:dyDescent="0.3">
      <c r="C2434" s="2">
        <v>100</v>
      </c>
      <c r="D2434" s="2" t="s">
        <v>305</v>
      </c>
      <c r="E2434" s="2" t="s">
        <v>774</v>
      </c>
      <c r="F2434" s="101">
        <v>0</v>
      </c>
    </row>
    <row r="2435" spans="3:6" ht="14.4" customHeight="1" x14ac:dyDescent="0.3">
      <c r="C2435" s="2">
        <v>100</v>
      </c>
      <c r="D2435" s="2" t="s">
        <v>321</v>
      </c>
      <c r="E2435" s="2" t="s">
        <v>774</v>
      </c>
      <c r="F2435" s="101">
        <v>11641</v>
      </c>
    </row>
    <row r="2436" spans="3:6" ht="14.4" customHeight="1" x14ac:dyDescent="0.3">
      <c r="C2436" s="2">
        <v>100</v>
      </c>
      <c r="D2436" s="2" t="s">
        <v>644</v>
      </c>
      <c r="E2436" s="2" t="s">
        <v>769</v>
      </c>
      <c r="F2436" s="101">
        <v>259702</v>
      </c>
    </row>
    <row r="2437" spans="3:6" ht="14.4" customHeight="1" x14ac:dyDescent="0.3">
      <c r="C2437" s="2">
        <v>100</v>
      </c>
      <c r="D2437" s="2" t="s">
        <v>353</v>
      </c>
      <c r="E2437" s="2" t="s">
        <v>775</v>
      </c>
      <c r="F2437" s="101">
        <v>166</v>
      </c>
    </row>
    <row r="2438" spans="3:6" ht="14.4" customHeight="1" x14ac:dyDescent="0.3">
      <c r="C2438" s="2">
        <v>100</v>
      </c>
      <c r="D2438" s="2" t="s">
        <v>376</v>
      </c>
      <c r="E2438" s="2" t="s">
        <v>769</v>
      </c>
      <c r="F2438" s="101">
        <v>934802</v>
      </c>
    </row>
    <row r="2439" spans="3:6" ht="14.4" customHeight="1" x14ac:dyDescent="0.3">
      <c r="C2439" s="2">
        <v>100</v>
      </c>
      <c r="D2439" s="2" t="s">
        <v>226</v>
      </c>
      <c r="E2439" s="2" t="s">
        <v>769</v>
      </c>
      <c r="F2439" s="101">
        <v>491431</v>
      </c>
    </row>
    <row r="2440" spans="3:6" ht="14.4" customHeight="1" x14ac:dyDescent="0.3">
      <c r="C2440" s="2">
        <v>100</v>
      </c>
      <c r="D2440" s="2" t="s">
        <v>340</v>
      </c>
      <c r="E2440" s="2" t="s">
        <v>773</v>
      </c>
      <c r="F2440" s="101">
        <v>30579</v>
      </c>
    </row>
    <row r="2441" spans="3:6" ht="14.4" customHeight="1" x14ac:dyDescent="0.3">
      <c r="C2441" s="2">
        <v>100</v>
      </c>
      <c r="D2441" s="2" t="s">
        <v>326</v>
      </c>
      <c r="E2441" s="2" t="s">
        <v>773</v>
      </c>
      <c r="F2441" s="101">
        <v>1484</v>
      </c>
    </row>
    <row r="2442" spans="3:6" ht="14.4" customHeight="1" x14ac:dyDescent="0.3">
      <c r="C2442" s="2">
        <v>100</v>
      </c>
      <c r="D2442" s="2" t="s">
        <v>255</v>
      </c>
      <c r="E2442" s="2" t="s">
        <v>773</v>
      </c>
      <c r="F2442" s="101">
        <v>20399</v>
      </c>
    </row>
    <row r="2443" spans="3:6" ht="14.4" customHeight="1" x14ac:dyDescent="0.3">
      <c r="C2443" s="2">
        <v>100</v>
      </c>
      <c r="D2443" s="2" t="s">
        <v>372</v>
      </c>
      <c r="E2443" s="2" t="s">
        <v>769</v>
      </c>
      <c r="F2443" s="101">
        <v>60932</v>
      </c>
    </row>
    <row r="2444" spans="3:6" ht="14.4" customHeight="1" x14ac:dyDescent="0.3">
      <c r="C2444" s="2">
        <v>100</v>
      </c>
      <c r="D2444" s="2" t="s">
        <v>503</v>
      </c>
      <c r="E2444" s="2" t="s">
        <v>771</v>
      </c>
      <c r="F2444" s="101">
        <v>4344</v>
      </c>
    </row>
    <row r="2445" spans="3:6" ht="14.4" customHeight="1" x14ac:dyDescent="0.3">
      <c r="C2445" s="2">
        <v>100</v>
      </c>
      <c r="D2445" s="2" t="s">
        <v>572</v>
      </c>
      <c r="E2445" s="2" t="s">
        <v>773</v>
      </c>
      <c r="F2445" s="101">
        <v>9000</v>
      </c>
    </row>
    <row r="2446" spans="3:6" ht="14.4" customHeight="1" x14ac:dyDescent="0.3">
      <c r="C2446" s="2">
        <v>100</v>
      </c>
      <c r="D2446" s="2" t="s">
        <v>220</v>
      </c>
      <c r="E2446" s="2" t="s">
        <v>770</v>
      </c>
      <c r="F2446" s="101">
        <v>860</v>
      </c>
    </row>
    <row r="2447" spans="3:6" ht="14.4" customHeight="1" x14ac:dyDescent="0.3">
      <c r="C2447" s="2">
        <v>100</v>
      </c>
      <c r="D2447" s="2" t="s">
        <v>199</v>
      </c>
      <c r="E2447" s="2" t="s">
        <v>773</v>
      </c>
      <c r="F2447" s="101">
        <v>455</v>
      </c>
    </row>
    <row r="2448" spans="3:6" ht="14.4" customHeight="1" x14ac:dyDescent="0.3">
      <c r="C2448" s="2">
        <v>100</v>
      </c>
      <c r="D2448" s="2" t="s">
        <v>748</v>
      </c>
      <c r="E2448" s="2" t="s">
        <v>774</v>
      </c>
      <c r="F2448" s="101">
        <v>159</v>
      </c>
    </row>
    <row r="2449" spans="3:6" ht="14.4" customHeight="1" x14ac:dyDescent="0.3">
      <c r="C2449" s="2">
        <v>100</v>
      </c>
      <c r="D2449" s="2" t="s">
        <v>220</v>
      </c>
      <c r="E2449" s="2" t="s">
        <v>771</v>
      </c>
      <c r="F2449" s="101">
        <v>9371</v>
      </c>
    </row>
    <row r="2450" spans="3:6" ht="14.4" customHeight="1" x14ac:dyDescent="0.3">
      <c r="C2450" s="2">
        <v>100</v>
      </c>
      <c r="D2450" s="2" t="s">
        <v>709</v>
      </c>
      <c r="E2450" s="2" t="s">
        <v>770</v>
      </c>
      <c r="F2450" s="101">
        <v>178</v>
      </c>
    </row>
    <row r="2451" spans="3:6" ht="14.4" customHeight="1" x14ac:dyDescent="0.3">
      <c r="C2451" s="2">
        <v>100</v>
      </c>
      <c r="D2451" s="2" t="s">
        <v>591</v>
      </c>
      <c r="E2451" s="2" t="s">
        <v>771</v>
      </c>
      <c r="F2451" s="101">
        <v>757</v>
      </c>
    </row>
    <row r="2452" spans="3:6" ht="14.4" customHeight="1" x14ac:dyDescent="0.3">
      <c r="C2452" s="2">
        <v>100</v>
      </c>
      <c r="D2452" s="2" t="s">
        <v>294</v>
      </c>
      <c r="E2452" s="2" t="s">
        <v>772</v>
      </c>
      <c r="F2452" s="101">
        <v>190</v>
      </c>
    </row>
    <row r="2453" spans="3:6" ht="14.4" customHeight="1" x14ac:dyDescent="0.3">
      <c r="C2453" s="2">
        <v>100</v>
      </c>
      <c r="D2453" s="2" t="s">
        <v>542</v>
      </c>
      <c r="E2453" s="2" t="s">
        <v>773</v>
      </c>
      <c r="F2453" s="101">
        <v>2312</v>
      </c>
    </row>
    <row r="2454" spans="3:6" ht="14.4" customHeight="1" x14ac:dyDescent="0.3">
      <c r="C2454" s="2">
        <v>100</v>
      </c>
      <c r="D2454" s="2" t="s">
        <v>569</v>
      </c>
      <c r="E2454" s="2" t="s">
        <v>783</v>
      </c>
      <c r="F2454" s="101">
        <v>51</v>
      </c>
    </row>
    <row r="2455" spans="3:6" ht="14.4" customHeight="1" x14ac:dyDescent="0.3">
      <c r="C2455" s="2">
        <v>100</v>
      </c>
      <c r="D2455" s="2" t="s">
        <v>290</v>
      </c>
      <c r="E2455" s="2" t="s">
        <v>771</v>
      </c>
      <c r="F2455" s="101">
        <v>4226</v>
      </c>
    </row>
    <row r="2456" spans="3:6" ht="14.4" customHeight="1" x14ac:dyDescent="0.3">
      <c r="C2456" s="2">
        <v>100</v>
      </c>
      <c r="D2456" s="2" t="s">
        <v>368</v>
      </c>
      <c r="E2456" s="2" t="s">
        <v>773</v>
      </c>
      <c r="F2456" s="101">
        <v>4386</v>
      </c>
    </row>
    <row r="2457" spans="3:6" ht="14.4" customHeight="1" x14ac:dyDescent="0.3">
      <c r="C2457" s="2">
        <v>100</v>
      </c>
      <c r="D2457" s="2" t="s">
        <v>510</v>
      </c>
      <c r="E2457" s="2" t="s">
        <v>771</v>
      </c>
      <c r="F2457" s="101">
        <v>27200</v>
      </c>
    </row>
    <row r="2458" spans="3:6" ht="14.4" customHeight="1" x14ac:dyDescent="0.3">
      <c r="C2458" s="2">
        <v>100</v>
      </c>
      <c r="D2458" s="2" t="s">
        <v>709</v>
      </c>
      <c r="E2458" s="2" t="s">
        <v>773</v>
      </c>
      <c r="F2458" s="101">
        <v>300</v>
      </c>
    </row>
    <row r="2459" spans="3:6" ht="14.4" customHeight="1" x14ac:dyDescent="0.3">
      <c r="C2459" s="2">
        <v>100</v>
      </c>
      <c r="D2459" s="2" t="s">
        <v>510</v>
      </c>
      <c r="E2459" s="2" t="s">
        <v>770</v>
      </c>
      <c r="F2459" s="101">
        <v>5243</v>
      </c>
    </row>
    <row r="2460" spans="3:6" ht="14.4" customHeight="1" x14ac:dyDescent="0.3">
      <c r="C2460" s="2">
        <v>100</v>
      </c>
      <c r="D2460" s="2" t="s">
        <v>548</v>
      </c>
      <c r="E2460" s="2" t="s">
        <v>771</v>
      </c>
      <c r="F2460" s="101">
        <v>1194</v>
      </c>
    </row>
    <row r="2461" spans="3:6" ht="14.4" customHeight="1" x14ac:dyDescent="0.3">
      <c r="C2461" s="2">
        <v>100</v>
      </c>
      <c r="D2461" s="2" t="s">
        <v>370</v>
      </c>
      <c r="E2461" s="2" t="s">
        <v>773</v>
      </c>
      <c r="F2461" s="101">
        <v>1500</v>
      </c>
    </row>
    <row r="2462" spans="3:6" ht="14.4" customHeight="1" x14ac:dyDescent="0.3">
      <c r="C2462" s="2">
        <v>100</v>
      </c>
      <c r="D2462" s="2" t="s">
        <v>301</v>
      </c>
      <c r="E2462" s="2" t="s">
        <v>773</v>
      </c>
      <c r="F2462" s="101">
        <v>42521</v>
      </c>
    </row>
    <row r="2463" spans="3:6" ht="14.4" customHeight="1" x14ac:dyDescent="0.3">
      <c r="C2463" s="2">
        <v>100</v>
      </c>
      <c r="D2463" s="2" t="s">
        <v>369</v>
      </c>
      <c r="E2463" s="2" t="s">
        <v>774</v>
      </c>
      <c r="F2463" s="101">
        <v>1611</v>
      </c>
    </row>
    <row r="2464" spans="3:6" ht="14.4" customHeight="1" x14ac:dyDescent="0.3">
      <c r="C2464" s="2">
        <v>100</v>
      </c>
      <c r="D2464" s="2" t="s">
        <v>301</v>
      </c>
      <c r="E2464" s="2" t="s">
        <v>775</v>
      </c>
      <c r="F2464" s="101">
        <v>475</v>
      </c>
    </row>
    <row r="2465" spans="3:6" ht="14.4" customHeight="1" x14ac:dyDescent="0.3">
      <c r="C2465" s="2">
        <v>100</v>
      </c>
      <c r="D2465" s="2" t="s">
        <v>471</v>
      </c>
      <c r="E2465" s="2" t="s">
        <v>773</v>
      </c>
      <c r="F2465" s="101">
        <v>4166</v>
      </c>
    </row>
    <row r="2466" spans="3:6" ht="14.4" customHeight="1" x14ac:dyDescent="0.3">
      <c r="C2466" s="2">
        <v>100</v>
      </c>
      <c r="D2466" s="2" t="s">
        <v>471</v>
      </c>
      <c r="E2466" s="2" t="s">
        <v>775</v>
      </c>
      <c r="F2466" s="101">
        <v>13073</v>
      </c>
    </row>
    <row r="2467" spans="3:6" ht="14.4" customHeight="1" x14ac:dyDescent="0.3">
      <c r="C2467" s="2">
        <v>100</v>
      </c>
      <c r="D2467" s="2" t="s">
        <v>345</v>
      </c>
      <c r="E2467" s="2" t="s">
        <v>771</v>
      </c>
      <c r="F2467" s="101">
        <v>16905</v>
      </c>
    </row>
    <row r="2468" spans="3:6" ht="14.4" customHeight="1" x14ac:dyDescent="0.3">
      <c r="C2468" s="2">
        <v>100</v>
      </c>
      <c r="D2468" s="2" t="s">
        <v>353</v>
      </c>
      <c r="E2468" s="2" t="s">
        <v>770</v>
      </c>
      <c r="F2468" s="101">
        <v>16884</v>
      </c>
    </row>
    <row r="2469" spans="3:6" ht="14.4" customHeight="1" x14ac:dyDescent="0.3">
      <c r="C2469" s="2">
        <v>100</v>
      </c>
      <c r="D2469" s="2" t="s">
        <v>327</v>
      </c>
      <c r="E2469" s="2" t="s">
        <v>771</v>
      </c>
      <c r="F2469" s="101">
        <v>488</v>
      </c>
    </row>
    <row r="2470" spans="3:6" ht="14.4" customHeight="1" x14ac:dyDescent="0.3">
      <c r="C2470" s="2">
        <v>100</v>
      </c>
      <c r="D2470" s="2" t="s">
        <v>784</v>
      </c>
      <c r="E2470" s="2" t="s">
        <v>769</v>
      </c>
      <c r="F2470" s="101">
        <v>193</v>
      </c>
    </row>
    <row r="2471" spans="3:6" ht="14.4" customHeight="1" x14ac:dyDescent="0.3">
      <c r="C2471" s="2">
        <v>100</v>
      </c>
      <c r="D2471" s="2" t="s">
        <v>785</v>
      </c>
      <c r="E2471" s="2" t="s">
        <v>769</v>
      </c>
      <c r="F2471" s="101">
        <v>2546</v>
      </c>
    </row>
    <row r="2472" spans="3:6" ht="14.4" customHeight="1" x14ac:dyDescent="0.3">
      <c r="C2472" s="2">
        <v>100</v>
      </c>
      <c r="D2472" s="2" t="s">
        <v>624</v>
      </c>
      <c r="E2472" s="2" t="s">
        <v>775</v>
      </c>
      <c r="F2472" s="101">
        <v>1011</v>
      </c>
    </row>
    <row r="2473" spans="3:6" ht="14.4" customHeight="1" x14ac:dyDescent="0.3">
      <c r="C2473" s="2">
        <v>100</v>
      </c>
      <c r="D2473" s="2" t="s">
        <v>312</v>
      </c>
      <c r="E2473" s="2" t="s">
        <v>770</v>
      </c>
      <c r="F2473" s="101">
        <v>5803</v>
      </c>
    </row>
    <row r="2474" spans="3:6" ht="14.4" customHeight="1" x14ac:dyDescent="0.3">
      <c r="C2474" s="2">
        <v>100</v>
      </c>
      <c r="D2474" s="2" t="s">
        <v>385</v>
      </c>
      <c r="E2474" s="2" t="s">
        <v>773</v>
      </c>
      <c r="F2474" s="101">
        <v>1751</v>
      </c>
    </row>
    <row r="2475" spans="3:6" ht="14.4" customHeight="1" x14ac:dyDescent="0.3">
      <c r="C2475" s="2">
        <v>100</v>
      </c>
      <c r="D2475" s="2" t="s">
        <v>417</v>
      </c>
      <c r="E2475" s="2" t="s">
        <v>775</v>
      </c>
      <c r="F2475" s="101">
        <v>39944</v>
      </c>
    </row>
    <row r="2476" spans="3:6" ht="14.4" customHeight="1" x14ac:dyDescent="0.3">
      <c r="C2476" s="2">
        <v>100</v>
      </c>
      <c r="D2476" s="2" t="s">
        <v>430</v>
      </c>
      <c r="E2476" s="2" t="s">
        <v>770</v>
      </c>
      <c r="F2476" s="101">
        <v>37311</v>
      </c>
    </row>
    <row r="2477" spans="3:6" ht="14.4" customHeight="1" x14ac:dyDescent="0.3">
      <c r="C2477" s="2">
        <v>100</v>
      </c>
      <c r="D2477" s="2" t="s">
        <v>531</v>
      </c>
      <c r="E2477" s="2" t="s">
        <v>771</v>
      </c>
      <c r="F2477" s="101">
        <v>8307</v>
      </c>
    </row>
    <row r="2478" spans="3:6" ht="14.4" customHeight="1" x14ac:dyDescent="0.3">
      <c r="C2478" s="2">
        <v>100</v>
      </c>
      <c r="D2478" s="2" t="s">
        <v>251</v>
      </c>
      <c r="E2478" s="2" t="s">
        <v>769</v>
      </c>
      <c r="F2478" s="101">
        <v>97299</v>
      </c>
    </row>
    <row r="2479" spans="3:6" ht="14.4" customHeight="1" x14ac:dyDescent="0.3">
      <c r="C2479" s="2">
        <v>100</v>
      </c>
      <c r="D2479" s="2" t="s">
        <v>458</v>
      </c>
      <c r="E2479" s="2" t="s">
        <v>771</v>
      </c>
      <c r="F2479" s="101">
        <v>32840</v>
      </c>
    </row>
    <row r="2480" spans="3:6" ht="14.4" customHeight="1" x14ac:dyDescent="0.3">
      <c r="C2480" s="2">
        <v>100</v>
      </c>
      <c r="D2480" s="2" t="s">
        <v>581</v>
      </c>
      <c r="E2480" s="2" t="s">
        <v>770</v>
      </c>
      <c r="F2480" s="101">
        <v>113</v>
      </c>
    </row>
    <row r="2481" spans="3:6" ht="14.4" customHeight="1" x14ac:dyDescent="0.3">
      <c r="C2481" s="2">
        <v>100</v>
      </c>
      <c r="D2481" s="2" t="s">
        <v>689</v>
      </c>
      <c r="E2481" s="2" t="s">
        <v>770</v>
      </c>
      <c r="F2481" s="101">
        <v>2531</v>
      </c>
    </row>
    <row r="2482" spans="3:6" ht="14.4" customHeight="1" x14ac:dyDescent="0.3">
      <c r="C2482" s="2">
        <v>100</v>
      </c>
      <c r="D2482" s="2" t="s">
        <v>664</v>
      </c>
      <c r="E2482" s="2" t="s">
        <v>774</v>
      </c>
      <c r="F2482" s="101">
        <v>0</v>
      </c>
    </row>
    <row r="2483" spans="3:6" ht="14.4" customHeight="1" x14ac:dyDescent="0.3">
      <c r="C2483" s="2">
        <v>100</v>
      </c>
      <c r="D2483" s="2" t="s">
        <v>484</v>
      </c>
      <c r="E2483" s="2" t="s">
        <v>773</v>
      </c>
      <c r="F2483" s="101">
        <v>4118</v>
      </c>
    </row>
    <row r="2484" spans="3:6" ht="14.4" customHeight="1" x14ac:dyDescent="0.3">
      <c r="C2484" s="2">
        <v>100</v>
      </c>
      <c r="D2484" s="2" t="s">
        <v>236</v>
      </c>
      <c r="E2484" s="2" t="s">
        <v>770</v>
      </c>
      <c r="F2484" s="101">
        <v>47041</v>
      </c>
    </row>
    <row r="2485" spans="3:6" ht="14.4" customHeight="1" x14ac:dyDescent="0.3">
      <c r="C2485" s="2">
        <v>100</v>
      </c>
      <c r="D2485" s="2" t="s">
        <v>287</v>
      </c>
      <c r="E2485" s="2" t="s">
        <v>773</v>
      </c>
      <c r="F2485" s="101">
        <v>535</v>
      </c>
    </row>
    <row r="2486" spans="3:6" ht="14.4" customHeight="1" x14ac:dyDescent="0.3">
      <c r="C2486" s="2">
        <v>100</v>
      </c>
      <c r="D2486" s="2" t="s">
        <v>544</v>
      </c>
      <c r="E2486" s="2" t="s">
        <v>774</v>
      </c>
      <c r="F2486" s="101">
        <v>464</v>
      </c>
    </row>
    <row r="2487" spans="3:6" ht="14.4" customHeight="1" x14ac:dyDescent="0.3">
      <c r="C2487" s="2">
        <v>100</v>
      </c>
      <c r="D2487" s="2" t="s">
        <v>688</v>
      </c>
      <c r="E2487" s="2" t="s">
        <v>771</v>
      </c>
      <c r="F2487" s="101">
        <v>1841</v>
      </c>
    </row>
    <row r="2488" spans="3:6" ht="14.4" customHeight="1" x14ac:dyDescent="0.3">
      <c r="C2488" s="2">
        <v>100</v>
      </c>
      <c r="D2488" s="2" t="s">
        <v>484</v>
      </c>
      <c r="E2488" s="2" t="s">
        <v>771</v>
      </c>
      <c r="F2488" s="101">
        <v>34212</v>
      </c>
    </row>
    <row r="2489" spans="3:6" ht="14.4" customHeight="1" x14ac:dyDescent="0.3">
      <c r="C2489" s="2">
        <v>100</v>
      </c>
      <c r="D2489" s="2" t="s">
        <v>470</v>
      </c>
      <c r="E2489" s="2" t="s">
        <v>769</v>
      </c>
      <c r="F2489" s="101">
        <v>26398</v>
      </c>
    </row>
    <row r="2490" spans="3:6" ht="14.4" customHeight="1" x14ac:dyDescent="0.3">
      <c r="C2490" s="2">
        <v>100</v>
      </c>
      <c r="D2490" s="2" t="s">
        <v>672</v>
      </c>
      <c r="E2490" s="2" t="s">
        <v>770</v>
      </c>
      <c r="F2490" s="101">
        <v>3854</v>
      </c>
    </row>
    <row r="2491" spans="3:6" ht="14.4" customHeight="1" x14ac:dyDescent="0.3">
      <c r="C2491" s="2">
        <v>100</v>
      </c>
      <c r="D2491" s="2" t="s">
        <v>600</v>
      </c>
      <c r="E2491" s="2" t="s">
        <v>770</v>
      </c>
      <c r="F2491" s="101">
        <v>508</v>
      </c>
    </row>
    <row r="2492" spans="3:6" ht="14.4" customHeight="1" x14ac:dyDescent="0.3">
      <c r="C2492" s="2">
        <v>100</v>
      </c>
      <c r="D2492" s="2" t="s">
        <v>443</v>
      </c>
      <c r="E2492" s="2" t="s">
        <v>774</v>
      </c>
      <c r="F2492" s="101">
        <v>0</v>
      </c>
    </row>
    <row r="2493" spans="3:6" ht="14.4" customHeight="1" x14ac:dyDescent="0.3">
      <c r="C2493" s="2">
        <v>100</v>
      </c>
      <c r="D2493" s="2" t="s">
        <v>362</v>
      </c>
      <c r="E2493" s="2" t="s">
        <v>774</v>
      </c>
      <c r="F2493" s="101">
        <v>0</v>
      </c>
    </row>
    <row r="2494" spans="3:6" ht="14.4" customHeight="1" x14ac:dyDescent="0.3">
      <c r="C2494" s="2">
        <v>100</v>
      </c>
      <c r="D2494" s="2" t="s">
        <v>589</v>
      </c>
      <c r="E2494" s="2" t="s">
        <v>769</v>
      </c>
      <c r="F2494" s="101">
        <v>50715</v>
      </c>
    </row>
    <row r="2495" spans="3:6" ht="14.4" customHeight="1" x14ac:dyDescent="0.3">
      <c r="C2495" s="2">
        <v>100</v>
      </c>
      <c r="D2495" s="2" t="s">
        <v>350</v>
      </c>
      <c r="E2495" s="2" t="s">
        <v>775</v>
      </c>
      <c r="F2495" s="101">
        <v>203</v>
      </c>
    </row>
    <row r="2496" spans="3:6" ht="14.4" customHeight="1" x14ac:dyDescent="0.3">
      <c r="C2496" s="2">
        <v>100</v>
      </c>
      <c r="D2496" s="2" t="s">
        <v>528</v>
      </c>
      <c r="E2496" s="2" t="s">
        <v>770</v>
      </c>
      <c r="F2496" s="101">
        <v>47632</v>
      </c>
    </row>
    <row r="2497" spans="3:6" ht="14.4" customHeight="1" x14ac:dyDescent="0.3">
      <c r="C2497" s="2">
        <v>100</v>
      </c>
      <c r="D2497" s="2" t="s">
        <v>237</v>
      </c>
      <c r="E2497" s="2" t="s">
        <v>769</v>
      </c>
      <c r="F2497" s="101">
        <v>120957</v>
      </c>
    </row>
    <row r="2498" spans="3:6" ht="14.4" customHeight="1" x14ac:dyDescent="0.3">
      <c r="C2498" s="2">
        <v>100</v>
      </c>
      <c r="D2498" s="2" t="s">
        <v>348</v>
      </c>
      <c r="E2498" s="2" t="s">
        <v>769</v>
      </c>
      <c r="F2498" s="101">
        <v>64972</v>
      </c>
    </row>
    <row r="2499" spans="3:6" ht="14.4" customHeight="1" x14ac:dyDescent="0.3">
      <c r="C2499" s="2">
        <v>100</v>
      </c>
      <c r="D2499" s="2" t="s">
        <v>291</v>
      </c>
      <c r="E2499" s="2" t="s">
        <v>771</v>
      </c>
      <c r="F2499" s="101">
        <v>227</v>
      </c>
    </row>
    <row r="2500" spans="3:6" ht="14.4" customHeight="1" x14ac:dyDescent="0.3">
      <c r="C2500" s="2">
        <v>100</v>
      </c>
      <c r="D2500" s="2" t="s">
        <v>289</v>
      </c>
      <c r="E2500" s="2" t="s">
        <v>775</v>
      </c>
      <c r="F2500" s="101">
        <v>113</v>
      </c>
    </row>
    <row r="2501" spans="3:6" ht="14.4" customHeight="1" x14ac:dyDescent="0.3">
      <c r="C2501" s="2">
        <v>100</v>
      </c>
      <c r="D2501" s="2" t="s">
        <v>625</v>
      </c>
      <c r="E2501" s="2" t="s">
        <v>769</v>
      </c>
      <c r="F2501" s="101">
        <v>28178</v>
      </c>
    </row>
    <row r="2502" spans="3:6" ht="14.4" customHeight="1" x14ac:dyDescent="0.3">
      <c r="C2502" s="2">
        <v>100</v>
      </c>
      <c r="D2502" s="2" t="s">
        <v>473</v>
      </c>
      <c r="E2502" s="2" t="s">
        <v>771</v>
      </c>
      <c r="F2502" s="101">
        <v>43372</v>
      </c>
    </row>
    <row r="2503" spans="3:6" ht="14.4" customHeight="1" x14ac:dyDescent="0.3">
      <c r="C2503" s="2">
        <v>100</v>
      </c>
      <c r="D2503" s="2" t="s">
        <v>531</v>
      </c>
      <c r="E2503" s="2" t="s">
        <v>775</v>
      </c>
      <c r="F2503" s="101">
        <v>582</v>
      </c>
    </row>
    <row r="2504" spans="3:6" ht="14.4" customHeight="1" x14ac:dyDescent="0.3">
      <c r="C2504" s="2">
        <v>100</v>
      </c>
      <c r="D2504" s="2" t="s">
        <v>529</v>
      </c>
      <c r="E2504" s="2" t="s">
        <v>771</v>
      </c>
      <c r="F2504" s="101">
        <v>8457</v>
      </c>
    </row>
    <row r="2505" spans="3:6" ht="14.4" customHeight="1" x14ac:dyDescent="0.3">
      <c r="C2505" s="2">
        <v>100</v>
      </c>
      <c r="D2505" s="2" t="s">
        <v>388</v>
      </c>
      <c r="E2505" s="2" t="s">
        <v>769</v>
      </c>
      <c r="F2505" s="101">
        <v>835176</v>
      </c>
    </row>
    <row r="2506" spans="3:6" ht="14.4" customHeight="1" x14ac:dyDescent="0.3">
      <c r="C2506" s="2">
        <v>100</v>
      </c>
      <c r="D2506" s="2" t="s">
        <v>618</v>
      </c>
      <c r="E2506" s="2" t="s">
        <v>774</v>
      </c>
      <c r="F2506" s="101">
        <v>99</v>
      </c>
    </row>
    <row r="2507" spans="3:6" ht="14.4" customHeight="1" x14ac:dyDescent="0.3">
      <c r="C2507" s="2">
        <v>100</v>
      </c>
      <c r="D2507" s="2" t="s">
        <v>313</v>
      </c>
      <c r="E2507" s="2" t="s">
        <v>769</v>
      </c>
      <c r="F2507" s="101">
        <v>1031613</v>
      </c>
    </row>
    <row r="2508" spans="3:6" ht="14.4" customHeight="1" x14ac:dyDescent="0.3">
      <c r="C2508" s="2">
        <v>100</v>
      </c>
      <c r="D2508" s="2" t="s">
        <v>380</v>
      </c>
      <c r="E2508" s="2" t="s">
        <v>769</v>
      </c>
      <c r="F2508" s="101">
        <v>137154</v>
      </c>
    </row>
    <row r="2509" spans="3:6" ht="14.4" customHeight="1" x14ac:dyDescent="0.3">
      <c r="C2509" s="2">
        <v>100</v>
      </c>
      <c r="D2509" s="2" t="s">
        <v>727</v>
      </c>
      <c r="E2509" s="2" t="s">
        <v>769</v>
      </c>
      <c r="F2509" s="101">
        <v>13747</v>
      </c>
    </row>
    <row r="2510" spans="3:6" ht="14.4" customHeight="1" x14ac:dyDescent="0.3">
      <c r="C2510" s="2">
        <v>100</v>
      </c>
      <c r="D2510" s="2" t="s">
        <v>343</v>
      </c>
      <c r="E2510" s="2" t="s">
        <v>770</v>
      </c>
      <c r="F2510" s="101">
        <v>19751</v>
      </c>
    </row>
    <row r="2511" spans="3:6" ht="14.4" customHeight="1" x14ac:dyDescent="0.3">
      <c r="C2511" s="2">
        <v>100</v>
      </c>
      <c r="D2511" s="2" t="s">
        <v>699</v>
      </c>
      <c r="E2511" s="2" t="s">
        <v>775</v>
      </c>
      <c r="F2511" s="101">
        <v>17</v>
      </c>
    </row>
    <row r="2512" spans="3:6" ht="14.4" customHeight="1" x14ac:dyDescent="0.3">
      <c r="C2512" s="2">
        <v>100</v>
      </c>
      <c r="D2512" s="2" t="s">
        <v>343</v>
      </c>
      <c r="E2512" s="2" t="s">
        <v>771</v>
      </c>
      <c r="F2512" s="101">
        <v>15709</v>
      </c>
    </row>
    <row r="2513" spans="3:6" ht="14.4" customHeight="1" x14ac:dyDescent="0.3">
      <c r="C2513" s="2">
        <v>100</v>
      </c>
      <c r="D2513" s="2" t="s">
        <v>249</v>
      </c>
      <c r="E2513" s="2" t="s">
        <v>770</v>
      </c>
      <c r="F2513" s="101">
        <v>347</v>
      </c>
    </row>
    <row r="2514" spans="3:6" ht="14.4" customHeight="1" x14ac:dyDescent="0.3">
      <c r="C2514" s="2">
        <v>100</v>
      </c>
      <c r="D2514" s="2" t="s">
        <v>681</v>
      </c>
      <c r="E2514" s="2" t="s">
        <v>774</v>
      </c>
      <c r="F2514" s="101">
        <v>0</v>
      </c>
    </row>
    <row r="2515" spans="3:6" ht="14.4" customHeight="1" x14ac:dyDescent="0.3">
      <c r="C2515" s="2">
        <v>100</v>
      </c>
      <c r="D2515" s="2" t="s">
        <v>349</v>
      </c>
      <c r="E2515" s="2" t="s">
        <v>770</v>
      </c>
      <c r="F2515" s="101">
        <v>7041</v>
      </c>
    </row>
    <row r="2516" spans="3:6" ht="14.4" customHeight="1" x14ac:dyDescent="0.3">
      <c r="C2516" s="2">
        <v>100</v>
      </c>
      <c r="D2516" s="2" t="s">
        <v>314</v>
      </c>
      <c r="E2516" s="2" t="s">
        <v>771</v>
      </c>
      <c r="F2516" s="101">
        <v>3775</v>
      </c>
    </row>
    <row r="2517" spans="3:6" ht="14.4" customHeight="1" x14ac:dyDescent="0.3">
      <c r="C2517" s="2">
        <v>100</v>
      </c>
      <c r="D2517" s="2" t="s">
        <v>743</v>
      </c>
      <c r="E2517" s="2" t="s">
        <v>770</v>
      </c>
      <c r="F2517" s="101">
        <v>511</v>
      </c>
    </row>
    <row r="2518" spans="3:6" ht="14.4" customHeight="1" x14ac:dyDescent="0.3">
      <c r="C2518" s="2">
        <v>100</v>
      </c>
      <c r="D2518" s="2" t="s">
        <v>276</v>
      </c>
      <c r="E2518" s="2" t="s">
        <v>770</v>
      </c>
      <c r="F2518" s="101">
        <v>856</v>
      </c>
    </row>
    <row r="2519" spans="3:6" ht="14.4" customHeight="1" x14ac:dyDescent="0.3">
      <c r="C2519" s="2">
        <v>100</v>
      </c>
      <c r="D2519" s="2" t="s">
        <v>314</v>
      </c>
      <c r="E2519" s="2" t="s">
        <v>770</v>
      </c>
      <c r="F2519" s="101">
        <v>14727</v>
      </c>
    </row>
    <row r="2520" spans="3:6" ht="14.4" customHeight="1" x14ac:dyDescent="0.3">
      <c r="C2520" s="2">
        <v>100</v>
      </c>
      <c r="D2520" s="2" t="s">
        <v>276</v>
      </c>
      <c r="E2520" s="2" t="s">
        <v>771</v>
      </c>
      <c r="F2520" s="101">
        <v>2826</v>
      </c>
    </row>
    <row r="2521" spans="3:6" ht="14.4" customHeight="1" x14ac:dyDescent="0.3">
      <c r="C2521" s="2">
        <v>100</v>
      </c>
      <c r="D2521" s="2" t="s">
        <v>648</v>
      </c>
      <c r="E2521" s="2" t="s">
        <v>773</v>
      </c>
      <c r="F2521" s="101">
        <v>1467</v>
      </c>
    </row>
    <row r="2522" spans="3:6" ht="14.4" customHeight="1" x14ac:dyDescent="0.3">
      <c r="C2522" s="2">
        <v>100</v>
      </c>
      <c r="D2522" s="2" t="s">
        <v>281</v>
      </c>
      <c r="E2522" s="2" t="s">
        <v>769</v>
      </c>
      <c r="F2522" s="101">
        <v>38155</v>
      </c>
    </row>
    <row r="2523" spans="3:6" ht="14.4" customHeight="1" x14ac:dyDescent="0.3">
      <c r="C2523" s="2">
        <v>100</v>
      </c>
      <c r="D2523" s="2" t="s">
        <v>285</v>
      </c>
      <c r="E2523" s="2" t="s">
        <v>774</v>
      </c>
      <c r="F2523" s="101">
        <v>1936</v>
      </c>
    </row>
    <row r="2524" spans="3:6" ht="14.4" customHeight="1" x14ac:dyDescent="0.3">
      <c r="C2524" s="2">
        <v>100</v>
      </c>
      <c r="D2524" s="2" t="s">
        <v>459</v>
      </c>
      <c r="E2524" s="2" t="s">
        <v>774</v>
      </c>
      <c r="F2524" s="101">
        <v>7803</v>
      </c>
    </row>
    <row r="2525" spans="3:6" ht="14.4" customHeight="1" x14ac:dyDescent="0.3">
      <c r="C2525" s="2">
        <v>100</v>
      </c>
      <c r="D2525" s="2" t="s">
        <v>557</v>
      </c>
      <c r="E2525" s="2" t="s">
        <v>771</v>
      </c>
      <c r="F2525" s="101">
        <v>7888</v>
      </c>
    </row>
    <row r="2526" spans="3:6" ht="14.4" customHeight="1" x14ac:dyDescent="0.3">
      <c r="C2526" s="2">
        <v>100</v>
      </c>
      <c r="D2526" s="2" t="s">
        <v>567</v>
      </c>
      <c r="E2526" s="2" t="s">
        <v>773</v>
      </c>
      <c r="F2526" s="101">
        <v>573</v>
      </c>
    </row>
    <row r="2527" spans="3:6" ht="14.4" customHeight="1" x14ac:dyDescent="0.3">
      <c r="C2527" s="2">
        <v>100</v>
      </c>
      <c r="D2527" s="2" t="s">
        <v>732</v>
      </c>
      <c r="E2527" s="2" t="s">
        <v>772</v>
      </c>
      <c r="F2527" s="101">
        <v>183</v>
      </c>
    </row>
    <row r="2528" spans="3:6" ht="14.4" customHeight="1" x14ac:dyDescent="0.3">
      <c r="C2528" s="2">
        <v>100</v>
      </c>
      <c r="D2528" s="2" t="s">
        <v>205</v>
      </c>
      <c r="E2528" s="2" t="s">
        <v>774</v>
      </c>
      <c r="F2528" s="101">
        <v>660</v>
      </c>
    </row>
    <row r="2529" spans="3:6" ht="14.4" customHeight="1" x14ac:dyDescent="0.3">
      <c r="C2529" s="2">
        <v>100</v>
      </c>
      <c r="D2529" s="2" t="s">
        <v>257</v>
      </c>
      <c r="E2529" s="2" t="s">
        <v>773</v>
      </c>
      <c r="F2529" s="101">
        <v>3990</v>
      </c>
    </row>
    <row r="2530" spans="3:6" ht="14.4" customHeight="1" x14ac:dyDescent="0.3">
      <c r="C2530" s="2">
        <v>100</v>
      </c>
      <c r="D2530" s="2" t="s">
        <v>679</v>
      </c>
      <c r="E2530" s="2" t="s">
        <v>773</v>
      </c>
      <c r="F2530" s="101">
        <v>320</v>
      </c>
    </row>
    <row r="2531" spans="3:6" ht="14.4" customHeight="1" x14ac:dyDescent="0.3">
      <c r="C2531" s="2">
        <v>100</v>
      </c>
      <c r="D2531" s="2" t="s">
        <v>208</v>
      </c>
      <c r="E2531" s="2" t="s">
        <v>774</v>
      </c>
      <c r="F2531" s="101">
        <v>-1622</v>
      </c>
    </row>
    <row r="2532" spans="3:6" ht="14.4" customHeight="1" x14ac:dyDescent="0.3">
      <c r="C2532" s="2">
        <v>100</v>
      </c>
      <c r="D2532" s="2" t="s">
        <v>203</v>
      </c>
      <c r="E2532" s="2" t="s">
        <v>771</v>
      </c>
      <c r="F2532" s="101">
        <v>19937</v>
      </c>
    </row>
    <row r="2533" spans="3:6" ht="14.4" customHeight="1" x14ac:dyDescent="0.3">
      <c r="C2533" s="2">
        <v>100</v>
      </c>
      <c r="D2533" s="2" t="s">
        <v>691</v>
      </c>
      <c r="E2533" s="2" t="s">
        <v>770</v>
      </c>
      <c r="F2533" s="101">
        <v>1937</v>
      </c>
    </row>
    <row r="2534" spans="3:6" ht="14.4" customHeight="1" x14ac:dyDescent="0.3">
      <c r="C2534" s="2">
        <v>100</v>
      </c>
      <c r="D2534" s="2" t="s">
        <v>613</v>
      </c>
      <c r="E2534" s="2" t="s">
        <v>770</v>
      </c>
      <c r="F2534" s="101">
        <v>2244</v>
      </c>
    </row>
    <row r="2535" spans="3:6" ht="14.4" customHeight="1" x14ac:dyDescent="0.3">
      <c r="C2535" s="2">
        <v>100</v>
      </c>
      <c r="D2535" s="2" t="s">
        <v>400</v>
      </c>
      <c r="E2535" s="2" t="s">
        <v>771</v>
      </c>
      <c r="F2535" s="101">
        <v>5986</v>
      </c>
    </row>
    <row r="2536" spans="3:6" ht="14.4" customHeight="1" x14ac:dyDescent="0.3">
      <c r="C2536" s="2">
        <v>100</v>
      </c>
      <c r="D2536" s="2" t="s">
        <v>462</v>
      </c>
      <c r="E2536" s="2" t="s">
        <v>771</v>
      </c>
      <c r="F2536" s="101">
        <v>44698</v>
      </c>
    </row>
    <row r="2537" spans="3:6" ht="14.4" customHeight="1" x14ac:dyDescent="0.3">
      <c r="C2537" s="2">
        <v>100</v>
      </c>
      <c r="D2537" s="2" t="s">
        <v>416</v>
      </c>
      <c r="E2537" s="2" t="s">
        <v>769</v>
      </c>
      <c r="F2537" s="101">
        <v>74167</v>
      </c>
    </row>
    <row r="2538" spans="3:6" ht="14.4" customHeight="1" x14ac:dyDescent="0.3">
      <c r="C2538" s="2">
        <v>100</v>
      </c>
      <c r="D2538" s="2" t="s">
        <v>589</v>
      </c>
      <c r="E2538" s="2" t="s">
        <v>770</v>
      </c>
      <c r="F2538" s="101">
        <v>2208</v>
      </c>
    </row>
    <row r="2539" spans="3:6" ht="14.4" customHeight="1" x14ac:dyDescent="0.3">
      <c r="C2539" s="2">
        <v>100</v>
      </c>
      <c r="D2539" s="2" t="s">
        <v>224</v>
      </c>
      <c r="E2539" s="2" t="s">
        <v>771</v>
      </c>
      <c r="F2539" s="101">
        <v>65836</v>
      </c>
    </row>
    <row r="2540" spans="3:6" ht="14.4" customHeight="1" x14ac:dyDescent="0.3">
      <c r="C2540" s="2">
        <v>100</v>
      </c>
      <c r="D2540" s="2" t="s">
        <v>202</v>
      </c>
      <c r="E2540" s="2" t="s">
        <v>773</v>
      </c>
      <c r="F2540" s="101">
        <v>4900</v>
      </c>
    </row>
    <row r="2541" spans="3:6" ht="14.4" customHeight="1" x14ac:dyDescent="0.3">
      <c r="C2541" s="2">
        <v>100</v>
      </c>
      <c r="D2541" s="2" t="s">
        <v>381</v>
      </c>
      <c r="E2541" s="2" t="s">
        <v>769</v>
      </c>
      <c r="F2541" s="101">
        <v>734350</v>
      </c>
    </row>
    <row r="2542" spans="3:6" ht="14.4" customHeight="1" x14ac:dyDescent="0.3">
      <c r="C2542" s="2">
        <v>100</v>
      </c>
      <c r="D2542" s="2" t="s">
        <v>517</v>
      </c>
      <c r="E2542" s="2" t="s">
        <v>769</v>
      </c>
      <c r="F2542" s="101">
        <v>84268</v>
      </c>
    </row>
    <row r="2543" spans="3:6" ht="14.4" customHeight="1" x14ac:dyDescent="0.3">
      <c r="C2543" s="2">
        <v>100</v>
      </c>
      <c r="D2543" s="2" t="s">
        <v>355</v>
      </c>
      <c r="E2543" s="2" t="s">
        <v>771</v>
      </c>
      <c r="F2543" s="101">
        <v>101530</v>
      </c>
    </row>
    <row r="2544" spans="3:6" ht="14.4" customHeight="1" x14ac:dyDescent="0.3">
      <c r="C2544" s="2">
        <v>100</v>
      </c>
      <c r="D2544" s="2" t="s">
        <v>269</v>
      </c>
      <c r="E2544" s="2" t="s">
        <v>774</v>
      </c>
      <c r="F2544" s="101">
        <v>24256</v>
      </c>
    </row>
    <row r="2545" spans="3:6" ht="14.4" customHeight="1" x14ac:dyDescent="0.3">
      <c r="C2545" s="2">
        <v>100</v>
      </c>
      <c r="D2545" s="2" t="s">
        <v>590</v>
      </c>
      <c r="E2545" s="2" t="s">
        <v>771</v>
      </c>
      <c r="F2545" s="101">
        <v>7798</v>
      </c>
    </row>
    <row r="2546" spans="3:6" ht="14.4" customHeight="1" x14ac:dyDescent="0.3">
      <c r="C2546" s="2">
        <v>100</v>
      </c>
      <c r="D2546" s="2" t="s">
        <v>433</v>
      </c>
      <c r="E2546" s="2" t="s">
        <v>775</v>
      </c>
      <c r="F2546" s="101">
        <v>287</v>
      </c>
    </row>
    <row r="2547" spans="3:6" ht="14.4" customHeight="1" x14ac:dyDescent="0.3">
      <c r="C2547" s="2">
        <v>100</v>
      </c>
      <c r="D2547" s="2" t="s">
        <v>600</v>
      </c>
      <c r="E2547" s="2" t="s">
        <v>769</v>
      </c>
      <c r="F2547" s="101">
        <v>41945</v>
      </c>
    </row>
    <row r="2548" spans="3:6" ht="14.4" customHeight="1" x14ac:dyDescent="0.3">
      <c r="C2548" s="2">
        <v>100</v>
      </c>
      <c r="D2548" s="2" t="s">
        <v>592</v>
      </c>
      <c r="E2548" s="2" t="s">
        <v>774</v>
      </c>
      <c r="F2548" s="101">
        <v>-4977</v>
      </c>
    </row>
    <row r="2549" spans="3:6" ht="14.4" customHeight="1" x14ac:dyDescent="0.3">
      <c r="C2549" s="2">
        <v>100</v>
      </c>
      <c r="D2549" s="2" t="s">
        <v>355</v>
      </c>
      <c r="E2549" s="2" t="s">
        <v>775</v>
      </c>
      <c r="F2549" s="101">
        <v>5400</v>
      </c>
    </row>
    <row r="2550" spans="3:6" ht="14.4" customHeight="1" x14ac:dyDescent="0.3">
      <c r="C2550" s="2">
        <v>100</v>
      </c>
      <c r="D2550" s="2" t="s">
        <v>662</v>
      </c>
      <c r="E2550" s="2" t="s">
        <v>771</v>
      </c>
      <c r="F2550" s="101">
        <v>10161</v>
      </c>
    </row>
    <row r="2551" spans="3:6" ht="14.4" customHeight="1" x14ac:dyDescent="0.3">
      <c r="C2551" s="2">
        <v>100</v>
      </c>
      <c r="D2551" s="2" t="s">
        <v>397</v>
      </c>
      <c r="E2551" s="2" t="s">
        <v>774</v>
      </c>
      <c r="F2551" s="101">
        <v>-218</v>
      </c>
    </row>
    <row r="2552" spans="3:6" ht="14.4" customHeight="1" x14ac:dyDescent="0.3">
      <c r="C2552" s="2">
        <v>100</v>
      </c>
      <c r="D2552" s="2" t="s">
        <v>508</v>
      </c>
      <c r="E2552" s="2" t="s">
        <v>769</v>
      </c>
      <c r="F2552" s="101">
        <v>33711</v>
      </c>
    </row>
    <row r="2553" spans="3:6" ht="14.4" customHeight="1" x14ac:dyDescent="0.3">
      <c r="C2553" s="2">
        <v>100</v>
      </c>
      <c r="D2553" s="2" t="s">
        <v>561</v>
      </c>
      <c r="E2553" s="2" t="s">
        <v>769</v>
      </c>
      <c r="F2553" s="101">
        <v>9854</v>
      </c>
    </row>
    <row r="2554" spans="3:6" ht="14.4" customHeight="1" x14ac:dyDescent="0.3">
      <c r="C2554" s="2">
        <v>100</v>
      </c>
      <c r="D2554" s="2" t="s">
        <v>259</v>
      </c>
      <c r="E2554" s="2" t="s">
        <v>774</v>
      </c>
      <c r="F2554" s="101">
        <v>10511</v>
      </c>
    </row>
    <row r="2555" spans="3:6" ht="14.4" customHeight="1" x14ac:dyDescent="0.3">
      <c r="C2555" s="2">
        <v>100</v>
      </c>
      <c r="D2555" s="2" t="s">
        <v>629</v>
      </c>
      <c r="E2555" s="2" t="s">
        <v>771</v>
      </c>
      <c r="F2555" s="101">
        <v>937</v>
      </c>
    </row>
    <row r="2556" spans="3:6" ht="14.4" customHeight="1" x14ac:dyDescent="0.3">
      <c r="C2556" s="2">
        <v>100</v>
      </c>
      <c r="D2556" s="2" t="s">
        <v>450</v>
      </c>
      <c r="E2556" s="2" t="s">
        <v>782</v>
      </c>
      <c r="F2556" s="101">
        <v>5</v>
      </c>
    </row>
    <row r="2557" spans="3:6" ht="14.4" customHeight="1" x14ac:dyDescent="0.3">
      <c r="C2557" s="2">
        <v>100</v>
      </c>
      <c r="D2557" s="2" t="s">
        <v>609</v>
      </c>
      <c r="E2557" s="2" t="s">
        <v>769</v>
      </c>
      <c r="F2557" s="101">
        <v>48738</v>
      </c>
    </row>
    <row r="2558" spans="3:6" ht="14.4" customHeight="1" x14ac:dyDescent="0.3">
      <c r="C2558" s="2">
        <v>100</v>
      </c>
      <c r="D2558" s="2" t="s">
        <v>509</v>
      </c>
      <c r="E2558" s="2" t="s">
        <v>774</v>
      </c>
      <c r="F2558" s="101">
        <v>1950</v>
      </c>
    </row>
    <row r="2559" spans="3:6" ht="14.4" customHeight="1" x14ac:dyDescent="0.3">
      <c r="C2559" s="2">
        <v>100</v>
      </c>
      <c r="D2559" s="2" t="s">
        <v>554</v>
      </c>
      <c r="E2559" s="2" t="s">
        <v>775</v>
      </c>
      <c r="F2559" s="101">
        <v>42</v>
      </c>
    </row>
    <row r="2560" spans="3:6" ht="14.4" customHeight="1" x14ac:dyDescent="0.3">
      <c r="C2560" s="2">
        <v>100</v>
      </c>
      <c r="D2560" s="2" t="s">
        <v>668</v>
      </c>
      <c r="E2560" s="2" t="s">
        <v>769</v>
      </c>
      <c r="F2560" s="101">
        <v>6130</v>
      </c>
    </row>
    <row r="2561" spans="3:6" ht="14.4" customHeight="1" x14ac:dyDescent="0.3">
      <c r="C2561" s="2">
        <v>100</v>
      </c>
      <c r="D2561" s="2" t="s">
        <v>597</v>
      </c>
      <c r="E2561" s="2" t="s">
        <v>775</v>
      </c>
      <c r="F2561" s="101">
        <v>8</v>
      </c>
    </row>
    <row r="2562" spans="3:6" ht="14.4" customHeight="1" x14ac:dyDescent="0.3">
      <c r="C2562" s="2">
        <v>100</v>
      </c>
      <c r="D2562" s="2" t="s">
        <v>286</v>
      </c>
      <c r="E2562" s="2" t="s">
        <v>774</v>
      </c>
      <c r="F2562" s="101">
        <v>674</v>
      </c>
    </row>
    <row r="2563" spans="3:6" ht="14.4" customHeight="1" x14ac:dyDescent="0.3">
      <c r="C2563" s="2">
        <v>100</v>
      </c>
      <c r="D2563" s="2" t="s">
        <v>388</v>
      </c>
      <c r="E2563" s="2" t="s">
        <v>775</v>
      </c>
      <c r="F2563" s="101">
        <v>1592</v>
      </c>
    </row>
    <row r="2564" spans="3:6" ht="14.4" customHeight="1" x14ac:dyDescent="0.3">
      <c r="C2564" s="2">
        <v>100</v>
      </c>
      <c r="D2564" s="2" t="s">
        <v>214</v>
      </c>
      <c r="E2564" s="2" t="s">
        <v>775</v>
      </c>
      <c r="F2564" s="101">
        <v>22810</v>
      </c>
    </row>
    <row r="2565" spans="3:6" ht="14.4" customHeight="1" x14ac:dyDescent="0.3">
      <c r="C2565" s="2">
        <v>100</v>
      </c>
      <c r="D2565" s="2" t="s">
        <v>367</v>
      </c>
      <c r="E2565" s="2" t="s">
        <v>771</v>
      </c>
      <c r="F2565" s="101">
        <v>165615</v>
      </c>
    </row>
    <row r="2566" spans="3:6" ht="14.4" customHeight="1" x14ac:dyDescent="0.3">
      <c r="C2566" s="2">
        <v>100</v>
      </c>
      <c r="D2566" s="2" t="s">
        <v>335</v>
      </c>
      <c r="E2566" s="2" t="s">
        <v>771</v>
      </c>
      <c r="F2566" s="101">
        <v>2472</v>
      </c>
    </row>
    <row r="2567" spans="3:6" ht="14.4" customHeight="1" x14ac:dyDescent="0.3">
      <c r="C2567" s="2">
        <v>100</v>
      </c>
      <c r="D2567" s="2" t="s">
        <v>486</v>
      </c>
      <c r="E2567" s="2" t="s">
        <v>774</v>
      </c>
      <c r="F2567" s="101">
        <v>1410</v>
      </c>
    </row>
    <row r="2568" spans="3:6" ht="14.4" customHeight="1" x14ac:dyDescent="0.3">
      <c r="C2568" s="2">
        <v>100</v>
      </c>
      <c r="D2568" s="2" t="s">
        <v>660</v>
      </c>
      <c r="E2568" s="2" t="s">
        <v>771</v>
      </c>
      <c r="F2568" s="101">
        <v>4975</v>
      </c>
    </row>
    <row r="2569" spans="3:6" ht="14.4" customHeight="1" x14ac:dyDescent="0.3">
      <c r="C2569" s="2">
        <v>100</v>
      </c>
      <c r="D2569" s="2" t="s">
        <v>751</v>
      </c>
      <c r="E2569" s="2" t="s">
        <v>770</v>
      </c>
      <c r="F2569" s="101">
        <v>21</v>
      </c>
    </row>
    <row r="2570" spans="3:6" ht="14.4" customHeight="1" x14ac:dyDescent="0.3">
      <c r="C2570" s="2">
        <v>100</v>
      </c>
      <c r="D2570" s="2" t="s">
        <v>314</v>
      </c>
      <c r="E2570" s="2" t="s">
        <v>777</v>
      </c>
      <c r="F2570" s="101">
        <v>45554</v>
      </c>
    </row>
    <row r="2571" spans="3:6" ht="14.4" customHeight="1" x14ac:dyDescent="0.3">
      <c r="C2571" s="2">
        <v>100</v>
      </c>
      <c r="D2571" s="2" t="s">
        <v>297</v>
      </c>
      <c r="E2571" s="2" t="s">
        <v>775</v>
      </c>
      <c r="F2571" s="101">
        <v>44</v>
      </c>
    </row>
    <row r="2572" spans="3:6" ht="14.4" customHeight="1" x14ac:dyDescent="0.3">
      <c r="C2572" s="2">
        <v>100</v>
      </c>
      <c r="D2572" s="2" t="s">
        <v>276</v>
      </c>
      <c r="E2572" s="2" t="s">
        <v>769</v>
      </c>
      <c r="F2572" s="101">
        <v>25256</v>
      </c>
    </row>
    <row r="2573" spans="3:6" ht="14.4" customHeight="1" x14ac:dyDescent="0.3">
      <c r="C2573" s="2">
        <v>100</v>
      </c>
      <c r="D2573" s="2" t="s">
        <v>245</v>
      </c>
      <c r="E2573" s="2" t="s">
        <v>770</v>
      </c>
      <c r="F2573" s="101">
        <v>2329</v>
      </c>
    </row>
    <row r="2574" spans="3:6" ht="14.4" customHeight="1" x14ac:dyDescent="0.3">
      <c r="C2574" s="2">
        <v>100</v>
      </c>
      <c r="D2574" s="2" t="s">
        <v>441</v>
      </c>
      <c r="E2574" s="2" t="s">
        <v>775</v>
      </c>
      <c r="F2574" s="101">
        <v>36449</v>
      </c>
    </row>
    <row r="2575" spans="3:6" ht="14.4" customHeight="1" x14ac:dyDescent="0.3">
      <c r="C2575" s="2">
        <v>100</v>
      </c>
      <c r="D2575" s="2" t="s">
        <v>701</v>
      </c>
      <c r="E2575" s="2" t="s">
        <v>769</v>
      </c>
      <c r="F2575" s="101">
        <v>59425</v>
      </c>
    </row>
    <row r="2576" spans="3:6" ht="14.4" customHeight="1" x14ac:dyDescent="0.3">
      <c r="C2576" s="2">
        <v>100</v>
      </c>
      <c r="D2576" s="2" t="s">
        <v>394</v>
      </c>
      <c r="F2576" s="101">
        <v>0</v>
      </c>
    </row>
    <row r="2577" spans="3:6" ht="14.4" customHeight="1" x14ac:dyDescent="0.3">
      <c r="C2577" s="2">
        <v>100</v>
      </c>
      <c r="D2577" s="2" t="s">
        <v>448</v>
      </c>
      <c r="E2577" s="2" t="s">
        <v>774</v>
      </c>
      <c r="F2577" s="101">
        <v>3134</v>
      </c>
    </row>
    <row r="2578" spans="3:6" ht="14.4" customHeight="1" x14ac:dyDescent="0.3">
      <c r="C2578" s="2">
        <v>100</v>
      </c>
      <c r="D2578" s="2" t="s">
        <v>388</v>
      </c>
      <c r="E2578" s="2" t="s">
        <v>770</v>
      </c>
      <c r="F2578" s="101">
        <v>13461</v>
      </c>
    </row>
    <row r="2579" spans="3:6" ht="14.4" customHeight="1" x14ac:dyDescent="0.3">
      <c r="C2579" s="2">
        <v>100</v>
      </c>
      <c r="D2579" s="2" t="s">
        <v>214</v>
      </c>
      <c r="E2579" s="2" t="s">
        <v>770</v>
      </c>
      <c r="F2579" s="101">
        <v>4961</v>
      </c>
    </row>
    <row r="2580" spans="3:6" ht="14.4" customHeight="1" x14ac:dyDescent="0.3">
      <c r="C2580" s="2">
        <v>100</v>
      </c>
      <c r="D2580" s="2" t="s">
        <v>463</v>
      </c>
      <c r="E2580" s="2" t="s">
        <v>772</v>
      </c>
      <c r="F2580" s="101">
        <v>464</v>
      </c>
    </row>
    <row r="2581" spans="3:6" ht="14.4" customHeight="1" x14ac:dyDescent="0.3">
      <c r="C2581" s="2">
        <v>100</v>
      </c>
      <c r="D2581" s="2" t="s">
        <v>413</v>
      </c>
      <c r="E2581" s="2" t="s">
        <v>771</v>
      </c>
      <c r="F2581" s="101">
        <v>1373</v>
      </c>
    </row>
    <row r="2582" spans="3:6" ht="14.4" customHeight="1" x14ac:dyDescent="0.3">
      <c r="C2582" s="2">
        <v>100</v>
      </c>
      <c r="D2582" s="2" t="s">
        <v>679</v>
      </c>
      <c r="E2582" s="2" t="s">
        <v>769</v>
      </c>
      <c r="F2582" s="101">
        <v>36263</v>
      </c>
    </row>
    <row r="2583" spans="3:6" ht="14.4" customHeight="1" x14ac:dyDescent="0.3">
      <c r="C2583" s="2">
        <v>100</v>
      </c>
      <c r="D2583" s="2" t="s">
        <v>422</v>
      </c>
      <c r="E2583" s="2" t="s">
        <v>777</v>
      </c>
      <c r="F2583" s="101">
        <v>1320</v>
      </c>
    </row>
    <row r="2584" spans="3:6" ht="14.4" customHeight="1" x14ac:dyDescent="0.3">
      <c r="C2584" s="2">
        <v>100</v>
      </c>
      <c r="D2584" s="2" t="s">
        <v>272</v>
      </c>
      <c r="E2584" s="2" t="s">
        <v>771</v>
      </c>
      <c r="F2584" s="101">
        <v>40245</v>
      </c>
    </row>
    <row r="2585" spans="3:6" ht="14.4" customHeight="1" x14ac:dyDescent="0.3">
      <c r="C2585" s="2">
        <v>100</v>
      </c>
      <c r="D2585" s="2" t="s">
        <v>475</v>
      </c>
      <c r="E2585" s="2" t="s">
        <v>771</v>
      </c>
      <c r="F2585" s="101">
        <v>9140</v>
      </c>
    </row>
    <row r="2586" spans="3:6" ht="14.4" customHeight="1" x14ac:dyDescent="0.3">
      <c r="C2586" s="2">
        <v>100</v>
      </c>
      <c r="D2586" s="2" t="s">
        <v>271</v>
      </c>
      <c r="E2586" s="2" t="s">
        <v>774</v>
      </c>
      <c r="F2586" s="101">
        <v>111</v>
      </c>
    </row>
    <row r="2587" spans="3:6" ht="14.4" customHeight="1" x14ac:dyDescent="0.3">
      <c r="C2587" s="2">
        <v>100</v>
      </c>
      <c r="D2587" s="2" t="s">
        <v>203</v>
      </c>
      <c r="E2587" s="2" t="s">
        <v>777</v>
      </c>
      <c r="F2587" s="101">
        <v>4949</v>
      </c>
    </row>
    <row r="2588" spans="3:6" ht="14.4" customHeight="1" x14ac:dyDescent="0.3">
      <c r="C2588" s="2">
        <v>100</v>
      </c>
      <c r="D2588" s="2" t="s">
        <v>233</v>
      </c>
      <c r="E2588" s="2" t="s">
        <v>774</v>
      </c>
      <c r="F2588" s="101">
        <v>-30</v>
      </c>
    </row>
    <row r="2589" spans="3:6" ht="14.4" customHeight="1" x14ac:dyDescent="0.3">
      <c r="C2589" s="2">
        <v>100</v>
      </c>
      <c r="D2589" s="2" t="s">
        <v>614</v>
      </c>
      <c r="E2589" s="2" t="s">
        <v>775</v>
      </c>
      <c r="F2589" s="101">
        <v>1002</v>
      </c>
    </row>
    <row r="2590" spans="3:6" ht="14.4" customHeight="1" x14ac:dyDescent="0.3">
      <c r="C2590" s="2">
        <v>100</v>
      </c>
      <c r="D2590" s="2" t="s">
        <v>445</v>
      </c>
      <c r="E2590" s="2" t="s">
        <v>769</v>
      </c>
      <c r="F2590" s="101">
        <v>9984</v>
      </c>
    </row>
    <row r="2591" spans="3:6" ht="14.4" customHeight="1" x14ac:dyDescent="0.3">
      <c r="C2591" s="2">
        <v>100</v>
      </c>
      <c r="D2591" s="2" t="s">
        <v>253</v>
      </c>
      <c r="E2591" s="2" t="s">
        <v>775</v>
      </c>
      <c r="F2591" s="101">
        <v>35651</v>
      </c>
    </row>
    <row r="2592" spans="3:6" ht="14.4" customHeight="1" x14ac:dyDescent="0.3">
      <c r="C2592" s="2">
        <v>100</v>
      </c>
      <c r="D2592" s="2" t="s">
        <v>298</v>
      </c>
      <c r="E2592" s="2" t="s">
        <v>774</v>
      </c>
      <c r="F2592" s="101">
        <v>149</v>
      </c>
    </row>
    <row r="2593" spans="3:6" ht="14.4" customHeight="1" x14ac:dyDescent="0.3">
      <c r="C2593" s="2">
        <v>100</v>
      </c>
      <c r="D2593" s="2" t="s">
        <v>537</v>
      </c>
      <c r="E2593" s="2" t="s">
        <v>769</v>
      </c>
      <c r="F2593" s="101">
        <v>29631</v>
      </c>
    </row>
    <row r="2594" spans="3:6" ht="14.4" customHeight="1" x14ac:dyDescent="0.3">
      <c r="C2594" s="2">
        <v>100</v>
      </c>
      <c r="D2594" s="2" t="s">
        <v>501</v>
      </c>
      <c r="E2594" s="2" t="s">
        <v>771</v>
      </c>
      <c r="F2594" s="101">
        <v>33427</v>
      </c>
    </row>
    <row r="2595" spans="3:6" ht="14.4" customHeight="1" x14ac:dyDescent="0.3">
      <c r="C2595" s="2">
        <v>100</v>
      </c>
      <c r="D2595" s="2" t="s">
        <v>206</v>
      </c>
      <c r="E2595" s="2" t="s">
        <v>773</v>
      </c>
      <c r="F2595" s="101">
        <v>390</v>
      </c>
    </row>
    <row r="2596" spans="3:6" ht="14.4" customHeight="1" x14ac:dyDescent="0.3">
      <c r="C2596" s="2">
        <v>100</v>
      </c>
      <c r="D2596" s="2" t="s">
        <v>501</v>
      </c>
      <c r="E2596" s="2" t="s">
        <v>770</v>
      </c>
      <c r="F2596" s="101">
        <v>10340</v>
      </c>
    </row>
    <row r="2597" spans="3:6" ht="14.4" customHeight="1" x14ac:dyDescent="0.3">
      <c r="C2597" s="2">
        <v>100</v>
      </c>
      <c r="D2597" s="2" t="s">
        <v>659</v>
      </c>
      <c r="E2597" s="2" t="s">
        <v>773</v>
      </c>
      <c r="F2597" s="101">
        <v>15066</v>
      </c>
    </row>
    <row r="2598" spans="3:6" ht="14.4" customHeight="1" x14ac:dyDescent="0.3">
      <c r="C2598" s="2">
        <v>100</v>
      </c>
      <c r="D2598" s="2" t="s">
        <v>427</v>
      </c>
      <c r="E2598" s="2" t="s">
        <v>777</v>
      </c>
      <c r="F2598" s="101">
        <v>7647</v>
      </c>
    </row>
    <row r="2599" spans="3:6" ht="14.4" customHeight="1" x14ac:dyDescent="0.3">
      <c r="C2599" s="2">
        <v>100</v>
      </c>
      <c r="D2599" s="2" t="s">
        <v>603</v>
      </c>
      <c r="E2599" s="2" t="s">
        <v>771</v>
      </c>
      <c r="F2599" s="101">
        <v>2784</v>
      </c>
    </row>
    <row r="2600" spans="3:6" ht="14.4" customHeight="1" x14ac:dyDescent="0.3">
      <c r="C2600" s="2">
        <v>100</v>
      </c>
      <c r="D2600" s="2" t="s">
        <v>359</v>
      </c>
      <c r="E2600" s="2" t="s">
        <v>769</v>
      </c>
      <c r="F2600" s="101">
        <v>2956</v>
      </c>
    </row>
    <row r="2601" spans="3:6" ht="14.4" customHeight="1" x14ac:dyDescent="0.3">
      <c r="C2601" s="2">
        <v>100</v>
      </c>
      <c r="D2601" s="2" t="s">
        <v>511</v>
      </c>
      <c r="E2601" s="2" t="s">
        <v>775</v>
      </c>
      <c r="F2601" s="101">
        <v>11859</v>
      </c>
    </row>
    <row r="2602" spans="3:6" ht="14.4" customHeight="1" x14ac:dyDescent="0.3">
      <c r="C2602" s="2">
        <v>100</v>
      </c>
      <c r="D2602" s="2" t="s">
        <v>361</v>
      </c>
      <c r="E2602" s="2" t="s">
        <v>773</v>
      </c>
      <c r="F2602" s="101">
        <v>6825</v>
      </c>
    </row>
    <row r="2603" spans="3:6" ht="14.4" customHeight="1" x14ac:dyDescent="0.3">
      <c r="C2603" s="2">
        <v>100</v>
      </c>
      <c r="D2603" s="2" t="s">
        <v>513</v>
      </c>
      <c r="E2603" s="2" t="s">
        <v>772</v>
      </c>
      <c r="F2603" s="101">
        <v>559</v>
      </c>
    </row>
    <row r="2604" spans="3:6" ht="14.4" customHeight="1" x14ac:dyDescent="0.3">
      <c r="C2604" s="2">
        <v>100</v>
      </c>
      <c r="D2604" s="2" t="s">
        <v>495</v>
      </c>
      <c r="E2604" s="2" t="s">
        <v>771</v>
      </c>
      <c r="F2604" s="101">
        <v>1244</v>
      </c>
    </row>
    <row r="2605" spans="3:6" ht="14.4" customHeight="1" x14ac:dyDescent="0.3">
      <c r="C2605" s="2">
        <v>100</v>
      </c>
      <c r="D2605" s="2" t="s">
        <v>211</v>
      </c>
      <c r="E2605" s="2" t="s">
        <v>777</v>
      </c>
      <c r="F2605" s="101">
        <v>5776</v>
      </c>
    </row>
    <row r="2606" spans="3:6" ht="14.4" customHeight="1" x14ac:dyDescent="0.3">
      <c r="C2606" s="2">
        <v>100</v>
      </c>
      <c r="D2606" s="2" t="s">
        <v>361</v>
      </c>
      <c r="E2606" s="2" t="s">
        <v>770</v>
      </c>
      <c r="F2606" s="101">
        <v>8049</v>
      </c>
    </row>
    <row r="2607" spans="3:6" ht="14.4" customHeight="1" x14ac:dyDescent="0.3">
      <c r="C2607" s="2">
        <v>100</v>
      </c>
      <c r="D2607" s="2" t="s">
        <v>540</v>
      </c>
      <c r="E2607" s="2" t="s">
        <v>770</v>
      </c>
      <c r="F2607" s="101">
        <v>501</v>
      </c>
    </row>
    <row r="2608" spans="3:6" ht="14.4" customHeight="1" x14ac:dyDescent="0.3">
      <c r="C2608" s="2">
        <v>100</v>
      </c>
      <c r="D2608" s="2" t="s">
        <v>283</v>
      </c>
      <c r="E2608" s="2" t="s">
        <v>773</v>
      </c>
      <c r="F2608" s="101">
        <v>2510</v>
      </c>
    </row>
    <row r="2609" spans="3:6" ht="14.4" customHeight="1" x14ac:dyDescent="0.3">
      <c r="C2609" s="2">
        <v>100</v>
      </c>
      <c r="D2609" s="2" t="s">
        <v>610</v>
      </c>
      <c r="E2609" s="2" t="s">
        <v>769</v>
      </c>
      <c r="F2609" s="101">
        <v>4899</v>
      </c>
    </row>
    <row r="2610" spans="3:6" ht="14.4" customHeight="1" x14ac:dyDescent="0.3">
      <c r="C2610" s="2">
        <v>100</v>
      </c>
      <c r="D2610" s="2" t="s">
        <v>392</v>
      </c>
      <c r="E2610" s="2" t="s">
        <v>775</v>
      </c>
      <c r="F2610" s="101">
        <v>27</v>
      </c>
    </row>
    <row r="2611" spans="3:6" ht="14.4" customHeight="1" x14ac:dyDescent="0.3">
      <c r="C2611" s="2">
        <v>100</v>
      </c>
      <c r="D2611" s="2" t="s">
        <v>616</v>
      </c>
      <c r="E2611" s="2" t="s">
        <v>769</v>
      </c>
      <c r="F2611" s="101">
        <v>9650</v>
      </c>
    </row>
    <row r="2612" spans="3:6" ht="14.4" customHeight="1" x14ac:dyDescent="0.3">
      <c r="C2612" s="2">
        <v>100</v>
      </c>
      <c r="D2612" s="2" t="s">
        <v>213</v>
      </c>
      <c r="E2612" s="2" t="s">
        <v>770</v>
      </c>
      <c r="F2612" s="101">
        <v>593</v>
      </c>
    </row>
    <row r="2613" spans="3:6" ht="14.4" customHeight="1" x14ac:dyDescent="0.3">
      <c r="C2613" s="2">
        <v>100</v>
      </c>
      <c r="D2613" s="2" t="s">
        <v>595</v>
      </c>
      <c r="E2613" s="2" t="s">
        <v>769</v>
      </c>
      <c r="F2613" s="101">
        <v>2669</v>
      </c>
    </row>
    <row r="2614" spans="3:6" ht="14.4" customHeight="1" x14ac:dyDescent="0.3">
      <c r="C2614" s="2">
        <v>100</v>
      </c>
      <c r="D2614" s="2" t="s">
        <v>206</v>
      </c>
      <c r="E2614" s="2" t="s">
        <v>771</v>
      </c>
      <c r="F2614" s="101">
        <v>6519</v>
      </c>
    </row>
    <row r="2615" spans="3:6" ht="14.4" customHeight="1" x14ac:dyDescent="0.3">
      <c r="C2615" s="2">
        <v>100</v>
      </c>
      <c r="D2615" s="2" t="s">
        <v>243</v>
      </c>
      <c r="E2615" s="2" t="s">
        <v>777</v>
      </c>
      <c r="F2615" s="101">
        <v>127</v>
      </c>
    </row>
    <row r="2616" spans="3:6" ht="14.4" customHeight="1" x14ac:dyDescent="0.3">
      <c r="C2616" s="2">
        <v>100</v>
      </c>
      <c r="D2616" s="2" t="s">
        <v>501</v>
      </c>
      <c r="E2616" s="2" t="s">
        <v>773</v>
      </c>
      <c r="F2616" s="101">
        <v>7261</v>
      </c>
    </row>
    <row r="2617" spans="3:6" ht="14.4" customHeight="1" x14ac:dyDescent="0.3">
      <c r="C2617" s="2">
        <v>100</v>
      </c>
      <c r="D2617" s="2" t="s">
        <v>631</v>
      </c>
      <c r="E2617" s="2" t="s">
        <v>769</v>
      </c>
      <c r="F2617" s="101">
        <v>42586</v>
      </c>
    </row>
    <row r="2618" spans="3:6" ht="14.4" customHeight="1" x14ac:dyDescent="0.3">
      <c r="C2618" s="2">
        <v>100</v>
      </c>
      <c r="D2618" s="2" t="s">
        <v>240</v>
      </c>
      <c r="E2618" s="2" t="s">
        <v>769</v>
      </c>
      <c r="F2618" s="101">
        <v>257931</v>
      </c>
    </row>
    <row r="2619" spans="3:6" ht="14.4" customHeight="1" x14ac:dyDescent="0.3">
      <c r="C2619" s="2">
        <v>100</v>
      </c>
      <c r="D2619" s="2" t="s">
        <v>253</v>
      </c>
      <c r="E2619" s="2" t="s">
        <v>770</v>
      </c>
      <c r="F2619" s="101">
        <v>178086</v>
      </c>
    </row>
    <row r="2620" spans="3:6" ht="14.4" customHeight="1" x14ac:dyDescent="0.3">
      <c r="C2620" s="2">
        <v>100</v>
      </c>
      <c r="D2620" s="2" t="s">
        <v>273</v>
      </c>
      <c r="E2620" s="2" t="s">
        <v>769</v>
      </c>
      <c r="F2620" s="101">
        <v>108063</v>
      </c>
    </row>
    <row r="2621" spans="3:6" ht="14.4" customHeight="1" x14ac:dyDescent="0.3">
      <c r="C2621" s="2">
        <v>100</v>
      </c>
      <c r="D2621" s="2" t="s">
        <v>697</v>
      </c>
      <c r="E2621" s="2" t="s">
        <v>770</v>
      </c>
      <c r="F2621" s="101">
        <v>23</v>
      </c>
    </row>
    <row r="2622" spans="3:6" ht="14.4" customHeight="1" x14ac:dyDescent="0.3">
      <c r="C2622" s="2">
        <v>100</v>
      </c>
      <c r="D2622" s="2" t="s">
        <v>415</v>
      </c>
      <c r="E2622" s="2" t="s">
        <v>772</v>
      </c>
      <c r="F2622" s="101">
        <v>4009</v>
      </c>
    </row>
    <row r="2623" spans="3:6" ht="14.4" customHeight="1" x14ac:dyDescent="0.3">
      <c r="C2623" s="2">
        <v>100</v>
      </c>
      <c r="D2623" s="2" t="s">
        <v>602</v>
      </c>
      <c r="E2623" s="2" t="s">
        <v>775</v>
      </c>
      <c r="F2623" s="101">
        <v>2723</v>
      </c>
    </row>
    <row r="2624" spans="3:6" ht="14.4" customHeight="1" x14ac:dyDescent="0.3">
      <c r="C2624" s="2">
        <v>100</v>
      </c>
      <c r="D2624" s="2" t="s">
        <v>328</v>
      </c>
      <c r="E2624" s="2" t="s">
        <v>771</v>
      </c>
      <c r="F2624" s="101">
        <v>42555</v>
      </c>
    </row>
    <row r="2625" spans="3:6" ht="14.4" customHeight="1" x14ac:dyDescent="0.3">
      <c r="C2625" s="2">
        <v>100</v>
      </c>
      <c r="D2625" s="2" t="s">
        <v>646</v>
      </c>
      <c r="E2625" s="2" t="s">
        <v>775</v>
      </c>
      <c r="F2625" s="101">
        <v>20729</v>
      </c>
    </row>
    <row r="2626" spans="3:6" ht="14.4" customHeight="1" x14ac:dyDescent="0.3">
      <c r="C2626" s="2">
        <v>100</v>
      </c>
      <c r="D2626" s="2" t="s">
        <v>435</v>
      </c>
      <c r="E2626" s="2" t="s">
        <v>770</v>
      </c>
      <c r="F2626" s="101">
        <v>9515</v>
      </c>
    </row>
    <row r="2627" spans="3:6" ht="14.4" customHeight="1" x14ac:dyDescent="0.3">
      <c r="C2627" s="2">
        <v>100</v>
      </c>
      <c r="D2627" s="2" t="s">
        <v>299</v>
      </c>
      <c r="E2627" s="2" t="s">
        <v>769</v>
      </c>
      <c r="F2627" s="101">
        <v>106397</v>
      </c>
    </row>
    <row r="2628" spans="3:6" ht="14.4" customHeight="1" x14ac:dyDescent="0.3">
      <c r="C2628" s="2">
        <v>100</v>
      </c>
      <c r="D2628" s="2" t="s">
        <v>559</v>
      </c>
      <c r="E2628" s="2" t="s">
        <v>771</v>
      </c>
      <c r="F2628" s="101">
        <v>4076</v>
      </c>
    </row>
    <row r="2629" spans="3:6" ht="14.4" customHeight="1" x14ac:dyDescent="0.3">
      <c r="C2629" s="2">
        <v>100</v>
      </c>
      <c r="D2629" s="2" t="s">
        <v>634</v>
      </c>
      <c r="E2629" s="2" t="s">
        <v>771</v>
      </c>
      <c r="F2629" s="101">
        <v>2413</v>
      </c>
    </row>
    <row r="2630" spans="3:6" ht="14.4" customHeight="1" x14ac:dyDescent="0.3">
      <c r="C2630" s="2">
        <v>100</v>
      </c>
      <c r="D2630" s="2" t="s">
        <v>572</v>
      </c>
      <c r="E2630" s="2" t="s">
        <v>769</v>
      </c>
      <c r="F2630" s="101">
        <v>3936</v>
      </c>
    </row>
    <row r="2631" spans="3:6" ht="14.4" customHeight="1" x14ac:dyDescent="0.3">
      <c r="C2631" s="2">
        <v>100</v>
      </c>
      <c r="D2631" s="2" t="s">
        <v>347</v>
      </c>
      <c r="E2631" s="2" t="s">
        <v>775</v>
      </c>
      <c r="F2631" s="101">
        <v>150349</v>
      </c>
    </row>
    <row r="2632" spans="3:6" ht="14.4" customHeight="1" x14ac:dyDescent="0.3">
      <c r="C2632" s="2">
        <v>100</v>
      </c>
      <c r="D2632" s="2" t="s">
        <v>543</v>
      </c>
      <c r="E2632" s="2" t="s">
        <v>769</v>
      </c>
      <c r="F2632" s="101">
        <v>10183</v>
      </c>
    </row>
    <row r="2633" spans="3:6" ht="14.4" customHeight="1" x14ac:dyDescent="0.3">
      <c r="C2633" s="2">
        <v>100</v>
      </c>
      <c r="D2633" s="2" t="s">
        <v>398</v>
      </c>
      <c r="E2633" s="2" t="s">
        <v>770</v>
      </c>
      <c r="F2633" s="101">
        <v>2573</v>
      </c>
    </row>
    <row r="2634" spans="3:6" ht="14.4" customHeight="1" x14ac:dyDescent="0.3">
      <c r="C2634" s="2">
        <v>100</v>
      </c>
      <c r="D2634" s="2" t="s">
        <v>398</v>
      </c>
      <c r="E2634" s="2" t="s">
        <v>771</v>
      </c>
      <c r="F2634" s="101">
        <v>15005</v>
      </c>
    </row>
    <row r="2635" spans="3:6" ht="14.4" customHeight="1" x14ac:dyDescent="0.3">
      <c r="C2635" s="2">
        <v>100</v>
      </c>
      <c r="D2635" s="2" t="s">
        <v>722</v>
      </c>
      <c r="E2635" s="2" t="s">
        <v>769</v>
      </c>
      <c r="F2635" s="101">
        <v>2724</v>
      </c>
    </row>
    <row r="2636" spans="3:6" ht="14.4" customHeight="1" x14ac:dyDescent="0.3">
      <c r="C2636" s="2">
        <v>100</v>
      </c>
      <c r="D2636" s="2" t="s">
        <v>368</v>
      </c>
      <c r="E2636" s="2" t="s">
        <v>777</v>
      </c>
      <c r="F2636" s="101">
        <v>14936</v>
      </c>
    </row>
    <row r="2637" spans="3:6" ht="14.4" customHeight="1" x14ac:dyDescent="0.3">
      <c r="C2637" s="2">
        <v>100</v>
      </c>
      <c r="D2637" s="2" t="s">
        <v>286</v>
      </c>
      <c r="E2637" s="2" t="s">
        <v>772</v>
      </c>
      <c r="F2637" s="101">
        <v>14068</v>
      </c>
    </row>
    <row r="2638" spans="3:6" ht="14.4" customHeight="1" x14ac:dyDescent="0.3">
      <c r="C2638" s="2">
        <v>100</v>
      </c>
      <c r="D2638" s="2" t="s">
        <v>644</v>
      </c>
      <c r="E2638" s="2" t="s">
        <v>770</v>
      </c>
      <c r="F2638" s="101">
        <v>577</v>
      </c>
    </row>
    <row r="2639" spans="3:6" ht="14.4" customHeight="1" x14ac:dyDescent="0.3">
      <c r="C2639" s="2">
        <v>100</v>
      </c>
      <c r="D2639" s="2" t="s">
        <v>582</v>
      </c>
      <c r="E2639" s="2" t="s">
        <v>769</v>
      </c>
      <c r="F2639" s="101">
        <v>150302</v>
      </c>
    </row>
    <row r="2640" spans="3:6" ht="14.4" customHeight="1" x14ac:dyDescent="0.3">
      <c r="C2640" s="2">
        <v>100</v>
      </c>
      <c r="D2640" s="2" t="s">
        <v>784</v>
      </c>
      <c r="E2640" s="2" t="s">
        <v>775</v>
      </c>
      <c r="F2640" s="101">
        <v>5</v>
      </c>
    </row>
    <row r="2641" spans="3:6" ht="14.4" customHeight="1" x14ac:dyDescent="0.3">
      <c r="C2641" s="2">
        <v>100</v>
      </c>
      <c r="D2641" s="2" t="s">
        <v>318</v>
      </c>
      <c r="E2641" s="2" t="s">
        <v>774</v>
      </c>
      <c r="F2641" s="101">
        <v>329</v>
      </c>
    </row>
    <row r="2642" spans="3:6" ht="14.4" customHeight="1" x14ac:dyDescent="0.3">
      <c r="C2642" s="2">
        <v>100</v>
      </c>
      <c r="D2642" s="2" t="s">
        <v>697</v>
      </c>
      <c r="E2642" s="2" t="s">
        <v>773</v>
      </c>
      <c r="F2642" s="101">
        <v>94</v>
      </c>
    </row>
    <row r="2643" spans="3:6" ht="14.4" customHeight="1" x14ac:dyDescent="0.3">
      <c r="C2643" s="2">
        <v>100</v>
      </c>
      <c r="D2643" s="2" t="s">
        <v>307</v>
      </c>
      <c r="E2643" s="2" t="s">
        <v>774</v>
      </c>
      <c r="F2643" s="101">
        <v>220</v>
      </c>
    </row>
    <row r="2644" spans="3:6" ht="14.4" customHeight="1" x14ac:dyDescent="0.3">
      <c r="C2644" s="2">
        <v>100</v>
      </c>
      <c r="D2644" s="2" t="s">
        <v>617</v>
      </c>
      <c r="E2644" s="2" t="s">
        <v>769</v>
      </c>
      <c r="F2644" s="101">
        <v>6409</v>
      </c>
    </row>
    <row r="2645" spans="3:6" ht="14.4" customHeight="1" x14ac:dyDescent="0.3">
      <c r="C2645" s="2">
        <v>100</v>
      </c>
      <c r="D2645" s="2" t="s">
        <v>529</v>
      </c>
      <c r="E2645" s="2" t="s">
        <v>774</v>
      </c>
      <c r="F2645" s="101">
        <v>33</v>
      </c>
    </row>
    <row r="2646" spans="3:6" ht="14.4" customHeight="1" x14ac:dyDescent="0.3">
      <c r="C2646" s="2">
        <v>100</v>
      </c>
      <c r="D2646" s="2" t="s">
        <v>469</v>
      </c>
      <c r="E2646" s="2" t="s">
        <v>771</v>
      </c>
      <c r="F2646" s="101">
        <v>15058</v>
      </c>
    </row>
    <row r="2647" spans="3:6" ht="14.4" customHeight="1" x14ac:dyDescent="0.3">
      <c r="C2647" s="2">
        <v>100</v>
      </c>
      <c r="D2647" s="2" t="s">
        <v>438</v>
      </c>
      <c r="E2647" s="2" t="s">
        <v>777</v>
      </c>
      <c r="F2647" s="101">
        <v>548</v>
      </c>
    </row>
    <row r="2648" spans="3:6" ht="14.4" customHeight="1" x14ac:dyDescent="0.3">
      <c r="C2648" s="2">
        <v>100</v>
      </c>
      <c r="D2648" s="2" t="s">
        <v>618</v>
      </c>
      <c r="E2648" s="2" t="s">
        <v>771</v>
      </c>
      <c r="F2648" s="101">
        <v>1230</v>
      </c>
    </row>
    <row r="2649" spans="3:6" ht="14.4" customHeight="1" x14ac:dyDescent="0.3">
      <c r="C2649" s="2">
        <v>100</v>
      </c>
      <c r="D2649" s="2" t="s">
        <v>208</v>
      </c>
      <c r="E2649" s="2" t="s">
        <v>773</v>
      </c>
      <c r="F2649" s="101">
        <v>165460</v>
      </c>
    </row>
    <row r="2650" spans="3:6" ht="14.4" customHeight="1" x14ac:dyDescent="0.3">
      <c r="C2650" s="2">
        <v>100</v>
      </c>
      <c r="D2650" s="2" t="s">
        <v>696</v>
      </c>
      <c r="E2650" s="2" t="s">
        <v>770</v>
      </c>
      <c r="F2650" s="101">
        <v>589</v>
      </c>
    </row>
    <row r="2651" spans="3:6" ht="14.4" customHeight="1" x14ac:dyDescent="0.3">
      <c r="C2651" s="2">
        <v>100</v>
      </c>
      <c r="D2651" s="2" t="s">
        <v>319</v>
      </c>
      <c r="E2651" s="2" t="s">
        <v>774</v>
      </c>
      <c r="F2651" s="101">
        <v>5365</v>
      </c>
    </row>
    <row r="2652" spans="3:6" ht="14.4" customHeight="1" x14ac:dyDescent="0.3">
      <c r="C2652" s="2">
        <v>100</v>
      </c>
      <c r="D2652" s="2" t="s">
        <v>270</v>
      </c>
      <c r="E2652" s="2" t="s">
        <v>773</v>
      </c>
      <c r="F2652" s="101">
        <v>1205</v>
      </c>
    </row>
    <row r="2653" spans="3:6" ht="14.4" customHeight="1" x14ac:dyDescent="0.3">
      <c r="C2653" s="2">
        <v>100</v>
      </c>
      <c r="D2653" s="2" t="s">
        <v>415</v>
      </c>
      <c r="E2653" s="2" t="s">
        <v>769</v>
      </c>
      <c r="F2653" s="101">
        <v>35895</v>
      </c>
    </row>
    <row r="2654" spans="3:6" ht="14.4" customHeight="1" x14ac:dyDescent="0.3">
      <c r="C2654" s="2">
        <v>100</v>
      </c>
      <c r="D2654" s="2" t="s">
        <v>357</v>
      </c>
      <c r="E2654" s="2" t="s">
        <v>777</v>
      </c>
      <c r="F2654" s="101">
        <v>2789</v>
      </c>
    </row>
    <row r="2655" spans="3:6" ht="14.4" customHeight="1" x14ac:dyDescent="0.3">
      <c r="C2655" s="2">
        <v>100</v>
      </c>
      <c r="D2655" s="2" t="s">
        <v>804</v>
      </c>
      <c r="E2655" s="2" t="s">
        <v>769</v>
      </c>
      <c r="F2655" s="101">
        <v>915</v>
      </c>
    </row>
    <row r="2656" spans="3:6" ht="14.4" customHeight="1" x14ac:dyDescent="0.3">
      <c r="C2656" s="2">
        <v>100</v>
      </c>
      <c r="D2656" s="2" t="s">
        <v>263</v>
      </c>
      <c r="E2656" s="2" t="s">
        <v>772</v>
      </c>
      <c r="F2656" s="101">
        <v>592</v>
      </c>
    </row>
    <row r="2657" spans="3:6" ht="14.4" customHeight="1" x14ac:dyDescent="0.3">
      <c r="C2657" s="2">
        <v>100</v>
      </c>
      <c r="D2657" s="2" t="s">
        <v>285</v>
      </c>
      <c r="E2657" s="2" t="s">
        <v>770</v>
      </c>
      <c r="F2657" s="101">
        <v>9940</v>
      </c>
    </row>
    <row r="2658" spans="3:6" ht="14.4" customHeight="1" x14ac:dyDescent="0.3">
      <c r="C2658" s="2">
        <v>100</v>
      </c>
      <c r="D2658" s="2" t="s">
        <v>459</v>
      </c>
      <c r="E2658" s="2" t="s">
        <v>770</v>
      </c>
      <c r="F2658" s="101">
        <v>2288</v>
      </c>
    </row>
    <row r="2659" spans="3:6" ht="14.4" customHeight="1" x14ac:dyDescent="0.3">
      <c r="C2659" s="2">
        <v>100</v>
      </c>
      <c r="D2659" s="2" t="s">
        <v>577</v>
      </c>
      <c r="E2659" s="2" t="s">
        <v>771</v>
      </c>
      <c r="F2659" s="101">
        <v>3166</v>
      </c>
    </row>
    <row r="2660" spans="3:6" ht="14.4" customHeight="1" x14ac:dyDescent="0.3">
      <c r="C2660" s="2">
        <v>100</v>
      </c>
      <c r="D2660" s="2" t="s">
        <v>264</v>
      </c>
      <c r="E2660" s="2" t="s">
        <v>771</v>
      </c>
      <c r="F2660" s="101">
        <v>26027</v>
      </c>
    </row>
    <row r="2661" spans="3:6" ht="14.4" customHeight="1" x14ac:dyDescent="0.3">
      <c r="C2661" s="2">
        <v>100</v>
      </c>
      <c r="D2661" s="2" t="s">
        <v>363</v>
      </c>
      <c r="E2661" s="2" t="s">
        <v>773</v>
      </c>
      <c r="F2661" s="101">
        <v>9043</v>
      </c>
    </row>
    <row r="2662" spans="3:6" ht="14.4" customHeight="1" x14ac:dyDescent="0.3">
      <c r="C2662" s="2">
        <v>100</v>
      </c>
      <c r="D2662" s="2" t="s">
        <v>208</v>
      </c>
      <c r="E2662" s="2" t="s">
        <v>771</v>
      </c>
      <c r="F2662" s="101">
        <v>46840</v>
      </c>
    </row>
    <row r="2663" spans="3:6" ht="14.4" customHeight="1" x14ac:dyDescent="0.3">
      <c r="C2663" s="2">
        <v>100</v>
      </c>
      <c r="D2663" s="2" t="s">
        <v>573</v>
      </c>
      <c r="E2663" s="2" t="s">
        <v>775</v>
      </c>
      <c r="F2663" s="101">
        <v>809</v>
      </c>
    </row>
    <row r="2664" spans="3:6" ht="14.4" customHeight="1" x14ac:dyDescent="0.3">
      <c r="C2664" s="2">
        <v>100</v>
      </c>
      <c r="D2664" s="2" t="s">
        <v>663</v>
      </c>
      <c r="E2664" s="2" t="s">
        <v>774</v>
      </c>
      <c r="F2664" s="101">
        <v>-110</v>
      </c>
    </row>
    <row r="2665" spans="3:6" ht="14.4" customHeight="1" x14ac:dyDescent="0.3">
      <c r="C2665" s="2">
        <v>100</v>
      </c>
      <c r="D2665" s="2" t="s">
        <v>536</v>
      </c>
      <c r="E2665" s="2" t="s">
        <v>771</v>
      </c>
      <c r="F2665" s="101">
        <v>5304</v>
      </c>
    </row>
    <row r="2666" spans="3:6" ht="14.4" customHeight="1" x14ac:dyDescent="0.3">
      <c r="C2666" s="2">
        <v>100</v>
      </c>
      <c r="D2666" s="2" t="s">
        <v>203</v>
      </c>
      <c r="E2666" s="2" t="s">
        <v>774</v>
      </c>
      <c r="F2666" s="101">
        <v>919</v>
      </c>
    </row>
    <row r="2667" spans="3:6" ht="14.4" customHeight="1" x14ac:dyDescent="0.3">
      <c r="C2667" s="2">
        <v>100</v>
      </c>
      <c r="D2667" s="2" t="s">
        <v>509</v>
      </c>
      <c r="E2667" s="2" t="s">
        <v>769</v>
      </c>
      <c r="F2667" s="101">
        <v>116992</v>
      </c>
    </row>
    <row r="2668" spans="3:6" ht="14.4" customHeight="1" x14ac:dyDescent="0.3">
      <c r="C2668" s="2">
        <v>100</v>
      </c>
      <c r="D2668" s="2" t="s">
        <v>465</v>
      </c>
      <c r="E2668" s="2" t="s">
        <v>773</v>
      </c>
      <c r="F2668" s="101">
        <v>86860</v>
      </c>
    </row>
    <row r="2669" spans="3:6" ht="14.4" customHeight="1" x14ac:dyDescent="0.3">
      <c r="C2669" s="2">
        <v>100</v>
      </c>
      <c r="D2669" s="2" t="s">
        <v>478</v>
      </c>
      <c r="E2669" s="2" t="s">
        <v>775</v>
      </c>
      <c r="F2669" s="101">
        <v>2937</v>
      </c>
    </row>
    <row r="2670" spans="3:6" ht="14.4" customHeight="1" x14ac:dyDescent="0.3">
      <c r="C2670" s="2">
        <v>100</v>
      </c>
      <c r="D2670" s="2" t="s">
        <v>391</v>
      </c>
      <c r="E2670" s="2" t="s">
        <v>775</v>
      </c>
      <c r="F2670" s="101">
        <v>8</v>
      </c>
    </row>
    <row r="2671" spans="3:6" ht="14.4" customHeight="1" x14ac:dyDescent="0.3">
      <c r="C2671" s="2">
        <v>100</v>
      </c>
      <c r="D2671" s="2" t="s">
        <v>501</v>
      </c>
      <c r="E2671" s="2" t="s">
        <v>783</v>
      </c>
      <c r="F2671" s="101">
        <v>38</v>
      </c>
    </row>
    <row r="2672" spans="3:6" ht="14.4" customHeight="1" x14ac:dyDescent="0.3">
      <c r="C2672" s="2">
        <v>100</v>
      </c>
      <c r="D2672" s="2" t="s">
        <v>639</v>
      </c>
      <c r="E2672" s="2" t="s">
        <v>770</v>
      </c>
      <c r="F2672" s="101">
        <v>782</v>
      </c>
    </row>
    <row r="2673" spans="3:6" ht="14.4" customHeight="1" x14ac:dyDescent="0.3">
      <c r="C2673" s="2">
        <v>100</v>
      </c>
      <c r="D2673" s="2" t="s">
        <v>689</v>
      </c>
      <c r="E2673" s="2" t="s">
        <v>774</v>
      </c>
      <c r="F2673" s="101">
        <v>41</v>
      </c>
    </row>
    <row r="2674" spans="3:6" ht="14.4" customHeight="1" x14ac:dyDescent="0.3">
      <c r="C2674" s="2">
        <v>100</v>
      </c>
      <c r="D2674" s="2" t="s">
        <v>594</v>
      </c>
      <c r="E2674" s="2" t="s">
        <v>775</v>
      </c>
      <c r="F2674" s="101">
        <v>13</v>
      </c>
    </row>
    <row r="2675" spans="3:6" ht="14.4" customHeight="1" x14ac:dyDescent="0.3">
      <c r="C2675" s="2">
        <v>100</v>
      </c>
      <c r="D2675" s="2" t="s">
        <v>594</v>
      </c>
      <c r="E2675" s="2" t="s">
        <v>770</v>
      </c>
      <c r="F2675" s="101">
        <v>13977</v>
      </c>
    </row>
    <row r="2676" spans="3:6" ht="14.4" customHeight="1" x14ac:dyDescent="0.3">
      <c r="C2676" s="2">
        <v>100</v>
      </c>
      <c r="D2676" s="2" t="s">
        <v>484</v>
      </c>
      <c r="E2676" s="2" t="s">
        <v>774</v>
      </c>
      <c r="F2676" s="101">
        <v>367</v>
      </c>
    </row>
    <row r="2677" spans="3:6" ht="14.4" customHeight="1" x14ac:dyDescent="0.3">
      <c r="C2677" s="2">
        <v>100</v>
      </c>
      <c r="D2677" s="2" t="s">
        <v>204</v>
      </c>
      <c r="E2677" s="2" t="s">
        <v>770</v>
      </c>
      <c r="F2677" s="101">
        <v>4397</v>
      </c>
    </row>
    <row r="2678" spans="3:6" ht="14.4" customHeight="1" x14ac:dyDescent="0.3">
      <c r="C2678" s="2">
        <v>100</v>
      </c>
      <c r="D2678" s="2" t="s">
        <v>269</v>
      </c>
      <c r="E2678" s="2" t="s">
        <v>769</v>
      </c>
      <c r="F2678" s="101">
        <v>1975017</v>
      </c>
    </row>
    <row r="2679" spans="3:6" ht="14.4" customHeight="1" x14ac:dyDescent="0.3">
      <c r="C2679" s="2">
        <v>100</v>
      </c>
      <c r="D2679" s="2" t="s">
        <v>478</v>
      </c>
      <c r="E2679" s="2" t="s">
        <v>770</v>
      </c>
      <c r="F2679" s="101">
        <v>6049</v>
      </c>
    </row>
    <row r="2680" spans="3:6" ht="14.4" customHeight="1" x14ac:dyDescent="0.3">
      <c r="C2680" s="2">
        <v>100</v>
      </c>
      <c r="D2680" s="2" t="s">
        <v>383</v>
      </c>
      <c r="E2680" s="2" t="s">
        <v>777</v>
      </c>
      <c r="F2680" s="101">
        <v>211</v>
      </c>
    </row>
    <row r="2681" spans="3:6" ht="14.4" customHeight="1" x14ac:dyDescent="0.3">
      <c r="C2681" s="2">
        <v>100</v>
      </c>
      <c r="D2681" s="2" t="s">
        <v>423</v>
      </c>
      <c r="E2681" s="2" t="s">
        <v>770</v>
      </c>
      <c r="F2681" s="101">
        <v>11052</v>
      </c>
    </row>
    <row r="2682" spans="3:6" ht="14.4" customHeight="1" x14ac:dyDescent="0.3">
      <c r="C2682" s="2">
        <v>100</v>
      </c>
      <c r="D2682" s="2" t="s">
        <v>411</v>
      </c>
      <c r="E2682" s="2" t="s">
        <v>773</v>
      </c>
      <c r="F2682" s="101">
        <v>10891</v>
      </c>
    </row>
    <row r="2683" spans="3:6" ht="14.4" customHeight="1" x14ac:dyDescent="0.3">
      <c r="C2683" s="2">
        <v>100</v>
      </c>
      <c r="D2683" s="2" t="s">
        <v>705</v>
      </c>
      <c r="E2683" s="2" t="s">
        <v>769</v>
      </c>
      <c r="F2683" s="101">
        <v>4280</v>
      </c>
    </row>
    <row r="2684" spans="3:6" ht="14.4" customHeight="1" x14ac:dyDescent="0.3">
      <c r="C2684" s="2">
        <v>100</v>
      </c>
      <c r="D2684" s="2" t="s">
        <v>291</v>
      </c>
      <c r="E2684" s="2" t="s">
        <v>774</v>
      </c>
      <c r="F2684" s="101">
        <v>-1633</v>
      </c>
    </row>
    <row r="2685" spans="3:6" ht="14.4" customHeight="1" x14ac:dyDescent="0.3">
      <c r="C2685" s="2">
        <v>100</v>
      </c>
      <c r="D2685" s="2" t="s">
        <v>498</v>
      </c>
      <c r="E2685" s="2" t="s">
        <v>773</v>
      </c>
      <c r="F2685" s="101">
        <v>8461</v>
      </c>
    </row>
    <row r="2686" spans="3:6" ht="14.4" customHeight="1" x14ac:dyDescent="0.3">
      <c r="C2686" s="2">
        <v>100</v>
      </c>
      <c r="D2686" s="2" t="s">
        <v>307</v>
      </c>
      <c r="E2686" s="2" t="s">
        <v>769</v>
      </c>
      <c r="F2686" s="101">
        <v>65687</v>
      </c>
    </row>
    <row r="2687" spans="3:6" ht="14.4" customHeight="1" x14ac:dyDescent="0.3">
      <c r="C2687" s="2">
        <v>100</v>
      </c>
      <c r="D2687" s="2" t="s">
        <v>444</v>
      </c>
      <c r="E2687" s="2" t="s">
        <v>771</v>
      </c>
      <c r="F2687" s="101">
        <v>1944</v>
      </c>
    </row>
    <row r="2688" spans="3:6" ht="14.4" customHeight="1" x14ac:dyDescent="0.3">
      <c r="C2688" s="2">
        <v>100</v>
      </c>
      <c r="D2688" s="2" t="s">
        <v>222</v>
      </c>
      <c r="E2688" s="2" t="s">
        <v>775</v>
      </c>
      <c r="F2688" s="101">
        <v>7024</v>
      </c>
    </row>
    <row r="2689" spans="3:6" ht="14.4" customHeight="1" x14ac:dyDescent="0.3">
      <c r="C2689" s="2">
        <v>100</v>
      </c>
      <c r="D2689" s="2" t="s">
        <v>417</v>
      </c>
      <c r="E2689" s="2" t="s">
        <v>774</v>
      </c>
      <c r="F2689" s="101">
        <v>23</v>
      </c>
    </row>
    <row r="2690" spans="3:6" ht="14.4" customHeight="1" x14ac:dyDescent="0.3">
      <c r="C2690" s="2">
        <v>100</v>
      </c>
      <c r="D2690" s="2" t="s">
        <v>522</v>
      </c>
      <c r="E2690" s="2" t="s">
        <v>773</v>
      </c>
      <c r="F2690" s="101">
        <v>8002</v>
      </c>
    </row>
    <row r="2691" spans="3:6" ht="14.4" customHeight="1" x14ac:dyDescent="0.3">
      <c r="C2691" s="2">
        <v>100</v>
      </c>
      <c r="D2691" s="2" t="s">
        <v>406</v>
      </c>
      <c r="E2691" s="2" t="s">
        <v>771</v>
      </c>
      <c r="F2691" s="101">
        <v>131300</v>
      </c>
    </row>
    <row r="2692" spans="3:6" ht="14.4" customHeight="1" x14ac:dyDescent="0.3">
      <c r="C2692" s="2">
        <v>100</v>
      </c>
      <c r="D2692" s="2" t="s">
        <v>421</v>
      </c>
      <c r="E2692" s="2" t="s">
        <v>769</v>
      </c>
      <c r="F2692" s="101">
        <v>10897</v>
      </c>
    </row>
    <row r="2693" spans="3:6" ht="14.4" customHeight="1" x14ac:dyDescent="0.3">
      <c r="C2693" s="2">
        <v>100</v>
      </c>
      <c r="D2693" s="2" t="s">
        <v>695</v>
      </c>
      <c r="E2693" s="2" t="s">
        <v>774</v>
      </c>
      <c r="F2693" s="101">
        <v>0</v>
      </c>
    </row>
    <row r="2694" spans="3:6" ht="14.4" customHeight="1" x14ac:dyDescent="0.3">
      <c r="C2694" s="2">
        <v>100</v>
      </c>
      <c r="D2694" s="2" t="s">
        <v>322</v>
      </c>
      <c r="E2694" s="2" t="s">
        <v>769</v>
      </c>
      <c r="F2694" s="101">
        <v>993727</v>
      </c>
    </row>
    <row r="2695" spans="3:6" ht="14.4" customHeight="1" x14ac:dyDescent="0.3">
      <c r="C2695" s="2">
        <v>100</v>
      </c>
      <c r="D2695" s="2" t="s">
        <v>514</v>
      </c>
      <c r="E2695" s="2" t="s">
        <v>771</v>
      </c>
      <c r="F2695" s="101">
        <v>1436</v>
      </c>
    </row>
    <row r="2696" spans="3:6" ht="14.4" customHeight="1" x14ac:dyDescent="0.3">
      <c r="C2696" s="2">
        <v>100</v>
      </c>
      <c r="D2696" s="2" t="s">
        <v>752</v>
      </c>
      <c r="E2696" s="2" t="s">
        <v>769</v>
      </c>
      <c r="F2696" s="101">
        <v>5019</v>
      </c>
    </row>
    <row r="2697" spans="3:6" ht="14.4" customHeight="1" x14ac:dyDescent="0.3">
      <c r="C2697" s="2">
        <v>100</v>
      </c>
      <c r="D2697" s="2" t="s">
        <v>563</v>
      </c>
      <c r="E2697" s="2" t="s">
        <v>775</v>
      </c>
      <c r="F2697" s="101">
        <v>8</v>
      </c>
    </row>
    <row r="2698" spans="3:6" ht="14.4" customHeight="1" x14ac:dyDescent="0.3">
      <c r="C2698" s="2">
        <v>100</v>
      </c>
      <c r="D2698" s="2" t="s">
        <v>676</v>
      </c>
      <c r="E2698" s="2" t="s">
        <v>770</v>
      </c>
      <c r="F2698" s="101">
        <v>256</v>
      </c>
    </row>
    <row r="2699" spans="3:6" ht="14.4" customHeight="1" x14ac:dyDescent="0.3">
      <c r="C2699" s="2">
        <v>100</v>
      </c>
      <c r="D2699" s="2" t="s">
        <v>798</v>
      </c>
      <c r="E2699" s="2" t="s">
        <v>769</v>
      </c>
      <c r="F2699" s="101">
        <v>986</v>
      </c>
    </row>
    <row r="2700" spans="3:6" ht="14.4" customHeight="1" x14ac:dyDescent="0.3">
      <c r="C2700" s="2">
        <v>100</v>
      </c>
      <c r="D2700" s="2" t="s">
        <v>412</v>
      </c>
      <c r="E2700" s="2" t="s">
        <v>771</v>
      </c>
      <c r="F2700" s="101">
        <v>4329</v>
      </c>
    </row>
    <row r="2701" spans="3:6" ht="14.4" customHeight="1" x14ac:dyDescent="0.3">
      <c r="C2701" s="2">
        <v>100</v>
      </c>
      <c r="D2701" s="2" t="s">
        <v>734</v>
      </c>
      <c r="E2701" s="2" t="s">
        <v>771</v>
      </c>
      <c r="F2701" s="101">
        <v>299</v>
      </c>
    </row>
    <row r="2702" spans="3:6" ht="14.4" customHeight="1" x14ac:dyDescent="0.3">
      <c r="C2702" s="2">
        <v>100</v>
      </c>
      <c r="D2702" s="2" t="s">
        <v>356</v>
      </c>
      <c r="E2702" s="2" t="s">
        <v>777</v>
      </c>
      <c r="F2702" s="101">
        <v>11734</v>
      </c>
    </row>
    <row r="2703" spans="3:6" ht="14.4" customHeight="1" x14ac:dyDescent="0.3">
      <c r="C2703" s="2">
        <v>100</v>
      </c>
      <c r="D2703" s="2" t="s">
        <v>268</v>
      </c>
      <c r="E2703" s="2" t="s">
        <v>775</v>
      </c>
      <c r="F2703" s="101">
        <v>159</v>
      </c>
    </row>
    <row r="2704" spans="3:6" ht="14.4" customHeight="1" x14ac:dyDescent="0.3">
      <c r="C2704" s="2">
        <v>100</v>
      </c>
      <c r="D2704" s="2" t="s">
        <v>507</v>
      </c>
      <c r="E2704" s="2" t="s">
        <v>775</v>
      </c>
      <c r="F2704" s="101">
        <v>162309</v>
      </c>
    </row>
    <row r="2705" spans="3:6" ht="14.4" customHeight="1" x14ac:dyDescent="0.3">
      <c r="C2705" s="2">
        <v>100</v>
      </c>
      <c r="D2705" s="2" t="s">
        <v>542</v>
      </c>
      <c r="E2705" s="2" t="s">
        <v>774</v>
      </c>
      <c r="F2705" s="101">
        <v>1409</v>
      </c>
    </row>
    <row r="2706" spans="3:6" ht="14.4" customHeight="1" x14ac:dyDescent="0.3">
      <c r="C2706" s="2">
        <v>100</v>
      </c>
      <c r="D2706" s="2" t="s">
        <v>424</v>
      </c>
      <c r="E2706" s="2" t="s">
        <v>770</v>
      </c>
      <c r="F2706" s="101">
        <v>12743</v>
      </c>
    </row>
    <row r="2707" spans="3:6" ht="14.4" customHeight="1" x14ac:dyDescent="0.3">
      <c r="C2707" s="2">
        <v>100</v>
      </c>
      <c r="D2707" s="2" t="s">
        <v>547</v>
      </c>
      <c r="E2707" s="2" t="s">
        <v>769</v>
      </c>
      <c r="F2707" s="101">
        <v>9071</v>
      </c>
    </row>
    <row r="2708" spans="3:6" ht="14.4" customHeight="1" x14ac:dyDescent="0.3">
      <c r="C2708" s="2">
        <v>100</v>
      </c>
      <c r="D2708" s="2" t="s">
        <v>369</v>
      </c>
      <c r="E2708" s="2" t="s">
        <v>771</v>
      </c>
      <c r="F2708" s="101">
        <v>40907</v>
      </c>
    </row>
    <row r="2709" spans="3:6" ht="14.4" customHeight="1" x14ac:dyDescent="0.3">
      <c r="C2709" s="2">
        <v>100</v>
      </c>
      <c r="D2709" s="2" t="s">
        <v>353</v>
      </c>
      <c r="E2709" s="2" t="s">
        <v>774</v>
      </c>
      <c r="F2709" s="101">
        <v>23584</v>
      </c>
    </row>
    <row r="2710" spans="3:6" ht="14.4" customHeight="1" x14ac:dyDescent="0.3">
      <c r="C2710" s="2">
        <v>100</v>
      </c>
      <c r="D2710" s="2" t="s">
        <v>481</v>
      </c>
      <c r="E2710" s="2" t="s">
        <v>769</v>
      </c>
      <c r="F2710" s="101">
        <v>25030</v>
      </c>
    </row>
    <row r="2711" spans="3:6" ht="14.4" customHeight="1" x14ac:dyDescent="0.3">
      <c r="C2711" s="2">
        <v>100</v>
      </c>
      <c r="D2711" s="2" t="s">
        <v>439</v>
      </c>
      <c r="E2711" s="2" t="s">
        <v>770</v>
      </c>
      <c r="F2711" s="101">
        <v>905</v>
      </c>
    </row>
    <row r="2712" spans="3:6" ht="14.4" customHeight="1" x14ac:dyDescent="0.3">
      <c r="C2712" s="2">
        <v>100</v>
      </c>
      <c r="D2712" s="2" t="s">
        <v>223</v>
      </c>
      <c r="E2712" s="2" t="s">
        <v>773</v>
      </c>
      <c r="F2712" s="101">
        <v>1027</v>
      </c>
    </row>
    <row r="2713" spans="3:6" ht="14.4" customHeight="1" x14ac:dyDescent="0.3">
      <c r="C2713" s="2">
        <v>100</v>
      </c>
      <c r="D2713" s="2" t="s">
        <v>354</v>
      </c>
      <c r="E2713" s="2" t="s">
        <v>769</v>
      </c>
      <c r="F2713" s="101">
        <v>359404</v>
      </c>
    </row>
    <row r="2714" spans="3:6" ht="14.4" customHeight="1" x14ac:dyDescent="0.3">
      <c r="C2714" s="2">
        <v>100</v>
      </c>
      <c r="D2714" s="2" t="s">
        <v>223</v>
      </c>
      <c r="E2714" s="2" t="s">
        <v>775</v>
      </c>
      <c r="F2714" s="101">
        <v>13</v>
      </c>
    </row>
    <row r="2715" spans="3:6" ht="14.4" customHeight="1" x14ac:dyDescent="0.3">
      <c r="C2715" s="2">
        <v>100</v>
      </c>
      <c r="D2715" s="2" t="s">
        <v>615</v>
      </c>
      <c r="E2715" s="2" t="s">
        <v>773</v>
      </c>
      <c r="F2715" s="101">
        <v>343</v>
      </c>
    </row>
    <row r="2716" spans="3:6" ht="14.4" customHeight="1" x14ac:dyDescent="0.3">
      <c r="C2716" s="2">
        <v>100</v>
      </c>
      <c r="D2716" s="2" t="s">
        <v>215</v>
      </c>
      <c r="E2716" s="2" t="s">
        <v>771</v>
      </c>
      <c r="F2716" s="101">
        <v>1649</v>
      </c>
    </row>
    <row r="2717" spans="3:6" ht="14.4" customHeight="1" x14ac:dyDescent="0.3">
      <c r="C2717" s="2">
        <v>100</v>
      </c>
      <c r="D2717" s="2" t="s">
        <v>745</v>
      </c>
      <c r="E2717" s="2" t="s">
        <v>769</v>
      </c>
      <c r="F2717" s="101">
        <v>287</v>
      </c>
    </row>
    <row r="2718" spans="3:6" ht="14.4" customHeight="1" x14ac:dyDescent="0.3">
      <c r="C2718" s="2">
        <v>100</v>
      </c>
      <c r="D2718" s="2" t="s">
        <v>491</v>
      </c>
      <c r="E2718" s="2" t="s">
        <v>771</v>
      </c>
      <c r="F2718" s="101">
        <v>442</v>
      </c>
    </row>
    <row r="2719" spans="3:6" ht="14.4" customHeight="1" x14ac:dyDescent="0.3">
      <c r="C2719" s="2">
        <v>100</v>
      </c>
      <c r="D2719" s="2" t="s">
        <v>756</v>
      </c>
      <c r="E2719" s="2" t="s">
        <v>769</v>
      </c>
      <c r="F2719" s="101">
        <v>9162</v>
      </c>
    </row>
    <row r="2720" spans="3:6" ht="14.4" customHeight="1" x14ac:dyDescent="0.3">
      <c r="C2720" s="2">
        <v>100</v>
      </c>
      <c r="D2720" s="2" t="s">
        <v>302</v>
      </c>
      <c r="E2720" s="2" t="s">
        <v>770</v>
      </c>
      <c r="F2720" s="101">
        <v>17737</v>
      </c>
    </row>
    <row r="2721" spans="3:6" ht="14.4" customHeight="1" x14ac:dyDescent="0.3">
      <c r="C2721" s="2">
        <v>100</v>
      </c>
      <c r="D2721" s="2" t="s">
        <v>530</v>
      </c>
      <c r="E2721" s="2" t="s">
        <v>775</v>
      </c>
      <c r="F2721" s="101">
        <v>19</v>
      </c>
    </row>
    <row r="2722" spans="3:6" ht="14.4" customHeight="1" x14ac:dyDescent="0.3">
      <c r="C2722" s="2">
        <v>100</v>
      </c>
      <c r="D2722" s="2" t="s">
        <v>416</v>
      </c>
      <c r="E2722" s="2" t="s">
        <v>772</v>
      </c>
      <c r="F2722" s="101">
        <v>32</v>
      </c>
    </row>
    <row r="2723" spans="3:6" ht="14.4" customHeight="1" x14ac:dyDescent="0.3">
      <c r="C2723" s="2">
        <v>100</v>
      </c>
      <c r="D2723" s="2" t="s">
        <v>450</v>
      </c>
      <c r="E2723" s="2" t="s">
        <v>770</v>
      </c>
      <c r="F2723" s="101">
        <v>1872</v>
      </c>
    </row>
    <row r="2724" spans="3:6" ht="14.4" customHeight="1" x14ac:dyDescent="0.3">
      <c r="C2724" s="2">
        <v>100</v>
      </c>
      <c r="D2724" s="2" t="s">
        <v>703</v>
      </c>
      <c r="E2724" s="2" t="s">
        <v>773</v>
      </c>
      <c r="F2724" s="101">
        <v>4500</v>
      </c>
    </row>
    <row r="2725" spans="3:6" ht="14.4" customHeight="1" x14ac:dyDescent="0.3">
      <c r="C2725" s="2">
        <v>100</v>
      </c>
      <c r="D2725" s="2" t="s">
        <v>690</v>
      </c>
      <c r="E2725" s="2" t="s">
        <v>770</v>
      </c>
      <c r="F2725" s="101">
        <v>365</v>
      </c>
    </row>
    <row r="2726" spans="3:6" ht="14.4" customHeight="1" x14ac:dyDescent="0.3">
      <c r="C2726" s="2">
        <v>100</v>
      </c>
      <c r="D2726" s="2" t="s">
        <v>337</v>
      </c>
      <c r="E2726" s="2" t="s">
        <v>769</v>
      </c>
      <c r="F2726" s="101">
        <v>5607322</v>
      </c>
    </row>
    <row r="2727" spans="3:6" ht="14.4" customHeight="1" x14ac:dyDescent="0.3">
      <c r="C2727" s="2">
        <v>100</v>
      </c>
      <c r="D2727" s="2" t="s">
        <v>325</v>
      </c>
      <c r="E2727" s="2" t="s">
        <v>770</v>
      </c>
      <c r="F2727" s="101">
        <v>922</v>
      </c>
    </row>
    <row r="2728" spans="3:6" ht="14.4" customHeight="1" x14ac:dyDescent="0.3">
      <c r="C2728" s="2">
        <v>100</v>
      </c>
      <c r="D2728" s="2" t="s">
        <v>750</v>
      </c>
      <c r="E2728" s="2" t="s">
        <v>771</v>
      </c>
      <c r="F2728" s="101">
        <v>125</v>
      </c>
    </row>
    <row r="2729" spans="3:6" ht="14.4" customHeight="1" x14ac:dyDescent="0.3">
      <c r="C2729" s="2">
        <v>100</v>
      </c>
      <c r="D2729" s="2" t="s">
        <v>492</v>
      </c>
      <c r="E2729" s="2" t="s">
        <v>770</v>
      </c>
      <c r="F2729" s="101">
        <v>729</v>
      </c>
    </row>
    <row r="2730" spans="3:6" ht="14.4" customHeight="1" x14ac:dyDescent="0.3">
      <c r="C2730" s="2">
        <v>100</v>
      </c>
      <c r="D2730" s="2" t="s">
        <v>365</v>
      </c>
      <c r="E2730" s="2" t="s">
        <v>774</v>
      </c>
      <c r="F2730" s="101">
        <v>8381</v>
      </c>
    </row>
    <row r="2731" spans="3:6" ht="14.4" customHeight="1" x14ac:dyDescent="0.3">
      <c r="C2731" s="2">
        <v>100</v>
      </c>
      <c r="D2731" s="2" t="s">
        <v>215</v>
      </c>
      <c r="E2731" s="2" t="s">
        <v>773</v>
      </c>
      <c r="F2731" s="101">
        <v>48</v>
      </c>
    </row>
    <row r="2732" spans="3:6" ht="14.4" customHeight="1" x14ac:dyDescent="0.3">
      <c r="C2732" s="2">
        <v>100</v>
      </c>
      <c r="D2732" s="2" t="s">
        <v>254</v>
      </c>
      <c r="E2732" s="2" t="s">
        <v>773</v>
      </c>
      <c r="F2732" s="101">
        <v>195</v>
      </c>
    </row>
    <row r="2733" spans="3:6" ht="14.4" customHeight="1" x14ac:dyDescent="0.3">
      <c r="C2733" s="2">
        <v>100</v>
      </c>
      <c r="D2733" s="2" t="s">
        <v>280</v>
      </c>
      <c r="E2733" s="2" t="s">
        <v>769</v>
      </c>
      <c r="F2733" s="101">
        <v>72977</v>
      </c>
    </row>
    <row r="2734" spans="3:6" ht="14.4" customHeight="1" x14ac:dyDescent="0.3">
      <c r="C2734" s="2">
        <v>100</v>
      </c>
      <c r="D2734" s="2" t="s">
        <v>227</v>
      </c>
      <c r="E2734" s="2" t="s">
        <v>774</v>
      </c>
      <c r="F2734" s="101">
        <v>218</v>
      </c>
    </row>
    <row r="2735" spans="3:6" ht="14.4" customHeight="1" x14ac:dyDescent="0.3">
      <c r="C2735" s="2">
        <v>100</v>
      </c>
      <c r="D2735" s="2" t="s">
        <v>712</v>
      </c>
      <c r="E2735" s="2" t="s">
        <v>771</v>
      </c>
      <c r="F2735" s="101">
        <v>4638</v>
      </c>
    </row>
    <row r="2736" spans="3:6" ht="14.4" customHeight="1" x14ac:dyDescent="0.3">
      <c r="C2736" s="2">
        <v>100</v>
      </c>
      <c r="D2736" s="2" t="s">
        <v>532</v>
      </c>
      <c r="E2736" s="2" t="s">
        <v>775</v>
      </c>
      <c r="F2736" s="101">
        <v>17792</v>
      </c>
    </row>
    <row r="2737" spans="3:6" ht="14.4" customHeight="1" x14ac:dyDescent="0.3">
      <c r="C2737" s="2">
        <v>100</v>
      </c>
      <c r="D2737" s="2" t="s">
        <v>307</v>
      </c>
      <c r="E2737" s="2" t="s">
        <v>773</v>
      </c>
      <c r="F2737" s="101">
        <v>992</v>
      </c>
    </row>
    <row r="2738" spans="3:6" ht="14.4" customHeight="1" x14ac:dyDescent="0.3">
      <c r="C2738" s="2">
        <v>100</v>
      </c>
      <c r="D2738" s="2" t="s">
        <v>421</v>
      </c>
      <c r="E2738" s="2" t="s">
        <v>773</v>
      </c>
      <c r="F2738" s="101">
        <v>742</v>
      </c>
    </row>
    <row r="2739" spans="3:6" ht="14.4" customHeight="1" x14ac:dyDescent="0.3">
      <c r="C2739" s="2">
        <v>100</v>
      </c>
      <c r="D2739" s="2" t="s">
        <v>384</v>
      </c>
      <c r="E2739" s="2" t="s">
        <v>777</v>
      </c>
      <c r="F2739" s="101">
        <v>9706</v>
      </c>
    </row>
    <row r="2740" spans="3:6" ht="14.4" customHeight="1" x14ac:dyDescent="0.3">
      <c r="C2740" s="2">
        <v>100</v>
      </c>
      <c r="D2740" s="2" t="s">
        <v>736</v>
      </c>
      <c r="E2740" s="2" t="s">
        <v>773</v>
      </c>
      <c r="F2740" s="101">
        <v>196</v>
      </c>
    </row>
    <row r="2741" spans="3:6" ht="14.4" customHeight="1" x14ac:dyDescent="0.3">
      <c r="C2741" s="2">
        <v>100</v>
      </c>
      <c r="D2741" s="2" t="s">
        <v>424</v>
      </c>
      <c r="E2741" s="2" t="s">
        <v>769</v>
      </c>
      <c r="F2741" s="101">
        <v>15463</v>
      </c>
    </row>
    <row r="2742" spans="3:6" ht="14.4" customHeight="1" x14ac:dyDescent="0.3">
      <c r="C2742" s="2">
        <v>100</v>
      </c>
      <c r="D2742" s="2" t="s">
        <v>373</v>
      </c>
      <c r="E2742" s="2" t="s">
        <v>774</v>
      </c>
      <c r="F2742" s="101">
        <v>1962</v>
      </c>
    </row>
    <row r="2743" spans="3:6" ht="14.4" customHeight="1" x14ac:dyDescent="0.3">
      <c r="C2743" s="2">
        <v>100</v>
      </c>
      <c r="D2743" s="2" t="s">
        <v>404</v>
      </c>
      <c r="E2743" s="2" t="s">
        <v>773</v>
      </c>
      <c r="F2743" s="101">
        <v>159</v>
      </c>
    </row>
    <row r="2744" spans="3:6" ht="14.4" customHeight="1" x14ac:dyDescent="0.3">
      <c r="C2744" s="2">
        <v>100</v>
      </c>
      <c r="D2744" s="2" t="s">
        <v>634</v>
      </c>
      <c r="E2744" s="2" t="s">
        <v>774</v>
      </c>
      <c r="F2744" s="101">
        <v>249</v>
      </c>
    </row>
    <row r="2745" spans="3:6" ht="14.4" customHeight="1" x14ac:dyDescent="0.3">
      <c r="C2745" s="2">
        <v>100</v>
      </c>
      <c r="D2745" s="2" t="s">
        <v>279</v>
      </c>
      <c r="E2745" s="2" t="s">
        <v>773</v>
      </c>
      <c r="F2745" s="101">
        <v>4873</v>
      </c>
    </row>
    <row r="2746" spans="3:6" ht="14.4" customHeight="1" x14ac:dyDescent="0.3">
      <c r="C2746" s="2">
        <v>100</v>
      </c>
      <c r="D2746" s="2" t="s">
        <v>261</v>
      </c>
      <c r="E2746" s="2" t="s">
        <v>769</v>
      </c>
      <c r="F2746" s="101">
        <v>1632944</v>
      </c>
    </row>
    <row r="2747" spans="3:6" ht="14.4" customHeight="1" x14ac:dyDescent="0.3">
      <c r="C2747" s="2">
        <v>100</v>
      </c>
      <c r="D2747" s="2" t="s">
        <v>563</v>
      </c>
      <c r="E2747" s="2" t="s">
        <v>769</v>
      </c>
      <c r="F2747" s="101">
        <v>27053</v>
      </c>
    </row>
    <row r="2748" spans="3:6" ht="14.4" customHeight="1" x14ac:dyDescent="0.3">
      <c r="C2748" s="2">
        <v>100</v>
      </c>
      <c r="D2748" s="2" t="s">
        <v>356</v>
      </c>
      <c r="E2748" s="2" t="s">
        <v>771</v>
      </c>
      <c r="F2748" s="101">
        <v>15274</v>
      </c>
    </row>
    <row r="2749" spans="3:6" ht="14.4" customHeight="1" x14ac:dyDescent="0.3">
      <c r="C2749" s="2">
        <v>100</v>
      </c>
      <c r="D2749" s="2" t="s">
        <v>261</v>
      </c>
      <c r="E2749" s="2" t="s">
        <v>777</v>
      </c>
      <c r="F2749" s="101">
        <v>34533</v>
      </c>
    </row>
    <row r="2750" spans="3:6" ht="14.4" customHeight="1" x14ac:dyDescent="0.3">
      <c r="C2750" s="2">
        <v>100</v>
      </c>
      <c r="D2750" s="2" t="s">
        <v>451</v>
      </c>
      <c r="E2750" s="2" t="s">
        <v>775</v>
      </c>
      <c r="F2750" s="101">
        <v>1117</v>
      </c>
    </row>
    <row r="2751" spans="3:6" ht="14.4" customHeight="1" x14ac:dyDescent="0.3">
      <c r="C2751" s="2">
        <v>100</v>
      </c>
      <c r="D2751" s="2" t="s">
        <v>451</v>
      </c>
      <c r="E2751" s="2" t="s">
        <v>773</v>
      </c>
      <c r="F2751" s="101">
        <v>6114</v>
      </c>
    </row>
    <row r="2752" spans="3:6" ht="14.4" customHeight="1" x14ac:dyDescent="0.3">
      <c r="C2752" s="2">
        <v>100</v>
      </c>
      <c r="D2752" s="2" t="s">
        <v>463</v>
      </c>
      <c r="E2752" s="2" t="s">
        <v>773</v>
      </c>
      <c r="F2752" s="101">
        <v>5</v>
      </c>
    </row>
    <row r="2753" spans="3:6" ht="14.4" customHeight="1" x14ac:dyDescent="0.3">
      <c r="C2753" s="2">
        <v>100</v>
      </c>
      <c r="D2753" s="2" t="s">
        <v>730</v>
      </c>
      <c r="E2753" s="2" t="s">
        <v>771</v>
      </c>
      <c r="F2753" s="101">
        <v>900</v>
      </c>
    </row>
    <row r="2754" spans="3:6" ht="14.4" customHeight="1" x14ac:dyDescent="0.3">
      <c r="C2754" s="2">
        <v>100</v>
      </c>
      <c r="D2754" s="2" t="s">
        <v>367</v>
      </c>
      <c r="E2754" s="2" t="s">
        <v>772</v>
      </c>
      <c r="F2754" s="101">
        <v>1502</v>
      </c>
    </row>
    <row r="2755" spans="3:6" ht="14.4" customHeight="1" x14ac:dyDescent="0.3">
      <c r="C2755" s="2">
        <v>100</v>
      </c>
      <c r="D2755" s="2" t="s">
        <v>279</v>
      </c>
      <c r="E2755" s="2" t="s">
        <v>771</v>
      </c>
      <c r="F2755" s="101">
        <v>24591</v>
      </c>
    </row>
    <row r="2756" spans="3:6" ht="14.4" customHeight="1" x14ac:dyDescent="0.3">
      <c r="C2756" s="2">
        <v>100</v>
      </c>
      <c r="D2756" s="2" t="s">
        <v>421</v>
      </c>
      <c r="E2756" s="2" t="s">
        <v>771</v>
      </c>
      <c r="F2756" s="101">
        <v>188</v>
      </c>
    </row>
    <row r="2757" spans="3:6" ht="14.4" customHeight="1" x14ac:dyDescent="0.3">
      <c r="C2757" s="2">
        <v>100</v>
      </c>
      <c r="D2757" s="2" t="s">
        <v>644</v>
      </c>
      <c r="E2757" s="2" t="s">
        <v>774</v>
      </c>
      <c r="F2757" s="101">
        <v>2049</v>
      </c>
    </row>
    <row r="2758" spans="3:6" ht="14.4" customHeight="1" x14ac:dyDescent="0.3">
      <c r="C2758" s="2">
        <v>100</v>
      </c>
      <c r="D2758" s="2" t="s">
        <v>637</v>
      </c>
      <c r="E2758" s="2" t="s">
        <v>770</v>
      </c>
      <c r="F2758" s="101">
        <v>480</v>
      </c>
    </row>
    <row r="2759" spans="3:6" ht="14.4" customHeight="1" x14ac:dyDescent="0.3">
      <c r="C2759" s="2">
        <v>100</v>
      </c>
      <c r="D2759" s="2" t="s">
        <v>532</v>
      </c>
      <c r="E2759" s="2" t="s">
        <v>770</v>
      </c>
      <c r="F2759" s="101">
        <v>1983</v>
      </c>
    </row>
    <row r="2760" spans="3:6" ht="14.4" customHeight="1" x14ac:dyDescent="0.3">
      <c r="C2760" s="2">
        <v>100</v>
      </c>
      <c r="D2760" s="2" t="s">
        <v>565</v>
      </c>
      <c r="E2760" s="2" t="s">
        <v>771</v>
      </c>
      <c r="F2760" s="101">
        <v>1772</v>
      </c>
    </row>
    <row r="2761" spans="3:6" ht="14.4" customHeight="1" x14ac:dyDescent="0.3">
      <c r="C2761" s="2">
        <v>100</v>
      </c>
      <c r="D2761" s="2" t="s">
        <v>307</v>
      </c>
      <c r="E2761" s="2" t="s">
        <v>771</v>
      </c>
      <c r="F2761" s="101">
        <v>14808</v>
      </c>
    </row>
    <row r="2762" spans="3:6" ht="14.4" customHeight="1" x14ac:dyDescent="0.3">
      <c r="C2762" s="2">
        <v>100</v>
      </c>
      <c r="D2762" s="2" t="s">
        <v>236</v>
      </c>
      <c r="E2762" s="2" t="s">
        <v>783</v>
      </c>
      <c r="F2762" s="101">
        <v>48</v>
      </c>
    </row>
    <row r="2763" spans="3:6" ht="14.4" customHeight="1" x14ac:dyDescent="0.3">
      <c r="C2763" s="2">
        <v>100</v>
      </c>
      <c r="D2763" s="2" t="s">
        <v>414</v>
      </c>
      <c r="E2763" s="2" t="s">
        <v>769</v>
      </c>
      <c r="F2763" s="101">
        <v>116259</v>
      </c>
    </row>
    <row r="2764" spans="3:6" ht="14.4" customHeight="1" x14ac:dyDescent="0.3">
      <c r="C2764" s="2">
        <v>100</v>
      </c>
      <c r="D2764" s="2" t="s">
        <v>534</v>
      </c>
      <c r="E2764" s="2" t="s">
        <v>773</v>
      </c>
      <c r="F2764" s="101">
        <v>650</v>
      </c>
    </row>
    <row r="2765" spans="3:6" ht="14.4" customHeight="1" x14ac:dyDescent="0.3">
      <c r="C2765" s="2">
        <v>100</v>
      </c>
      <c r="D2765" s="2" t="s">
        <v>354</v>
      </c>
      <c r="E2765" s="2" t="s">
        <v>775</v>
      </c>
      <c r="F2765" s="101">
        <v>6399</v>
      </c>
    </row>
    <row r="2766" spans="3:6" ht="14.4" customHeight="1" x14ac:dyDescent="0.3">
      <c r="C2766" s="2">
        <v>100</v>
      </c>
      <c r="D2766" s="2" t="s">
        <v>284</v>
      </c>
      <c r="E2766" s="2" t="s">
        <v>769</v>
      </c>
      <c r="F2766" s="101">
        <v>36759</v>
      </c>
    </row>
    <row r="2767" spans="3:6" ht="14.4" customHeight="1" x14ac:dyDescent="0.3">
      <c r="C2767" s="2">
        <v>100</v>
      </c>
      <c r="D2767" s="2" t="s">
        <v>419</v>
      </c>
      <c r="E2767" s="2" t="s">
        <v>775</v>
      </c>
      <c r="F2767" s="101">
        <v>8</v>
      </c>
    </row>
    <row r="2768" spans="3:6" ht="14.4" customHeight="1" x14ac:dyDescent="0.3">
      <c r="C2768" s="2">
        <v>100</v>
      </c>
      <c r="D2768" s="2" t="s">
        <v>232</v>
      </c>
      <c r="E2768" s="2" t="s">
        <v>770</v>
      </c>
      <c r="F2768" s="101">
        <v>2797</v>
      </c>
    </row>
    <row r="2769" spans="3:6" ht="14.4" customHeight="1" x14ac:dyDescent="0.3">
      <c r="C2769" s="2">
        <v>100</v>
      </c>
      <c r="D2769" s="2" t="s">
        <v>300</v>
      </c>
      <c r="E2769" s="2" t="s">
        <v>774</v>
      </c>
      <c r="F2769" s="101">
        <v>-164</v>
      </c>
    </row>
    <row r="2770" spans="3:6" ht="14.4" customHeight="1" x14ac:dyDescent="0.3">
      <c r="C2770" s="2">
        <v>100</v>
      </c>
      <c r="D2770" s="2" t="s">
        <v>457</v>
      </c>
      <c r="E2770" s="2" t="s">
        <v>771</v>
      </c>
      <c r="F2770" s="101">
        <v>11131</v>
      </c>
    </row>
    <row r="2771" spans="3:6" ht="14.4" customHeight="1" x14ac:dyDescent="0.3">
      <c r="C2771" s="2">
        <v>100</v>
      </c>
      <c r="D2771" s="2" t="s">
        <v>756</v>
      </c>
      <c r="E2771" s="2" t="s">
        <v>773</v>
      </c>
      <c r="F2771" s="101">
        <v>0</v>
      </c>
    </row>
    <row r="2772" spans="3:6" ht="14.4" customHeight="1" x14ac:dyDescent="0.3">
      <c r="C2772" s="2">
        <v>100</v>
      </c>
      <c r="D2772" s="2" t="s">
        <v>604</v>
      </c>
      <c r="E2772" s="2" t="s">
        <v>774</v>
      </c>
      <c r="F2772" s="101">
        <v>71</v>
      </c>
    </row>
    <row r="2773" spans="3:6" ht="14.4" customHeight="1" x14ac:dyDescent="0.3">
      <c r="C2773" s="2">
        <v>100</v>
      </c>
      <c r="D2773" s="2" t="s">
        <v>292</v>
      </c>
      <c r="E2773" s="2" t="s">
        <v>772</v>
      </c>
      <c r="F2773" s="101">
        <v>19635</v>
      </c>
    </row>
    <row r="2774" spans="3:6" ht="14.4" customHeight="1" x14ac:dyDescent="0.3">
      <c r="C2774" s="2">
        <v>100</v>
      </c>
      <c r="D2774" s="2" t="s">
        <v>570</v>
      </c>
      <c r="E2774" s="2" t="s">
        <v>769</v>
      </c>
      <c r="F2774" s="101">
        <v>12503</v>
      </c>
    </row>
    <row r="2775" spans="3:6" ht="14.4" customHeight="1" x14ac:dyDescent="0.3">
      <c r="C2775" s="2">
        <v>100</v>
      </c>
      <c r="D2775" s="2" t="s">
        <v>580</v>
      </c>
      <c r="E2775" s="2" t="s">
        <v>774</v>
      </c>
      <c r="F2775" s="101">
        <v>0</v>
      </c>
    </row>
    <row r="2776" spans="3:6" ht="14.4" customHeight="1" x14ac:dyDescent="0.3">
      <c r="C2776" s="2">
        <v>100</v>
      </c>
      <c r="D2776" s="2" t="s">
        <v>311</v>
      </c>
      <c r="E2776" s="2" t="s">
        <v>769</v>
      </c>
      <c r="F2776" s="101">
        <v>81481</v>
      </c>
    </row>
    <row r="2777" spans="3:6" ht="14.4" customHeight="1" x14ac:dyDescent="0.3">
      <c r="C2777" s="2">
        <v>100</v>
      </c>
      <c r="D2777" s="2" t="s">
        <v>535</v>
      </c>
      <c r="E2777" s="2" t="s">
        <v>773</v>
      </c>
      <c r="F2777" s="101">
        <v>189</v>
      </c>
    </row>
    <row r="2778" spans="3:6" ht="14.4" customHeight="1" x14ac:dyDescent="0.3">
      <c r="C2778" s="2">
        <v>100</v>
      </c>
      <c r="D2778" s="2" t="s">
        <v>675</v>
      </c>
      <c r="E2778" s="2" t="s">
        <v>771</v>
      </c>
      <c r="F2778" s="101">
        <v>531</v>
      </c>
    </row>
    <row r="2779" spans="3:6" ht="14.4" customHeight="1" x14ac:dyDescent="0.3">
      <c r="C2779" s="2">
        <v>100</v>
      </c>
      <c r="D2779" s="2" t="s">
        <v>277</v>
      </c>
      <c r="E2779" s="2" t="s">
        <v>773</v>
      </c>
      <c r="F2779" s="101">
        <v>3166</v>
      </c>
    </row>
    <row r="2780" spans="3:6" ht="14.4" customHeight="1" x14ac:dyDescent="0.3">
      <c r="C2780" s="2">
        <v>100</v>
      </c>
      <c r="D2780" s="2" t="s">
        <v>206</v>
      </c>
      <c r="E2780" s="2" t="s">
        <v>774</v>
      </c>
      <c r="F2780" s="101">
        <v>0</v>
      </c>
    </row>
    <row r="2781" spans="3:6" ht="14.4" customHeight="1" x14ac:dyDescent="0.3">
      <c r="C2781" s="2">
        <v>100</v>
      </c>
      <c r="D2781" s="2" t="s">
        <v>215</v>
      </c>
      <c r="E2781" s="2" t="s">
        <v>769</v>
      </c>
      <c r="F2781" s="101">
        <v>144225</v>
      </c>
    </row>
    <row r="2782" spans="3:6" ht="14.4" customHeight="1" x14ac:dyDescent="0.3">
      <c r="C2782" s="2">
        <v>100</v>
      </c>
      <c r="D2782" s="2" t="s">
        <v>280</v>
      </c>
      <c r="E2782" s="2" t="s">
        <v>775</v>
      </c>
      <c r="F2782" s="101">
        <v>1050</v>
      </c>
    </row>
    <row r="2783" spans="3:6" ht="14.4" customHeight="1" x14ac:dyDescent="0.3">
      <c r="C2783" s="2">
        <v>100</v>
      </c>
      <c r="D2783" s="2" t="s">
        <v>560</v>
      </c>
      <c r="E2783" s="2" t="s">
        <v>771</v>
      </c>
      <c r="F2783" s="101">
        <v>8440</v>
      </c>
    </row>
    <row r="2784" spans="3:6" ht="14.4" customHeight="1" x14ac:dyDescent="0.3">
      <c r="C2784" s="2">
        <v>100</v>
      </c>
      <c r="D2784" s="2" t="s">
        <v>377</v>
      </c>
      <c r="E2784" s="2" t="s">
        <v>775</v>
      </c>
      <c r="F2784" s="101">
        <v>46095</v>
      </c>
    </row>
    <row r="2785" spans="3:6" ht="14.4" customHeight="1" x14ac:dyDescent="0.3">
      <c r="C2785" s="2">
        <v>100</v>
      </c>
      <c r="D2785" s="2" t="s">
        <v>396</v>
      </c>
      <c r="E2785" s="2" t="s">
        <v>770</v>
      </c>
      <c r="F2785" s="101">
        <v>5493</v>
      </c>
    </row>
    <row r="2786" spans="3:6" ht="14.4" customHeight="1" x14ac:dyDescent="0.3">
      <c r="C2786" s="2">
        <v>100</v>
      </c>
      <c r="D2786" s="2" t="s">
        <v>355</v>
      </c>
      <c r="E2786" s="2" t="s">
        <v>772</v>
      </c>
      <c r="F2786" s="101">
        <v>91</v>
      </c>
    </row>
    <row r="2787" spans="3:6" ht="14.4" customHeight="1" x14ac:dyDescent="0.3">
      <c r="C2787" s="2">
        <v>100</v>
      </c>
      <c r="D2787" s="2" t="s">
        <v>414</v>
      </c>
      <c r="E2787" s="2" t="s">
        <v>777</v>
      </c>
      <c r="F2787" s="101">
        <v>27089</v>
      </c>
    </row>
    <row r="2788" spans="3:6" ht="14.4" customHeight="1" x14ac:dyDescent="0.3">
      <c r="C2788" s="2">
        <v>100</v>
      </c>
      <c r="D2788" s="2" t="s">
        <v>655</v>
      </c>
      <c r="E2788" s="2" t="s">
        <v>774</v>
      </c>
      <c r="F2788" s="101">
        <v>0</v>
      </c>
    </row>
    <row r="2789" spans="3:6" ht="14.4" customHeight="1" x14ac:dyDescent="0.3">
      <c r="C2789" s="2">
        <v>100</v>
      </c>
      <c r="D2789" s="2" t="s">
        <v>674</v>
      </c>
      <c r="E2789" s="2" t="s">
        <v>769</v>
      </c>
      <c r="F2789" s="101">
        <v>44436</v>
      </c>
    </row>
    <row r="2790" spans="3:6" ht="14.4" customHeight="1" x14ac:dyDescent="0.3">
      <c r="C2790" s="2">
        <v>100</v>
      </c>
      <c r="D2790" s="2" t="s">
        <v>584</v>
      </c>
      <c r="E2790" s="2" t="s">
        <v>773</v>
      </c>
      <c r="F2790" s="101">
        <v>146</v>
      </c>
    </row>
    <row r="2791" spans="3:6" ht="14.4" customHeight="1" x14ac:dyDescent="0.3">
      <c r="C2791" s="2">
        <v>100</v>
      </c>
      <c r="D2791" s="2" t="s">
        <v>584</v>
      </c>
      <c r="E2791" s="2" t="s">
        <v>775</v>
      </c>
      <c r="F2791" s="101">
        <v>49363</v>
      </c>
    </row>
    <row r="2792" spans="3:6" ht="14.4" customHeight="1" x14ac:dyDescent="0.3">
      <c r="C2792" s="2">
        <v>100</v>
      </c>
      <c r="D2792" s="2" t="s">
        <v>286</v>
      </c>
      <c r="E2792" s="2" t="s">
        <v>770</v>
      </c>
      <c r="F2792" s="101">
        <v>1082</v>
      </c>
    </row>
    <row r="2793" spans="3:6" ht="14.4" customHeight="1" x14ac:dyDescent="0.3">
      <c r="C2793" s="2">
        <v>100</v>
      </c>
      <c r="D2793" s="2" t="s">
        <v>387</v>
      </c>
      <c r="E2793" s="2" t="s">
        <v>770</v>
      </c>
      <c r="F2793" s="101">
        <v>3557</v>
      </c>
    </row>
    <row r="2794" spans="3:6" ht="14.4" customHeight="1" x14ac:dyDescent="0.3">
      <c r="C2794" s="2">
        <v>100</v>
      </c>
      <c r="D2794" s="2" t="s">
        <v>683</v>
      </c>
      <c r="E2794" s="2" t="s">
        <v>773</v>
      </c>
      <c r="F2794" s="101">
        <v>0</v>
      </c>
    </row>
    <row r="2795" spans="3:6" ht="14.4" customHeight="1" x14ac:dyDescent="0.3">
      <c r="C2795" s="2">
        <v>100</v>
      </c>
      <c r="D2795" s="2" t="s">
        <v>512</v>
      </c>
      <c r="E2795" s="2" t="s">
        <v>773</v>
      </c>
      <c r="F2795" s="101">
        <v>2921</v>
      </c>
    </row>
    <row r="2796" spans="3:6" ht="14.4" customHeight="1" x14ac:dyDescent="0.3">
      <c r="C2796" s="2">
        <v>100</v>
      </c>
      <c r="D2796" s="2" t="s">
        <v>304</v>
      </c>
      <c r="E2796" s="2" t="s">
        <v>774</v>
      </c>
      <c r="F2796" s="101">
        <v>2889</v>
      </c>
    </row>
    <row r="2797" spans="3:6" ht="14.4" customHeight="1" x14ac:dyDescent="0.3">
      <c r="C2797" s="2">
        <v>100</v>
      </c>
      <c r="D2797" s="2" t="s">
        <v>614</v>
      </c>
      <c r="E2797" s="2" t="s">
        <v>774</v>
      </c>
      <c r="F2797" s="101">
        <v>428</v>
      </c>
    </row>
    <row r="2798" spans="3:6" ht="14.4" customHeight="1" x14ac:dyDescent="0.3">
      <c r="C2798" s="2">
        <v>100</v>
      </c>
      <c r="D2798" s="2" t="s">
        <v>212</v>
      </c>
      <c r="E2798" s="2" t="s">
        <v>771</v>
      </c>
      <c r="F2798" s="101">
        <v>2474</v>
      </c>
    </row>
    <row r="2799" spans="3:6" ht="14.4" customHeight="1" x14ac:dyDescent="0.3">
      <c r="C2799" s="2">
        <v>100</v>
      </c>
      <c r="D2799" s="2" t="s">
        <v>489</v>
      </c>
      <c r="E2799" s="2" t="s">
        <v>769</v>
      </c>
      <c r="F2799" s="101">
        <v>8164</v>
      </c>
    </row>
    <row r="2800" spans="3:6" ht="14.4" customHeight="1" x14ac:dyDescent="0.3">
      <c r="C2800" s="2">
        <v>100</v>
      </c>
      <c r="D2800" s="2" t="s">
        <v>651</v>
      </c>
      <c r="E2800" s="2" t="s">
        <v>773</v>
      </c>
      <c r="F2800" s="101">
        <v>0</v>
      </c>
    </row>
    <row r="2801" spans="3:6" ht="14.4" customHeight="1" x14ac:dyDescent="0.3">
      <c r="C2801" s="2">
        <v>100</v>
      </c>
      <c r="D2801" s="2" t="s">
        <v>684</v>
      </c>
      <c r="E2801" s="2" t="s">
        <v>771</v>
      </c>
      <c r="F2801" s="101">
        <v>409</v>
      </c>
    </row>
    <row r="2802" spans="3:6" ht="14.4" customHeight="1" x14ac:dyDescent="0.3">
      <c r="C2802" s="2">
        <v>100</v>
      </c>
      <c r="D2802" s="2" t="s">
        <v>741</v>
      </c>
      <c r="E2802" s="2" t="s">
        <v>769</v>
      </c>
      <c r="F2802" s="101">
        <v>1680</v>
      </c>
    </row>
    <row r="2803" spans="3:6" ht="14.4" customHeight="1" x14ac:dyDescent="0.3">
      <c r="C2803" s="2">
        <v>100</v>
      </c>
      <c r="D2803" s="2" t="s">
        <v>448</v>
      </c>
      <c r="E2803" s="2" t="s">
        <v>773</v>
      </c>
      <c r="F2803" s="101">
        <v>12532</v>
      </c>
    </row>
    <row r="2804" spans="3:6" ht="14.4" customHeight="1" x14ac:dyDescent="0.3">
      <c r="C2804" s="2">
        <v>100</v>
      </c>
      <c r="D2804" s="2" t="s">
        <v>402</v>
      </c>
      <c r="E2804" s="2" t="s">
        <v>775</v>
      </c>
      <c r="F2804" s="101">
        <v>27</v>
      </c>
    </row>
    <row r="2805" spans="3:6" ht="14.4" customHeight="1" x14ac:dyDescent="0.3">
      <c r="C2805" s="2">
        <v>100</v>
      </c>
      <c r="D2805" s="2" t="s">
        <v>622</v>
      </c>
      <c r="E2805" s="2" t="s">
        <v>775</v>
      </c>
      <c r="F2805" s="101">
        <v>70</v>
      </c>
    </row>
    <row r="2806" spans="3:6" ht="14.4" customHeight="1" x14ac:dyDescent="0.3">
      <c r="C2806" s="2">
        <v>100</v>
      </c>
      <c r="D2806" s="2" t="s">
        <v>541</v>
      </c>
      <c r="E2806" s="2" t="s">
        <v>769</v>
      </c>
      <c r="F2806" s="101">
        <v>8516</v>
      </c>
    </row>
    <row r="2807" spans="3:6" ht="14.4" customHeight="1" x14ac:dyDescent="0.3">
      <c r="C2807" s="2">
        <v>100</v>
      </c>
      <c r="D2807" s="2" t="s">
        <v>441</v>
      </c>
      <c r="E2807" s="2" t="s">
        <v>774</v>
      </c>
      <c r="F2807" s="101">
        <v>3756</v>
      </c>
    </row>
    <row r="2808" spans="3:6" ht="14.4" customHeight="1" x14ac:dyDescent="0.3">
      <c r="C2808" s="2">
        <v>100</v>
      </c>
      <c r="D2808" s="2" t="s">
        <v>357</v>
      </c>
      <c r="E2808" s="2" t="s">
        <v>775</v>
      </c>
      <c r="F2808" s="101">
        <v>110</v>
      </c>
    </row>
    <row r="2809" spans="3:6" ht="14.4" customHeight="1" x14ac:dyDescent="0.3">
      <c r="C2809" s="2">
        <v>100</v>
      </c>
      <c r="D2809" s="2" t="s">
        <v>262</v>
      </c>
      <c r="E2809" s="2" t="s">
        <v>775</v>
      </c>
      <c r="F2809" s="101">
        <v>34</v>
      </c>
    </row>
    <row r="2810" spans="3:6" ht="14.4" customHeight="1" x14ac:dyDescent="0.3">
      <c r="C2810" s="2">
        <v>100</v>
      </c>
      <c r="D2810" s="2" t="s">
        <v>310</v>
      </c>
      <c r="E2810" s="2" t="s">
        <v>770</v>
      </c>
      <c r="F2810" s="101">
        <v>623</v>
      </c>
    </row>
    <row r="2811" spans="3:6" ht="14.4" customHeight="1" x14ac:dyDescent="0.3">
      <c r="C2811" s="2">
        <v>100</v>
      </c>
      <c r="D2811" s="2" t="s">
        <v>324</v>
      </c>
      <c r="E2811" s="2" t="s">
        <v>774</v>
      </c>
      <c r="F2811" s="101">
        <v>-130</v>
      </c>
    </row>
    <row r="2812" spans="3:6" ht="14.4" customHeight="1" x14ac:dyDescent="0.3">
      <c r="C2812" s="2">
        <v>100</v>
      </c>
      <c r="D2812" s="2" t="s">
        <v>684</v>
      </c>
      <c r="E2812" s="2" t="s">
        <v>775</v>
      </c>
      <c r="F2812" s="101">
        <v>27</v>
      </c>
    </row>
    <row r="2813" spans="3:6" ht="14.4" customHeight="1" x14ac:dyDescent="0.3">
      <c r="C2813" s="2">
        <v>100</v>
      </c>
      <c r="D2813" s="2" t="s">
        <v>707</v>
      </c>
      <c r="E2813" s="2" t="s">
        <v>773</v>
      </c>
      <c r="F2813" s="101">
        <v>4211</v>
      </c>
    </row>
    <row r="2814" spans="3:6" ht="14.4" customHeight="1" x14ac:dyDescent="0.3">
      <c r="C2814" s="2">
        <v>100</v>
      </c>
      <c r="D2814" s="2" t="s">
        <v>313</v>
      </c>
      <c r="E2814" s="2" t="s">
        <v>774</v>
      </c>
      <c r="F2814" s="101">
        <v>2327</v>
      </c>
    </row>
    <row r="2815" spans="3:6" ht="14.4" customHeight="1" x14ac:dyDescent="0.3">
      <c r="C2815" s="2">
        <v>100</v>
      </c>
      <c r="D2815" s="2" t="s">
        <v>456</v>
      </c>
      <c r="E2815" s="2" t="s">
        <v>769</v>
      </c>
      <c r="F2815" s="101">
        <v>19550</v>
      </c>
    </row>
    <row r="2816" spans="3:6" ht="14.4" customHeight="1" x14ac:dyDescent="0.3">
      <c r="C2816" s="2">
        <v>100</v>
      </c>
      <c r="D2816" s="2" t="s">
        <v>212</v>
      </c>
      <c r="E2816" s="2" t="s">
        <v>775</v>
      </c>
      <c r="F2816" s="101">
        <v>16</v>
      </c>
    </row>
    <row r="2817" spans="3:6" ht="14.4" customHeight="1" x14ac:dyDescent="0.3">
      <c r="C2817" s="2">
        <v>100</v>
      </c>
      <c r="D2817" s="2" t="s">
        <v>727</v>
      </c>
      <c r="E2817" s="2" t="s">
        <v>774</v>
      </c>
      <c r="F2817" s="101">
        <v>131</v>
      </c>
    </row>
    <row r="2818" spans="3:6" ht="14.4" customHeight="1" x14ac:dyDescent="0.3">
      <c r="C2818" s="2">
        <v>100</v>
      </c>
      <c r="D2818" s="2" t="s">
        <v>584</v>
      </c>
      <c r="E2818" s="2" t="s">
        <v>771</v>
      </c>
      <c r="F2818" s="101">
        <v>153068</v>
      </c>
    </row>
    <row r="2819" spans="3:6" ht="14.4" customHeight="1" x14ac:dyDescent="0.3">
      <c r="C2819" s="2">
        <v>100</v>
      </c>
      <c r="D2819" s="2" t="s">
        <v>569</v>
      </c>
      <c r="E2819" s="2" t="s">
        <v>773</v>
      </c>
      <c r="F2819" s="101">
        <v>53</v>
      </c>
    </row>
    <row r="2820" spans="3:6" ht="14.4" customHeight="1" x14ac:dyDescent="0.3">
      <c r="C2820" s="2">
        <v>100</v>
      </c>
      <c r="D2820" s="2" t="s">
        <v>746</v>
      </c>
      <c r="E2820" s="2" t="s">
        <v>771</v>
      </c>
      <c r="F2820" s="101">
        <v>56</v>
      </c>
    </row>
    <row r="2821" spans="3:6" ht="14.4" customHeight="1" x14ac:dyDescent="0.3">
      <c r="C2821" s="2">
        <v>100</v>
      </c>
      <c r="D2821" s="2" t="s">
        <v>513</v>
      </c>
      <c r="E2821" s="2" t="s">
        <v>775</v>
      </c>
      <c r="F2821" s="101">
        <v>128240</v>
      </c>
    </row>
    <row r="2822" spans="3:6" ht="14.4" customHeight="1" x14ac:dyDescent="0.3">
      <c r="C2822" s="2">
        <v>100</v>
      </c>
      <c r="D2822" s="2" t="s">
        <v>362</v>
      </c>
      <c r="E2822" s="2" t="s">
        <v>769</v>
      </c>
      <c r="F2822" s="101">
        <v>135641</v>
      </c>
    </row>
    <row r="2823" spans="3:6" ht="14.4" customHeight="1" x14ac:dyDescent="0.3">
      <c r="C2823" s="2">
        <v>100</v>
      </c>
      <c r="D2823" s="2" t="s">
        <v>259</v>
      </c>
      <c r="E2823" s="2" t="s">
        <v>773</v>
      </c>
      <c r="F2823" s="101">
        <v>17735</v>
      </c>
    </row>
    <row r="2824" spans="3:6" ht="14.4" customHeight="1" x14ac:dyDescent="0.3">
      <c r="C2824" s="2">
        <v>100</v>
      </c>
      <c r="D2824" s="2" t="s">
        <v>571</v>
      </c>
      <c r="E2824" s="2" t="s">
        <v>775</v>
      </c>
      <c r="F2824" s="101">
        <v>8</v>
      </c>
    </row>
    <row r="2825" spans="3:6" ht="14.4" customHeight="1" x14ac:dyDescent="0.3">
      <c r="C2825" s="2">
        <v>100</v>
      </c>
      <c r="D2825" s="2" t="s">
        <v>725</v>
      </c>
      <c r="E2825" s="2" t="s">
        <v>774</v>
      </c>
      <c r="F2825" s="101">
        <v>0</v>
      </c>
    </row>
    <row r="2826" spans="3:6" ht="14.4" customHeight="1" x14ac:dyDescent="0.3">
      <c r="C2826" s="2">
        <v>100</v>
      </c>
      <c r="D2826" s="2" t="s">
        <v>237</v>
      </c>
      <c r="E2826" s="2" t="s">
        <v>774</v>
      </c>
      <c r="F2826" s="101">
        <v>-2212</v>
      </c>
    </row>
    <row r="2827" spans="3:6" ht="14.4" customHeight="1" x14ac:dyDescent="0.3">
      <c r="C2827" s="2">
        <v>100</v>
      </c>
      <c r="D2827" s="2" t="s">
        <v>383</v>
      </c>
      <c r="E2827" s="2" t="s">
        <v>773</v>
      </c>
      <c r="F2827" s="101">
        <v>0</v>
      </c>
    </row>
    <row r="2828" spans="3:6" ht="14.4" customHeight="1" x14ac:dyDescent="0.3">
      <c r="C2828" s="2">
        <v>100</v>
      </c>
      <c r="D2828" s="2" t="s">
        <v>472</v>
      </c>
      <c r="E2828" s="2" t="s">
        <v>770</v>
      </c>
      <c r="F2828" s="101">
        <v>88</v>
      </c>
    </row>
    <row r="2829" spans="3:6" ht="14.4" customHeight="1" x14ac:dyDescent="0.3">
      <c r="C2829" s="2">
        <v>100</v>
      </c>
      <c r="D2829" s="2" t="s">
        <v>724</v>
      </c>
      <c r="E2829" s="2" t="s">
        <v>769</v>
      </c>
      <c r="F2829" s="101">
        <v>10775</v>
      </c>
    </row>
    <row r="2830" spans="3:6" ht="14.4" customHeight="1" x14ac:dyDescent="0.3">
      <c r="C2830" s="2">
        <v>100</v>
      </c>
      <c r="D2830" s="2" t="s">
        <v>525</v>
      </c>
      <c r="E2830" s="2" t="s">
        <v>773</v>
      </c>
      <c r="F2830" s="101">
        <v>673</v>
      </c>
    </row>
    <row r="2831" spans="3:6" ht="14.4" customHeight="1" x14ac:dyDescent="0.3">
      <c r="C2831" s="2">
        <v>100</v>
      </c>
      <c r="D2831" s="2" t="s">
        <v>397</v>
      </c>
      <c r="E2831" s="2" t="s">
        <v>770</v>
      </c>
      <c r="F2831" s="101">
        <v>5240</v>
      </c>
    </row>
    <row r="2832" spans="3:6" ht="14.4" customHeight="1" x14ac:dyDescent="0.3">
      <c r="C2832" s="2">
        <v>100</v>
      </c>
      <c r="D2832" s="2" t="s">
        <v>686</v>
      </c>
      <c r="E2832" s="2" t="s">
        <v>777</v>
      </c>
      <c r="F2832" s="101">
        <v>1260</v>
      </c>
    </row>
    <row r="2833" spans="3:6" ht="14.4" customHeight="1" x14ac:dyDescent="0.3">
      <c r="C2833" s="2">
        <v>100</v>
      </c>
      <c r="D2833" s="2" t="s">
        <v>383</v>
      </c>
      <c r="E2833" s="2" t="s">
        <v>770</v>
      </c>
      <c r="F2833" s="101">
        <v>1926</v>
      </c>
    </row>
    <row r="2834" spans="3:6" ht="14.4" customHeight="1" x14ac:dyDescent="0.3">
      <c r="C2834" s="2">
        <v>100</v>
      </c>
      <c r="D2834" s="2" t="s">
        <v>235</v>
      </c>
      <c r="E2834" s="2" t="s">
        <v>773</v>
      </c>
      <c r="F2834" s="101">
        <v>18117</v>
      </c>
    </row>
    <row r="2835" spans="3:6" ht="14.4" customHeight="1" x14ac:dyDescent="0.3">
      <c r="C2835" s="2">
        <v>100</v>
      </c>
      <c r="D2835" s="2" t="s">
        <v>468</v>
      </c>
      <c r="E2835" s="2" t="s">
        <v>773</v>
      </c>
      <c r="F2835" s="101">
        <v>458</v>
      </c>
    </row>
    <row r="2836" spans="3:6" ht="14.4" customHeight="1" x14ac:dyDescent="0.3">
      <c r="C2836" s="2">
        <v>100</v>
      </c>
      <c r="D2836" s="2" t="s">
        <v>375</v>
      </c>
      <c r="E2836" s="2" t="s">
        <v>775</v>
      </c>
      <c r="F2836" s="101">
        <v>40</v>
      </c>
    </row>
    <row r="2837" spans="3:6" ht="14.4" customHeight="1" x14ac:dyDescent="0.3">
      <c r="C2837" s="2">
        <v>100</v>
      </c>
      <c r="D2837" s="2" t="s">
        <v>259</v>
      </c>
      <c r="E2837" s="2" t="s">
        <v>770</v>
      </c>
      <c r="F2837" s="101">
        <v>18184</v>
      </c>
    </row>
    <row r="2838" spans="3:6" ht="14.4" customHeight="1" x14ac:dyDescent="0.3">
      <c r="C2838" s="2">
        <v>100</v>
      </c>
      <c r="D2838" s="2" t="s">
        <v>454</v>
      </c>
      <c r="E2838" s="2" t="s">
        <v>769</v>
      </c>
      <c r="F2838" s="101">
        <v>81739</v>
      </c>
    </row>
    <row r="2839" spans="3:6" ht="14.4" customHeight="1" x14ac:dyDescent="0.3">
      <c r="C2839" s="2">
        <v>100</v>
      </c>
      <c r="D2839" s="2" t="s">
        <v>754</v>
      </c>
      <c r="E2839" s="2" t="s">
        <v>774</v>
      </c>
      <c r="F2839" s="101">
        <v>0</v>
      </c>
    </row>
    <row r="2840" spans="3:6" ht="14.4" customHeight="1" x14ac:dyDescent="0.3">
      <c r="C2840" s="2">
        <v>100</v>
      </c>
      <c r="D2840" s="2" t="s">
        <v>513</v>
      </c>
      <c r="E2840" s="2" t="s">
        <v>771</v>
      </c>
      <c r="F2840" s="101">
        <v>132359</v>
      </c>
    </row>
    <row r="2841" spans="3:6" ht="14.4" customHeight="1" x14ac:dyDescent="0.3">
      <c r="C2841" s="2">
        <v>100</v>
      </c>
      <c r="D2841" s="2" t="s">
        <v>216</v>
      </c>
      <c r="E2841" s="2" t="s">
        <v>775</v>
      </c>
      <c r="F2841" s="101">
        <v>189</v>
      </c>
    </row>
    <row r="2842" spans="3:6" ht="14.4" customHeight="1" x14ac:dyDescent="0.3">
      <c r="C2842" s="2">
        <v>100</v>
      </c>
      <c r="D2842" s="2" t="s">
        <v>704</v>
      </c>
      <c r="E2842" s="2" t="s">
        <v>771</v>
      </c>
      <c r="F2842" s="101">
        <v>386</v>
      </c>
    </row>
    <row r="2843" spans="3:6" ht="14.4" customHeight="1" x14ac:dyDescent="0.3">
      <c r="C2843" s="2">
        <v>100</v>
      </c>
      <c r="D2843" s="2" t="s">
        <v>749</v>
      </c>
      <c r="E2843" s="2" t="s">
        <v>769</v>
      </c>
      <c r="F2843" s="101">
        <v>7619</v>
      </c>
    </row>
    <row r="2844" spans="3:6" ht="14.4" customHeight="1" x14ac:dyDescent="0.3">
      <c r="C2844" s="2">
        <v>100</v>
      </c>
      <c r="D2844" s="2" t="s">
        <v>229</v>
      </c>
      <c r="E2844" s="2" t="s">
        <v>771</v>
      </c>
      <c r="F2844" s="101">
        <v>11995</v>
      </c>
    </row>
    <row r="2845" spans="3:6" ht="14.4" customHeight="1" x14ac:dyDescent="0.3">
      <c r="C2845" s="2">
        <v>100</v>
      </c>
      <c r="D2845" s="2" t="s">
        <v>692</v>
      </c>
      <c r="E2845" s="2" t="s">
        <v>773</v>
      </c>
      <c r="F2845" s="101">
        <v>848</v>
      </c>
    </row>
    <row r="2846" spans="3:6" ht="14.4" customHeight="1" x14ac:dyDescent="0.3">
      <c r="C2846" s="2">
        <v>100</v>
      </c>
      <c r="D2846" s="2" t="s">
        <v>647</v>
      </c>
      <c r="E2846" s="2" t="s">
        <v>773</v>
      </c>
      <c r="F2846" s="101">
        <v>247235</v>
      </c>
    </row>
    <row r="2847" spans="3:6" ht="14.4" customHeight="1" x14ac:dyDescent="0.3">
      <c r="C2847" s="2">
        <v>100</v>
      </c>
      <c r="D2847" s="2" t="s">
        <v>501</v>
      </c>
      <c r="E2847" s="2" t="s">
        <v>777</v>
      </c>
      <c r="F2847" s="101">
        <v>30892</v>
      </c>
    </row>
    <row r="2848" spans="3:6" ht="14.4" customHeight="1" x14ac:dyDescent="0.3">
      <c r="C2848" s="2">
        <v>100</v>
      </c>
      <c r="D2848" s="2" t="s">
        <v>735</v>
      </c>
      <c r="E2848" s="2" t="s">
        <v>771</v>
      </c>
      <c r="F2848" s="101">
        <v>122</v>
      </c>
    </row>
    <row r="2849" spans="3:6" ht="14.4" customHeight="1" x14ac:dyDescent="0.3">
      <c r="C2849" s="2">
        <v>100</v>
      </c>
      <c r="D2849" s="2" t="s">
        <v>620</v>
      </c>
      <c r="E2849" s="2" t="s">
        <v>775</v>
      </c>
      <c r="F2849" s="101">
        <v>8</v>
      </c>
    </row>
    <row r="2850" spans="3:6" ht="14.4" customHeight="1" x14ac:dyDescent="0.3">
      <c r="C2850" s="2">
        <v>100</v>
      </c>
      <c r="D2850" s="2" t="s">
        <v>638</v>
      </c>
      <c r="E2850" s="2" t="s">
        <v>771</v>
      </c>
      <c r="F2850" s="101">
        <v>368</v>
      </c>
    </row>
    <row r="2851" spans="3:6" ht="14.4" customHeight="1" x14ac:dyDescent="0.3">
      <c r="C2851" s="2">
        <v>100</v>
      </c>
      <c r="D2851" s="2" t="s">
        <v>638</v>
      </c>
      <c r="E2851" s="2" t="s">
        <v>770</v>
      </c>
      <c r="F2851" s="101">
        <v>349</v>
      </c>
    </row>
    <row r="2852" spans="3:6" ht="14.4" customHeight="1" x14ac:dyDescent="0.3">
      <c r="C2852" s="2">
        <v>100</v>
      </c>
      <c r="D2852" s="2" t="s">
        <v>200</v>
      </c>
      <c r="E2852" s="2" t="s">
        <v>774</v>
      </c>
      <c r="F2852" s="101">
        <v>0</v>
      </c>
    </row>
    <row r="2853" spans="3:6" ht="14.4" customHeight="1" x14ac:dyDescent="0.3">
      <c r="C2853" s="2">
        <v>100</v>
      </c>
      <c r="D2853" s="2" t="s">
        <v>635</v>
      </c>
      <c r="E2853" s="2" t="s">
        <v>773</v>
      </c>
      <c r="F2853" s="101">
        <v>25583</v>
      </c>
    </row>
    <row r="2854" spans="3:6" ht="14.4" customHeight="1" x14ac:dyDescent="0.3">
      <c r="C2854" s="2">
        <v>100</v>
      </c>
      <c r="D2854" s="2" t="s">
        <v>278</v>
      </c>
      <c r="E2854" s="2" t="s">
        <v>774</v>
      </c>
      <c r="F2854" s="101">
        <v>163</v>
      </c>
    </row>
    <row r="2855" spans="3:6" ht="14.4" customHeight="1" x14ac:dyDescent="0.3">
      <c r="C2855" s="2">
        <v>100</v>
      </c>
      <c r="D2855" s="2" t="s">
        <v>698</v>
      </c>
      <c r="E2855" s="2" t="s">
        <v>769</v>
      </c>
      <c r="F2855" s="101">
        <v>41914</v>
      </c>
    </row>
    <row r="2856" spans="3:6" ht="14.4" customHeight="1" x14ac:dyDescent="0.3">
      <c r="C2856" s="2">
        <v>100</v>
      </c>
      <c r="D2856" s="2" t="s">
        <v>427</v>
      </c>
      <c r="E2856" s="2" t="s">
        <v>775</v>
      </c>
      <c r="F2856" s="101">
        <v>4966</v>
      </c>
    </row>
    <row r="2857" spans="3:6" ht="14.4" customHeight="1" x14ac:dyDescent="0.3">
      <c r="C2857" s="2">
        <v>100</v>
      </c>
      <c r="D2857" s="2" t="s">
        <v>499</v>
      </c>
      <c r="E2857" s="2" t="s">
        <v>770</v>
      </c>
      <c r="F2857" s="101">
        <v>141</v>
      </c>
    </row>
    <row r="2858" spans="3:6" ht="14.4" customHeight="1" x14ac:dyDescent="0.3">
      <c r="C2858" s="2">
        <v>100</v>
      </c>
      <c r="D2858" s="2" t="s">
        <v>330</v>
      </c>
      <c r="E2858" s="2" t="s">
        <v>770</v>
      </c>
      <c r="F2858" s="101">
        <v>17766</v>
      </c>
    </row>
    <row r="2859" spans="3:6" ht="14.4" customHeight="1" x14ac:dyDescent="0.3">
      <c r="C2859" s="2">
        <v>100</v>
      </c>
      <c r="D2859" s="2" t="s">
        <v>243</v>
      </c>
      <c r="E2859" s="2" t="s">
        <v>770</v>
      </c>
      <c r="F2859" s="101">
        <v>17247</v>
      </c>
    </row>
    <row r="2860" spans="3:6" ht="14.4" customHeight="1" x14ac:dyDescent="0.3">
      <c r="C2860" s="2">
        <v>100</v>
      </c>
      <c r="D2860" s="2" t="s">
        <v>231</v>
      </c>
      <c r="E2860" s="2" t="s">
        <v>769</v>
      </c>
      <c r="F2860" s="101">
        <v>178554</v>
      </c>
    </row>
    <row r="2861" spans="3:6" ht="14.4" customHeight="1" x14ac:dyDescent="0.3">
      <c r="C2861" s="2">
        <v>100</v>
      </c>
      <c r="D2861" s="2" t="s">
        <v>768</v>
      </c>
      <c r="E2861" s="2" t="s">
        <v>775</v>
      </c>
      <c r="F2861" s="101">
        <v>6100</v>
      </c>
    </row>
    <row r="2862" spans="3:6" ht="14.4" customHeight="1" x14ac:dyDescent="0.3">
      <c r="C2862" s="2">
        <v>100</v>
      </c>
      <c r="D2862" s="2" t="s">
        <v>633</v>
      </c>
      <c r="E2862" s="2" t="s">
        <v>774</v>
      </c>
      <c r="F2862" s="101">
        <v>0</v>
      </c>
    </row>
    <row r="2863" spans="3:6" ht="14.4" customHeight="1" x14ac:dyDescent="0.3">
      <c r="C2863" s="2">
        <v>100</v>
      </c>
      <c r="D2863" s="2" t="s">
        <v>717</v>
      </c>
      <c r="E2863" s="2" t="s">
        <v>769</v>
      </c>
      <c r="F2863" s="101">
        <v>4479</v>
      </c>
    </row>
    <row r="2864" spans="3:6" ht="14.4" customHeight="1" x14ac:dyDescent="0.3">
      <c r="C2864" s="2">
        <v>100</v>
      </c>
      <c r="D2864" s="2" t="s">
        <v>575</v>
      </c>
      <c r="E2864" s="2" t="s">
        <v>773</v>
      </c>
      <c r="F2864" s="101">
        <v>7692</v>
      </c>
    </row>
    <row r="2865" spans="3:6" ht="14.4" customHeight="1" x14ac:dyDescent="0.3">
      <c r="C2865" s="2">
        <v>100</v>
      </c>
      <c r="D2865" s="2" t="s">
        <v>575</v>
      </c>
      <c r="E2865" s="2" t="s">
        <v>775</v>
      </c>
      <c r="F2865" s="101">
        <v>6492</v>
      </c>
    </row>
    <row r="2866" spans="3:6" ht="14.4" customHeight="1" x14ac:dyDescent="0.3">
      <c r="C2866" s="2">
        <v>100</v>
      </c>
      <c r="D2866" s="2" t="s">
        <v>630</v>
      </c>
      <c r="E2866" s="2" t="s">
        <v>769</v>
      </c>
      <c r="F2866" s="101">
        <v>7282</v>
      </c>
    </row>
    <row r="2867" spans="3:6" ht="14.4" customHeight="1" x14ac:dyDescent="0.3">
      <c r="C2867" s="2">
        <v>100</v>
      </c>
      <c r="D2867" s="2" t="s">
        <v>309</v>
      </c>
      <c r="E2867" s="2" t="s">
        <v>769</v>
      </c>
      <c r="F2867" s="101">
        <v>18855</v>
      </c>
    </row>
    <row r="2868" spans="3:6" ht="14.4" customHeight="1" x14ac:dyDescent="0.3">
      <c r="C2868" s="2">
        <v>100</v>
      </c>
      <c r="D2868" s="2" t="s">
        <v>273</v>
      </c>
      <c r="E2868" s="2" t="s">
        <v>775</v>
      </c>
      <c r="F2868" s="101">
        <v>62</v>
      </c>
    </row>
    <row r="2869" spans="3:6" ht="14.4" customHeight="1" x14ac:dyDescent="0.3">
      <c r="C2869" s="2">
        <v>100</v>
      </c>
      <c r="D2869" s="2" t="s">
        <v>352</v>
      </c>
      <c r="E2869" s="2" t="s">
        <v>775</v>
      </c>
      <c r="F2869" s="101">
        <v>1962</v>
      </c>
    </row>
    <row r="2870" spans="3:6" ht="14.4" customHeight="1" x14ac:dyDescent="0.3">
      <c r="C2870" s="2">
        <v>100</v>
      </c>
      <c r="D2870" s="2" t="s">
        <v>312</v>
      </c>
      <c r="E2870" s="2" t="s">
        <v>773</v>
      </c>
      <c r="F2870" s="101">
        <v>880</v>
      </c>
    </row>
    <row r="2871" spans="3:6" ht="14.4" customHeight="1" x14ac:dyDescent="0.3">
      <c r="C2871" s="2">
        <v>100</v>
      </c>
      <c r="D2871" s="2" t="s">
        <v>624</v>
      </c>
      <c r="E2871" s="2" t="s">
        <v>771</v>
      </c>
      <c r="F2871" s="101">
        <v>3083</v>
      </c>
    </row>
    <row r="2872" spans="3:6" ht="14.4" customHeight="1" x14ac:dyDescent="0.3">
      <c r="C2872" s="2">
        <v>100</v>
      </c>
      <c r="D2872" s="2" t="s">
        <v>785</v>
      </c>
      <c r="E2872" s="2" t="s">
        <v>777</v>
      </c>
      <c r="F2872" s="101">
        <v>1508</v>
      </c>
    </row>
    <row r="2873" spans="3:6" ht="14.4" customHeight="1" x14ac:dyDescent="0.3">
      <c r="C2873" s="2">
        <v>100</v>
      </c>
      <c r="D2873" s="2" t="s">
        <v>444</v>
      </c>
      <c r="E2873" s="2" t="s">
        <v>774</v>
      </c>
      <c r="F2873" s="101">
        <v>1294</v>
      </c>
    </row>
    <row r="2874" spans="3:6" ht="14.4" customHeight="1" x14ac:dyDescent="0.3">
      <c r="C2874" s="2">
        <v>100</v>
      </c>
      <c r="D2874" s="2" t="s">
        <v>345</v>
      </c>
      <c r="E2874" s="2" t="s">
        <v>773</v>
      </c>
      <c r="F2874" s="101">
        <v>2957</v>
      </c>
    </row>
    <row r="2875" spans="3:6" ht="14.4" customHeight="1" x14ac:dyDescent="0.3">
      <c r="C2875" s="2">
        <v>100</v>
      </c>
      <c r="D2875" s="2" t="s">
        <v>327</v>
      </c>
      <c r="E2875" s="2" t="s">
        <v>773</v>
      </c>
      <c r="F2875" s="101">
        <v>942</v>
      </c>
    </row>
    <row r="2876" spans="3:6" ht="14.4" customHeight="1" x14ac:dyDescent="0.3">
      <c r="C2876" s="2">
        <v>100</v>
      </c>
      <c r="D2876" s="2" t="s">
        <v>582</v>
      </c>
      <c r="E2876" s="2" t="s">
        <v>770</v>
      </c>
      <c r="F2876" s="101">
        <v>5775</v>
      </c>
    </row>
    <row r="2877" spans="3:6" ht="14.4" customHeight="1" x14ac:dyDescent="0.3">
      <c r="C2877" s="2">
        <v>100</v>
      </c>
      <c r="D2877" s="2" t="s">
        <v>255</v>
      </c>
      <c r="E2877" s="2" t="s">
        <v>775</v>
      </c>
      <c r="F2877" s="101">
        <v>720</v>
      </c>
    </row>
    <row r="2878" spans="3:6" ht="14.4" customHeight="1" x14ac:dyDescent="0.3">
      <c r="C2878" s="2">
        <v>100</v>
      </c>
      <c r="D2878" s="2" t="s">
        <v>435</v>
      </c>
      <c r="E2878" s="2" t="s">
        <v>777</v>
      </c>
      <c r="F2878" s="101">
        <v>972</v>
      </c>
    </row>
    <row r="2879" spans="3:6" ht="14.4" customHeight="1" x14ac:dyDescent="0.3">
      <c r="C2879" s="2">
        <v>100</v>
      </c>
      <c r="D2879" s="2" t="s">
        <v>373</v>
      </c>
      <c r="E2879" s="2" t="s">
        <v>777</v>
      </c>
      <c r="F2879" s="101">
        <v>2264</v>
      </c>
    </row>
    <row r="2880" spans="3:6" ht="14.4" customHeight="1" x14ac:dyDescent="0.3">
      <c r="C2880" s="2">
        <v>100</v>
      </c>
      <c r="D2880" s="2" t="s">
        <v>208</v>
      </c>
      <c r="E2880" s="2" t="s">
        <v>772</v>
      </c>
      <c r="F2880" s="101">
        <v>48</v>
      </c>
    </row>
    <row r="2881" spans="3:6" ht="14.4" customHeight="1" x14ac:dyDescent="0.3">
      <c r="C2881" s="2">
        <v>100</v>
      </c>
      <c r="D2881" s="2" t="s">
        <v>760</v>
      </c>
      <c r="E2881" s="2" t="s">
        <v>769</v>
      </c>
      <c r="F2881" s="101">
        <v>9308</v>
      </c>
    </row>
    <row r="2882" spans="3:6" ht="14.4" customHeight="1" x14ac:dyDescent="0.3">
      <c r="C2882" s="2">
        <v>100</v>
      </c>
      <c r="D2882" s="2" t="s">
        <v>334</v>
      </c>
      <c r="E2882" s="2" t="s">
        <v>773</v>
      </c>
      <c r="F2882" s="101">
        <v>1655</v>
      </c>
    </row>
    <row r="2883" spans="3:6" ht="14.4" customHeight="1" x14ac:dyDescent="0.3">
      <c r="C2883" s="2">
        <v>100</v>
      </c>
      <c r="D2883" s="2" t="s">
        <v>347</v>
      </c>
      <c r="E2883" s="2" t="s">
        <v>769</v>
      </c>
      <c r="F2883" s="101">
        <v>243157</v>
      </c>
    </row>
    <row r="2884" spans="3:6" ht="14.4" customHeight="1" x14ac:dyDescent="0.3">
      <c r="C2884" s="2">
        <v>100</v>
      </c>
      <c r="D2884" s="2" t="s">
        <v>293</v>
      </c>
      <c r="E2884" s="2" t="s">
        <v>775</v>
      </c>
      <c r="F2884" s="101">
        <v>266581</v>
      </c>
    </row>
    <row r="2885" spans="3:6" ht="14.4" customHeight="1" x14ac:dyDescent="0.3">
      <c r="C2885" s="2">
        <v>100</v>
      </c>
      <c r="D2885" s="2" t="s">
        <v>261</v>
      </c>
      <c r="E2885" s="2" t="s">
        <v>774</v>
      </c>
      <c r="F2885" s="101">
        <v>267710</v>
      </c>
    </row>
    <row r="2886" spans="3:6" ht="14.4" customHeight="1" x14ac:dyDescent="0.3">
      <c r="C2886" s="2">
        <v>100</v>
      </c>
      <c r="D2886" s="2" t="s">
        <v>591</v>
      </c>
      <c r="E2886" s="2" t="s">
        <v>773</v>
      </c>
      <c r="F2886" s="101">
        <v>203</v>
      </c>
    </row>
    <row r="2887" spans="3:6" ht="14.4" customHeight="1" x14ac:dyDescent="0.3">
      <c r="C2887" s="2">
        <v>100</v>
      </c>
      <c r="D2887" s="2" t="s">
        <v>386</v>
      </c>
      <c r="E2887" s="2" t="s">
        <v>769</v>
      </c>
      <c r="F2887" s="101">
        <v>155212</v>
      </c>
    </row>
    <row r="2888" spans="3:6" ht="14.4" customHeight="1" x14ac:dyDescent="0.3">
      <c r="C2888" s="2">
        <v>100</v>
      </c>
      <c r="D2888" s="2" t="s">
        <v>220</v>
      </c>
      <c r="E2888" s="2" t="s">
        <v>775</v>
      </c>
      <c r="F2888" s="101">
        <v>8</v>
      </c>
    </row>
    <row r="2889" spans="3:6" ht="14.4" customHeight="1" x14ac:dyDescent="0.3">
      <c r="C2889" s="2">
        <v>100</v>
      </c>
      <c r="D2889" s="2" t="s">
        <v>345</v>
      </c>
      <c r="E2889" s="2" t="s">
        <v>770</v>
      </c>
      <c r="F2889" s="101">
        <v>4981</v>
      </c>
    </row>
    <row r="2890" spans="3:6" ht="14.4" customHeight="1" x14ac:dyDescent="0.3">
      <c r="C2890" s="2">
        <v>100</v>
      </c>
      <c r="D2890" s="2" t="s">
        <v>695</v>
      </c>
      <c r="E2890" s="2" t="s">
        <v>773</v>
      </c>
      <c r="F2890" s="101">
        <v>1055</v>
      </c>
    </row>
    <row r="2891" spans="3:6" ht="14.4" customHeight="1" x14ac:dyDescent="0.3">
      <c r="C2891" s="2">
        <v>100</v>
      </c>
      <c r="D2891" s="2" t="s">
        <v>340</v>
      </c>
      <c r="E2891" s="2" t="s">
        <v>771</v>
      </c>
      <c r="F2891" s="101">
        <v>1784</v>
      </c>
    </row>
    <row r="2892" spans="3:6" ht="14.4" customHeight="1" x14ac:dyDescent="0.3">
      <c r="C2892" s="2">
        <v>100</v>
      </c>
      <c r="D2892" s="2" t="s">
        <v>266</v>
      </c>
      <c r="E2892" s="2" t="s">
        <v>774</v>
      </c>
      <c r="F2892" s="101">
        <v>7578</v>
      </c>
    </row>
    <row r="2893" spans="3:6" ht="14.4" customHeight="1" x14ac:dyDescent="0.3">
      <c r="C2893" s="2">
        <v>100</v>
      </c>
      <c r="D2893" s="2" t="s">
        <v>624</v>
      </c>
      <c r="E2893" s="2" t="s">
        <v>773</v>
      </c>
      <c r="F2893" s="101">
        <v>73</v>
      </c>
    </row>
    <row r="2894" spans="3:6" ht="14.4" customHeight="1" x14ac:dyDescent="0.3">
      <c r="C2894" s="2">
        <v>100</v>
      </c>
      <c r="D2894" s="2" t="s">
        <v>461</v>
      </c>
      <c r="E2894" s="2" t="s">
        <v>773</v>
      </c>
      <c r="F2894" s="101">
        <v>457</v>
      </c>
    </row>
    <row r="2895" spans="3:6" ht="14.4" customHeight="1" x14ac:dyDescent="0.3">
      <c r="C2895" s="2">
        <v>100</v>
      </c>
      <c r="D2895" s="2" t="s">
        <v>473</v>
      </c>
      <c r="E2895" s="2" t="s">
        <v>775</v>
      </c>
      <c r="F2895" s="101">
        <v>5198</v>
      </c>
    </row>
    <row r="2896" spans="3:6" ht="14.4" customHeight="1" x14ac:dyDescent="0.3">
      <c r="C2896" s="2">
        <v>100</v>
      </c>
      <c r="D2896" s="2" t="s">
        <v>473</v>
      </c>
      <c r="E2896" s="2" t="s">
        <v>773</v>
      </c>
      <c r="F2896" s="101">
        <v>43688</v>
      </c>
    </row>
    <row r="2897" spans="3:6" ht="14.4" customHeight="1" x14ac:dyDescent="0.3">
      <c r="C2897" s="2">
        <v>100</v>
      </c>
      <c r="D2897" s="2" t="s">
        <v>528</v>
      </c>
      <c r="E2897" s="2" t="s">
        <v>775</v>
      </c>
      <c r="F2897" s="101">
        <v>5521</v>
      </c>
    </row>
    <row r="2898" spans="3:6" ht="14.4" customHeight="1" x14ac:dyDescent="0.3">
      <c r="C2898" s="2">
        <v>100</v>
      </c>
      <c r="D2898" s="2" t="s">
        <v>437</v>
      </c>
      <c r="E2898" s="2" t="s">
        <v>775</v>
      </c>
      <c r="F2898" s="101">
        <v>45767</v>
      </c>
    </row>
    <row r="2899" spans="3:6" ht="14.4" customHeight="1" x14ac:dyDescent="0.3">
      <c r="C2899" s="2">
        <v>100</v>
      </c>
      <c r="D2899" s="2" t="s">
        <v>530</v>
      </c>
      <c r="E2899" s="2" t="s">
        <v>772</v>
      </c>
      <c r="F2899" s="101">
        <v>672</v>
      </c>
    </row>
    <row r="2900" spans="3:6" ht="14.4" customHeight="1" x14ac:dyDescent="0.3">
      <c r="C2900" s="2">
        <v>100</v>
      </c>
      <c r="D2900" s="2" t="s">
        <v>711</v>
      </c>
      <c r="E2900" s="2" t="s">
        <v>774</v>
      </c>
      <c r="F2900" s="101">
        <v>0</v>
      </c>
    </row>
    <row r="2901" spans="3:6" ht="14.4" customHeight="1" x14ac:dyDescent="0.3">
      <c r="C2901" s="2">
        <v>100</v>
      </c>
      <c r="D2901" s="2" t="s">
        <v>508</v>
      </c>
      <c r="E2901" s="2" t="s">
        <v>771</v>
      </c>
      <c r="F2901" s="101">
        <v>4430</v>
      </c>
    </row>
    <row r="2902" spans="3:6" ht="14.4" customHeight="1" x14ac:dyDescent="0.3">
      <c r="C2902" s="2">
        <v>100</v>
      </c>
      <c r="D2902" s="2" t="s">
        <v>737</v>
      </c>
      <c r="E2902" s="2" t="s">
        <v>771</v>
      </c>
      <c r="F2902" s="101">
        <v>45</v>
      </c>
    </row>
    <row r="2903" spans="3:6" ht="14.4" customHeight="1" x14ac:dyDescent="0.3">
      <c r="C2903" s="2">
        <v>100</v>
      </c>
      <c r="D2903" s="2" t="s">
        <v>508</v>
      </c>
      <c r="E2903" s="2" t="s">
        <v>770</v>
      </c>
      <c r="F2903" s="101">
        <v>4257</v>
      </c>
    </row>
    <row r="2904" spans="3:6" ht="14.4" customHeight="1" x14ac:dyDescent="0.3">
      <c r="C2904" s="2">
        <v>100</v>
      </c>
      <c r="D2904" s="2" t="s">
        <v>236</v>
      </c>
      <c r="E2904" s="2" t="s">
        <v>771</v>
      </c>
      <c r="F2904" s="101">
        <v>160489</v>
      </c>
    </row>
    <row r="2905" spans="3:6" ht="14.4" customHeight="1" x14ac:dyDescent="0.3">
      <c r="C2905" s="2">
        <v>100</v>
      </c>
      <c r="D2905" s="2" t="s">
        <v>381</v>
      </c>
      <c r="E2905" s="2" t="s">
        <v>773</v>
      </c>
      <c r="F2905" s="101">
        <v>22267</v>
      </c>
    </row>
    <row r="2906" spans="3:6" ht="14.4" customHeight="1" x14ac:dyDescent="0.3">
      <c r="C2906" s="2">
        <v>100</v>
      </c>
      <c r="D2906" s="2" t="s">
        <v>515</v>
      </c>
      <c r="E2906" s="2" t="s">
        <v>769</v>
      </c>
      <c r="F2906" s="101">
        <v>15739</v>
      </c>
    </row>
    <row r="2907" spans="3:6" ht="14.4" customHeight="1" x14ac:dyDescent="0.3">
      <c r="C2907" s="2">
        <v>100</v>
      </c>
      <c r="D2907" s="2" t="s">
        <v>594</v>
      </c>
      <c r="E2907" s="2" t="s">
        <v>774</v>
      </c>
      <c r="F2907" s="101">
        <v>3585</v>
      </c>
    </row>
    <row r="2908" spans="3:6" ht="14.4" customHeight="1" x14ac:dyDescent="0.3">
      <c r="C2908" s="2">
        <v>100</v>
      </c>
      <c r="D2908" s="2" t="s">
        <v>688</v>
      </c>
      <c r="E2908" s="2" t="s">
        <v>773</v>
      </c>
      <c r="F2908" s="101">
        <v>872</v>
      </c>
    </row>
    <row r="2909" spans="3:6" ht="14.4" customHeight="1" x14ac:dyDescent="0.3">
      <c r="C2909" s="2">
        <v>100</v>
      </c>
      <c r="D2909" s="2" t="s">
        <v>224</v>
      </c>
      <c r="E2909" s="2" t="s">
        <v>769</v>
      </c>
      <c r="F2909" s="101">
        <v>603978</v>
      </c>
    </row>
    <row r="2910" spans="3:6" ht="14.4" customHeight="1" x14ac:dyDescent="0.3">
      <c r="C2910" s="2">
        <v>100</v>
      </c>
      <c r="D2910" s="2" t="s">
        <v>805</v>
      </c>
      <c r="E2910" s="2" t="s">
        <v>769</v>
      </c>
      <c r="F2910" s="101">
        <v>3623</v>
      </c>
    </row>
    <row r="2911" spans="3:6" ht="14.4" customHeight="1" x14ac:dyDescent="0.3">
      <c r="C2911" s="2">
        <v>100</v>
      </c>
      <c r="D2911" s="2" t="s">
        <v>791</v>
      </c>
      <c r="E2911" s="2" t="s">
        <v>769</v>
      </c>
      <c r="F2911" s="101">
        <v>627</v>
      </c>
    </row>
    <row r="2912" spans="3:6" ht="14.4" customHeight="1" x14ac:dyDescent="0.3">
      <c r="C2912" s="2">
        <v>100</v>
      </c>
      <c r="D2912" s="2" t="s">
        <v>464</v>
      </c>
      <c r="E2912" s="2" t="s">
        <v>770</v>
      </c>
      <c r="F2912" s="101">
        <v>4250</v>
      </c>
    </row>
    <row r="2913" spans="3:6" ht="14.4" customHeight="1" x14ac:dyDescent="0.3">
      <c r="C2913" s="2">
        <v>100</v>
      </c>
      <c r="D2913" s="2" t="s">
        <v>450</v>
      </c>
      <c r="E2913" s="2" t="s">
        <v>772</v>
      </c>
      <c r="F2913" s="101">
        <v>64</v>
      </c>
    </row>
    <row r="2914" spans="3:6" ht="14.4" customHeight="1" x14ac:dyDescent="0.3">
      <c r="C2914" s="2">
        <v>100</v>
      </c>
      <c r="D2914" s="2" t="s">
        <v>346</v>
      </c>
      <c r="E2914" s="2" t="s">
        <v>773</v>
      </c>
      <c r="F2914" s="101">
        <v>9517</v>
      </c>
    </row>
    <row r="2915" spans="3:6" ht="14.4" customHeight="1" x14ac:dyDescent="0.3">
      <c r="C2915" s="2">
        <v>100</v>
      </c>
      <c r="D2915" s="2" t="s">
        <v>473</v>
      </c>
      <c r="E2915" s="2" t="s">
        <v>770</v>
      </c>
      <c r="F2915" s="101">
        <v>7013</v>
      </c>
    </row>
    <row r="2916" spans="3:6" ht="14.4" customHeight="1" x14ac:dyDescent="0.3">
      <c r="C2916" s="2">
        <v>100</v>
      </c>
      <c r="D2916" s="2" t="s">
        <v>430</v>
      </c>
      <c r="E2916" s="2" t="s">
        <v>775</v>
      </c>
      <c r="F2916" s="101">
        <v>1668</v>
      </c>
    </row>
    <row r="2917" spans="3:6" ht="14.4" customHeight="1" x14ac:dyDescent="0.3">
      <c r="C2917" s="2">
        <v>100</v>
      </c>
      <c r="D2917" s="2" t="s">
        <v>477</v>
      </c>
      <c r="E2917" s="2" t="s">
        <v>774</v>
      </c>
      <c r="F2917" s="101">
        <v>675</v>
      </c>
    </row>
    <row r="2918" spans="3:6" ht="14.4" customHeight="1" x14ac:dyDescent="0.3">
      <c r="C2918" s="2">
        <v>100</v>
      </c>
      <c r="D2918" s="2" t="s">
        <v>680</v>
      </c>
      <c r="E2918" s="2" t="s">
        <v>769</v>
      </c>
      <c r="F2918" s="101">
        <v>7998</v>
      </c>
    </row>
    <row r="2919" spans="3:6" ht="14.4" customHeight="1" x14ac:dyDescent="0.3">
      <c r="C2919" s="2">
        <v>100</v>
      </c>
      <c r="D2919" s="2" t="s">
        <v>203</v>
      </c>
      <c r="E2919" s="2" t="s">
        <v>773</v>
      </c>
      <c r="F2919" s="101">
        <v>2180</v>
      </c>
    </row>
    <row r="2920" spans="3:6" ht="14.4" customHeight="1" x14ac:dyDescent="0.3">
      <c r="C2920" s="2">
        <v>100</v>
      </c>
      <c r="D2920" s="2" t="s">
        <v>210</v>
      </c>
      <c r="E2920" s="2" t="s">
        <v>777</v>
      </c>
      <c r="F2920" s="101">
        <v>29051</v>
      </c>
    </row>
    <row r="2921" spans="3:6" ht="14.4" customHeight="1" x14ac:dyDescent="0.3">
      <c r="C2921" s="2">
        <v>100</v>
      </c>
      <c r="D2921" s="2" t="s">
        <v>529</v>
      </c>
      <c r="E2921" s="2" t="s">
        <v>770</v>
      </c>
      <c r="F2921" s="101">
        <v>330</v>
      </c>
    </row>
    <row r="2922" spans="3:6" ht="14.4" customHeight="1" x14ac:dyDescent="0.3">
      <c r="C2922" s="2">
        <v>100</v>
      </c>
      <c r="D2922" s="2" t="s">
        <v>378</v>
      </c>
      <c r="E2922" s="2" t="s">
        <v>770</v>
      </c>
      <c r="F2922" s="101">
        <v>13159</v>
      </c>
    </row>
    <row r="2923" spans="3:6" ht="14.4" customHeight="1" x14ac:dyDescent="0.3">
      <c r="C2923" s="2">
        <v>100</v>
      </c>
      <c r="D2923" s="2" t="s">
        <v>597</v>
      </c>
      <c r="E2923" s="2" t="s">
        <v>769</v>
      </c>
      <c r="F2923" s="101">
        <v>12700</v>
      </c>
    </row>
    <row r="2924" spans="3:6" ht="14.4" customHeight="1" x14ac:dyDescent="0.3">
      <c r="C2924" s="2">
        <v>100</v>
      </c>
      <c r="D2924" s="2" t="s">
        <v>613</v>
      </c>
      <c r="E2924" s="2" t="s">
        <v>773</v>
      </c>
      <c r="F2924" s="101">
        <v>279</v>
      </c>
    </row>
    <row r="2925" spans="3:6" ht="14.4" customHeight="1" x14ac:dyDescent="0.3">
      <c r="C2925" s="2">
        <v>100</v>
      </c>
      <c r="D2925" s="2" t="s">
        <v>239</v>
      </c>
      <c r="E2925" s="2" t="s">
        <v>777</v>
      </c>
      <c r="F2925" s="101">
        <v>13061</v>
      </c>
    </row>
    <row r="2926" spans="3:6" ht="14.4" customHeight="1" x14ac:dyDescent="0.3">
      <c r="C2926" s="2">
        <v>100</v>
      </c>
      <c r="D2926" s="2" t="s">
        <v>449</v>
      </c>
      <c r="E2926" s="2" t="s">
        <v>771</v>
      </c>
      <c r="F2926" s="101">
        <v>53139</v>
      </c>
    </row>
    <row r="2927" spans="3:6" ht="14.4" customHeight="1" x14ac:dyDescent="0.3">
      <c r="C2927" s="2">
        <v>100</v>
      </c>
      <c r="D2927" s="2" t="s">
        <v>389</v>
      </c>
      <c r="E2927" s="2" t="s">
        <v>771</v>
      </c>
      <c r="F2927" s="101">
        <v>11404</v>
      </c>
    </row>
    <row r="2928" spans="3:6" ht="14.4" customHeight="1" x14ac:dyDescent="0.3">
      <c r="C2928" s="2">
        <v>100</v>
      </c>
      <c r="D2928" s="2" t="s">
        <v>389</v>
      </c>
      <c r="E2928" s="2" t="s">
        <v>770</v>
      </c>
      <c r="F2928" s="101">
        <v>4657</v>
      </c>
    </row>
    <row r="2929" spans="3:6" ht="14.4" customHeight="1" x14ac:dyDescent="0.3">
      <c r="C2929" s="2">
        <v>100</v>
      </c>
      <c r="D2929" s="2" t="s">
        <v>395</v>
      </c>
      <c r="E2929" s="2" t="s">
        <v>775</v>
      </c>
      <c r="F2929" s="101">
        <v>333</v>
      </c>
    </row>
    <row r="2930" spans="3:6" ht="14.4" customHeight="1" x14ac:dyDescent="0.3">
      <c r="C2930" s="2">
        <v>100</v>
      </c>
      <c r="D2930" s="2" t="s">
        <v>257</v>
      </c>
      <c r="E2930" s="2" t="s">
        <v>771</v>
      </c>
      <c r="F2930" s="101">
        <v>13641</v>
      </c>
    </row>
    <row r="2931" spans="3:6" ht="14.4" customHeight="1" x14ac:dyDescent="0.3">
      <c r="C2931" s="2">
        <v>100</v>
      </c>
      <c r="D2931" s="2" t="s">
        <v>679</v>
      </c>
      <c r="E2931" s="2" t="s">
        <v>770</v>
      </c>
      <c r="F2931" s="101">
        <v>1090</v>
      </c>
    </row>
    <row r="2932" spans="3:6" ht="14.4" customHeight="1" x14ac:dyDescent="0.3">
      <c r="C2932" s="2">
        <v>100</v>
      </c>
      <c r="D2932" s="2" t="s">
        <v>562</v>
      </c>
      <c r="E2932" s="2" t="s">
        <v>770</v>
      </c>
      <c r="F2932" s="101">
        <v>19</v>
      </c>
    </row>
    <row r="2933" spans="3:6" ht="14.4" customHeight="1" x14ac:dyDescent="0.3">
      <c r="C2933" s="2">
        <v>100</v>
      </c>
      <c r="D2933" s="2" t="s">
        <v>701</v>
      </c>
      <c r="E2933" s="2" t="s">
        <v>770</v>
      </c>
      <c r="F2933" s="101">
        <v>508</v>
      </c>
    </row>
    <row r="2934" spans="3:6" ht="14.4" customHeight="1" x14ac:dyDescent="0.3">
      <c r="C2934" s="2">
        <v>100</v>
      </c>
      <c r="D2934" s="2" t="s">
        <v>719</v>
      </c>
      <c r="E2934" s="2" t="s">
        <v>769</v>
      </c>
      <c r="F2934" s="101">
        <v>11553</v>
      </c>
    </row>
    <row r="2935" spans="3:6" ht="14.4" customHeight="1" x14ac:dyDescent="0.3">
      <c r="C2935" s="2">
        <v>100</v>
      </c>
      <c r="D2935" s="2" t="s">
        <v>557</v>
      </c>
      <c r="E2935" s="2" t="s">
        <v>775</v>
      </c>
      <c r="F2935" s="101">
        <v>27</v>
      </c>
    </row>
    <row r="2936" spans="3:6" ht="14.4" customHeight="1" x14ac:dyDescent="0.3">
      <c r="C2936" s="2">
        <v>100</v>
      </c>
      <c r="D2936" s="2" t="s">
        <v>394</v>
      </c>
      <c r="E2936" s="2" t="s">
        <v>771</v>
      </c>
      <c r="F2936" s="101">
        <v>28381</v>
      </c>
    </row>
    <row r="2937" spans="3:6" ht="14.4" customHeight="1" x14ac:dyDescent="0.3">
      <c r="C2937" s="2">
        <v>100</v>
      </c>
      <c r="D2937" s="2" t="s">
        <v>394</v>
      </c>
      <c r="E2937" s="2" t="s">
        <v>773</v>
      </c>
      <c r="F2937" s="101">
        <v>5692</v>
      </c>
    </row>
    <row r="2938" spans="3:6" ht="14.4" customHeight="1" x14ac:dyDescent="0.3">
      <c r="C2938" s="2">
        <v>100</v>
      </c>
      <c r="D2938" s="2" t="s">
        <v>276</v>
      </c>
      <c r="E2938" s="2" t="s">
        <v>775</v>
      </c>
      <c r="F2938" s="101">
        <v>448</v>
      </c>
    </row>
    <row r="2939" spans="3:6" ht="14.4" customHeight="1" x14ac:dyDescent="0.3">
      <c r="C2939" s="2">
        <v>100</v>
      </c>
      <c r="D2939" s="2" t="s">
        <v>382</v>
      </c>
      <c r="E2939" s="2" t="s">
        <v>769</v>
      </c>
      <c r="F2939" s="101">
        <v>24926</v>
      </c>
    </row>
    <row r="2940" spans="3:6" ht="14.4" customHeight="1" x14ac:dyDescent="0.3">
      <c r="C2940" s="2">
        <v>100</v>
      </c>
      <c r="D2940" s="2" t="s">
        <v>699</v>
      </c>
      <c r="E2940" s="2" t="s">
        <v>771</v>
      </c>
      <c r="F2940" s="101">
        <v>8147</v>
      </c>
    </row>
    <row r="2941" spans="3:6" ht="14.4" customHeight="1" x14ac:dyDescent="0.3">
      <c r="C2941" s="2">
        <v>100</v>
      </c>
      <c r="D2941" s="2" t="s">
        <v>343</v>
      </c>
      <c r="E2941" s="2" t="s">
        <v>773</v>
      </c>
      <c r="F2941" s="101">
        <v>12</v>
      </c>
    </row>
    <row r="2942" spans="3:6" ht="14.4" customHeight="1" x14ac:dyDescent="0.3">
      <c r="C2942" s="2">
        <v>100</v>
      </c>
      <c r="D2942" s="2" t="s">
        <v>388</v>
      </c>
      <c r="E2942" s="2" t="s">
        <v>777</v>
      </c>
      <c r="F2942" s="101">
        <v>13793</v>
      </c>
    </row>
    <row r="2943" spans="3:6" ht="14.4" customHeight="1" x14ac:dyDescent="0.3">
      <c r="C2943" s="2">
        <v>100</v>
      </c>
      <c r="D2943" s="2" t="s">
        <v>482</v>
      </c>
      <c r="E2943" s="2" t="s">
        <v>774</v>
      </c>
      <c r="F2943" s="101">
        <v>12</v>
      </c>
    </row>
    <row r="2944" spans="3:6" ht="14.4" customHeight="1" x14ac:dyDescent="0.3">
      <c r="C2944" s="2">
        <v>100</v>
      </c>
      <c r="D2944" s="2" t="s">
        <v>562</v>
      </c>
      <c r="E2944" s="2" t="s">
        <v>775</v>
      </c>
      <c r="F2944" s="101">
        <v>27</v>
      </c>
    </row>
    <row r="2945" spans="3:6" ht="14.4" customHeight="1" x14ac:dyDescent="0.3">
      <c r="C2945" s="2">
        <v>100</v>
      </c>
      <c r="E2945" s="2" t="s">
        <v>772</v>
      </c>
      <c r="F2945" s="101">
        <v>91</v>
      </c>
    </row>
    <row r="2946" spans="3:6" ht="14.4" customHeight="1" x14ac:dyDescent="0.3">
      <c r="C2946" s="2">
        <v>100</v>
      </c>
      <c r="D2946" s="2" t="s">
        <v>238</v>
      </c>
      <c r="E2946" s="2" t="s">
        <v>775</v>
      </c>
      <c r="F2946" s="101">
        <v>2212</v>
      </c>
    </row>
    <row r="2947" spans="3:6" ht="14.4" customHeight="1" x14ac:dyDescent="0.3">
      <c r="C2947" s="2">
        <v>100</v>
      </c>
      <c r="D2947" s="2" t="s">
        <v>550</v>
      </c>
      <c r="E2947" s="2" t="s">
        <v>774</v>
      </c>
      <c r="F2947" s="101">
        <v>181</v>
      </c>
    </row>
    <row r="2948" spans="3:6" ht="14.4" customHeight="1" x14ac:dyDescent="0.3">
      <c r="C2948" s="2">
        <v>100</v>
      </c>
      <c r="D2948" s="2" t="s">
        <v>746</v>
      </c>
      <c r="E2948" s="2" t="s">
        <v>774</v>
      </c>
      <c r="F2948" s="101">
        <v>-141</v>
      </c>
    </row>
    <row r="2949" spans="3:6" ht="14.4" customHeight="1" x14ac:dyDescent="0.3">
      <c r="C2949" s="2">
        <v>100</v>
      </c>
      <c r="D2949" s="2" t="s">
        <v>289</v>
      </c>
      <c r="E2949" s="2" t="s">
        <v>777</v>
      </c>
      <c r="F2949" s="101">
        <v>394</v>
      </c>
    </row>
    <row r="2950" spans="3:6" ht="14.4" customHeight="1" x14ac:dyDescent="0.3">
      <c r="C2950" s="2">
        <v>100</v>
      </c>
      <c r="D2950" s="2" t="s">
        <v>549</v>
      </c>
      <c r="E2950" s="2" t="s">
        <v>774</v>
      </c>
      <c r="F2950" s="101">
        <v>0</v>
      </c>
    </row>
    <row r="2951" spans="3:6" ht="14.4" customHeight="1" x14ac:dyDescent="0.3">
      <c r="C2951" s="2">
        <v>100</v>
      </c>
      <c r="D2951" s="2" t="s">
        <v>447</v>
      </c>
      <c r="E2951" s="2" t="s">
        <v>777</v>
      </c>
      <c r="F2951" s="101">
        <v>228</v>
      </c>
    </row>
    <row r="2952" spans="3:6" ht="14.4" customHeight="1" x14ac:dyDescent="0.3">
      <c r="C2952" s="2">
        <v>100</v>
      </c>
      <c r="D2952" s="2" t="s">
        <v>251</v>
      </c>
      <c r="E2952" s="2" t="s">
        <v>773</v>
      </c>
      <c r="F2952" s="101">
        <v>3027</v>
      </c>
    </row>
    <row r="2953" spans="3:6" ht="14.4" customHeight="1" x14ac:dyDescent="0.3">
      <c r="C2953" s="2">
        <v>100</v>
      </c>
      <c r="D2953" s="2" t="s">
        <v>379</v>
      </c>
      <c r="E2953" s="2" t="s">
        <v>771</v>
      </c>
      <c r="F2953" s="101">
        <v>11182</v>
      </c>
    </row>
    <row r="2954" spans="3:6" ht="14.4" customHeight="1" x14ac:dyDescent="0.3">
      <c r="C2954" s="2">
        <v>100</v>
      </c>
      <c r="D2954" s="2" t="s">
        <v>432</v>
      </c>
      <c r="E2954" s="2" t="s">
        <v>769</v>
      </c>
      <c r="F2954" s="101">
        <v>536067</v>
      </c>
    </row>
    <row r="2955" spans="3:6" ht="14.4" customHeight="1" x14ac:dyDescent="0.3">
      <c r="C2955" s="2">
        <v>100</v>
      </c>
      <c r="D2955" s="2" t="s">
        <v>470</v>
      </c>
      <c r="E2955" s="2" t="s">
        <v>771</v>
      </c>
      <c r="F2955" s="101">
        <v>930</v>
      </c>
    </row>
    <row r="2956" spans="3:6" ht="14.4" customHeight="1" x14ac:dyDescent="0.3">
      <c r="C2956" s="2">
        <v>100</v>
      </c>
      <c r="D2956" s="2" t="s">
        <v>230</v>
      </c>
      <c r="E2956" s="2" t="s">
        <v>769</v>
      </c>
      <c r="F2956" s="101">
        <v>122638</v>
      </c>
    </row>
    <row r="2957" spans="3:6" ht="14.4" customHeight="1" x14ac:dyDescent="0.3">
      <c r="C2957" s="2">
        <v>100</v>
      </c>
      <c r="D2957" s="2" t="s">
        <v>494</v>
      </c>
      <c r="E2957" s="2" t="s">
        <v>774</v>
      </c>
      <c r="F2957" s="101">
        <v>4040</v>
      </c>
    </row>
    <row r="2958" spans="3:6" ht="14.4" customHeight="1" x14ac:dyDescent="0.3">
      <c r="C2958" s="2">
        <v>100</v>
      </c>
      <c r="D2958" s="2" t="s">
        <v>516</v>
      </c>
      <c r="E2958" s="2" t="s">
        <v>770</v>
      </c>
      <c r="F2958" s="101">
        <v>68</v>
      </c>
    </row>
    <row r="2959" spans="3:6" ht="14.4" customHeight="1" x14ac:dyDescent="0.3">
      <c r="C2959" s="2">
        <v>100</v>
      </c>
      <c r="D2959" s="2" t="s">
        <v>379</v>
      </c>
      <c r="E2959" s="2" t="s">
        <v>773</v>
      </c>
      <c r="F2959" s="101">
        <v>3516</v>
      </c>
    </row>
    <row r="2960" spans="3:6" ht="14.4" customHeight="1" x14ac:dyDescent="0.3">
      <c r="C2960" s="2">
        <v>100</v>
      </c>
      <c r="D2960" s="2" t="s">
        <v>377</v>
      </c>
      <c r="E2960" s="2" t="s">
        <v>772</v>
      </c>
      <c r="F2960" s="101">
        <v>182</v>
      </c>
    </row>
    <row r="2961" spans="3:6" ht="14.4" customHeight="1" x14ac:dyDescent="0.3">
      <c r="C2961" s="2">
        <v>100</v>
      </c>
      <c r="D2961" s="2" t="s">
        <v>350</v>
      </c>
      <c r="E2961" s="2" t="s">
        <v>769</v>
      </c>
      <c r="F2961" s="101">
        <v>295062</v>
      </c>
    </row>
    <row r="2962" spans="3:6" ht="14.4" customHeight="1" x14ac:dyDescent="0.3">
      <c r="C2962" s="2">
        <v>100</v>
      </c>
      <c r="D2962" s="2" t="s">
        <v>488</v>
      </c>
      <c r="E2962" s="2" t="s">
        <v>770</v>
      </c>
      <c r="F2962" s="101">
        <v>456</v>
      </c>
    </row>
    <row r="2963" spans="3:6" ht="14.4" customHeight="1" x14ac:dyDescent="0.3">
      <c r="C2963" s="2">
        <v>100</v>
      </c>
      <c r="D2963" s="2" t="s">
        <v>237</v>
      </c>
      <c r="E2963" s="2" t="s">
        <v>773</v>
      </c>
      <c r="F2963" s="101">
        <v>5718</v>
      </c>
    </row>
    <row r="2964" spans="3:6" ht="14.4" customHeight="1" x14ac:dyDescent="0.3">
      <c r="C2964" s="2">
        <v>100</v>
      </c>
      <c r="D2964" s="2" t="s">
        <v>571</v>
      </c>
      <c r="E2964" s="2" t="s">
        <v>774</v>
      </c>
      <c r="F2964" s="101">
        <v>20</v>
      </c>
    </row>
    <row r="2965" spans="3:6" ht="14.4" customHeight="1" x14ac:dyDescent="0.3">
      <c r="C2965" s="2">
        <v>100</v>
      </c>
      <c r="D2965" s="2" t="s">
        <v>217</v>
      </c>
      <c r="E2965" s="2" t="s">
        <v>771</v>
      </c>
      <c r="F2965" s="101">
        <v>2420</v>
      </c>
    </row>
    <row r="2966" spans="3:6" ht="14.4" customHeight="1" x14ac:dyDescent="0.3">
      <c r="C2966" s="2">
        <v>100</v>
      </c>
      <c r="D2966" s="2" t="s">
        <v>348</v>
      </c>
      <c r="E2966" s="2" t="s">
        <v>775</v>
      </c>
      <c r="F2966" s="101">
        <v>8486</v>
      </c>
    </row>
    <row r="2967" spans="3:6" ht="14.4" customHeight="1" x14ac:dyDescent="0.3">
      <c r="C2967" s="2">
        <v>100</v>
      </c>
      <c r="D2967" s="2" t="s">
        <v>629</v>
      </c>
      <c r="E2967" s="2" t="s">
        <v>770</v>
      </c>
      <c r="F2967" s="101">
        <v>508</v>
      </c>
    </row>
    <row r="2968" spans="3:6" ht="14.4" customHeight="1" x14ac:dyDescent="0.3">
      <c r="C2968" s="2">
        <v>100</v>
      </c>
      <c r="D2968" s="2" t="s">
        <v>346</v>
      </c>
      <c r="E2968" s="2" t="s">
        <v>769</v>
      </c>
      <c r="F2968" s="101">
        <v>459636</v>
      </c>
    </row>
    <row r="2969" spans="3:6" ht="14.4" customHeight="1" x14ac:dyDescent="0.3">
      <c r="C2969" s="2">
        <v>100</v>
      </c>
      <c r="D2969" s="2" t="s">
        <v>671</v>
      </c>
      <c r="E2969" s="2" t="s">
        <v>770</v>
      </c>
      <c r="F2969" s="101">
        <v>308</v>
      </c>
    </row>
    <row r="2970" spans="3:6" ht="14.4" customHeight="1" x14ac:dyDescent="0.3">
      <c r="C2970" s="2">
        <v>100</v>
      </c>
      <c r="D2970" s="2" t="s">
        <v>378</v>
      </c>
      <c r="E2970" s="2" t="s">
        <v>777</v>
      </c>
      <c r="F2970" s="101">
        <v>2300</v>
      </c>
    </row>
    <row r="2971" spans="3:6" ht="14.4" customHeight="1" x14ac:dyDescent="0.3">
      <c r="C2971" s="2">
        <v>100</v>
      </c>
      <c r="D2971" s="2" t="s">
        <v>475</v>
      </c>
      <c r="E2971" s="2" t="s">
        <v>775</v>
      </c>
      <c r="F2971" s="101">
        <v>34</v>
      </c>
    </row>
    <row r="2972" spans="3:6" ht="14.4" customHeight="1" x14ac:dyDescent="0.3">
      <c r="C2972" s="2">
        <v>100</v>
      </c>
      <c r="D2972" s="2" t="s">
        <v>239</v>
      </c>
      <c r="E2972" s="2" t="s">
        <v>771</v>
      </c>
      <c r="F2972" s="101">
        <v>91343</v>
      </c>
    </row>
    <row r="2973" spans="3:6" ht="14.4" customHeight="1" x14ac:dyDescent="0.3">
      <c r="C2973" s="2">
        <v>100</v>
      </c>
      <c r="D2973" s="2" t="s">
        <v>614</v>
      </c>
      <c r="E2973" s="2" t="s">
        <v>771</v>
      </c>
      <c r="F2973" s="101">
        <v>1676</v>
      </c>
    </row>
    <row r="2974" spans="3:6" ht="14.4" customHeight="1" x14ac:dyDescent="0.3">
      <c r="C2974" s="2">
        <v>100</v>
      </c>
      <c r="D2974" s="2" t="s">
        <v>438</v>
      </c>
      <c r="E2974" s="2" t="s">
        <v>774</v>
      </c>
      <c r="F2974" s="101">
        <v>8899</v>
      </c>
    </row>
    <row r="2975" spans="3:6" ht="14.4" customHeight="1" x14ac:dyDescent="0.3">
      <c r="C2975" s="2">
        <v>100</v>
      </c>
      <c r="D2975" s="2" t="s">
        <v>395</v>
      </c>
      <c r="E2975" s="2" t="s">
        <v>769</v>
      </c>
      <c r="F2975" s="101">
        <v>143530</v>
      </c>
    </row>
    <row r="2976" spans="3:6" ht="14.4" customHeight="1" x14ac:dyDescent="0.3">
      <c r="C2976" s="2">
        <v>100</v>
      </c>
      <c r="D2976" s="2" t="s">
        <v>389</v>
      </c>
      <c r="E2976" s="2" t="s">
        <v>777</v>
      </c>
      <c r="F2976" s="101">
        <v>360</v>
      </c>
    </row>
    <row r="2977" spans="3:6" ht="14.4" customHeight="1" x14ac:dyDescent="0.3">
      <c r="C2977" s="2">
        <v>100</v>
      </c>
      <c r="D2977" s="2" t="s">
        <v>212</v>
      </c>
      <c r="E2977" s="2" t="s">
        <v>774</v>
      </c>
      <c r="F2977" s="101">
        <v>-32</v>
      </c>
    </row>
    <row r="2978" spans="3:6" ht="14.4" customHeight="1" x14ac:dyDescent="0.3">
      <c r="C2978" s="2">
        <v>100</v>
      </c>
      <c r="D2978" s="2" t="s">
        <v>413</v>
      </c>
      <c r="E2978" s="2" t="s">
        <v>773</v>
      </c>
      <c r="F2978" s="101">
        <v>2040</v>
      </c>
    </row>
    <row r="2979" spans="3:6" ht="14.4" customHeight="1" x14ac:dyDescent="0.3">
      <c r="C2979" s="2">
        <v>100</v>
      </c>
      <c r="D2979" s="2" t="s">
        <v>343</v>
      </c>
      <c r="E2979" s="2" t="s">
        <v>777</v>
      </c>
      <c r="F2979" s="101">
        <v>10692</v>
      </c>
    </row>
    <row r="2980" spans="3:6" ht="14.4" customHeight="1" x14ac:dyDescent="0.3">
      <c r="C2980" s="2">
        <v>100</v>
      </c>
      <c r="D2980" s="2" t="s">
        <v>606</v>
      </c>
      <c r="E2980" s="2" t="s">
        <v>775</v>
      </c>
      <c r="F2980" s="101">
        <v>10010</v>
      </c>
    </row>
    <row r="2981" spans="3:6" ht="14.4" customHeight="1" x14ac:dyDescent="0.3">
      <c r="C2981" s="2">
        <v>100</v>
      </c>
      <c r="D2981" s="2" t="s">
        <v>281</v>
      </c>
      <c r="E2981" s="2" t="s">
        <v>770</v>
      </c>
      <c r="F2981" s="101">
        <v>1556</v>
      </c>
    </row>
    <row r="2982" spans="3:6" ht="14.4" customHeight="1" x14ac:dyDescent="0.3">
      <c r="C2982" s="2">
        <v>100</v>
      </c>
      <c r="D2982" s="2" t="s">
        <v>506</v>
      </c>
      <c r="E2982" s="2" t="s">
        <v>774</v>
      </c>
      <c r="F2982" s="101">
        <v>3125</v>
      </c>
    </row>
    <row r="2983" spans="3:6" ht="14.4" customHeight="1" x14ac:dyDescent="0.3">
      <c r="C2983" s="2">
        <v>100</v>
      </c>
      <c r="D2983" s="2" t="s">
        <v>648</v>
      </c>
      <c r="E2983" s="2" t="s">
        <v>769</v>
      </c>
      <c r="F2983" s="101">
        <v>25523</v>
      </c>
    </row>
    <row r="2984" spans="3:6" ht="14.4" customHeight="1" x14ac:dyDescent="0.3">
      <c r="C2984" s="2">
        <v>100</v>
      </c>
      <c r="D2984" s="2" t="s">
        <v>578</v>
      </c>
      <c r="E2984" s="2" t="s">
        <v>771</v>
      </c>
      <c r="F2984" s="101">
        <v>214</v>
      </c>
    </row>
    <row r="2985" spans="3:6" ht="14.4" customHeight="1" x14ac:dyDescent="0.3">
      <c r="C2985" s="2">
        <v>100</v>
      </c>
      <c r="D2985" s="2" t="s">
        <v>441</v>
      </c>
      <c r="E2985" s="2" t="s">
        <v>770</v>
      </c>
      <c r="F2985" s="101">
        <v>6086</v>
      </c>
    </row>
    <row r="2986" spans="3:6" ht="14.4" customHeight="1" x14ac:dyDescent="0.3">
      <c r="C2986" s="2">
        <v>100</v>
      </c>
      <c r="D2986" s="2" t="s">
        <v>245</v>
      </c>
      <c r="E2986" s="2" t="s">
        <v>773</v>
      </c>
      <c r="F2986" s="101">
        <v>1737</v>
      </c>
    </row>
    <row r="2987" spans="3:6" ht="14.4" customHeight="1" x14ac:dyDescent="0.3">
      <c r="C2987" s="2">
        <v>100</v>
      </c>
      <c r="D2987" s="2" t="s">
        <v>500</v>
      </c>
      <c r="E2987" s="2" t="s">
        <v>770</v>
      </c>
      <c r="F2987" s="101">
        <v>587</v>
      </c>
    </row>
    <row r="2988" spans="3:6" ht="14.4" customHeight="1" x14ac:dyDescent="0.3">
      <c r="C2988" s="2">
        <v>100</v>
      </c>
      <c r="D2988" s="2" t="s">
        <v>622</v>
      </c>
      <c r="E2988" s="2" t="s">
        <v>774</v>
      </c>
      <c r="F2988" s="101">
        <v>0</v>
      </c>
    </row>
    <row r="2989" spans="3:6" ht="14.4" customHeight="1" x14ac:dyDescent="0.3">
      <c r="C2989" s="2">
        <v>100</v>
      </c>
      <c r="D2989" s="2" t="s">
        <v>245</v>
      </c>
      <c r="E2989" s="2" t="s">
        <v>771</v>
      </c>
      <c r="F2989" s="101">
        <v>13713</v>
      </c>
    </row>
    <row r="2990" spans="3:6" ht="14.4" customHeight="1" x14ac:dyDescent="0.3">
      <c r="C2990" s="2">
        <v>100</v>
      </c>
      <c r="D2990" s="2" t="s">
        <v>608</v>
      </c>
      <c r="E2990" s="2" t="s">
        <v>774</v>
      </c>
      <c r="F2990" s="101">
        <v>3353</v>
      </c>
    </row>
    <row r="2991" spans="3:6" ht="14.4" customHeight="1" x14ac:dyDescent="0.3">
      <c r="C2991" s="2">
        <v>100</v>
      </c>
      <c r="D2991" s="2" t="s">
        <v>344</v>
      </c>
      <c r="E2991" s="2" t="s">
        <v>775</v>
      </c>
      <c r="F2991" s="101">
        <v>191</v>
      </c>
    </row>
    <row r="2992" spans="3:6" ht="14.4" customHeight="1" x14ac:dyDescent="0.3">
      <c r="C2992" s="2">
        <v>100</v>
      </c>
      <c r="D2992" s="2" t="s">
        <v>343</v>
      </c>
      <c r="E2992" s="2" t="s">
        <v>769</v>
      </c>
      <c r="F2992" s="101">
        <v>74803</v>
      </c>
    </row>
    <row r="2993" spans="3:6" ht="14.4" customHeight="1" x14ac:dyDescent="0.3">
      <c r="C2993" s="2">
        <v>100</v>
      </c>
      <c r="D2993" s="2" t="s">
        <v>660</v>
      </c>
      <c r="E2993" s="2" t="s">
        <v>775</v>
      </c>
      <c r="F2993" s="101">
        <v>17</v>
      </c>
    </row>
    <row r="2994" spans="3:6" ht="14.4" customHeight="1" x14ac:dyDescent="0.3">
      <c r="C2994" s="2">
        <v>100</v>
      </c>
      <c r="D2994" s="2" t="s">
        <v>479</v>
      </c>
      <c r="E2994" s="2" t="s">
        <v>773</v>
      </c>
      <c r="F2994" s="101">
        <v>3336</v>
      </c>
    </row>
    <row r="2995" spans="3:6" ht="14.4" customHeight="1" x14ac:dyDescent="0.3">
      <c r="C2995" s="2">
        <v>100</v>
      </c>
      <c r="D2995" s="2" t="s">
        <v>719</v>
      </c>
      <c r="E2995" s="2" t="s">
        <v>771</v>
      </c>
      <c r="F2995" s="101">
        <v>363</v>
      </c>
    </row>
    <row r="2996" spans="3:6" ht="14.4" customHeight="1" x14ac:dyDescent="0.3">
      <c r="C2996" s="2">
        <v>100</v>
      </c>
      <c r="D2996" s="2" t="s">
        <v>313</v>
      </c>
      <c r="E2996" s="2" t="s">
        <v>771</v>
      </c>
      <c r="F2996" s="101">
        <v>103731</v>
      </c>
    </row>
    <row r="2997" spans="3:6" ht="14.4" customHeight="1" x14ac:dyDescent="0.3">
      <c r="C2997" s="2">
        <v>100</v>
      </c>
      <c r="D2997" s="2" t="s">
        <v>380</v>
      </c>
      <c r="E2997" s="2" t="s">
        <v>771</v>
      </c>
      <c r="F2997" s="101">
        <v>20890</v>
      </c>
    </row>
    <row r="2998" spans="3:6" ht="14.4" customHeight="1" x14ac:dyDescent="0.3">
      <c r="C2998" s="2">
        <v>100</v>
      </c>
      <c r="D2998" s="2" t="s">
        <v>413</v>
      </c>
      <c r="E2998" s="2" t="s">
        <v>770</v>
      </c>
      <c r="F2998" s="101">
        <v>3691</v>
      </c>
    </row>
    <row r="2999" spans="3:6" ht="14.4" customHeight="1" x14ac:dyDescent="0.3">
      <c r="C2999" s="2">
        <v>100</v>
      </c>
      <c r="D2999" s="2" t="s">
        <v>554</v>
      </c>
      <c r="E2999" s="2" t="s">
        <v>771</v>
      </c>
      <c r="F2999" s="101">
        <v>5707</v>
      </c>
    </row>
    <row r="3000" spans="3:6" ht="14.4" customHeight="1" x14ac:dyDescent="0.3">
      <c r="C3000" s="2">
        <v>100</v>
      </c>
      <c r="D3000" s="2" t="s">
        <v>597</v>
      </c>
      <c r="E3000" s="2" t="s">
        <v>770</v>
      </c>
      <c r="F3000" s="101">
        <v>851</v>
      </c>
    </row>
    <row r="3001" spans="3:6" ht="14.4" customHeight="1" x14ac:dyDescent="0.3">
      <c r="C3001" s="2">
        <v>100</v>
      </c>
      <c r="D3001" s="2" t="s">
        <v>592</v>
      </c>
      <c r="E3001" s="2" t="s">
        <v>772</v>
      </c>
      <c r="F3001" s="101">
        <v>390</v>
      </c>
    </row>
    <row r="3002" spans="3:6" ht="14.4" customHeight="1" x14ac:dyDescent="0.3">
      <c r="C3002" s="2">
        <v>100</v>
      </c>
      <c r="D3002" s="2" t="s">
        <v>575</v>
      </c>
      <c r="E3002" s="2" t="s">
        <v>777</v>
      </c>
      <c r="F3002" s="101">
        <v>7588</v>
      </c>
    </row>
    <row r="3003" spans="3:6" ht="14.4" customHeight="1" x14ac:dyDescent="0.3">
      <c r="C3003" s="2">
        <v>100</v>
      </c>
      <c r="D3003" s="2" t="s">
        <v>258</v>
      </c>
      <c r="E3003" s="2" t="s">
        <v>773</v>
      </c>
      <c r="F3003" s="101">
        <v>101</v>
      </c>
    </row>
    <row r="3004" spans="3:6" ht="14.4" customHeight="1" x14ac:dyDescent="0.3">
      <c r="C3004" s="2">
        <v>100</v>
      </c>
      <c r="D3004" s="2" t="s">
        <v>309</v>
      </c>
      <c r="E3004" s="2" t="s">
        <v>771</v>
      </c>
      <c r="F3004" s="101">
        <v>12504</v>
      </c>
    </row>
    <row r="3005" spans="3:6" ht="14.4" customHeight="1" x14ac:dyDescent="0.3">
      <c r="C3005" s="2">
        <v>100</v>
      </c>
      <c r="D3005" s="2" t="s">
        <v>647</v>
      </c>
      <c r="E3005" s="2" t="s">
        <v>769</v>
      </c>
      <c r="F3005" s="101">
        <v>45761</v>
      </c>
    </row>
    <row r="3006" spans="3:6" ht="14.4" customHeight="1" x14ac:dyDescent="0.3">
      <c r="C3006" s="2">
        <v>100</v>
      </c>
      <c r="D3006" s="2" t="s">
        <v>630</v>
      </c>
      <c r="E3006" s="2" t="s">
        <v>771</v>
      </c>
      <c r="F3006" s="101">
        <v>2748</v>
      </c>
    </row>
    <row r="3007" spans="3:6" ht="14.4" customHeight="1" x14ac:dyDescent="0.3">
      <c r="C3007" s="2">
        <v>100</v>
      </c>
      <c r="D3007" s="2" t="s">
        <v>253</v>
      </c>
      <c r="E3007" s="2" t="s">
        <v>773</v>
      </c>
      <c r="F3007" s="101">
        <v>338020</v>
      </c>
    </row>
    <row r="3008" spans="3:6" ht="14.4" customHeight="1" x14ac:dyDescent="0.3">
      <c r="C3008" s="2">
        <v>100</v>
      </c>
      <c r="D3008" s="2" t="s">
        <v>352</v>
      </c>
      <c r="E3008" s="2" t="s">
        <v>777</v>
      </c>
      <c r="F3008" s="101">
        <v>1546</v>
      </c>
    </row>
    <row r="3009" spans="3:6" ht="14.4" customHeight="1" x14ac:dyDescent="0.3">
      <c r="C3009" s="2">
        <v>100</v>
      </c>
      <c r="D3009" s="2" t="s">
        <v>308</v>
      </c>
      <c r="E3009" s="2" t="s">
        <v>769</v>
      </c>
      <c r="F3009" s="101">
        <v>12200</v>
      </c>
    </row>
    <row r="3010" spans="3:6" ht="14.4" customHeight="1" x14ac:dyDescent="0.3">
      <c r="C3010" s="2">
        <v>100</v>
      </c>
      <c r="D3010" s="2" t="s">
        <v>540</v>
      </c>
      <c r="E3010" s="2" t="s">
        <v>775</v>
      </c>
      <c r="F3010" s="101">
        <v>8</v>
      </c>
    </row>
    <row r="3011" spans="3:6" ht="14.4" customHeight="1" x14ac:dyDescent="0.3">
      <c r="C3011" s="2">
        <v>100</v>
      </c>
      <c r="D3011" s="2" t="s">
        <v>392</v>
      </c>
      <c r="E3011" s="2" t="s">
        <v>771</v>
      </c>
      <c r="F3011" s="101">
        <v>13329</v>
      </c>
    </row>
    <row r="3012" spans="3:6" ht="14.4" customHeight="1" x14ac:dyDescent="0.3">
      <c r="C3012" s="2">
        <v>100</v>
      </c>
      <c r="D3012" s="2" t="s">
        <v>604</v>
      </c>
      <c r="E3012" s="2" t="s">
        <v>770</v>
      </c>
      <c r="F3012" s="101">
        <v>2157</v>
      </c>
    </row>
    <row r="3013" spans="3:6" ht="14.4" customHeight="1" x14ac:dyDescent="0.3">
      <c r="C3013" s="2">
        <v>100</v>
      </c>
      <c r="D3013" s="2" t="s">
        <v>555</v>
      </c>
      <c r="E3013" s="2" t="s">
        <v>774</v>
      </c>
      <c r="F3013" s="101">
        <v>0</v>
      </c>
    </row>
    <row r="3014" spans="3:6" ht="14.4" customHeight="1" x14ac:dyDescent="0.3">
      <c r="C3014" s="2">
        <v>100</v>
      </c>
      <c r="D3014" s="2" t="s">
        <v>604</v>
      </c>
      <c r="E3014" s="2" t="s">
        <v>775</v>
      </c>
      <c r="F3014" s="101">
        <v>27</v>
      </c>
    </row>
    <row r="3015" spans="3:6" ht="14.4" customHeight="1" x14ac:dyDescent="0.3">
      <c r="C3015" s="2">
        <v>100</v>
      </c>
      <c r="D3015" s="2" t="s">
        <v>455</v>
      </c>
      <c r="E3015" s="2" t="s">
        <v>774</v>
      </c>
      <c r="F3015" s="101">
        <v>-222</v>
      </c>
    </row>
    <row r="3016" spans="3:6" ht="14.4" customHeight="1" x14ac:dyDescent="0.3">
      <c r="C3016" s="2">
        <v>100</v>
      </c>
      <c r="D3016" s="2" t="s">
        <v>361</v>
      </c>
      <c r="E3016" s="2" t="s">
        <v>771</v>
      </c>
      <c r="F3016" s="101">
        <v>30492</v>
      </c>
    </row>
    <row r="3017" spans="3:6" ht="14.4" customHeight="1" x14ac:dyDescent="0.3">
      <c r="C3017" s="2">
        <v>100</v>
      </c>
      <c r="D3017" s="2" t="s">
        <v>638</v>
      </c>
      <c r="E3017" s="2" t="s">
        <v>769</v>
      </c>
      <c r="F3017" s="101">
        <v>53480</v>
      </c>
    </row>
    <row r="3018" spans="3:6" ht="14.4" customHeight="1" x14ac:dyDescent="0.3">
      <c r="C3018" s="2">
        <v>100</v>
      </c>
      <c r="D3018" s="2" t="s">
        <v>252</v>
      </c>
      <c r="E3018" s="2" t="s">
        <v>770</v>
      </c>
      <c r="F3018" s="101">
        <v>12097</v>
      </c>
    </row>
    <row r="3019" spans="3:6" ht="14.4" customHeight="1" x14ac:dyDescent="0.3">
      <c r="C3019" s="2">
        <v>100</v>
      </c>
      <c r="D3019" s="2" t="s">
        <v>704</v>
      </c>
      <c r="E3019" s="2" t="s">
        <v>769</v>
      </c>
      <c r="F3019" s="101">
        <v>510</v>
      </c>
    </row>
    <row r="3020" spans="3:6" ht="14.4" customHeight="1" x14ac:dyDescent="0.3">
      <c r="C3020" s="2">
        <v>100</v>
      </c>
      <c r="D3020" s="2" t="s">
        <v>472</v>
      </c>
      <c r="E3020" s="2" t="s">
        <v>772</v>
      </c>
      <c r="F3020" s="101">
        <v>2324</v>
      </c>
    </row>
    <row r="3021" spans="3:6" ht="14.4" customHeight="1" x14ac:dyDescent="0.3">
      <c r="C3021" s="2">
        <v>100</v>
      </c>
      <c r="D3021" s="2" t="s">
        <v>655</v>
      </c>
      <c r="E3021" s="2" t="s">
        <v>771</v>
      </c>
      <c r="F3021" s="101">
        <v>5218</v>
      </c>
    </row>
    <row r="3022" spans="3:6" ht="14.4" customHeight="1" x14ac:dyDescent="0.3">
      <c r="C3022" s="2">
        <v>100</v>
      </c>
      <c r="D3022" s="2" t="s">
        <v>309</v>
      </c>
      <c r="E3022" s="2" t="s">
        <v>775</v>
      </c>
      <c r="F3022" s="101">
        <v>625</v>
      </c>
    </row>
    <row r="3023" spans="3:6" ht="14.4" customHeight="1" x14ac:dyDescent="0.3">
      <c r="C3023" s="2">
        <v>100</v>
      </c>
      <c r="D3023" s="2" t="s">
        <v>785</v>
      </c>
      <c r="E3023" s="2" t="s">
        <v>771</v>
      </c>
      <c r="F3023" s="101">
        <v>-3</v>
      </c>
    </row>
    <row r="3024" spans="3:6" ht="14.4" customHeight="1" x14ac:dyDescent="0.3">
      <c r="C3024" s="2">
        <v>100</v>
      </c>
      <c r="D3024" s="2" t="s">
        <v>706</v>
      </c>
      <c r="E3024" s="2" t="s">
        <v>773</v>
      </c>
      <c r="F3024" s="101">
        <v>41</v>
      </c>
    </row>
    <row r="3025" spans="3:6" ht="14.4" customHeight="1" x14ac:dyDescent="0.3">
      <c r="C3025" s="2">
        <v>100</v>
      </c>
      <c r="D3025" s="2" t="s">
        <v>47</v>
      </c>
      <c r="E3025" s="2" t="s">
        <v>771</v>
      </c>
      <c r="F3025" s="101">
        <v>28642</v>
      </c>
    </row>
    <row r="3026" spans="3:6" ht="14.4" customHeight="1" x14ac:dyDescent="0.3">
      <c r="C3026" s="2">
        <v>100</v>
      </c>
      <c r="D3026" s="2" t="s">
        <v>602</v>
      </c>
      <c r="E3026" s="2" t="s">
        <v>773</v>
      </c>
      <c r="F3026" s="101">
        <v>800</v>
      </c>
    </row>
    <row r="3027" spans="3:6" ht="14.4" customHeight="1" x14ac:dyDescent="0.3">
      <c r="C3027" s="2">
        <v>100</v>
      </c>
      <c r="D3027" s="2" t="s">
        <v>758</v>
      </c>
      <c r="E3027" s="2" t="s">
        <v>771</v>
      </c>
      <c r="F3027" s="101">
        <v>488</v>
      </c>
    </row>
    <row r="3028" spans="3:6" ht="14.4" customHeight="1" x14ac:dyDescent="0.3">
      <c r="C3028" s="2">
        <v>100</v>
      </c>
      <c r="D3028" s="2" t="s">
        <v>353</v>
      </c>
      <c r="E3028" s="2" t="s">
        <v>769</v>
      </c>
      <c r="F3028" s="101">
        <v>1472880</v>
      </c>
    </row>
    <row r="3029" spans="3:6" ht="14.4" customHeight="1" x14ac:dyDescent="0.3">
      <c r="C3029" s="2">
        <v>100</v>
      </c>
      <c r="D3029" s="2" t="s">
        <v>586</v>
      </c>
      <c r="E3029" s="2" t="s">
        <v>773</v>
      </c>
      <c r="F3029" s="101">
        <v>181</v>
      </c>
    </row>
    <row r="3030" spans="3:6" ht="14.4" customHeight="1" x14ac:dyDescent="0.3">
      <c r="C3030" s="2">
        <v>100</v>
      </c>
      <c r="D3030" s="2" t="s">
        <v>326</v>
      </c>
      <c r="E3030" s="2" t="s">
        <v>769</v>
      </c>
      <c r="F3030" s="101">
        <v>210832</v>
      </c>
    </row>
    <row r="3031" spans="3:6" ht="14.4" customHeight="1" x14ac:dyDescent="0.3">
      <c r="C3031" s="2">
        <v>100</v>
      </c>
      <c r="D3031" s="2" t="s">
        <v>347</v>
      </c>
      <c r="E3031" s="2" t="s">
        <v>773</v>
      </c>
      <c r="F3031" s="101">
        <v>11939</v>
      </c>
    </row>
    <row r="3032" spans="3:6" ht="14.4" customHeight="1" x14ac:dyDescent="0.3">
      <c r="C3032" s="2">
        <v>100</v>
      </c>
      <c r="D3032" s="2" t="s">
        <v>398</v>
      </c>
      <c r="E3032" s="2" t="s">
        <v>773</v>
      </c>
      <c r="F3032" s="101">
        <v>1731</v>
      </c>
    </row>
    <row r="3033" spans="3:6" ht="14.4" customHeight="1" x14ac:dyDescent="0.3">
      <c r="C3033" s="2">
        <v>100</v>
      </c>
      <c r="D3033" s="2" t="s">
        <v>255</v>
      </c>
      <c r="E3033" s="2" t="s">
        <v>777</v>
      </c>
      <c r="F3033" s="101">
        <v>762</v>
      </c>
    </row>
    <row r="3034" spans="3:6" ht="14.4" customHeight="1" x14ac:dyDescent="0.3">
      <c r="C3034" s="2">
        <v>100</v>
      </c>
      <c r="D3034" s="2" t="s">
        <v>373</v>
      </c>
      <c r="E3034" s="2" t="s">
        <v>773</v>
      </c>
      <c r="F3034" s="101">
        <v>7679</v>
      </c>
    </row>
    <row r="3035" spans="3:6" ht="14.4" customHeight="1" x14ac:dyDescent="0.3">
      <c r="C3035" s="2">
        <v>100</v>
      </c>
      <c r="D3035" s="2" t="s">
        <v>435</v>
      </c>
      <c r="E3035" s="2" t="s">
        <v>775</v>
      </c>
      <c r="F3035" s="101">
        <v>12043</v>
      </c>
    </row>
    <row r="3036" spans="3:6" ht="14.4" customHeight="1" x14ac:dyDescent="0.3">
      <c r="C3036" s="2">
        <v>100</v>
      </c>
      <c r="D3036" s="2" t="s">
        <v>634</v>
      </c>
      <c r="E3036" s="2" t="s">
        <v>775</v>
      </c>
      <c r="F3036" s="101">
        <v>8878</v>
      </c>
    </row>
    <row r="3037" spans="3:6" ht="14.4" customHeight="1" x14ac:dyDescent="0.3">
      <c r="C3037" s="2">
        <v>100</v>
      </c>
      <c r="D3037" s="2" t="s">
        <v>559</v>
      </c>
      <c r="E3037" s="2" t="s">
        <v>775</v>
      </c>
      <c r="F3037" s="101">
        <v>8</v>
      </c>
    </row>
    <row r="3038" spans="3:6" ht="14.4" customHeight="1" x14ac:dyDescent="0.3">
      <c r="C3038" s="2">
        <v>100</v>
      </c>
      <c r="D3038" s="2" t="s">
        <v>706</v>
      </c>
      <c r="E3038" s="2" t="s">
        <v>771</v>
      </c>
      <c r="F3038" s="101">
        <v>38</v>
      </c>
    </row>
    <row r="3039" spans="3:6" ht="14.4" customHeight="1" x14ac:dyDescent="0.3">
      <c r="C3039" s="2">
        <v>100</v>
      </c>
      <c r="D3039" s="2" t="s">
        <v>390</v>
      </c>
      <c r="E3039" s="2" t="s">
        <v>775</v>
      </c>
      <c r="F3039" s="101">
        <v>62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0.499984740745262"/>
  </sheetPr>
  <dimension ref="A2:S69"/>
  <sheetViews>
    <sheetView zoomScale="80" zoomScaleNormal="80" workbookViewId="0">
      <selection activeCell="E6" sqref="E6"/>
    </sheetView>
  </sheetViews>
  <sheetFormatPr defaultColWidth="8.88671875" defaultRowHeight="13.8" x14ac:dyDescent="0.3"/>
  <cols>
    <col min="1" max="1" width="4.33203125" style="1" customWidth="1"/>
    <col min="2" max="2" width="3.109375" style="1" customWidth="1"/>
    <col min="3" max="3" width="110.5546875" style="1" customWidth="1"/>
    <col min="4" max="4" width="21.5546875" style="1" customWidth="1"/>
    <col min="5" max="5" width="27" style="1" bestFit="1" customWidth="1"/>
    <col min="6" max="13" width="21.5546875" style="1" customWidth="1"/>
    <col min="14" max="14" width="23.5546875" style="1" customWidth="1"/>
    <col min="15" max="18" width="21" style="1" customWidth="1"/>
    <col min="19" max="19" width="17.33203125" style="1" bestFit="1" customWidth="1"/>
    <col min="20" max="16384" width="8.88671875" style="1"/>
  </cols>
  <sheetData>
    <row r="2" spans="1:19" ht="14.4" x14ac:dyDescent="0.3">
      <c r="C2" s="56" t="s">
        <v>48</v>
      </c>
    </row>
    <row r="3" spans="1:19" ht="15" customHeight="1" x14ac:dyDescent="0.3">
      <c r="C3" s="57" t="s">
        <v>49</v>
      </c>
      <c r="D3" s="58" t="s">
        <v>50</v>
      </c>
      <c r="E3" s="58" t="s">
        <v>51</v>
      </c>
      <c r="F3" s="58" t="s">
        <v>52</v>
      </c>
      <c r="G3" s="58" t="s">
        <v>53</v>
      </c>
      <c r="H3" s="58" t="s">
        <v>54</v>
      </c>
      <c r="I3" s="58" t="s">
        <v>55</v>
      </c>
      <c r="J3" s="58" t="s">
        <v>56</v>
      </c>
      <c r="K3" s="58" t="s">
        <v>57</v>
      </c>
      <c r="L3" s="58" t="s">
        <v>58</v>
      </c>
      <c r="M3" s="58" t="s">
        <v>59</v>
      </c>
      <c r="N3" s="58" t="s">
        <v>60</v>
      </c>
      <c r="O3" s="58" t="s">
        <v>61</v>
      </c>
      <c r="P3" s="58" t="s">
        <v>62</v>
      </c>
      <c r="Q3" s="58" t="s">
        <v>63</v>
      </c>
      <c r="R3" s="58" t="s">
        <v>64</v>
      </c>
      <c r="S3" s="58" t="s">
        <v>65</v>
      </c>
    </row>
    <row r="4" spans="1:19" ht="76.5" customHeight="1" x14ac:dyDescent="0.3">
      <c r="C4" s="59"/>
      <c r="D4" s="111" t="s">
        <v>66</v>
      </c>
      <c r="E4" s="112"/>
      <c r="F4" s="112"/>
      <c r="G4" s="112"/>
      <c r="H4" s="113"/>
      <c r="I4" s="111" t="s">
        <v>67</v>
      </c>
      <c r="J4" s="112"/>
      <c r="K4" s="113"/>
      <c r="L4" s="111" t="s">
        <v>68</v>
      </c>
      <c r="M4" s="113"/>
      <c r="N4" s="107" t="s">
        <v>69</v>
      </c>
      <c r="O4" s="107" t="s">
        <v>70</v>
      </c>
      <c r="P4" s="107" t="s">
        <v>71</v>
      </c>
      <c r="Q4" s="107" t="s">
        <v>72</v>
      </c>
      <c r="R4" s="109" t="s">
        <v>73</v>
      </c>
      <c r="S4" s="107" t="s">
        <v>74</v>
      </c>
    </row>
    <row r="5" spans="1:19" ht="96.6" x14ac:dyDescent="0.3">
      <c r="C5" s="59"/>
      <c r="D5" s="60"/>
      <c r="E5" s="61" t="s">
        <v>75</v>
      </c>
      <c r="F5" s="61" t="s">
        <v>76</v>
      </c>
      <c r="G5" s="62" t="s">
        <v>77</v>
      </c>
      <c r="H5" s="62" t="s">
        <v>78</v>
      </c>
      <c r="I5" s="63"/>
      <c r="J5" s="61" t="s">
        <v>79</v>
      </c>
      <c r="K5" s="61" t="s">
        <v>78</v>
      </c>
      <c r="L5" s="64"/>
      <c r="M5" s="65" t="s">
        <v>80</v>
      </c>
      <c r="N5" s="108"/>
      <c r="O5" s="108"/>
      <c r="P5" s="108"/>
      <c r="Q5" s="108"/>
      <c r="R5" s="110"/>
      <c r="S5" s="108"/>
    </row>
    <row r="6" spans="1:19" x14ac:dyDescent="0.3">
      <c r="B6" s="66">
        <v>1</v>
      </c>
      <c r="C6" s="67" t="s">
        <v>81</v>
      </c>
      <c r="D6" s="80">
        <f t="shared" ref="D6:R6" si="0">D7+D8+D14+D39+D44+D45+D49+D50+D56+D57</f>
        <v>0</v>
      </c>
      <c r="E6" s="80">
        <f t="shared" si="0"/>
        <v>0</v>
      </c>
      <c r="F6" s="80">
        <f t="shared" si="0"/>
        <v>0</v>
      </c>
      <c r="G6" s="80">
        <f t="shared" si="0"/>
        <v>0</v>
      </c>
      <c r="H6" s="80">
        <f t="shared" si="0"/>
        <v>0</v>
      </c>
      <c r="I6" s="80">
        <f t="shared" si="0"/>
        <v>0</v>
      </c>
      <c r="J6" s="80">
        <f t="shared" si="0"/>
        <v>0</v>
      </c>
      <c r="K6" s="80">
        <f t="shared" si="0"/>
        <v>0</v>
      </c>
      <c r="L6" s="81">
        <f t="shared" si="0"/>
        <v>0</v>
      </c>
      <c r="M6" s="81">
        <f t="shared" si="0"/>
        <v>0</v>
      </c>
      <c r="N6" s="90" t="e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b.'!$O$63)))/1000000)/$D$6</f>
        <v>#DIV/0!</v>
      </c>
      <c r="O6" s="80">
        <f t="shared" si="0"/>
        <v>0</v>
      </c>
      <c r="P6" s="80">
        <f t="shared" si="0"/>
        <v>0</v>
      </c>
      <c r="Q6" s="80">
        <f t="shared" si="0"/>
        <v>0</v>
      </c>
      <c r="R6" s="80">
        <f t="shared" si="0"/>
        <v>0</v>
      </c>
      <c r="S6" s="82" t="e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b.'!S$63,Input!$G:$G,"&gt;0"))/1000000)/'1.CC Transition risk-Banking b.'!D6,0)</f>
        <v>#DIV/0!</v>
      </c>
    </row>
    <row r="7" spans="1:19" x14ac:dyDescent="0.3">
      <c r="A7" s="96" t="s">
        <v>82</v>
      </c>
      <c r="B7" s="66">
        <v>2</v>
      </c>
      <c r="C7" s="68" t="s">
        <v>83</v>
      </c>
      <c r="D7" s="83">
        <f>(ROUND(SUMIFS(Input!$I:$I,Input!$H:$H,'1.CC Transition risk-Banking b.'!$A7&amp;"*",Input!$E:$E,'1.CC Transition risk-Banking b.'!$D$63),0))/1000000</f>
        <v>0</v>
      </c>
      <c r="E7" s="83">
        <f>(ROUND(SUMIFS(Input!$I:$I,Input!$H:$H,'1.CC Transition risk-Banking b.'!$A7&amp;"*",Input!$E:$E,'1.CC Transition risk-Banking b.'!$E$63,Input!$F:$F,'1.CC Transition risk-Banking b.'!$E$64),0))/1000000</f>
        <v>0</v>
      </c>
      <c r="F7" s="83">
        <f>(ROUND(SUMIFS(Input!$P:$P,Input!$H:$H,'1.CC Transition risk-Banking b.'!$A7&amp;"*",Input!$E:$E,'1.CC Transition risk-Banking b.'!$E$63,Input!$O:$O,'1.CC Transition risk-Banking b.'!$F$63),0))/1000000</f>
        <v>0</v>
      </c>
      <c r="G7" s="83">
        <f>(ROUND(SUMIFS(Input!$I:$I,Input!$H:$H,'1.CC Transition risk-Banking b.'!$A7&amp;"*",Input!$E:$E,'1.CC Transition risk-Banking b.'!$G$63,Input!$C:$C,'1.CC Transition risk-Banking b.'!$G$64),0))/1000000</f>
        <v>0</v>
      </c>
      <c r="H7" s="83">
        <f>(ROUND(SUMIFS(Input!$I:$I,Input!$H:$H,'1.CC Transition risk-Banking b.'!$A7&amp;"*",Input!$E:$E,'1.CC Transition risk-Banking b.'!$H$63,Input!$C:$C,'1.CC Transition risk-Banking b.'!$H$64),0))/1000000</f>
        <v>0</v>
      </c>
      <c r="I7" s="83">
        <f>(ROUND(SUMIFS(Input!$I:$I,Input!$H:$H,'1.CC Transition risk-Banking b.'!$A7&amp;"*",Input!$E:$E,'1.CC Transition risk-Banking b.'!$I$63),0))/1000000</f>
        <v>0</v>
      </c>
      <c r="J7" s="83">
        <f>(ROUND(SUMIFS(Input!$I:$I,Input!$H:$H,'1.CC Transition risk-Banking b.'!$A7&amp;"*",Input!$E:$E,'1.CC Transition risk-Banking b.'!$J$63,Input!$C:$C,'1.CC Transition risk-Banking b.'!$J$64),0))/1000000</f>
        <v>0</v>
      </c>
      <c r="K7" s="83">
        <f>(ROUND(SUMIFS(Input!$I:$I,Input!$H:$H,'1.CC Transition risk-Banking b.'!$A7&amp;"*",Input!$E:$E,'1.CC Transition risk-Banking b.'!$K$63,Input!$C:$C,'1.CC Transition risk-Banking b.'!$K$64),0))/1000000</f>
        <v>0</v>
      </c>
      <c r="L7" s="84">
        <f>(ROUND(SUMIFS(Input!$J:$J,Input!$H:$H,'1.CC Transition risk-Banking b.'!$A7&amp;"*")
+ SUMIFS(Input!$L:$L,Input!$H:$H,'1.CC Transition risk-Banking b.'!$A7&amp;"*")
+SUMIFS(Input!$N:$N,Input!$H:$H,'1.CC Transition risk-Banking b.'!$A7&amp;"*"),0))/1000000</f>
        <v>0</v>
      </c>
      <c r="M7" s="84">
        <f>(ROUND(SUMIFS(Input!$N:$N,Input!$H:$H,'1.CC Transition risk-Banking b.'!$A7&amp;"*"),0))/1000000</f>
        <v>0</v>
      </c>
      <c r="N7" s="91">
        <f>IFERROR(AVERAGE(SUMIFS(Input!$I:$I,Input!$H:$H,'1.CC Transition risk-Banking b.'!$A7&amp;"*",Input!$R:$R,"SOUR1",Input!$E:$E,'1.CC Transition risk-Banking b.'!$O$63),
SUMIFS(Input!$I:$I,Input!$H:$H,'1.CC Transition risk-Banking b.'!$A7&amp;"*",Input!$S:$S,"SOUR1",Input!$E:$E,'1.CC Transition risk-Banking b.'!$O$63),
SUMIFS(Input!$I:$I,Input!$H:$H,'1.CC Transition risk-Banking b.'!$A7&amp;"*",Input!$T:$T,"SOUR1",Input!$E:$E,'1.CC Transition risk-Banking b.'!$O$63))/SUMIFS(Input!$I:$I,Input!$H:$H,'1.CC Transition risk-Banking b.'!$A7&amp;"*",Input!$E:$E,'1.CC Transition risk-Banking b.'!$O$63),0)</f>
        <v>0</v>
      </c>
      <c r="O7" s="85">
        <f>(ROUND(SUMIFS(Input!$I:$I,Input!$H:$H,'1.CC Transition risk-Banking b.'!$A7&amp;"*",Input!$E:$E,'1.CC Transition risk-Banking b.'!O$63,Input!$G:$G,"&gt;=0",Input!$G:$G,"&lt;=5")
+ SUMIFS(Input!$I:$I,Input!$H:$H,'1.CC Transition risk-Banking b.'!$A7&amp;"*",Input!$E:$E,'1.CC Transition risk-Banking b.'!O$63,Input!$G:$G,"-4")
+ SUMIFS(Input!$I:$I,Input!$H:$H,'1.CC Transition risk-Banking b.'!$A7&amp;"*",Input!$E:$E,'1.CC Transition risk-Banking b.'!O$63,Input!$G:$G,"-1"),0))/1000000</f>
        <v>0</v>
      </c>
      <c r="P7" s="85">
        <f>(ROUND(SUMIFS(Input!$I:$I,Input!$H:$H,'1.CC Transition risk-Banking b.'!$A7&amp;"*",Input!$E:$E,'1.CC Transition risk-Banking b.'!P$63,Input!$G:$G,"&gt;5",Input!$G:$G,"&lt;=10"),0))/1000000</f>
        <v>0</v>
      </c>
      <c r="Q7" s="85">
        <f>(ROUND(SUMIFS(Input!$I:$I,Input!$H:$H,'1.CC Transition risk-Banking b.'!$A7&amp;"*",Input!$E:$E,'1.CC Transition risk-Banking b.'!Q$63,Input!$G:$G,"&gt;10",Input!$G:$G,"&lt;=20"),0))/1000000</f>
        <v>0</v>
      </c>
      <c r="R7" s="85">
        <f>(ROUND(SUMIFS(Input!$I:$I,Input!$H:$H,'1.CC Transition risk-Banking b.'!$A7&amp;"*",Input!$E:$E,'1.CC Transition risk-Banking b.'!R$63,Input!$G:$G,"&gt;20")
+ SUMIFS(Input!$I:$I,Input!$H:$H,'1.CC Transition risk-Banking b.'!$A7&amp;"*",Input!$E:$E,'1.CC Transition risk-Banking b.'!R$63,Input!$G:$G,"-2")
+ SUMIFS(Input!$I:$I,Input!$H:$H,'1.CC Transition risk-Banking b.'!$A7&amp;"*",Input!$E:$E,'1.CC Transition risk-Banking b.'!R$63,Input!$G:$G,"-3"),0))/1000000</f>
        <v>0</v>
      </c>
      <c r="S7" s="86">
        <f>ROUND(IFERROR((SUMIFS(Input!$Q:$Q,Input!$H:$H,'1.CC Transition risk-Banking b.'!$A7&amp;"*",Input!$E:$E,'1.CC Transition risk-Banking b.'!S$63,Input!$G:$G,"&gt;0")/1000000)/'1.CC Transition risk-Banking b.'!$D7,0),0)</f>
        <v>0</v>
      </c>
    </row>
    <row r="8" spans="1:19" x14ac:dyDescent="0.3">
      <c r="A8" s="96" t="s">
        <v>84</v>
      </c>
      <c r="B8" s="66">
        <v>3</v>
      </c>
      <c r="C8" s="68" t="s">
        <v>85</v>
      </c>
      <c r="D8" s="83">
        <f>(ROUND(SUMIFS(Input!$I:$I,Input!$H:$H,'1.CC Transition risk-Banking b.'!$A8&amp;"*",Input!$E:$E,'1.CC Transition risk-Banking b.'!$D$63),0))/1000000</f>
        <v>0</v>
      </c>
      <c r="E8" s="83">
        <f>(ROUND(SUMIFS(Input!$I:$I,Input!$H:$H,'1.CC Transition risk-Banking b.'!$A8&amp;"*",Input!$E:$E,'1.CC Transition risk-Banking b.'!$E$63,Input!$F:$F,'1.CC Transition risk-Banking b.'!$E$64),0))/1000000</f>
        <v>0</v>
      </c>
      <c r="F8" s="83">
        <f>(ROUND(SUMIFS(Input!$P:$P,Input!$H:$H,'1.CC Transition risk-Banking b.'!$A8&amp;"*",Input!$E:$E,'1.CC Transition risk-Banking b.'!$E$63,Input!$O:$O,'1.CC Transition risk-Banking b.'!$F$63),0))/1000000</f>
        <v>0</v>
      </c>
      <c r="G8" s="83">
        <f>(ROUND(SUMIFS(Input!$I:$I,Input!$H:$H,'1.CC Transition risk-Banking b.'!$A8&amp;"*",Input!$E:$E,'1.CC Transition risk-Banking b.'!$G$63,Input!$C:$C,'1.CC Transition risk-Banking b.'!$G$64),0))/1000000</f>
        <v>0</v>
      </c>
      <c r="H8" s="83">
        <f>(ROUND(SUMIFS(Input!$I:$I,Input!$H:$H,'1.CC Transition risk-Banking b.'!$A8&amp;"*",Input!$E:$E,'1.CC Transition risk-Banking b.'!$H$63,Input!$C:$C,'1.CC Transition risk-Banking b.'!$H$64),0))/1000000</f>
        <v>0</v>
      </c>
      <c r="I8" s="83">
        <f>(ROUND(SUMIFS(Input!$I:$I,Input!$H:$H,'1.CC Transition risk-Banking b.'!$A8&amp;"*",Input!$E:$E,'1.CC Transition risk-Banking b.'!$I$63),0))/1000000</f>
        <v>0</v>
      </c>
      <c r="J8" s="83">
        <f>(ROUND(SUMIFS(Input!$I:$I,Input!$H:$H,'1.CC Transition risk-Banking b.'!$A8&amp;"*",Input!$E:$E,'1.CC Transition risk-Banking b.'!$J$63,Input!$C:$C,'1.CC Transition risk-Banking b.'!$J$64),0))/1000000</f>
        <v>0</v>
      </c>
      <c r="K8" s="83">
        <f>(ROUND(SUMIFS(Input!$I:$I,Input!$H:$H,'1.CC Transition risk-Banking b.'!$A8&amp;"*",Input!$E:$E,'1.CC Transition risk-Banking b.'!$K$63,Input!$C:$C,'1.CC Transition risk-Banking b.'!$K$64),0))/1000000</f>
        <v>0</v>
      </c>
      <c r="L8" s="84">
        <f>(ROUND(SUMIFS(Input!$J:$J,Input!$H:$H,'1.CC Transition risk-Banking b.'!$A8&amp;"*")
+ SUMIFS(Input!$L:$L,Input!$H:$H,'1.CC Transition risk-Banking b.'!$A8&amp;"*")
+SUMIFS(Input!$N:$N,Input!$H:$H,'1.CC Transition risk-Banking b.'!$A8&amp;"*"),0))/1000000</f>
        <v>0</v>
      </c>
      <c r="M8" s="84">
        <f>(ROUND(SUMIFS(Input!$N:$N,Input!$H:$H,'1.CC Transition risk-Banking b.'!$A8&amp;"*"),0))/1000000</f>
        <v>0</v>
      </c>
      <c r="N8" s="91">
        <f>IFERROR(AVERAGE(SUMIFS(Input!$I:$I,Input!$H:$H,'1.CC Transition risk-Banking b.'!$A8&amp;"*",Input!$R:$R,"SOUR1",Input!$E:$E,'1.CC Transition risk-Banking b.'!$O$63),
SUMIFS(Input!$I:$I,Input!$H:$H,'1.CC Transition risk-Banking b.'!$A8&amp;"*",Input!$S:$S,"SOUR1",Input!$E:$E,'1.CC Transition risk-Banking b.'!$O$63),
SUMIFS(Input!$I:$I,Input!$H:$H,'1.CC Transition risk-Banking b.'!$A8&amp;"*",Input!$T:$T,"SOUR1",Input!$E:$E,'1.CC Transition risk-Banking b.'!$O$63))/SUMIFS(Input!$I:$I,Input!$H:$H,'1.CC Transition risk-Banking b.'!$A8&amp;"*",Input!$E:$E,'1.CC Transition risk-Banking b.'!$O$63),0)</f>
        <v>0</v>
      </c>
      <c r="O8" s="85">
        <f>(ROUND(SUMIFS(Input!$I:$I,Input!$H:$H,'1.CC Transition risk-Banking b.'!$A8&amp;"*",Input!$E:$E,'1.CC Transition risk-Banking b.'!O$63,Input!$G:$G,"&gt;=0",Input!$G:$G,"&lt;=5")
+ SUMIFS(Input!$I:$I,Input!$H:$H,'1.CC Transition risk-Banking b.'!$A8&amp;"*",Input!$E:$E,'1.CC Transition risk-Banking b.'!O$63,Input!$G:$G,"-4")
+ SUMIFS(Input!$I:$I,Input!$H:$H,'1.CC Transition risk-Banking b.'!$A8&amp;"*",Input!$E:$E,'1.CC Transition risk-Banking b.'!O$63,Input!$G:$G,"-1"),0))/1000000</f>
        <v>0</v>
      </c>
      <c r="P8" s="85">
        <f>(ROUND(SUMIFS(Input!$I:$I,Input!$H:$H,'1.CC Transition risk-Banking b.'!$A8&amp;"*",Input!$E:$E,'1.CC Transition risk-Banking b.'!P$63,Input!$G:$G,"&gt;5",Input!$G:$G,"&lt;=10"),0))/1000000</f>
        <v>0</v>
      </c>
      <c r="Q8" s="85">
        <f>(ROUND(SUMIFS(Input!$I:$I,Input!$H:$H,'1.CC Transition risk-Banking b.'!$A8&amp;"*",Input!$E:$E,'1.CC Transition risk-Banking b.'!Q$63,Input!$G:$G,"&gt;10",Input!$G:$G,"&lt;=20"),0))/1000000</f>
        <v>0</v>
      </c>
      <c r="R8" s="85">
        <f>(ROUND(SUMIFS(Input!$I:$I,Input!$H:$H,'1.CC Transition risk-Banking b.'!$A8&amp;"*",Input!$E:$E,'1.CC Transition risk-Banking b.'!R$63,Input!$G:$G,"&gt;20")
+ SUMIFS(Input!$I:$I,Input!$H:$H,'1.CC Transition risk-Banking b.'!$A8&amp;"*",Input!$E:$E,'1.CC Transition risk-Banking b.'!R$63,Input!$G:$G,"-2")
+ SUMIFS(Input!$I:$I,Input!$H:$H,'1.CC Transition risk-Banking b.'!$A8&amp;"*",Input!$E:$E,'1.CC Transition risk-Banking b.'!R$63,Input!$G:$G,"-3"),0))/1000000</f>
        <v>0</v>
      </c>
      <c r="S8" s="86">
        <f>ROUND(IFERROR((SUMIFS(Input!$Q:$Q,Input!$H:$H,'1.CC Transition risk-Banking b.'!$A8&amp;"*",Input!$E:$E,'1.CC Transition risk-Banking b.'!S$63,Input!$G:$G,"&gt;0")/1000000)/'1.CC Transition risk-Banking b.'!$D8,0),0)</f>
        <v>0</v>
      </c>
    </row>
    <row r="9" spans="1:19" x14ac:dyDescent="0.3">
      <c r="A9" s="96" t="s">
        <v>86</v>
      </c>
      <c r="B9" s="66">
        <v>4</v>
      </c>
      <c r="C9" s="69" t="s">
        <v>87</v>
      </c>
      <c r="D9" s="83">
        <f>(ROUND(SUMIFS(Input!$I:$I,Input!$H:$H,'1.CC Transition risk-Banking b.'!$A9&amp;"*",Input!$E:$E,'1.CC Transition risk-Banking b.'!$D$63),0))/1000000</f>
        <v>0</v>
      </c>
      <c r="E9" s="83">
        <f>(ROUND(SUMIFS(Input!$I:$I,Input!$H:$H,'1.CC Transition risk-Banking b.'!$A9&amp;"*",Input!$E:$E,'1.CC Transition risk-Banking b.'!$E$63,Input!$F:$F,'1.CC Transition risk-Banking b.'!$E$64),0))/1000000</f>
        <v>0</v>
      </c>
      <c r="F9" s="83">
        <f>(ROUND(SUMIFS(Input!$P:$P,Input!$H:$H,'1.CC Transition risk-Banking b.'!$A9&amp;"*",Input!$E:$E,'1.CC Transition risk-Banking b.'!$E$63,Input!$O:$O,'1.CC Transition risk-Banking b.'!$F$63),0))/1000000</f>
        <v>0</v>
      </c>
      <c r="G9" s="83">
        <f>(ROUND(SUMIFS(Input!$I:$I,Input!$H:$H,'1.CC Transition risk-Banking b.'!$A9&amp;"*",Input!$E:$E,'1.CC Transition risk-Banking b.'!$G$63,Input!$C:$C,'1.CC Transition risk-Banking b.'!$G$64),0))/1000000</f>
        <v>0</v>
      </c>
      <c r="H9" s="83">
        <f>(ROUND(SUMIFS(Input!$I:$I,Input!$H:$H,'1.CC Transition risk-Banking b.'!$A9&amp;"*",Input!$E:$E,'1.CC Transition risk-Banking b.'!$H$63,Input!$C:$C,'1.CC Transition risk-Banking b.'!$H$64),0))/1000000</f>
        <v>0</v>
      </c>
      <c r="I9" s="83">
        <f>(ROUND(SUMIFS(Input!$I:$I,Input!$H:$H,'1.CC Transition risk-Banking b.'!$A9&amp;"*",Input!$E:$E,'1.CC Transition risk-Banking b.'!$I$63),0))/1000000</f>
        <v>0</v>
      </c>
      <c r="J9" s="83">
        <f>(ROUND(SUMIFS(Input!$I:$I,Input!$H:$H,'1.CC Transition risk-Banking b.'!$A9&amp;"*",Input!$E:$E,'1.CC Transition risk-Banking b.'!$J$63,Input!$C:$C,'1.CC Transition risk-Banking b.'!$J$64),0))/1000000</f>
        <v>0</v>
      </c>
      <c r="K9" s="83">
        <f>(ROUND(SUMIFS(Input!$I:$I,Input!$H:$H,'1.CC Transition risk-Banking b.'!$A9&amp;"*",Input!$E:$E,'1.CC Transition risk-Banking b.'!$K$63,Input!$C:$C,'1.CC Transition risk-Banking b.'!$K$64),0))/1000000</f>
        <v>0</v>
      </c>
      <c r="L9" s="84">
        <f>(ROUND(SUMIFS(Input!$J:$J,Input!$H:$H,'1.CC Transition risk-Banking b.'!$A9&amp;"*")
+ SUMIFS(Input!$L:$L,Input!$H:$H,'1.CC Transition risk-Banking b.'!$A9&amp;"*")
+SUMIFS(Input!$N:$N,Input!$H:$H,'1.CC Transition risk-Banking b.'!$A9&amp;"*"),0))/1000000</f>
        <v>0</v>
      </c>
      <c r="M9" s="84">
        <f>(ROUND(SUMIFS(Input!$N:$N,Input!$H:$H,'1.CC Transition risk-Banking b.'!$A9&amp;"*"),0))/1000000</f>
        <v>0</v>
      </c>
      <c r="N9" s="91">
        <f>IFERROR(AVERAGE(SUMIFS(Input!$I:$I,Input!$H:$H,'1.CC Transition risk-Banking b.'!$A9&amp;"*",Input!$R:$R,"SOUR1",Input!$E:$E,'1.CC Transition risk-Banking b.'!$O$63),
SUMIFS(Input!$I:$I,Input!$H:$H,'1.CC Transition risk-Banking b.'!$A9&amp;"*",Input!$S:$S,"SOUR1",Input!$E:$E,'1.CC Transition risk-Banking b.'!$O$63),
SUMIFS(Input!$I:$I,Input!$H:$H,'1.CC Transition risk-Banking b.'!$A9&amp;"*",Input!$T:$T,"SOUR1",Input!$E:$E,'1.CC Transition risk-Banking b.'!$O$63))/SUMIFS(Input!$I:$I,Input!$H:$H,'1.CC Transition risk-Banking b.'!$A9&amp;"*",Input!$E:$E,'1.CC Transition risk-Banking b.'!$O$63),0)</f>
        <v>0</v>
      </c>
      <c r="O9" s="85">
        <f>(ROUND(SUMIFS(Input!$I:$I,Input!$H:$H,'1.CC Transition risk-Banking b.'!$A9&amp;"*",Input!$E:$E,'1.CC Transition risk-Banking b.'!O$63,Input!$G:$G,"&gt;=0",Input!$G:$G,"&lt;=5")
+ SUMIFS(Input!$I:$I,Input!$H:$H,'1.CC Transition risk-Banking b.'!$A9&amp;"*",Input!$E:$E,'1.CC Transition risk-Banking b.'!O$63,Input!$G:$G,"-4")
+ SUMIFS(Input!$I:$I,Input!$H:$H,'1.CC Transition risk-Banking b.'!$A9&amp;"*",Input!$E:$E,'1.CC Transition risk-Banking b.'!O$63,Input!$G:$G,"-1"),0))/1000000</f>
        <v>0</v>
      </c>
      <c r="P9" s="85">
        <f>(ROUND(SUMIFS(Input!$I:$I,Input!$H:$H,'1.CC Transition risk-Banking b.'!$A9&amp;"*",Input!$E:$E,'1.CC Transition risk-Banking b.'!P$63,Input!$G:$G,"&gt;5",Input!$G:$G,"&lt;=10"),0))/1000000</f>
        <v>0</v>
      </c>
      <c r="Q9" s="85">
        <f>(ROUND(SUMIFS(Input!$I:$I,Input!$H:$H,'1.CC Transition risk-Banking b.'!$A9&amp;"*",Input!$E:$E,'1.CC Transition risk-Banking b.'!Q$63,Input!$G:$G,"&gt;10",Input!$G:$G,"&lt;=20"),0))/1000000</f>
        <v>0</v>
      </c>
      <c r="R9" s="85">
        <f>(ROUND(SUMIFS(Input!$I:$I,Input!$H:$H,'1.CC Transition risk-Banking b.'!$A9&amp;"*",Input!$E:$E,'1.CC Transition risk-Banking b.'!R$63,Input!$G:$G,"&gt;20")
+ SUMIFS(Input!$I:$I,Input!$H:$H,'1.CC Transition risk-Banking b.'!$A9&amp;"*",Input!$E:$E,'1.CC Transition risk-Banking b.'!R$63,Input!$G:$G,"-2")
+ SUMIFS(Input!$I:$I,Input!$H:$H,'1.CC Transition risk-Banking b.'!$A9&amp;"*",Input!$E:$E,'1.CC Transition risk-Banking b.'!R$63,Input!$G:$G,"-3"),0))/1000000</f>
        <v>0</v>
      </c>
      <c r="S9" s="86">
        <f>ROUND(IFERROR((SUMIFS(Input!$Q:$Q,Input!$H:$H,'1.CC Transition risk-Banking b.'!$A9&amp;"*",Input!$E:$E,'1.CC Transition risk-Banking b.'!S$63,Input!$G:$G,"&gt;0")/1000000)/'1.CC Transition risk-Banking b.'!$D9,0),0)</f>
        <v>0</v>
      </c>
    </row>
    <row r="10" spans="1:19" x14ac:dyDescent="0.3">
      <c r="A10" s="96" t="s">
        <v>88</v>
      </c>
      <c r="B10" s="66">
        <v>5</v>
      </c>
      <c r="C10" s="69" t="s">
        <v>89</v>
      </c>
      <c r="D10" s="83">
        <f>(ROUND(SUMIFS(Input!$I:$I,Input!$H:$H,'1.CC Transition risk-Banking b.'!$A10&amp;"*",Input!$E:$E,'1.CC Transition risk-Banking b.'!$D$63),0))/1000000</f>
        <v>0</v>
      </c>
      <c r="E10" s="83">
        <f>(ROUND(SUMIFS(Input!$I:$I,Input!$H:$H,'1.CC Transition risk-Banking b.'!$A10&amp;"*",Input!$E:$E,'1.CC Transition risk-Banking b.'!$E$63,Input!$F:$F,'1.CC Transition risk-Banking b.'!$E$64),0))/1000000</f>
        <v>0</v>
      </c>
      <c r="F10" s="83">
        <f>(ROUND(SUMIFS(Input!$P:$P,Input!$H:$H,'1.CC Transition risk-Banking b.'!$A10&amp;"*",Input!$E:$E,'1.CC Transition risk-Banking b.'!$E$63,Input!$O:$O,'1.CC Transition risk-Banking b.'!$F$63),0))/1000000</f>
        <v>0</v>
      </c>
      <c r="G10" s="83">
        <f>(ROUND(SUMIFS(Input!$I:$I,Input!$H:$H,'1.CC Transition risk-Banking b.'!$A10&amp;"*",Input!$E:$E,'1.CC Transition risk-Banking b.'!$G$63,Input!$C:$C,'1.CC Transition risk-Banking b.'!$G$64),0))/1000000</f>
        <v>0</v>
      </c>
      <c r="H10" s="83">
        <f>(ROUND(SUMIFS(Input!$I:$I,Input!$H:$H,'1.CC Transition risk-Banking b.'!$A10&amp;"*",Input!$E:$E,'1.CC Transition risk-Banking b.'!$H$63,Input!$C:$C,'1.CC Transition risk-Banking b.'!$H$64),0))/1000000</f>
        <v>0</v>
      </c>
      <c r="I10" s="83">
        <f>(ROUND(SUMIFS(Input!$I:$I,Input!$H:$H,'1.CC Transition risk-Banking b.'!$A10&amp;"*",Input!$E:$E,'1.CC Transition risk-Banking b.'!$I$63),0))/1000000</f>
        <v>0</v>
      </c>
      <c r="J10" s="83">
        <f>(ROUND(SUMIFS(Input!$I:$I,Input!$H:$H,'1.CC Transition risk-Banking b.'!$A10&amp;"*",Input!$E:$E,'1.CC Transition risk-Banking b.'!$J$63,Input!$C:$C,'1.CC Transition risk-Banking b.'!$J$64),0))/1000000</f>
        <v>0</v>
      </c>
      <c r="K10" s="83">
        <f>(ROUND(SUMIFS(Input!$I:$I,Input!$H:$H,'1.CC Transition risk-Banking b.'!$A10&amp;"*",Input!$E:$E,'1.CC Transition risk-Banking b.'!$K$63,Input!$C:$C,'1.CC Transition risk-Banking b.'!$K$64),0))/1000000</f>
        <v>0</v>
      </c>
      <c r="L10" s="84">
        <f>(ROUND(SUMIFS(Input!$J:$J,Input!$H:$H,'1.CC Transition risk-Banking b.'!$A10&amp;"*")
+ SUMIFS(Input!$L:$L,Input!$H:$H,'1.CC Transition risk-Banking b.'!$A10&amp;"*")
+SUMIFS(Input!$N:$N,Input!$H:$H,'1.CC Transition risk-Banking b.'!$A10&amp;"*"),0))/1000000</f>
        <v>0</v>
      </c>
      <c r="M10" s="84">
        <f>(ROUND(SUMIFS(Input!$N:$N,Input!$H:$H,'1.CC Transition risk-Banking b.'!$A10&amp;"*"),0))/1000000</f>
        <v>0</v>
      </c>
      <c r="N10" s="91">
        <f>IFERROR(AVERAGE(SUMIFS(Input!$I:$I,Input!$H:$H,'1.CC Transition risk-Banking b.'!$A10&amp;"*",Input!$R:$R,"SOUR1",Input!$E:$E,'1.CC Transition risk-Banking b.'!$O$63),
SUMIFS(Input!$I:$I,Input!$H:$H,'1.CC Transition risk-Banking b.'!$A10&amp;"*",Input!$S:$S,"SOUR1",Input!$E:$E,'1.CC Transition risk-Banking b.'!$O$63),
SUMIFS(Input!$I:$I,Input!$H:$H,'1.CC Transition risk-Banking b.'!$A10&amp;"*",Input!$T:$T,"SOUR1",Input!$E:$E,'1.CC Transition risk-Banking b.'!$O$63))/SUMIFS(Input!$I:$I,Input!$H:$H,'1.CC Transition risk-Banking b.'!$A10&amp;"*",Input!$E:$E,'1.CC Transition risk-Banking b.'!$O$63),0)</f>
        <v>0</v>
      </c>
      <c r="O10" s="85">
        <f>(ROUND(SUMIFS(Input!$I:$I,Input!$H:$H,'1.CC Transition risk-Banking b.'!$A10&amp;"*",Input!$E:$E,'1.CC Transition risk-Banking b.'!O$63,Input!$G:$G,"&gt;=0",Input!$G:$G,"&lt;=5")
+ SUMIFS(Input!$I:$I,Input!$H:$H,'1.CC Transition risk-Banking b.'!$A10&amp;"*",Input!$E:$E,'1.CC Transition risk-Banking b.'!O$63,Input!$G:$G,"-4")
+ SUMIFS(Input!$I:$I,Input!$H:$H,'1.CC Transition risk-Banking b.'!$A10&amp;"*",Input!$E:$E,'1.CC Transition risk-Banking b.'!O$63,Input!$G:$G,"-1"),0))/1000000</f>
        <v>0</v>
      </c>
      <c r="P10" s="85">
        <f>(ROUND(SUMIFS(Input!$I:$I,Input!$H:$H,'1.CC Transition risk-Banking b.'!$A10&amp;"*",Input!$E:$E,'1.CC Transition risk-Banking b.'!P$63,Input!$G:$G,"&gt;5",Input!$G:$G,"&lt;=10"),0))/1000000</f>
        <v>0</v>
      </c>
      <c r="Q10" s="85">
        <f>(ROUND(SUMIFS(Input!$I:$I,Input!$H:$H,'1.CC Transition risk-Banking b.'!$A10&amp;"*",Input!$E:$E,'1.CC Transition risk-Banking b.'!Q$63,Input!$G:$G,"&gt;10",Input!$G:$G,"&lt;=20"),0))/1000000</f>
        <v>0</v>
      </c>
      <c r="R10" s="85">
        <f>(ROUND(SUMIFS(Input!$I:$I,Input!$H:$H,'1.CC Transition risk-Banking b.'!$A10&amp;"*",Input!$E:$E,'1.CC Transition risk-Banking b.'!R$63,Input!$G:$G,"&gt;20")
+ SUMIFS(Input!$I:$I,Input!$H:$H,'1.CC Transition risk-Banking b.'!$A10&amp;"*",Input!$E:$E,'1.CC Transition risk-Banking b.'!R$63,Input!$G:$G,"-2")
+ SUMIFS(Input!$I:$I,Input!$H:$H,'1.CC Transition risk-Banking b.'!$A10&amp;"*",Input!$E:$E,'1.CC Transition risk-Banking b.'!R$63,Input!$G:$G,"-3"),0))/1000000</f>
        <v>0</v>
      </c>
      <c r="S10" s="86">
        <f>ROUND(IFERROR((SUMIFS(Input!$Q:$Q,Input!$H:$H,'1.CC Transition risk-Banking b.'!$A10&amp;"*",Input!$E:$E,'1.CC Transition risk-Banking b.'!S$63,Input!$G:$G,"&gt;0")/1000000)/'1.CC Transition risk-Banking b.'!$D10,0),0)</f>
        <v>0</v>
      </c>
    </row>
    <row r="11" spans="1:19" x14ac:dyDescent="0.3">
      <c r="A11" s="96" t="s">
        <v>90</v>
      </c>
      <c r="B11" s="66">
        <v>6</v>
      </c>
      <c r="C11" s="69" t="s">
        <v>91</v>
      </c>
      <c r="D11" s="83">
        <f>(ROUND(SUMIFS(Input!$I:$I,Input!$H:$H,'1.CC Transition risk-Banking b.'!$A11&amp;"*",Input!$E:$E,'1.CC Transition risk-Banking b.'!$D$63),0))/1000000</f>
        <v>0</v>
      </c>
      <c r="E11" s="83">
        <f>(ROUND(SUMIFS(Input!$I:$I,Input!$H:$H,'1.CC Transition risk-Banking b.'!$A11&amp;"*",Input!$E:$E,'1.CC Transition risk-Banking b.'!$E$63,Input!$F:$F,'1.CC Transition risk-Banking b.'!$E$64),0))/1000000</f>
        <v>0</v>
      </c>
      <c r="F11" s="83">
        <f>(ROUND(SUMIFS(Input!$P:$P,Input!$H:$H,'1.CC Transition risk-Banking b.'!$A11&amp;"*",Input!$E:$E,'1.CC Transition risk-Banking b.'!$E$63,Input!$O:$O,'1.CC Transition risk-Banking b.'!$F$63),0))/1000000</f>
        <v>0</v>
      </c>
      <c r="G11" s="83">
        <f>(ROUND(SUMIFS(Input!$I:$I,Input!$H:$H,'1.CC Transition risk-Banking b.'!$A11&amp;"*",Input!$E:$E,'1.CC Transition risk-Banking b.'!$G$63,Input!$C:$C,'1.CC Transition risk-Banking b.'!$G$64),0))/1000000</f>
        <v>0</v>
      </c>
      <c r="H11" s="83">
        <f>(ROUND(SUMIFS(Input!$I:$I,Input!$H:$H,'1.CC Transition risk-Banking b.'!$A11&amp;"*",Input!$E:$E,'1.CC Transition risk-Banking b.'!$H$63,Input!$C:$C,'1.CC Transition risk-Banking b.'!$H$64),0))/1000000</f>
        <v>0</v>
      </c>
      <c r="I11" s="83">
        <f>(ROUND(SUMIFS(Input!$I:$I,Input!$H:$H,'1.CC Transition risk-Banking b.'!$A11&amp;"*",Input!$E:$E,'1.CC Transition risk-Banking b.'!$I$63),0))/1000000</f>
        <v>0</v>
      </c>
      <c r="J11" s="83">
        <f>(ROUND(SUMIFS(Input!$I:$I,Input!$H:$H,'1.CC Transition risk-Banking b.'!$A11&amp;"*",Input!$E:$E,'1.CC Transition risk-Banking b.'!$J$63,Input!$C:$C,'1.CC Transition risk-Banking b.'!$J$64),0))/1000000</f>
        <v>0</v>
      </c>
      <c r="K11" s="83">
        <f>(ROUND(SUMIFS(Input!$I:$I,Input!$H:$H,'1.CC Transition risk-Banking b.'!$A11&amp;"*",Input!$E:$E,'1.CC Transition risk-Banking b.'!$K$63,Input!$C:$C,'1.CC Transition risk-Banking b.'!$K$64),0))/1000000</f>
        <v>0</v>
      </c>
      <c r="L11" s="84">
        <f>(ROUND(SUMIFS(Input!$J:$J,Input!$H:$H,'1.CC Transition risk-Banking b.'!$A11&amp;"*")
+ SUMIFS(Input!$L:$L,Input!$H:$H,'1.CC Transition risk-Banking b.'!$A11&amp;"*")
+SUMIFS(Input!$N:$N,Input!$H:$H,'1.CC Transition risk-Banking b.'!$A11&amp;"*"),0))/1000000</f>
        <v>0</v>
      </c>
      <c r="M11" s="84">
        <f>(ROUND(SUMIFS(Input!$N:$N,Input!$H:$H,'1.CC Transition risk-Banking b.'!$A11&amp;"*"),0))/1000000</f>
        <v>0</v>
      </c>
      <c r="N11" s="91">
        <f>IFERROR(AVERAGE(SUMIFS(Input!$I:$I,Input!$H:$H,'1.CC Transition risk-Banking b.'!$A11&amp;"*",Input!$R:$R,"SOUR1",Input!$E:$E,'1.CC Transition risk-Banking b.'!$O$63),
SUMIFS(Input!$I:$I,Input!$H:$H,'1.CC Transition risk-Banking b.'!$A11&amp;"*",Input!$S:$S,"SOUR1",Input!$E:$E,'1.CC Transition risk-Banking b.'!$O$63),
SUMIFS(Input!$I:$I,Input!$H:$H,'1.CC Transition risk-Banking b.'!$A11&amp;"*",Input!$T:$T,"SOUR1",Input!$E:$E,'1.CC Transition risk-Banking b.'!$O$63))/SUMIFS(Input!$I:$I,Input!$H:$H,'1.CC Transition risk-Banking b.'!$A11&amp;"*",Input!$E:$E,'1.CC Transition risk-Banking b.'!$O$63),0)</f>
        <v>0</v>
      </c>
      <c r="O11" s="85">
        <f>(ROUND(SUMIFS(Input!$I:$I,Input!$H:$H,'1.CC Transition risk-Banking b.'!$A11&amp;"*",Input!$E:$E,'1.CC Transition risk-Banking b.'!O$63,Input!$G:$G,"&gt;=0",Input!$G:$G,"&lt;=5")
+ SUMIFS(Input!$I:$I,Input!$H:$H,'1.CC Transition risk-Banking b.'!$A11&amp;"*",Input!$E:$E,'1.CC Transition risk-Banking b.'!O$63,Input!$G:$G,"-4")
+ SUMIFS(Input!$I:$I,Input!$H:$H,'1.CC Transition risk-Banking b.'!$A11&amp;"*",Input!$E:$E,'1.CC Transition risk-Banking b.'!O$63,Input!$G:$G,"-1"),0))/1000000</f>
        <v>0</v>
      </c>
      <c r="P11" s="85">
        <f>(ROUND(SUMIFS(Input!$I:$I,Input!$H:$H,'1.CC Transition risk-Banking b.'!$A11&amp;"*",Input!$E:$E,'1.CC Transition risk-Banking b.'!P$63,Input!$G:$G,"&gt;5",Input!$G:$G,"&lt;=10"),0))/1000000</f>
        <v>0</v>
      </c>
      <c r="Q11" s="85">
        <f>(ROUND(SUMIFS(Input!$I:$I,Input!$H:$H,'1.CC Transition risk-Banking b.'!$A11&amp;"*",Input!$E:$E,'1.CC Transition risk-Banking b.'!Q$63,Input!$G:$G,"&gt;10",Input!$G:$G,"&lt;=20"),0))/1000000</f>
        <v>0</v>
      </c>
      <c r="R11" s="85">
        <f>(ROUND(SUMIFS(Input!$I:$I,Input!$H:$H,'1.CC Transition risk-Banking b.'!$A11&amp;"*",Input!$E:$E,'1.CC Transition risk-Banking b.'!R$63,Input!$G:$G,"&gt;20")
+ SUMIFS(Input!$I:$I,Input!$H:$H,'1.CC Transition risk-Banking b.'!$A11&amp;"*",Input!$E:$E,'1.CC Transition risk-Banking b.'!R$63,Input!$G:$G,"-2")
+ SUMIFS(Input!$I:$I,Input!$H:$H,'1.CC Transition risk-Banking b.'!$A11&amp;"*",Input!$E:$E,'1.CC Transition risk-Banking b.'!R$63,Input!$G:$G,"-3"),0))/1000000</f>
        <v>0</v>
      </c>
      <c r="S11" s="86">
        <f>ROUND(IFERROR((SUMIFS(Input!$Q:$Q,Input!$H:$H,'1.CC Transition risk-Banking b.'!$A11&amp;"*",Input!$E:$E,'1.CC Transition risk-Banking b.'!S$63,Input!$G:$G,"&gt;0")/1000000)/'1.CC Transition risk-Banking b.'!$D11,0),0)</f>
        <v>0</v>
      </c>
    </row>
    <row r="12" spans="1:19" x14ac:dyDescent="0.3">
      <c r="A12" s="96" t="s">
        <v>92</v>
      </c>
      <c r="B12" s="66">
        <v>7</v>
      </c>
      <c r="C12" s="69" t="s">
        <v>93</v>
      </c>
      <c r="D12" s="83">
        <f>(ROUND(SUMIFS(Input!$I:$I,Input!$H:$H,'1.CC Transition risk-Banking b.'!$A12&amp;"*",Input!$E:$E,'1.CC Transition risk-Banking b.'!$D$63),0))/1000000</f>
        <v>0</v>
      </c>
      <c r="E12" s="83">
        <f>(ROUND(SUMIFS(Input!$I:$I,Input!$H:$H,'1.CC Transition risk-Banking b.'!$A12&amp;"*",Input!$E:$E,'1.CC Transition risk-Banking b.'!$E$63,Input!$F:$F,'1.CC Transition risk-Banking b.'!$E$64),0))/1000000</f>
        <v>0</v>
      </c>
      <c r="F12" s="83">
        <f>(ROUND(SUMIFS(Input!$P:$P,Input!$H:$H,'1.CC Transition risk-Banking b.'!$A12&amp;"*",Input!$E:$E,'1.CC Transition risk-Banking b.'!$E$63,Input!$O:$O,'1.CC Transition risk-Banking b.'!$F$63),0))/1000000</f>
        <v>0</v>
      </c>
      <c r="G12" s="83">
        <f>(ROUND(SUMIFS(Input!$I:$I,Input!$H:$H,'1.CC Transition risk-Banking b.'!$A12&amp;"*",Input!$E:$E,'1.CC Transition risk-Banking b.'!$G$63,Input!$C:$C,'1.CC Transition risk-Banking b.'!$G$64),0))/1000000</f>
        <v>0</v>
      </c>
      <c r="H12" s="83">
        <f>(ROUND(SUMIFS(Input!$I:$I,Input!$H:$H,'1.CC Transition risk-Banking b.'!$A12&amp;"*",Input!$E:$E,'1.CC Transition risk-Banking b.'!$H$63,Input!$C:$C,'1.CC Transition risk-Banking b.'!$H$64),0))/1000000</f>
        <v>0</v>
      </c>
      <c r="I12" s="83">
        <f>(ROUND(SUMIFS(Input!$I:$I,Input!$H:$H,'1.CC Transition risk-Banking b.'!$A12&amp;"*",Input!$E:$E,'1.CC Transition risk-Banking b.'!$I$63),0))/1000000</f>
        <v>0</v>
      </c>
      <c r="J12" s="83">
        <f>(ROUND(SUMIFS(Input!$I:$I,Input!$H:$H,'1.CC Transition risk-Banking b.'!$A12&amp;"*",Input!$E:$E,'1.CC Transition risk-Banking b.'!$J$63,Input!$C:$C,'1.CC Transition risk-Banking b.'!$J$64),0))/1000000</f>
        <v>0</v>
      </c>
      <c r="K12" s="83">
        <f>(ROUND(SUMIFS(Input!$I:$I,Input!$H:$H,'1.CC Transition risk-Banking b.'!$A12&amp;"*",Input!$E:$E,'1.CC Transition risk-Banking b.'!$K$63,Input!$C:$C,'1.CC Transition risk-Banking b.'!$K$64),0))/1000000</f>
        <v>0</v>
      </c>
      <c r="L12" s="84">
        <f>(ROUND(SUMIFS(Input!$J:$J,Input!$H:$H,'1.CC Transition risk-Banking b.'!$A12&amp;"*")
+ SUMIFS(Input!$L:$L,Input!$H:$H,'1.CC Transition risk-Banking b.'!$A12&amp;"*")
+SUMIFS(Input!$N:$N,Input!$H:$H,'1.CC Transition risk-Banking b.'!$A12&amp;"*"),0))/1000000</f>
        <v>0</v>
      </c>
      <c r="M12" s="84">
        <f>(ROUND(SUMIFS(Input!$N:$N,Input!$H:$H,'1.CC Transition risk-Banking b.'!$A12&amp;"*"),0))/1000000</f>
        <v>0</v>
      </c>
      <c r="N12" s="91">
        <f>IFERROR(AVERAGE(SUMIFS(Input!$I:$I,Input!$H:$H,'1.CC Transition risk-Banking b.'!$A12&amp;"*",Input!$R:$R,"SOUR1",Input!$E:$E,'1.CC Transition risk-Banking b.'!$O$63),
SUMIFS(Input!$I:$I,Input!$H:$H,'1.CC Transition risk-Banking b.'!$A12&amp;"*",Input!$S:$S,"SOUR1",Input!$E:$E,'1.CC Transition risk-Banking b.'!$O$63),
SUMIFS(Input!$I:$I,Input!$H:$H,'1.CC Transition risk-Banking b.'!$A12&amp;"*",Input!$T:$T,"SOUR1",Input!$E:$E,'1.CC Transition risk-Banking b.'!$O$63))/SUMIFS(Input!$I:$I,Input!$H:$H,'1.CC Transition risk-Banking b.'!$A12&amp;"*",Input!$E:$E,'1.CC Transition risk-Banking b.'!$O$63),0)</f>
        <v>0</v>
      </c>
      <c r="O12" s="85">
        <f>(ROUND(SUMIFS(Input!$I:$I,Input!$H:$H,'1.CC Transition risk-Banking b.'!$A12&amp;"*",Input!$E:$E,'1.CC Transition risk-Banking b.'!O$63,Input!$G:$G,"&gt;=0",Input!$G:$G,"&lt;=5")
+ SUMIFS(Input!$I:$I,Input!$H:$H,'1.CC Transition risk-Banking b.'!$A12&amp;"*",Input!$E:$E,'1.CC Transition risk-Banking b.'!O$63,Input!$G:$G,"-4")
+ SUMIFS(Input!$I:$I,Input!$H:$H,'1.CC Transition risk-Banking b.'!$A12&amp;"*",Input!$E:$E,'1.CC Transition risk-Banking b.'!O$63,Input!$G:$G,"-1"),0))/1000000</f>
        <v>0</v>
      </c>
      <c r="P12" s="85">
        <f>(ROUND(SUMIFS(Input!$I:$I,Input!$H:$H,'1.CC Transition risk-Banking b.'!$A12&amp;"*",Input!$E:$E,'1.CC Transition risk-Banking b.'!P$63,Input!$G:$G,"&gt;5",Input!$G:$G,"&lt;=10"),0))/1000000</f>
        <v>0</v>
      </c>
      <c r="Q12" s="85">
        <f>(ROUND(SUMIFS(Input!$I:$I,Input!$H:$H,'1.CC Transition risk-Banking b.'!$A12&amp;"*",Input!$E:$E,'1.CC Transition risk-Banking b.'!Q$63,Input!$G:$G,"&gt;10",Input!$G:$G,"&lt;=20"),0))/1000000</f>
        <v>0</v>
      </c>
      <c r="R12" s="85">
        <f>(ROUND(SUMIFS(Input!$I:$I,Input!$H:$H,'1.CC Transition risk-Banking b.'!$A12&amp;"*",Input!$E:$E,'1.CC Transition risk-Banking b.'!R$63,Input!$G:$G,"&gt;20")
+ SUMIFS(Input!$I:$I,Input!$H:$H,'1.CC Transition risk-Banking b.'!$A12&amp;"*",Input!$E:$E,'1.CC Transition risk-Banking b.'!R$63,Input!$G:$G,"-2")
+ SUMIFS(Input!$I:$I,Input!$H:$H,'1.CC Transition risk-Banking b.'!$A12&amp;"*",Input!$E:$E,'1.CC Transition risk-Banking b.'!R$63,Input!$G:$G,"-3"),0))/1000000</f>
        <v>0</v>
      </c>
      <c r="S12" s="86">
        <f>ROUND(IFERROR((SUMIFS(Input!$Q:$Q,Input!$H:$H,'1.CC Transition risk-Banking b.'!$A12&amp;"*",Input!$E:$E,'1.CC Transition risk-Banking b.'!S$63,Input!$G:$G,"&gt;0")/1000000)/'1.CC Transition risk-Banking b.'!$D12,0),0)</f>
        <v>0</v>
      </c>
    </row>
    <row r="13" spans="1:19" x14ac:dyDescent="0.3">
      <c r="A13" s="96" t="s">
        <v>94</v>
      </c>
      <c r="B13" s="66">
        <v>8</v>
      </c>
      <c r="C13" s="69" t="s">
        <v>95</v>
      </c>
      <c r="D13" s="83">
        <f>(ROUND(SUMIFS(Input!$I:$I,Input!$H:$H,'1.CC Transition risk-Banking b.'!$A13&amp;"*",Input!$E:$E,'1.CC Transition risk-Banking b.'!$D$63),0))/1000000</f>
        <v>0</v>
      </c>
      <c r="E13" s="83">
        <f>(ROUND(SUMIFS(Input!$I:$I,Input!$H:$H,'1.CC Transition risk-Banking b.'!$A13&amp;"*",Input!$E:$E,'1.CC Transition risk-Banking b.'!$E$63,Input!$F:$F,'1.CC Transition risk-Banking b.'!$E$64),0))/1000000</f>
        <v>0</v>
      </c>
      <c r="F13" s="83">
        <f>(ROUND(SUMIFS(Input!$P:$P,Input!$H:$H,'1.CC Transition risk-Banking b.'!$A13&amp;"*",Input!$E:$E,'1.CC Transition risk-Banking b.'!$E$63,Input!$O:$O,'1.CC Transition risk-Banking b.'!$F$63),0))/1000000</f>
        <v>0</v>
      </c>
      <c r="G13" s="83">
        <f>(ROUND(SUMIFS(Input!$I:$I,Input!$H:$H,'1.CC Transition risk-Banking b.'!$A13&amp;"*",Input!$E:$E,'1.CC Transition risk-Banking b.'!$G$63,Input!$C:$C,'1.CC Transition risk-Banking b.'!$G$64),0))/1000000</f>
        <v>0</v>
      </c>
      <c r="H13" s="83">
        <f>(ROUND(SUMIFS(Input!$I:$I,Input!$H:$H,'1.CC Transition risk-Banking b.'!$A13&amp;"*",Input!$E:$E,'1.CC Transition risk-Banking b.'!$H$63,Input!$C:$C,'1.CC Transition risk-Banking b.'!$H$64),0))/1000000</f>
        <v>0</v>
      </c>
      <c r="I13" s="83">
        <f>(ROUND(SUMIFS(Input!$I:$I,Input!$H:$H,'1.CC Transition risk-Banking b.'!$A13&amp;"*",Input!$E:$E,'1.CC Transition risk-Banking b.'!$I$63),0))/1000000</f>
        <v>0</v>
      </c>
      <c r="J13" s="83">
        <f>(ROUND(SUMIFS(Input!$I:$I,Input!$H:$H,'1.CC Transition risk-Banking b.'!$A13&amp;"*",Input!$E:$E,'1.CC Transition risk-Banking b.'!$J$63,Input!$C:$C,'1.CC Transition risk-Banking b.'!$J$64),0))/1000000</f>
        <v>0</v>
      </c>
      <c r="K13" s="83">
        <f>(ROUND(SUMIFS(Input!$I:$I,Input!$H:$H,'1.CC Transition risk-Banking b.'!$A13&amp;"*",Input!$E:$E,'1.CC Transition risk-Banking b.'!$K$63,Input!$C:$C,'1.CC Transition risk-Banking b.'!$K$64),0))/1000000</f>
        <v>0</v>
      </c>
      <c r="L13" s="84">
        <f>(ROUND(SUMIFS(Input!$J:$J,Input!$H:$H,'1.CC Transition risk-Banking b.'!$A13&amp;"*")
+ SUMIFS(Input!$L:$L,Input!$H:$H,'1.CC Transition risk-Banking b.'!$A13&amp;"*")
+SUMIFS(Input!$N:$N,Input!$H:$H,'1.CC Transition risk-Banking b.'!$A13&amp;"*"),0))/1000000</f>
        <v>0</v>
      </c>
      <c r="M13" s="84">
        <f>(ROUND(SUMIFS(Input!$N:$N,Input!$H:$H,'1.CC Transition risk-Banking b.'!$A13&amp;"*"),0))/1000000</f>
        <v>0</v>
      </c>
      <c r="N13" s="91">
        <f>IFERROR(AVERAGE(SUMIFS(Input!$I:$I,Input!$H:$H,'1.CC Transition risk-Banking b.'!$A13&amp;"*",Input!$R:$R,"SOUR1",Input!$E:$E,'1.CC Transition risk-Banking b.'!$O$63),
SUMIFS(Input!$I:$I,Input!$H:$H,'1.CC Transition risk-Banking b.'!$A13&amp;"*",Input!$S:$S,"SOUR1",Input!$E:$E,'1.CC Transition risk-Banking b.'!$O$63),
SUMIFS(Input!$I:$I,Input!$H:$H,'1.CC Transition risk-Banking b.'!$A13&amp;"*",Input!$T:$T,"SOUR1",Input!$E:$E,'1.CC Transition risk-Banking b.'!$O$63))/SUMIFS(Input!$I:$I,Input!$H:$H,'1.CC Transition risk-Banking b.'!$A13&amp;"*",Input!$E:$E,'1.CC Transition risk-Banking b.'!$O$63),0)</f>
        <v>0</v>
      </c>
      <c r="O13" s="85">
        <f>(ROUND(SUMIFS(Input!$I:$I,Input!$H:$H,'1.CC Transition risk-Banking b.'!$A13&amp;"*",Input!$E:$E,'1.CC Transition risk-Banking b.'!O$63,Input!$G:$G,"&gt;=0",Input!$G:$G,"&lt;=5")
+ SUMIFS(Input!$I:$I,Input!$H:$H,'1.CC Transition risk-Banking b.'!$A13&amp;"*",Input!$E:$E,'1.CC Transition risk-Banking b.'!O$63,Input!$G:$G,"-4")
+ SUMIFS(Input!$I:$I,Input!$H:$H,'1.CC Transition risk-Banking b.'!$A13&amp;"*",Input!$E:$E,'1.CC Transition risk-Banking b.'!O$63,Input!$G:$G,"-1"),0))/1000000</f>
        <v>0</v>
      </c>
      <c r="P13" s="85">
        <f>(ROUND(SUMIFS(Input!$I:$I,Input!$H:$H,'1.CC Transition risk-Banking b.'!$A13&amp;"*",Input!$E:$E,'1.CC Transition risk-Banking b.'!P$63,Input!$G:$G,"&gt;5",Input!$G:$G,"&lt;=10"),0))/1000000</f>
        <v>0</v>
      </c>
      <c r="Q13" s="85">
        <f>(ROUND(SUMIFS(Input!$I:$I,Input!$H:$H,'1.CC Transition risk-Banking b.'!$A13&amp;"*",Input!$E:$E,'1.CC Transition risk-Banking b.'!Q$63,Input!$G:$G,"&gt;10",Input!$G:$G,"&lt;=20"),0))/1000000</f>
        <v>0</v>
      </c>
      <c r="R13" s="85">
        <f>(ROUND(SUMIFS(Input!$I:$I,Input!$H:$H,'1.CC Transition risk-Banking b.'!$A13&amp;"*",Input!$E:$E,'1.CC Transition risk-Banking b.'!R$63,Input!$G:$G,"&gt;20")
+ SUMIFS(Input!$I:$I,Input!$H:$H,'1.CC Transition risk-Banking b.'!$A13&amp;"*",Input!$E:$E,'1.CC Transition risk-Banking b.'!R$63,Input!$G:$G,"-2")
+ SUMIFS(Input!$I:$I,Input!$H:$H,'1.CC Transition risk-Banking b.'!$A13&amp;"*",Input!$E:$E,'1.CC Transition risk-Banking b.'!R$63,Input!$G:$G,"-3"),0))/1000000</f>
        <v>0</v>
      </c>
      <c r="S13" s="86">
        <f>ROUND(IFERROR((SUMIFS(Input!$Q:$Q,Input!$H:$H,'1.CC Transition risk-Banking b.'!$A13&amp;"*",Input!$E:$E,'1.CC Transition risk-Banking b.'!S$63,Input!$G:$G,"&gt;0")/1000000)/'1.CC Transition risk-Banking b.'!$D13,0),0)</f>
        <v>0</v>
      </c>
    </row>
    <row r="14" spans="1:19" x14ac:dyDescent="0.3">
      <c r="A14" s="96" t="s">
        <v>96</v>
      </c>
      <c r="B14" s="66">
        <v>9</v>
      </c>
      <c r="C14" s="68" t="s">
        <v>97</v>
      </c>
      <c r="D14" s="83">
        <f>(ROUND(SUMIFS(Input!$I:$I,Input!$H:$H,'1.CC Transition risk-Banking b.'!$A14&amp;"*",Input!$E:$E,'1.CC Transition risk-Banking b.'!$D$63),0))/1000000</f>
        <v>0</v>
      </c>
      <c r="E14" s="83">
        <f>(ROUND(SUMIFS(Input!$I:$I,Input!$H:$H,'1.CC Transition risk-Banking b.'!$A14&amp;"*",Input!$E:$E,'1.CC Transition risk-Banking b.'!$E$63,Input!$F:$F,'1.CC Transition risk-Banking b.'!$E$64),0))/1000000</f>
        <v>0</v>
      </c>
      <c r="F14" s="83">
        <f>(ROUND(SUMIFS(Input!$P:$P,Input!$H:$H,'1.CC Transition risk-Banking b.'!$A14&amp;"*",Input!$E:$E,'1.CC Transition risk-Banking b.'!$E$63,Input!$O:$O,'1.CC Transition risk-Banking b.'!$F$63),0))/1000000</f>
        <v>0</v>
      </c>
      <c r="G14" s="83">
        <f>(ROUND(SUMIFS(Input!$I:$I,Input!$H:$H,'1.CC Transition risk-Banking b.'!$A14&amp;"*",Input!$E:$E,'1.CC Transition risk-Banking b.'!$G$63,Input!$C:$C,'1.CC Transition risk-Banking b.'!$G$64),0))/1000000</f>
        <v>0</v>
      </c>
      <c r="H14" s="83">
        <f>(ROUND(SUMIFS(Input!$I:$I,Input!$H:$H,'1.CC Transition risk-Banking b.'!$A14&amp;"*",Input!$E:$E,'1.CC Transition risk-Banking b.'!$H$63,Input!$C:$C,'1.CC Transition risk-Banking b.'!$H$64),0))/1000000</f>
        <v>0</v>
      </c>
      <c r="I14" s="83">
        <f>(ROUND(SUMIFS(Input!$I:$I,Input!$H:$H,'1.CC Transition risk-Banking b.'!$A14&amp;"*",Input!$E:$E,'1.CC Transition risk-Banking b.'!$I$63),0))/1000000</f>
        <v>0</v>
      </c>
      <c r="J14" s="83">
        <f>(ROUND(SUMIFS(Input!$I:$I,Input!$H:$H,'1.CC Transition risk-Banking b.'!$A14&amp;"*",Input!$E:$E,'1.CC Transition risk-Banking b.'!$J$63,Input!$C:$C,'1.CC Transition risk-Banking b.'!$J$64),0))/1000000</f>
        <v>0</v>
      </c>
      <c r="K14" s="83">
        <f>(ROUND(SUMIFS(Input!$I:$I,Input!$H:$H,'1.CC Transition risk-Banking b.'!$A14&amp;"*",Input!$E:$E,'1.CC Transition risk-Banking b.'!$K$63,Input!$C:$C,'1.CC Transition risk-Banking b.'!$K$64),0))/1000000</f>
        <v>0</v>
      </c>
      <c r="L14" s="84">
        <f>(ROUND(SUMIFS(Input!$J:$J,Input!$H:$H,'1.CC Transition risk-Banking b.'!$A14&amp;"*")
+ SUMIFS(Input!$L:$L,Input!$H:$H,'1.CC Transition risk-Banking b.'!$A14&amp;"*")
+SUMIFS(Input!$N:$N,Input!$H:$H,'1.CC Transition risk-Banking b.'!$A14&amp;"*"),0))/1000000</f>
        <v>0</v>
      </c>
      <c r="M14" s="84">
        <f>(ROUND(SUMIFS(Input!$N:$N,Input!$H:$H,'1.CC Transition risk-Banking b.'!$A14&amp;"*"),0))/1000000</f>
        <v>0</v>
      </c>
      <c r="N14" s="91">
        <f>IFERROR(AVERAGE(SUMIFS(Input!$I:$I,Input!$H:$H,'1.CC Transition risk-Banking b.'!$A14&amp;"*",Input!$R:$R,"SOUR1",Input!$E:$E,'1.CC Transition risk-Banking b.'!$O$63),
SUMIFS(Input!$I:$I,Input!$H:$H,'1.CC Transition risk-Banking b.'!$A14&amp;"*",Input!$S:$S,"SOUR1",Input!$E:$E,'1.CC Transition risk-Banking b.'!$O$63),
SUMIFS(Input!$I:$I,Input!$H:$H,'1.CC Transition risk-Banking b.'!$A14&amp;"*",Input!$T:$T,"SOUR1",Input!$E:$E,'1.CC Transition risk-Banking b.'!$O$63))/SUMIFS(Input!$I:$I,Input!$H:$H,'1.CC Transition risk-Banking b.'!$A14&amp;"*",Input!$E:$E,'1.CC Transition risk-Banking b.'!$O$63),0)</f>
        <v>0</v>
      </c>
      <c r="O14" s="85">
        <f>(ROUND(SUMIFS(Input!$I:$I,Input!$H:$H,'1.CC Transition risk-Banking b.'!$A14&amp;"*",Input!$E:$E,'1.CC Transition risk-Banking b.'!O$63,Input!$G:$G,"&gt;=0",Input!$G:$G,"&lt;=5")
+ SUMIFS(Input!$I:$I,Input!$H:$H,'1.CC Transition risk-Banking b.'!$A14&amp;"*",Input!$E:$E,'1.CC Transition risk-Banking b.'!O$63,Input!$G:$G,"-4")
+ SUMIFS(Input!$I:$I,Input!$H:$H,'1.CC Transition risk-Banking b.'!$A14&amp;"*",Input!$E:$E,'1.CC Transition risk-Banking b.'!O$63,Input!$G:$G,"-1"),0))/1000000</f>
        <v>0</v>
      </c>
      <c r="P14" s="85">
        <f>(ROUND(SUMIFS(Input!$I:$I,Input!$H:$H,'1.CC Transition risk-Banking b.'!$A14&amp;"*",Input!$E:$E,'1.CC Transition risk-Banking b.'!P$63,Input!$G:$G,"&gt;5",Input!$G:$G,"&lt;=10"),0))/1000000</f>
        <v>0</v>
      </c>
      <c r="Q14" s="85">
        <f>(ROUND(SUMIFS(Input!$I:$I,Input!$H:$H,'1.CC Transition risk-Banking b.'!$A14&amp;"*",Input!$E:$E,'1.CC Transition risk-Banking b.'!Q$63,Input!$G:$G,"&gt;10",Input!$G:$G,"&lt;=20"),0))/1000000</f>
        <v>0</v>
      </c>
      <c r="R14" s="85">
        <f>(ROUND(SUMIFS(Input!$I:$I,Input!$H:$H,'1.CC Transition risk-Banking b.'!$A14&amp;"*",Input!$E:$E,'1.CC Transition risk-Banking b.'!R$63,Input!$G:$G,"&gt;20")
+ SUMIFS(Input!$I:$I,Input!$H:$H,'1.CC Transition risk-Banking b.'!$A14&amp;"*",Input!$E:$E,'1.CC Transition risk-Banking b.'!R$63,Input!$G:$G,"-2")
+ SUMIFS(Input!$I:$I,Input!$H:$H,'1.CC Transition risk-Banking b.'!$A14&amp;"*",Input!$E:$E,'1.CC Transition risk-Banking b.'!R$63,Input!$G:$G,"-3"),0))/1000000</f>
        <v>0</v>
      </c>
      <c r="S14" s="86">
        <f>ROUND(IFERROR((SUMIFS(Input!$Q:$Q,Input!$H:$H,'1.CC Transition risk-Banking b.'!$A14&amp;"*",Input!$E:$E,'1.CC Transition risk-Banking b.'!S$63,Input!$G:$G,"&gt;0")/1000000)/'1.CC Transition risk-Banking b.'!$D14,0),0)</f>
        <v>0</v>
      </c>
    </row>
    <row r="15" spans="1:19" x14ac:dyDescent="0.3">
      <c r="A15" s="96" t="s">
        <v>98</v>
      </c>
      <c r="B15" s="66">
        <v>10</v>
      </c>
      <c r="C15" s="69" t="s">
        <v>99</v>
      </c>
      <c r="D15" s="83">
        <f>(ROUND(SUMIFS(Input!$I:$I,Input!$H:$H,'1.CC Transition risk-Banking b.'!$A15&amp;"*",Input!$E:$E,'1.CC Transition risk-Banking b.'!$D$63),0))/1000000</f>
        <v>0</v>
      </c>
      <c r="E15" s="83">
        <f>(ROUND(SUMIFS(Input!$I:$I,Input!$H:$H,'1.CC Transition risk-Banking b.'!$A15&amp;"*",Input!$E:$E,'1.CC Transition risk-Banking b.'!$E$63,Input!$F:$F,'1.CC Transition risk-Banking b.'!$E$64),0))/1000000</f>
        <v>0</v>
      </c>
      <c r="F15" s="83">
        <f>(ROUND(SUMIFS(Input!$P:$P,Input!$H:$H,'1.CC Transition risk-Banking b.'!$A15&amp;"*",Input!$E:$E,'1.CC Transition risk-Banking b.'!$E$63,Input!$O:$O,'1.CC Transition risk-Banking b.'!$F$63),0))/1000000</f>
        <v>0</v>
      </c>
      <c r="G15" s="83">
        <f>(ROUND(SUMIFS(Input!$I:$I,Input!$H:$H,'1.CC Transition risk-Banking b.'!$A15&amp;"*",Input!$E:$E,'1.CC Transition risk-Banking b.'!$G$63,Input!$C:$C,'1.CC Transition risk-Banking b.'!$G$64),0))/1000000</f>
        <v>0</v>
      </c>
      <c r="H15" s="83">
        <f>(ROUND(SUMIFS(Input!$I:$I,Input!$H:$H,'1.CC Transition risk-Banking b.'!$A15&amp;"*",Input!$E:$E,'1.CC Transition risk-Banking b.'!$H$63,Input!$C:$C,'1.CC Transition risk-Banking b.'!$H$64),0))/1000000</f>
        <v>0</v>
      </c>
      <c r="I15" s="83">
        <f>(ROUND(SUMIFS(Input!$I:$I,Input!$H:$H,'1.CC Transition risk-Banking b.'!$A15&amp;"*",Input!$E:$E,'1.CC Transition risk-Banking b.'!$I$63),0))/1000000</f>
        <v>0</v>
      </c>
      <c r="J15" s="83">
        <f>(ROUND(SUMIFS(Input!$I:$I,Input!$H:$H,'1.CC Transition risk-Banking b.'!$A15&amp;"*",Input!$E:$E,'1.CC Transition risk-Banking b.'!$J$63,Input!$C:$C,'1.CC Transition risk-Banking b.'!$J$64),0))/1000000</f>
        <v>0</v>
      </c>
      <c r="K15" s="83">
        <f>(ROUND(SUMIFS(Input!$I:$I,Input!$H:$H,'1.CC Transition risk-Banking b.'!$A15&amp;"*",Input!$E:$E,'1.CC Transition risk-Banking b.'!$K$63,Input!$C:$C,'1.CC Transition risk-Banking b.'!$K$64),0))/1000000</f>
        <v>0</v>
      </c>
      <c r="L15" s="84">
        <f>(ROUND(SUMIFS(Input!$J:$J,Input!$H:$H,'1.CC Transition risk-Banking b.'!$A15&amp;"*")
+ SUMIFS(Input!$L:$L,Input!$H:$H,'1.CC Transition risk-Banking b.'!$A15&amp;"*")
+SUMIFS(Input!$N:$N,Input!$H:$H,'1.CC Transition risk-Banking b.'!$A15&amp;"*"),0))/1000000</f>
        <v>0</v>
      </c>
      <c r="M15" s="84">
        <f>(ROUND(SUMIFS(Input!$N:$N,Input!$H:$H,'1.CC Transition risk-Banking b.'!$A15&amp;"*"),0))/1000000</f>
        <v>0</v>
      </c>
      <c r="N15" s="91">
        <f>IFERROR(AVERAGE(SUMIFS(Input!$I:$I,Input!$H:$H,'1.CC Transition risk-Banking b.'!$A15&amp;"*",Input!$R:$R,"SOUR1",Input!$E:$E,'1.CC Transition risk-Banking b.'!$O$63),
SUMIFS(Input!$I:$I,Input!$H:$H,'1.CC Transition risk-Banking b.'!$A15&amp;"*",Input!$S:$S,"SOUR1",Input!$E:$E,'1.CC Transition risk-Banking b.'!$O$63),
SUMIFS(Input!$I:$I,Input!$H:$H,'1.CC Transition risk-Banking b.'!$A15&amp;"*",Input!$T:$T,"SOUR1",Input!$E:$E,'1.CC Transition risk-Banking b.'!$O$63))/SUMIFS(Input!$I:$I,Input!$H:$H,'1.CC Transition risk-Banking b.'!$A15&amp;"*",Input!$E:$E,'1.CC Transition risk-Banking b.'!$O$63),0)</f>
        <v>0</v>
      </c>
      <c r="O15" s="85">
        <f>(ROUND(SUMIFS(Input!$I:$I,Input!$H:$H,'1.CC Transition risk-Banking b.'!$A15&amp;"*",Input!$E:$E,'1.CC Transition risk-Banking b.'!O$63,Input!$G:$G,"&gt;=0",Input!$G:$G,"&lt;=5")
+ SUMIFS(Input!$I:$I,Input!$H:$H,'1.CC Transition risk-Banking b.'!$A15&amp;"*",Input!$E:$E,'1.CC Transition risk-Banking b.'!O$63,Input!$G:$G,"-4")
+ SUMIFS(Input!$I:$I,Input!$H:$H,'1.CC Transition risk-Banking b.'!$A15&amp;"*",Input!$E:$E,'1.CC Transition risk-Banking b.'!O$63,Input!$G:$G,"-1"),0))/1000000</f>
        <v>0</v>
      </c>
      <c r="P15" s="85">
        <f>(ROUND(SUMIFS(Input!$I:$I,Input!$H:$H,'1.CC Transition risk-Banking b.'!$A15&amp;"*",Input!$E:$E,'1.CC Transition risk-Banking b.'!P$63,Input!$G:$G,"&gt;5",Input!$G:$G,"&lt;=10"),0))/1000000</f>
        <v>0</v>
      </c>
      <c r="Q15" s="85">
        <f>(ROUND(SUMIFS(Input!$I:$I,Input!$H:$H,'1.CC Transition risk-Banking b.'!$A15&amp;"*",Input!$E:$E,'1.CC Transition risk-Banking b.'!Q$63,Input!$G:$G,"&gt;10",Input!$G:$G,"&lt;=20"),0))/1000000</f>
        <v>0</v>
      </c>
      <c r="R15" s="85">
        <f>(ROUND(SUMIFS(Input!$I:$I,Input!$H:$H,'1.CC Transition risk-Banking b.'!$A15&amp;"*",Input!$E:$E,'1.CC Transition risk-Banking b.'!R$63,Input!$G:$G,"&gt;20")
+ SUMIFS(Input!$I:$I,Input!$H:$H,'1.CC Transition risk-Banking b.'!$A15&amp;"*",Input!$E:$E,'1.CC Transition risk-Banking b.'!R$63,Input!$G:$G,"-2")
+ SUMIFS(Input!$I:$I,Input!$H:$H,'1.CC Transition risk-Banking b.'!$A15&amp;"*",Input!$E:$E,'1.CC Transition risk-Banking b.'!R$63,Input!$G:$G,"-3"),0))/1000000</f>
        <v>0</v>
      </c>
      <c r="S15" s="86">
        <f>ROUND(IFERROR((SUMIFS(Input!$Q:$Q,Input!$H:$H,'1.CC Transition risk-Banking b.'!$A15&amp;"*",Input!$E:$E,'1.CC Transition risk-Banking b.'!S$63,Input!$G:$G,"&gt;0")/1000000)/'1.CC Transition risk-Banking b.'!$D15,0),0)</f>
        <v>0</v>
      </c>
    </row>
    <row r="16" spans="1:19" x14ac:dyDescent="0.3">
      <c r="A16" s="96" t="s">
        <v>100</v>
      </c>
      <c r="B16" s="66">
        <v>11</v>
      </c>
      <c r="C16" s="69" t="s">
        <v>101</v>
      </c>
      <c r="D16" s="83">
        <f>(ROUND(SUMIFS(Input!$I:$I,Input!$H:$H,'1.CC Transition risk-Banking b.'!$A16&amp;"*",Input!$E:$E,'1.CC Transition risk-Banking b.'!$D$63),0))/1000000</f>
        <v>0</v>
      </c>
      <c r="E16" s="83">
        <f>(ROUND(SUMIFS(Input!$I:$I,Input!$H:$H,'1.CC Transition risk-Banking b.'!$A16&amp;"*",Input!$E:$E,'1.CC Transition risk-Banking b.'!$E$63,Input!$F:$F,'1.CC Transition risk-Banking b.'!$E$64),0))/1000000</f>
        <v>0</v>
      </c>
      <c r="F16" s="83">
        <f>(ROUND(SUMIFS(Input!$P:$P,Input!$H:$H,'1.CC Transition risk-Banking b.'!$A16&amp;"*",Input!$E:$E,'1.CC Transition risk-Banking b.'!$E$63,Input!$O:$O,'1.CC Transition risk-Banking b.'!$F$63),0))/1000000</f>
        <v>0</v>
      </c>
      <c r="G16" s="83">
        <f>(ROUND(SUMIFS(Input!$I:$I,Input!$H:$H,'1.CC Transition risk-Banking b.'!$A16&amp;"*",Input!$E:$E,'1.CC Transition risk-Banking b.'!$G$63,Input!$C:$C,'1.CC Transition risk-Banking b.'!$G$64),0))/1000000</f>
        <v>0</v>
      </c>
      <c r="H16" s="83">
        <f>(ROUND(SUMIFS(Input!$I:$I,Input!$H:$H,'1.CC Transition risk-Banking b.'!$A16&amp;"*",Input!$E:$E,'1.CC Transition risk-Banking b.'!$H$63,Input!$C:$C,'1.CC Transition risk-Banking b.'!$H$64),0))/1000000</f>
        <v>0</v>
      </c>
      <c r="I16" s="83">
        <f>(ROUND(SUMIFS(Input!$I:$I,Input!$H:$H,'1.CC Transition risk-Banking b.'!$A16&amp;"*",Input!$E:$E,'1.CC Transition risk-Banking b.'!$I$63),0))/1000000</f>
        <v>0</v>
      </c>
      <c r="J16" s="83">
        <f>(ROUND(SUMIFS(Input!$I:$I,Input!$H:$H,'1.CC Transition risk-Banking b.'!$A16&amp;"*",Input!$E:$E,'1.CC Transition risk-Banking b.'!$J$63,Input!$C:$C,'1.CC Transition risk-Banking b.'!$J$64),0))/1000000</f>
        <v>0</v>
      </c>
      <c r="K16" s="83">
        <f>(ROUND(SUMIFS(Input!$I:$I,Input!$H:$H,'1.CC Transition risk-Banking b.'!$A16&amp;"*",Input!$E:$E,'1.CC Transition risk-Banking b.'!$K$63,Input!$C:$C,'1.CC Transition risk-Banking b.'!$K$64),0))/1000000</f>
        <v>0</v>
      </c>
      <c r="L16" s="84">
        <f>(ROUND(SUMIFS(Input!$J:$J,Input!$H:$H,'1.CC Transition risk-Banking b.'!$A16&amp;"*")
+ SUMIFS(Input!$L:$L,Input!$H:$H,'1.CC Transition risk-Banking b.'!$A16&amp;"*")
+SUMIFS(Input!$N:$N,Input!$H:$H,'1.CC Transition risk-Banking b.'!$A16&amp;"*"),0))/1000000</f>
        <v>0</v>
      </c>
      <c r="M16" s="84">
        <f>(ROUND(SUMIFS(Input!$N:$N,Input!$H:$H,'1.CC Transition risk-Banking b.'!$A16&amp;"*"),0))/1000000</f>
        <v>0</v>
      </c>
      <c r="N16" s="91">
        <f>IFERROR(AVERAGE(SUMIFS(Input!$I:$I,Input!$H:$H,'1.CC Transition risk-Banking b.'!$A16&amp;"*",Input!$R:$R,"SOUR1",Input!$E:$E,'1.CC Transition risk-Banking b.'!$O$63),
SUMIFS(Input!$I:$I,Input!$H:$H,'1.CC Transition risk-Banking b.'!$A16&amp;"*",Input!$S:$S,"SOUR1",Input!$E:$E,'1.CC Transition risk-Banking b.'!$O$63),
SUMIFS(Input!$I:$I,Input!$H:$H,'1.CC Transition risk-Banking b.'!$A16&amp;"*",Input!$T:$T,"SOUR1",Input!$E:$E,'1.CC Transition risk-Banking b.'!$O$63))/SUMIFS(Input!$I:$I,Input!$H:$H,'1.CC Transition risk-Banking b.'!$A16&amp;"*",Input!$E:$E,'1.CC Transition risk-Banking b.'!$O$63),0)</f>
        <v>0</v>
      </c>
      <c r="O16" s="85">
        <f>(ROUND(SUMIFS(Input!$I:$I,Input!$H:$H,'1.CC Transition risk-Banking b.'!$A16&amp;"*",Input!$E:$E,'1.CC Transition risk-Banking b.'!O$63,Input!$G:$G,"&gt;=0",Input!$G:$G,"&lt;=5")
+ SUMIFS(Input!$I:$I,Input!$H:$H,'1.CC Transition risk-Banking b.'!$A16&amp;"*",Input!$E:$E,'1.CC Transition risk-Banking b.'!O$63,Input!$G:$G,"-4")
+ SUMIFS(Input!$I:$I,Input!$H:$H,'1.CC Transition risk-Banking b.'!$A16&amp;"*",Input!$E:$E,'1.CC Transition risk-Banking b.'!O$63,Input!$G:$G,"-1"),0))/1000000</f>
        <v>0</v>
      </c>
      <c r="P16" s="85">
        <f>(ROUND(SUMIFS(Input!$I:$I,Input!$H:$H,'1.CC Transition risk-Banking b.'!$A16&amp;"*",Input!$E:$E,'1.CC Transition risk-Banking b.'!P$63,Input!$G:$G,"&gt;5",Input!$G:$G,"&lt;=10"),0))/1000000</f>
        <v>0</v>
      </c>
      <c r="Q16" s="85">
        <f>(ROUND(SUMIFS(Input!$I:$I,Input!$H:$H,'1.CC Transition risk-Banking b.'!$A16&amp;"*",Input!$E:$E,'1.CC Transition risk-Banking b.'!Q$63,Input!$G:$G,"&gt;10",Input!$G:$G,"&lt;=20"),0))/1000000</f>
        <v>0</v>
      </c>
      <c r="R16" s="85">
        <f>(ROUND(SUMIFS(Input!$I:$I,Input!$H:$H,'1.CC Transition risk-Banking b.'!$A16&amp;"*",Input!$E:$E,'1.CC Transition risk-Banking b.'!R$63,Input!$G:$G,"&gt;20")
+ SUMIFS(Input!$I:$I,Input!$H:$H,'1.CC Transition risk-Banking b.'!$A16&amp;"*",Input!$E:$E,'1.CC Transition risk-Banking b.'!R$63,Input!$G:$G,"-2")
+ SUMIFS(Input!$I:$I,Input!$H:$H,'1.CC Transition risk-Banking b.'!$A16&amp;"*",Input!$E:$E,'1.CC Transition risk-Banking b.'!R$63,Input!$G:$G,"-3"),0))/1000000</f>
        <v>0</v>
      </c>
      <c r="S16" s="86">
        <f>ROUND(IFERROR((SUMIFS(Input!$Q:$Q,Input!$H:$H,'1.CC Transition risk-Banking b.'!$A16&amp;"*",Input!$E:$E,'1.CC Transition risk-Banking b.'!S$63,Input!$G:$G,"&gt;0")/1000000)/'1.CC Transition risk-Banking b.'!$D16,0),0)</f>
        <v>0</v>
      </c>
    </row>
    <row r="17" spans="1:19" x14ac:dyDescent="0.3">
      <c r="A17" s="96" t="s">
        <v>102</v>
      </c>
      <c r="B17" s="66">
        <v>12</v>
      </c>
      <c r="C17" s="69" t="s">
        <v>103</v>
      </c>
      <c r="D17" s="83">
        <f>(ROUND(SUMIFS(Input!$I:$I,Input!$H:$H,'1.CC Transition risk-Banking b.'!$A17&amp;"*",Input!$E:$E,'1.CC Transition risk-Banking b.'!$D$63),0))/1000000</f>
        <v>0</v>
      </c>
      <c r="E17" s="83">
        <f>(ROUND(SUMIFS(Input!$I:$I,Input!$H:$H,'1.CC Transition risk-Banking b.'!$A17&amp;"*",Input!$E:$E,'1.CC Transition risk-Banking b.'!$E$63,Input!$F:$F,'1.CC Transition risk-Banking b.'!$E$64),0))/1000000</f>
        <v>0</v>
      </c>
      <c r="F17" s="83">
        <f>(ROUND(SUMIFS(Input!$P:$P,Input!$H:$H,'1.CC Transition risk-Banking b.'!$A17&amp;"*",Input!$E:$E,'1.CC Transition risk-Banking b.'!$E$63,Input!$O:$O,'1.CC Transition risk-Banking b.'!$F$63),0))/1000000</f>
        <v>0</v>
      </c>
      <c r="G17" s="83">
        <f>(ROUND(SUMIFS(Input!$I:$I,Input!$H:$H,'1.CC Transition risk-Banking b.'!$A17&amp;"*",Input!$E:$E,'1.CC Transition risk-Banking b.'!$G$63,Input!$C:$C,'1.CC Transition risk-Banking b.'!$G$64),0))/1000000</f>
        <v>0</v>
      </c>
      <c r="H17" s="83">
        <f>(ROUND(SUMIFS(Input!$I:$I,Input!$H:$H,'1.CC Transition risk-Banking b.'!$A17&amp;"*",Input!$E:$E,'1.CC Transition risk-Banking b.'!$H$63,Input!$C:$C,'1.CC Transition risk-Banking b.'!$H$64),0))/1000000</f>
        <v>0</v>
      </c>
      <c r="I17" s="83">
        <f>(ROUND(SUMIFS(Input!$I:$I,Input!$H:$H,'1.CC Transition risk-Banking b.'!$A17&amp;"*",Input!$E:$E,'1.CC Transition risk-Banking b.'!$I$63),0))/1000000</f>
        <v>0</v>
      </c>
      <c r="J17" s="83">
        <f>(ROUND(SUMIFS(Input!$I:$I,Input!$H:$H,'1.CC Transition risk-Banking b.'!$A17&amp;"*",Input!$E:$E,'1.CC Transition risk-Banking b.'!$J$63,Input!$C:$C,'1.CC Transition risk-Banking b.'!$J$64),0))/1000000</f>
        <v>0</v>
      </c>
      <c r="K17" s="83">
        <f>(ROUND(SUMIFS(Input!$I:$I,Input!$H:$H,'1.CC Transition risk-Banking b.'!$A17&amp;"*",Input!$E:$E,'1.CC Transition risk-Banking b.'!$K$63,Input!$C:$C,'1.CC Transition risk-Banking b.'!$K$64),0))/1000000</f>
        <v>0</v>
      </c>
      <c r="L17" s="84">
        <f>(ROUND(SUMIFS(Input!$J:$J,Input!$H:$H,'1.CC Transition risk-Banking b.'!$A17&amp;"*")
+ SUMIFS(Input!$L:$L,Input!$H:$H,'1.CC Transition risk-Banking b.'!$A17&amp;"*")
+SUMIFS(Input!$N:$N,Input!$H:$H,'1.CC Transition risk-Banking b.'!$A17&amp;"*"),0))/1000000</f>
        <v>0</v>
      </c>
      <c r="M17" s="84">
        <f>(ROUND(SUMIFS(Input!$N:$N,Input!$H:$H,'1.CC Transition risk-Banking b.'!$A17&amp;"*"),0))/1000000</f>
        <v>0</v>
      </c>
      <c r="N17" s="91">
        <f>IFERROR(AVERAGE(SUMIFS(Input!$I:$I,Input!$H:$H,'1.CC Transition risk-Banking b.'!$A17&amp;"*",Input!$R:$R,"SOUR1",Input!$E:$E,'1.CC Transition risk-Banking b.'!$O$63),
SUMIFS(Input!$I:$I,Input!$H:$H,'1.CC Transition risk-Banking b.'!$A17&amp;"*",Input!$S:$S,"SOUR1",Input!$E:$E,'1.CC Transition risk-Banking b.'!$O$63),
SUMIFS(Input!$I:$I,Input!$H:$H,'1.CC Transition risk-Banking b.'!$A17&amp;"*",Input!$T:$T,"SOUR1",Input!$E:$E,'1.CC Transition risk-Banking b.'!$O$63))/SUMIFS(Input!$I:$I,Input!$H:$H,'1.CC Transition risk-Banking b.'!$A17&amp;"*",Input!$E:$E,'1.CC Transition risk-Banking b.'!$O$63),0)</f>
        <v>0</v>
      </c>
      <c r="O17" s="85">
        <f>(ROUND(SUMIFS(Input!$I:$I,Input!$H:$H,'1.CC Transition risk-Banking b.'!$A17&amp;"*",Input!$E:$E,'1.CC Transition risk-Banking b.'!O$63,Input!$G:$G,"&gt;=0",Input!$G:$G,"&lt;=5")
+ SUMIFS(Input!$I:$I,Input!$H:$H,'1.CC Transition risk-Banking b.'!$A17&amp;"*",Input!$E:$E,'1.CC Transition risk-Banking b.'!O$63,Input!$G:$G,"-4")
+ SUMIFS(Input!$I:$I,Input!$H:$H,'1.CC Transition risk-Banking b.'!$A17&amp;"*",Input!$E:$E,'1.CC Transition risk-Banking b.'!O$63,Input!$G:$G,"-1"),0))/1000000</f>
        <v>0</v>
      </c>
      <c r="P17" s="85">
        <f>(ROUND(SUMIFS(Input!$I:$I,Input!$H:$H,'1.CC Transition risk-Banking b.'!$A17&amp;"*",Input!$E:$E,'1.CC Transition risk-Banking b.'!P$63,Input!$G:$G,"&gt;5",Input!$G:$G,"&lt;=10"),0))/1000000</f>
        <v>0</v>
      </c>
      <c r="Q17" s="85">
        <f>(ROUND(SUMIFS(Input!$I:$I,Input!$H:$H,'1.CC Transition risk-Banking b.'!$A17&amp;"*",Input!$E:$E,'1.CC Transition risk-Banking b.'!Q$63,Input!$G:$G,"&gt;10",Input!$G:$G,"&lt;=20"),0))/1000000</f>
        <v>0</v>
      </c>
      <c r="R17" s="85">
        <f>(ROUND(SUMIFS(Input!$I:$I,Input!$H:$H,'1.CC Transition risk-Banking b.'!$A17&amp;"*",Input!$E:$E,'1.CC Transition risk-Banking b.'!R$63,Input!$G:$G,"&gt;20")
+ SUMIFS(Input!$I:$I,Input!$H:$H,'1.CC Transition risk-Banking b.'!$A17&amp;"*",Input!$E:$E,'1.CC Transition risk-Banking b.'!R$63,Input!$G:$G,"-2")
+ SUMIFS(Input!$I:$I,Input!$H:$H,'1.CC Transition risk-Banking b.'!$A17&amp;"*",Input!$E:$E,'1.CC Transition risk-Banking b.'!R$63,Input!$G:$G,"-3"),0))/1000000</f>
        <v>0</v>
      </c>
      <c r="S17" s="86">
        <f>ROUND(IFERROR((SUMIFS(Input!$Q:$Q,Input!$H:$H,'1.CC Transition risk-Banking b.'!$A17&amp;"*",Input!$E:$E,'1.CC Transition risk-Banking b.'!S$63,Input!$G:$G,"&gt;0")/1000000)/'1.CC Transition risk-Banking b.'!$D17,0),0)</f>
        <v>0</v>
      </c>
    </row>
    <row r="18" spans="1:19" x14ac:dyDescent="0.3">
      <c r="A18" s="96" t="s">
        <v>104</v>
      </c>
      <c r="B18" s="66">
        <v>13</v>
      </c>
      <c r="C18" s="69" t="s">
        <v>105</v>
      </c>
      <c r="D18" s="83">
        <f>(ROUND(SUMIFS(Input!$I:$I,Input!$H:$H,'1.CC Transition risk-Banking b.'!$A18&amp;"*",Input!$E:$E,'1.CC Transition risk-Banking b.'!$D$63),0))/1000000</f>
        <v>0</v>
      </c>
      <c r="E18" s="83">
        <f>(ROUND(SUMIFS(Input!$I:$I,Input!$H:$H,'1.CC Transition risk-Banking b.'!$A18&amp;"*",Input!$E:$E,'1.CC Transition risk-Banking b.'!$E$63,Input!$F:$F,'1.CC Transition risk-Banking b.'!$E$64),0))/1000000</f>
        <v>0</v>
      </c>
      <c r="F18" s="83">
        <f>(ROUND(SUMIFS(Input!$P:$P,Input!$H:$H,'1.CC Transition risk-Banking b.'!$A18&amp;"*",Input!$E:$E,'1.CC Transition risk-Banking b.'!$E$63,Input!$O:$O,'1.CC Transition risk-Banking b.'!$F$63),0))/1000000</f>
        <v>0</v>
      </c>
      <c r="G18" s="83">
        <f>(ROUND(SUMIFS(Input!$I:$I,Input!$H:$H,'1.CC Transition risk-Banking b.'!$A18&amp;"*",Input!$E:$E,'1.CC Transition risk-Banking b.'!$G$63,Input!$C:$C,'1.CC Transition risk-Banking b.'!$G$64),0))/1000000</f>
        <v>0</v>
      </c>
      <c r="H18" s="83">
        <f>(ROUND(SUMIFS(Input!$I:$I,Input!$H:$H,'1.CC Transition risk-Banking b.'!$A18&amp;"*",Input!$E:$E,'1.CC Transition risk-Banking b.'!$H$63,Input!$C:$C,'1.CC Transition risk-Banking b.'!$H$64),0))/1000000</f>
        <v>0</v>
      </c>
      <c r="I18" s="83">
        <f>(ROUND(SUMIFS(Input!$I:$I,Input!$H:$H,'1.CC Transition risk-Banking b.'!$A18&amp;"*",Input!$E:$E,'1.CC Transition risk-Banking b.'!$I$63),0))/1000000</f>
        <v>0</v>
      </c>
      <c r="J18" s="83">
        <f>(ROUND(SUMIFS(Input!$I:$I,Input!$H:$H,'1.CC Transition risk-Banking b.'!$A18&amp;"*",Input!$E:$E,'1.CC Transition risk-Banking b.'!$J$63,Input!$C:$C,'1.CC Transition risk-Banking b.'!$J$64),0))/1000000</f>
        <v>0</v>
      </c>
      <c r="K18" s="83">
        <f>(ROUND(SUMIFS(Input!$I:$I,Input!$H:$H,'1.CC Transition risk-Banking b.'!$A18&amp;"*",Input!$E:$E,'1.CC Transition risk-Banking b.'!$K$63,Input!$C:$C,'1.CC Transition risk-Banking b.'!$K$64),0))/1000000</f>
        <v>0</v>
      </c>
      <c r="L18" s="84">
        <f>(ROUND(SUMIFS(Input!$J:$J,Input!$H:$H,'1.CC Transition risk-Banking b.'!$A18&amp;"*")
+ SUMIFS(Input!$L:$L,Input!$H:$H,'1.CC Transition risk-Banking b.'!$A18&amp;"*")
+SUMIFS(Input!$N:$N,Input!$H:$H,'1.CC Transition risk-Banking b.'!$A18&amp;"*"),0))/1000000</f>
        <v>0</v>
      </c>
      <c r="M18" s="84">
        <f>(ROUND(SUMIFS(Input!$N:$N,Input!$H:$H,'1.CC Transition risk-Banking b.'!$A18&amp;"*"),0))/1000000</f>
        <v>0</v>
      </c>
      <c r="N18" s="91">
        <f>IFERROR(AVERAGE(SUMIFS(Input!$I:$I,Input!$H:$H,'1.CC Transition risk-Banking b.'!$A18&amp;"*",Input!$R:$R,"SOUR1",Input!$E:$E,'1.CC Transition risk-Banking b.'!$O$63),
SUMIFS(Input!$I:$I,Input!$H:$H,'1.CC Transition risk-Banking b.'!$A18&amp;"*",Input!$S:$S,"SOUR1",Input!$E:$E,'1.CC Transition risk-Banking b.'!$O$63),
SUMIFS(Input!$I:$I,Input!$H:$H,'1.CC Transition risk-Banking b.'!$A18&amp;"*",Input!$T:$T,"SOUR1",Input!$E:$E,'1.CC Transition risk-Banking b.'!$O$63))/SUMIFS(Input!$I:$I,Input!$H:$H,'1.CC Transition risk-Banking b.'!$A18&amp;"*",Input!$E:$E,'1.CC Transition risk-Banking b.'!$O$63),0)</f>
        <v>0</v>
      </c>
      <c r="O18" s="85">
        <f>(ROUND(SUMIFS(Input!$I:$I,Input!$H:$H,'1.CC Transition risk-Banking b.'!$A18&amp;"*",Input!$E:$E,'1.CC Transition risk-Banking b.'!O$63,Input!$G:$G,"&gt;=0",Input!$G:$G,"&lt;=5")
+ SUMIFS(Input!$I:$I,Input!$H:$H,'1.CC Transition risk-Banking b.'!$A18&amp;"*",Input!$E:$E,'1.CC Transition risk-Banking b.'!O$63,Input!$G:$G,"-4")
+ SUMIFS(Input!$I:$I,Input!$H:$H,'1.CC Transition risk-Banking b.'!$A18&amp;"*",Input!$E:$E,'1.CC Transition risk-Banking b.'!O$63,Input!$G:$G,"-1"),0))/1000000</f>
        <v>0</v>
      </c>
      <c r="P18" s="85">
        <f>(ROUND(SUMIFS(Input!$I:$I,Input!$H:$H,'1.CC Transition risk-Banking b.'!$A18&amp;"*",Input!$E:$E,'1.CC Transition risk-Banking b.'!P$63,Input!$G:$G,"&gt;5",Input!$G:$G,"&lt;=10"),0))/1000000</f>
        <v>0</v>
      </c>
      <c r="Q18" s="85">
        <f>(ROUND(SUMIFS(Input!$I:$I,Input!$H:$H,'1.CC Transition risk-Banking b.'!$A18&amp;"*",Input!$E:$E,'1.CC Transition risk-Banking b.'!Q$63,Input!$G:$G,"&gt;10",Input!$G:$G,"&lt;=20"),0))/1000000</f>
        <v>0</v>
      </c>
      <c r="R18" s="85">
        <f>(ROUND(SUMIFS(Input!$I:$I,Input!$H:$H,'1.CC Transition risk-Banking b.'!$A18&amp;"*",Input!$E:$E,'1.CC Transition risk-Banking b.'!R$63,Input!$G:$G,"&gt;20")
+ SUMIFS(Input!$I:$I,Input!$H:$H,'1.CC Transition risk-Banking b.'!$A18&amp;"*",Input!$E:$E,'1.CC Transition risk-Banking b.'!R$63,Input!$G:$G,"-2")
+ SUMIFS(Input!$I:$I,Input!$H:$H,'1.CC Transition risk-Banking b.'!$A18&amp;"*",Input!$E:$E,'1.CC Transition risk-Banking b.'!R$63,Input!$G:$G,"-3"),0))/1000000</f>
        <v>0</v>
      </c>
      <c r="S18" s="86">
        <f>ROUND(IFERROR((SUMIFS(Input!$Q:$Q,Input!$H:$H,'1.CC Transition risk-Banking b.'!$A18&amp;"*",Input!$E:$E,'1.CC Transition risk-Banking b.'!S$63,Input!$G:$G,"&gt;0")/1000000)/'1.CC Transition risk-Banking b.'!$D18,0),0)</f>
        <v>0</v>
      </c>
    </row>
    <row r="19" spans="1:19" x14ac:dyDescent="0.3">
      <c r="A19" s="96" t="s">
        <v>106</v>
      </c>
      <c r="B19" s="66">
        <v>14</v>
      </c>
      <c r="C19" s="69" t="s">
        <v>107</v>
      </c>
      <c r="D19" s="83">
        <f>(ROUND(SUMIFS(Input!$I:$I,Input!$H:$H,'1.CC Transition risk-Banking b.'!$A19&amp;"*",Input!$E:$E,'1.CC Transition risk-Banking b.'!$D$63),0))/1000000</f>
        <v>0</v>
      </c>
      <c r="E19" s="83">
        <f>(ROUND(SUMIFS(Input!$I:$I,Input!$H:$H,'1.CC Transition risk-Banking b.'!$A19&amp;"*",Input!$E:$E,'1.CC Transition risk-Banking b.'!$E$63,Input!$F:$F,'1.CC Transition risk-Banking b.'!$E$64),0))/1000000</f>
        <v>0</v>
      </c>
      <c r="F19" s="83">
        <f>(ROUND(SUMIFS(Input!$P:$P,Input!$H:$H,'1.CC Transition risk-Banking b.'!$A19&amp;"*",Input!$E:$E,'1.CC Transition risk-Banking b.'!$E$63,Input!$O:$O,'1.CC Transition risk-Banking b.'!$F$63),0))/1000000</f>
        <v>0</v>
      </c>
      <c r="G19" s="83">
        <f>(ROUND(SUMIFS(Input!$I:$I,Input!$H:$H,'1.CC Transition risk-Banking b.'!$A19&amp;"*",Input!$E:$E,'1.CC Transition risk-Banking b.'!$G$63,Input!$C:$C,'1.CC Transition risk-Banking b.'!$G$64),0))/1000000</f>
        <v>0</v>
      </c>
      <c r="H19" s="83">
        <f>(ROUND(SUMIFS(Input!$I:$I,Input!$H:$H,'1.CC Transition risk-Banking b.'!$A19&amp;"*",Input!$E:$E,'1.CC Transition risk-Banking b.'!$H$63,Input!$C:$C,'1.CC Transition risk-Banking b.'!$H$64),0))/1000000</f>
        <v>0</v>
      </c>
      <c r="I19" s="83">
        <f>(ROUND(SUMIFS(Input!$I:$I,Input!$H:$H,'1.CC Transition risk-Banking b.'!$A19&amp;"*",Input!$E:$E,'1.CC Transition risk-Banking b.'!$I$63),0))/1000000</f>
        <v>0</v>
      </c>
      <c r="J19" s="83">
        <f>(ROUND(SUMIFS(Input!$I:$I,Input!$H:$H,'1.CC Transition risk-Banking b.'!$A19&amp;"*",Input!$E:$E,'1.CC Transition risk-Banking b.'!$J$63,Input!$C:$C,'1.CC Transition risk-Banking b.'!$J$64),0))/1000000</f>
        <v>0</v>
      </c>
      <c r="K19" s="83">
        <f>(ROUND(SUMIFS(Input!$I:$I,Input!$H:$H,'1.CC Transition risk-Banking b.'!$A19&amp;"*",Input!$E:$E,'1.CC Transition risk-Banking b.'!$K$63,Input!$C:$C,'1.CC Transition risk-Banking b.'!$K$64),0))/1000000</f>
        <v>0</v>
      </c>
      <c r="L19" s="84">
        <f>(ROUND(SUMIFS(Input!$J:$J,Input!$H:$H,'1.CC Transition risk-Banking b.'!$A19&amp;"*")
+ SUMIFS(Input!$L:$L,Input!$H:$H,'1.CC Transition risk-Banking b.'!$A19&amp;"*")
+SUMIFS(Input!$N:$N,Input!$H:$H,'1.CC Transition risk-Banking b.'!$A19&amp;"*"),0))/1000000</f>
        <v>0</v>
      </c>
      <c r="M19" s="84">
        <f>(ROUND(SUMIFS(Input!$N:$N,Input!$H:$H,'1.CC Transition risk-Banking b.'!$A19&amp;"*"),0))/1000000</f>
        <v>0</v>
      </c>
      <c r="N19" s="91">
        <f>IFERROR(AVERAGE(SUMIFS(Input!$I:$I,Input!$H:$H,'1.CC Transition risk-Banking b.'!$A19&amp;"*",Input!$R:$R,"SOUR1",Input!$E:$E,'1.CC Transition risk-Banking b.'!$O$63),
SUMIFS(Input!$I:$I,Input!$H:$H,'1.CC Transition risk-Banking b.'!$A19&amp;"*",Input!$S:$S,"SOUR1",Input!$E:$E,'1.CC Transition risk-Banking b.'!$O$63),
SUMIFS(Input!$I:$I,Input!$H:$H,'1.CC Transition risk-Banking b.'!$A19&amp;"*",Input!$T:$T,"SOUR1",Input!$E:$E,'1.CC Transition risk-Banking b.'!$O$63))/SUMIFS(Input!$I:$I,Input!$H:$H,'1.CC Transition risk-Banking b.'!$A19&amp;"*",Input!$E:$E,'1.CC Transition risk-Banking b.'!$O$63),0)</f>
        <v>0</v>
      </c>
      <c r="O19" s="85">
        <f>(ROUND(SUMIFS(Input!$I:$I,Input!$H:$H,'1.CC Transition risk-Banking b.'!$A19&amp;"*",Input!$E:$E,'1.CC Transition risk-Banking b.'!O$63,Input!$G:$G,"&gt;=0",Input!$G:$G,"&lt;=5")
+ SUMIFS(Input!$I:$I,Input!$H:$H,'1.CC Transition risk-Banking b.'!$A19&amp;"*",Input!$E:$E,'1.CC Transition risk-Banking b.'!O$63,Input!$G:$G,"-4")
+ SUMIFS(Input!$I:$I,Input!$H:$H,'1.CC Transition risk-Banking b.'!$A19&amp;"*",Input!$E:$E,'1.CC Transition risk-Banking b.'!O$63,Input!$G:$G,"-1"),0))/1000000</f>
        <v>0</v>
      </c>
      <c r="P19" s="85">
        <f>(ROUND(SUMIFS(Input!$I:$I,Input!$H:$H,'1.CC Transition risk-Banking b.'!$A19&amp;"*",Input!$E:$E,'1.CC Transition risk-Banking b.'!P$63,Input!$G:$G,"&gt;5",Input!$G:$G,"&lt;=10"),0))/1000000</f>
        <v>0</v>
      </c>
      <c r="Q19" s="85">
        <f>(ROUND(SUMIFS(Input!$I:$I,Input!$H:$H,'1.CC Transition risk-Banking b.'!$A19&amp;"*",Input!$E:$E,'1.CC Transition risk-Banking b.'!Q$63,Input!$G:$G,"&gt;10",Input!$G:$G,"&lt;=20"),0))/1000000</f>
        <v>0</v>
      </c>
      <c r="R19" s="85">
        <f>(ROUND(SUMIFS(Input!$I:$I,Input!$H:$H,'1.CC Transition risk-Banking b.'!$A19&amp;"*",Input!$E:$E,'1.CC Transition risk-Banking b.'!R$63,Input!$G:$G,"&gt;20")
+ SUMIFS(Input!$I:$I,Input!$H:$H,'1.CC Transition risk-Banking b.'!$A19&amp;"*",Input!$E:$E,'1.CC Transition risk-Banking b.'!R$63,Input!$G:$G,"-2")
+ SUMIFS(Input!$I:$I,Input!$H:$H,'1.CC Transition risk-Banking b.'!$A19&amp;"*",Input!$E:$E,'1.CC Transition risk-Banking b.'!R$63,Input!$G:$G,"-3"),0))/1000000</f>
        <v>0</v>
      </c>
      <c r="S19" s="86">
        <f>ROUND(IFERROR((SUMIFS(Input!$Q:$Q,Input!$H:$H,'1.CC Transition risk-Banking b.'!$A19&amp;"*",Input!$E:$E,'1.CC Transition risk-Banking b.'!S$63,Input!$G:$G,"&gt;0")/1000000)/'1.CC Transition risk-Banking b.'!$D19,0),0)</f>
        <v>0</v>
      </c>
    </row>
    <row r="20" spans="1:19" x14ac:dyDescent="0.3">
      <c r="A20" s="96" t="s">
        <v>108</v>
      </c>
      <c r="B20" s="66">
        <v>15</v>
      </c>
      <c r="C20" s="69" t="s">
        <v>109</v>
      </c>
      <c r="D20" s="83">
        <f>(ROUND(SUMIFS(Input!$I:$I,Input!$H:$H,'1.CC Transition risk-Banking b.'!$A20&amp;"*",Input!$E:$E,'1.CC Transition risk-Banking b.'!$D$63),0))/1000000</f>
        <v>0</v>
      </c>
      <c r="E20" s="83">
        <f>(ROUND(SUMIFS(Input!$I:$I,Input!$H:$H,'1.CC Transition risk-Banking b.'!$A20&amp;"*",Input!$E:$E,'1.CC Transition risk-Banking b.'!$E$63,Input!$F:$F,'1.CC Transition risk-Banking b.'!$E$64),0))/1000000</f>
        <v>0</v>
      </c>
      <c r="F20" s="83">
        <f>(ROUND(SUMIFS(Input!$P:$P,Input!$H:$H,'1.CC Transition risk-Banking b.'!$A20&amp;"*",Input!$E:$E,'1.CC Transition risk-Banking b.'!$E$63,Input!$O:$O,'1.CC Transition risk-Banking b.'!$F$63),0))/1000000</f>
        <v>0</v>
      </c>
      <c r="G20" s="83">
        <f>(ROUND(SUMIFS(Input!$I:$I,Input!$H:$H,'1.CC Transition risk-Banking b.'!$A20&amp;"*",Input!$E:$E,'1.CC Transition risk-Banking b.'!$G$63,Input!$C:$C,'1.CC Transition risk-Banking b.'!$G$64),0))/1000000</f>
        <v>0</v>
      </c>
      <c r="H20" s="83">
        <f>(ROUND(SUMIFS(Input!$I:$I,Input!$H:$H,'1.CC Transition risk-Banking b.'!$A20&amp;"*",Input!$E:$E,'1.CC Transition risk-Banking b.'!$H$63,Input!$C:$C,'1.CC Transition risk-Banking b.'!$H$64),0))/1000000</f>
        <v>0</v>
      </c>
      <c r="I20" s="83">
        <f>(ROUND(SUMIFS(Input!$I:$I,Input!$H:$H,'1.CC Transition risk-Banking b.'!$A20&amp;"*",Input!$E:$E,'1.CC Transition risk-Banking b.'!$I$63),0))/1000000</f>
        <v>0</v>
      </c>
      <c r="J20" s="83">
        <f>(ROUND(SUMIFS(Input!$I:$I,Input!$H:$H,'1.CC Transition risk-Banking b.'!$A20&amp;"*",Input!$E:$E,'1.CC Transition risk-Banking b.'!$J$63,Input!$C:$C,'1.CC Transition risk-Banking b.'!$J$64),0))/1000000</f>
        <v>0</v>
      </c>
      <c r="K20" s="83">
        <f>(ROUND(SUMIFS(Input!$I:$I,Input!$H:$H,'1.CC Transition risk-Banking b.'!$A20&amp;"*",Input!$E:$E,'1.CC Transition risk-Banking b.'!$K$63,Input!$C:$C,'1.CC Transition risk-Banking b.'!$K$64),0))/1000000</f>
        <v>0</v>
      </c>
      <c r="L20" s="84">
        <f>(ROUND(SUMIFS(Input!$J:$J,Input!$H:$H,'1.CC Transition risk-Banking b.'!$A20&amp;"*")
+ SUMIFS(Input!$L:$L,Input!$H:$H,'1.CC Transition risk-Banking b.'!$A20&amp;"*")
+SUMIFS(Input!$N:$N,Input!$H:$H,'1.CC Transition risk-Banking b.'!$A20&amp;"*"),0))/1000000</f>
        <v>0</v>
      </c>
      <c r="M20" s="84">
        <f>(ROUND(SUMIFS(Input!$N:$N,Input!$H:$H,'1.CC Transition risk-Banking b.'!$A20&amp;"*"),0))/1000000</f>
        <v>0</v>
      </c>
      <c r="N20" s="91">
        <f>IFERROR(AVERAGE(SUMIFS(Input!$I:$I,Input!$H:$H,'1.CC Transition risk-Banking b.'!$A20&amp;"*",Input!$R:$R,"SOUR1",Input!$E:$E,'1.CC Transition risk-Banking b.'!$O$63),
SUMIFS(Input!$I:$I,Input!$H:$H,'1.CC Transition risk-Banking b.'!$A20&amp;"*",Input!$S:$S,"SOUR1",Input!$E:$E,'1.CC Transition risk-Banking b.'!$O$63),
SUMIFS(Input!$I:$I,Input!$H:$H,'1.CC Transition risk-Banking b.'!$A20&amp;"*",Input!$T:$T,"SOUR1",Input!$E:$E,'1.CC Transition risk-Banking b.'!$O$63))/SUMIFS(Input!$I:$I,Input!$H:$H,'1.CC Transition risk-Banking b.'!$A20&amp;"*",Input!$E:$E,'1.CC Transition risk-Banking b.'!$O$63),0)</f>
        <v>0</v>
      </c>
      <c r="O20" s="85">
        <f>(ROUND(SUMIFS(Input!$I:$I,Input!$H:$H,'1.CC Transition risk-Banking b.'!$A20&amp;"*",Input!$E:$E,'1.CC Transition risk-Banking b.'!O$63,Input!$G:$G,"&gt;=0",Input!$G:$G,"&lt;=5")
+ SUMIFS(Input!$I:$I,Input!$H:$H,'1.CC Transition risk-Banking b.'!$A20&amp;"*",Input!$E:$E,'1.CC Transition risk-Banking b.'!O$63,Input!$G:$G,"-4")
+ SUMIFS(Input!$I:$I,Input!$H:$H,'1.CC Transition risk-Banking b.'!$A20&amp;"*",Input!$E:$E,'1.CC Transition risk-Banking b.'!O$63,Input!$G:$G,"-1"),0))/1000000</f>
        <v>0</v>
      </c>
      <c r="P20" s="85">
        <f>(ROUND(SUMIFS(Input!$I:$I,Input!$H:$H,'1.CC Transition risk-Banking b.'!$A20&amp;"*",Input!$E:$E,'1.CC Transition risk-Banking b.'!P$63,Input!$G:$G,"&gt;5",Input!$G:$G,"&lt;=10"),0))/1000000</f>
        <v>0</v>
      </c>
      <c r="Q20" s="85">
        <f>(ROUND(SUMIFS(Input!$I:$I,Input!$H:$H,'1.CC Transition risk-Banking b.'!$A20&amp;"*",Input!$E:$E,'1.CC Transition risk-Banking b.'!Q$63,Input!$G:$G,"&gt;10",Input!$G:$G,"&lt;=20"),0))/1000000</f>
        <v>0</v>
      </c>
      <c r="R20" s="85">
        <f>(ROUND(SUMIFS(Input!$I:$I,Input!$H:$H,'1.CC Transition risk-Banking b.'!$A20&amp;"*",Input!$E:$E,'1.CC Transition risk-Banking b.'!R$63,Input!$G:$G,"&gt;20")
+ SUMIFS(Input!$I:$I,Input!$H:$H,'1.CC Transition risk-Banking b.'!$A20&amp;"*",Input!$E:$E,'1.CC Transition risk-Banking b.'!R$63,Input!$G:$G,"-2")
+ SUMIFS(Input!$I:$I,Input!$H:$H,'1.CC Transition risk-Banking b.'!$A20&amp;"*",Input!$E:$E,'1.CC Transition risk-Banking b.'!R$63,Input!$G:$G,"-3"),0))/1000000</f>
        <v>0</v>
      </c>
      <c r="S20" s="86">
        <f>ROUND(IFERROR((SUMIFS(Input!$Q:$Q,Input!$H:$H,'1.CC Transition risk-Banking b.'!$A20&amp;"*",Input!$E:$E,'1.CC Transition risk-Banking b.'!S$63,Input!$G:$G,"&gt;0")/1000000)/'1.CC Transition risk-Banking b.'!$D20,0),0)</f>
        <v>0</v>
      </c>
    </row>
    <row r="21" spans="1:19" x14ac:dyDescent="0.3">
      <c r="A21" s="96" t="s">
        <v>110</v>
      </c>
      <c r="B21" s="66">
        <v>16</v>
      </c>
      <c r="C21" s="69" t="s">
        <v>111</v>
      </c>
      <c r="D21" s="83">
        <f>(ROUND(SUMIFS(Input!$I:$I,Input!$H:$H,'1.CC Transition risk-Banking b.'!$A21&amp;"*",Input!$E:$E,'1.CC Transition risk-Banking b.'!$D$63),0))/1000000</f>
        <v>0</v>
      </c>
      <c r="E21" s="83">
        <f>(ROUND(SUMIFS(Input!$I:$I,Input!$H:$H,'1.CC Transition risk-Banking b.'!$A21&amp;"*",Input!$E:$E,'1.CC Transition risk-Banking b.'!$E$63,Input!$F:$F,'1.CC Transition risk-Banking b.'!$E$64),0))/1000000</f>
        <v>0</v>
      </c>
      <c r="F21" s="83">
        <f>(ROUND(SUMIFS(Input!$P:$P,Input!$H:$H,'1.CC Transition risk-Banking b.'!$A21&amp;"*",Input!$E:$E,'1.CC Transition risk-Banking b.'!$E$63,Input!$O:$O,'1.CC Transition risk-Banking b.'!$F$63),0))/1000000</f>
        <v>0</v>
      </c>
      <c r="G21" s="83">
        <f>(ROUND(SUMIFS(Input!$I:$I,Input!$H:$H,'1.CC Transition risk-Banking b.'!$A21&amp;"*",Input!$E:$E,'1.CC Transition risk-Banking b.'!$G$63,Input!$C:$C,'1.CC Transition risk-Banking b.'!$G$64),0))/1000000</f>
        <v>0</v>
      </c>
      <c r="H21" s="83">
        <f>(ROUND(SUMIFS(Input!$I:$I,Input!$H:$H,'1.CC Transition risk-Banking b.'!$A21&amp;"*",Input!$E:$E,'1.CC Transition risk-Banking b.'!$H$63,Input!$C:$C,'1.CC Transition risk-Banking b.'!$H$64),0))/1000000</f>
        <v>0</v>
      </c>
      <c r="I21" s="83">
        <f>(ROUND(SUMIFS(Input!$I:$I,Input!$H:$H,'1.CC Transition risk-Banking b.'!$A21&amp;"*",Input!$E:$E,'1.CC Transition risk-Banking b.'!$I$63),0))/1000000</f>
        <v>0</v>
      </c>
      <c r="J21" s="83">
        <f>(ROUND(SUMIFS(Input!$I:$I,Input!$H:$H,'1.CC Transition risk-Banking b.'!$A21&amp;"*",Input!$E:$E,'1.CC Transition risk-Banking b.'!$J$63,Input!$C:$C,'1.CC Transition risk-Banking b.'!$J$64),0))/1000000</f>
        <v>0</v>
      </c>
      <c r="K21" s="83">
        <f>(ROUND(SUMIFS(Input!$I:$I,Input!$H:$H,'1.CC Transition risk-Banking b.'!$A21&amp;"*",Input!$E:$E,'1.CC Transition risk-Banking b.'!$K$63,Input!$C:$C,'1.CC Transition risk-Banking b.'!$K$64),0))/1000000</f>
        <v>0</v>
      </c>
      <c r="L21" s="84">
        <f>(ROUND(SUMIFS(Input!$J:$J,Input!$H:$H,'1.CC Transition risk-Banking b.'!$A21&amp;"*")
+ SUMIFS(Input!$L:$L,Input!$H:$H,'1.CC Transition risk-Banking b.'!$A21&amp;"*")
+SUMIFS(Input!$N:$N,Input!$H:$H,'1.CC Transition risk-Banking b.'!$A21&amp;"*"),0))/1000000</f>
        <v>0</v>
      </c>
      <c r="M21" s="84">
        <f>(ROUND(SUMIFS(Input!$N:$N,Input!$H:$H,'1.CC Transition risk-Banking b.'!$A21&amp;"*"),0))/1000000</f>
        <v>0</v>
      </c>
      <c r="N21" s="91">
        <f>IFERROR(AVERAGE(SUMIFS(Input!$I:$I,Input!$H:$H,'1.CC Transition risk-Banking b.'!$A21&amp;"*",Input!$R:$R,"SOUR1",Input!$E:$E,'1.CC Transition risk-Banking b.'!$O$63),
SUMIFS(Input!$I:$I,Input!$H:$H,'1.CC Transition risk-Banking b.'!$A21&amp;"*",Input!$S:$S,"SOUR1",Input!$E:$E,'1.CC Transition risk-Banking b.'!$O$63),
SUMIFS(Input!$I:$I,Input!$H:$H,'1.CC Transition risk-Banking b.'!$A21&amp;"*",Input!$T:$T,"SOUR1",Input!$E:$E,'1.CC Transition risk-Banking b.'!$O$63))/SUMIFS(Input!$I:$I,Input!$H:$H,'1.CC Transition risk-Banking b.'!$A21&amp;"*",Input!$E:$E,'1.CC Transition risk-Banking b.'!$O$63),0)</f>
        <v>0</v>
      </c>
      <c r="O21" s="85">
        <f>(ROUND(SUMIFS(Input!$I:$I,Input!$H:$H,'1.CC Transition risk-Banking b.'!$A21&amp;"*",Input!$E:$E,'1.CC Transition risk-Banking b.'!O$63,Input!$G:$G,"&gt;=0",Input!$G:$G,"&lt;=5")
+ SUMIFS(Input!$I:$I,Input!$H:$H,'1.CC Transition risk-Banking b.'!$A21&amp;"*",Input!$E:$E,'1.CC Transition risk-Banking b.'!O$63,Input!$G:$G,"-4")
+ SUMIFS(Input!$I:$I,Input!$H:$H,'1.CC Transition risk-Banking b.'!$A21&amp;"*",Input!$E:$E,'1.CC Transition risk-Banking b.'!O$63,Input!$G:$G,"-1"),0))/1000000</f>
        <v>0</v>
      </c>
      <c r="P21" s="85">
        <f>(ROUND(SUMIFS(Input!$I:$I,Input!$H:$H,'1.CC Transition risk-Banking b.'!$A21&amp;"*",Input!$E:$E,'1.CC Transition risk-Banking b.'!P$63,Input!$G:$G,"&gt;5",Input!$G:$G,"&lt;=10"),0))/1000000</f>
        <v>0</v>
      </c>
      <c r="Q21" s="85">
        <f>(ROUND(SUMIFS(Input!$I:$I,Input!$H:$H,'1.CC Transition risk-Banking b.'!$A21&amp;"*",Input!$E:$E,'1.CC Transition risk-Banking b.'!Q$63,Input!$G:$G,"&gt;10",Input!$G:$G,"&lt;=20"),0))/1000000</f>
        <v>0</v>
      </c>
      <c r="R21" s="85">
        <f>(ROUND(SUMIFS(Input!$I:$I,Input!$H:$H,'1.CC Transition risk-Banking b.'!$A21&amp;"*",Input!$E:$E,'1.CC Transition risk-Banking b.'!R$63,Input!$G:$G,"&gt;20")
+ SUMIFS(Input!$I:$I,Input!$H:$H,'1.CC Transition risk-Banking b.'!$A21&amp;"*",Input!$E:$E,'1.CC Transition risk-Banking b.'!R$63,Input!$G:$G,"-2")
+ SUMIFS(Input!$I:$I,Input!$H:$H,'1.CC Transition risk-Banking b.'!$A21&amp;"*",Input!$E:$E,'1.CC Transition risk-Banking b.'!R$63,Input!$G:$G,"-3"),0))/1000000</f>
        <v>0</v>
      </c>
      <c r="S21" s="86">
        <f>ROUND(IFERROR((SUMIFS(Input!$Q:$Q,Input!$H:$H,'1.CC Transition risk-Banking b.'!$A21&amp;"*",Input!$E:$E,'1.CC Transition risk-Banking b.'!S$63,Input!$G:$G,"&gt;0")/1000000)/'1.CC Transition risk-Banking b.'!$D21,0),0)</f>
        <v>0</v>
      </c>
    </row>
    <row r="22" spans="1:19" x14ac:dyDescent="0.3">
      <c r="A22" s="96" t="s">
        <v>112</v>
      </c>
      <c r="B22" s="66">
        <v>17</v>
      </c>
      <c r="C22" s="69" t="s">
        <v>113</v>
      </c>
      <c r="D22" s="83">
        <f>(ROUND(SUMIFS(Input!$I:$I,Input!$H:$H,'1.CC Transition risk-Banking b.'!$A22&amp;"*",Input!$E:$E,'1.CC Transition risk-Banking b.'!$D$63),0))/1000000</f>
        <v>0</v>
      </c>
      <c r="E22" s="83">
        <f>(ROUND(SUMIFS(Input!$I:$I,Input!$H:$H,'1.CC Transition risk-Banking b.'!$A22&amp;"*",Input!$E:$E,'1.CC Transition risk-Banking b.'!$E$63,Input!$F:$F,'1.CC Transition risk-Banking b.'!$E$64),0))/1000000</f>
        <v>0</v>
      </c>
      <c r="F22" s="83">
        <f>(ROUND(SUMIFS(Input!$P:$P,Input!$H:$H,'1.CC Transition risk-Banking b.'!$A22&amp;"*",Input!$E:$E,'1.CC Transition risk-Banking b.'!$E$63,Input!$O:$O,'1.CC Transition risk-Banking b.'!$F$63),0))/1000000</f>
        <v>0</v>
      </c>
      <c r="G22" s="83">
        <f>(ROUND(SUMIFS(Input!$I:$I,Input!$H:$H,'1.CC Transition risk-Banking b.'!$A22&amp;"*",Input!$E:$E,'1.CC Transition risk-Banking b.'!$G$63,Input!$C:$C,'1.CC Transition risk-Banking b.'!$G$64),0))/1000000</f>
        <v>0</v>
      </c>
      <c r="H22" s="83">
        <f>(ROUND(SUMIFS(Input!$I:$I,Input!$H:$H,'1.CC Transition risk-Banking b.'!$A22&amp;"*",Input!$E:$E,'1.CC Transition risk-Banking b.'!$H$63,Input!$C:$C,'1.CC Transition risk-Banking b.'!$H$64),0))/1000000</f>
        <v>0</v>
      </c>
      <c r="I22" s="83">
        <f>(ROUND(SUMIFS(Input!$I:$I,Input!$H:$H,'1.CC Transition risk-Banking b.'!$A22&amp;"*",Input!$E:$E,'1.CC Transition risk-Banking b.'!$I$63),0))/1000000</f>
        <v>0</v>
      </c>
      <c r="J22" s="83">
        <f>(ROUND(SUMIFS(Input!$I:$I,Input!$H:$H,'1.CC Transition risk-Banking b.'!$A22&amp;"*",Input!$E:$E,'1.CC Transition risk-Banking b.'!$J$63,Input!$C:$C,'1.CC Transition risk-Banking b.'!$J$64),0))/1000000</f>
        <v>0</v>
      </c>
      <c r="K22" s="83">
        <f>(ROUND(SUMIFS(Input!$I:$I,Input!$H:$H,'1.CC Transition risk-Banking b.'!$A22&amp;"*",Input!$E:$E,'1.CC Transition risk-Banking b.'!$K$63,Input!$C:$C,'1.CC Transition risk-Banking b.'!$K$64),0))/1000000</f>
        <v>0</v>
      </c>
      <c r="L22" s="84">
        <f>(ROUND(SUMIFS(Input!$J:$J,Input!$H:$H,'1.CC Transition risk-Banking b.'!$A22&amp;"*")
+ SUMIFS(Input!$L:$L,Input!$H:$H,'1.CC Transition risk-Banking b.'!$A22&amp;"*")
+SUMIFS(Input!$N:$N,Input!$H:$H,'1.CC Transition risk-Banking b.'!$A22&amp;"*"),0))/1000000</f>
        <v>0</v>
      </c>
      <c r="M22" s="84">
        <f>(ROUND(SUMIFS(Input!$N:$N,Input!$H:$H,'1.CC Transition risk-Banking b.'!$A22&amp;"*"),0))/1000000</f>
        <v>0</v>
      </c>
      <c r="N22" s="91">
        <f>IFERROR(AVERAGE(SUMIFS(Input!$I:$I,Input!$H:$H,'1.CC Transition risk-Banking b.'!$A22&amp;"*",Input!$R:$R,"SOUR1",Input!$E:$E,'1.CC Transition risk-Banking b.'!$O$63),
SUMIFS(Input!$I:$I,Input!$H:$H,'1.CC Transition risk-Banking b.'!$A22&amp;"*",Input!$S:$S,"SOUR1",Input!$E:$E,'1.CC Transition risk-Banking b.'!$O$63),
SUMIFS(Input!$I:$I,Input!$H:$H,'1.CC Transition risk-Banking b.'!$A22&amp;"*",Input!$T:$T,"SOUR1",Input!$E:$E,'1.CC Transition risk-Banking b.'!$O$63))/SUMIFS(Input!$I:$I,Input!$H:$H,'1.CC Transition risk-Banking b.'!$A22&amp;"*",Input!$E:$E,'1.CC Transition risk-Banking b.'!$O$63),0)</f>
        <v>0</v>
      </c>
      <c r="O22" s="85">
        <f>(ROUND(SUMIFS(Input!$I:$I,Input!$H:$H,'1.CC Transition risk-Banking b.'!$A22&amp;"*",Input!$E:$E,'1.CC Transition risk-Banking b.'!O$63,Input!$G:$G,"&gt;=0",Input!$G:$G,"&lt;=5")
+ SUMIFS(Input!$I:$I,Input!$H:$H,'1.CC Transition risk-Banking b.'!$A22&amp;"*",Input!$E:$E,'1.CC Transition risk-Banking b.'!O$63,Input!$G:$G,"-4")
+ SUMIFS(Input!$I:$I,Input!$H:$H,'1.CC Transition risk-Banking b.'!$A22&amp;"*",Input!$E:$E,'1.CC Transition risk-Banking b.'!O$63,Input!$G:$G,"-1"),0))/1000000</f>
        <v>0</v>
      </c>
      <c r="P22" s="85">
        <f>(ROUND(SUMIFS(Input!$I:$I,Input!$H:$H,'1.CC Transition risk-Banking b.'!$A22&amp;"*",Input!$E:$E,'1.CC Transition risk-Banking b.'!P$63,Input!$G:$G,"&gt;5",Input!$G:$G,"&lt;=10"),0))/1000000</f>
        <v>0</v>
      </c>
      <c r="Q22" s="85">
        <f>(ROUND(SUMIFS(Input!$I:$I,Input!$H:$H,'1.CC Transition risk-Banking b.'!$A22&amp;"*",Input!$E:$E,'1.CC Transition risk-Banking b.'!Q$63,Input!$G:$G,"&gt;10",Input!$G:$G,"&lt;=20"),0))/1000000</f>
        <v>0</v>
      </c>
      <c r="R22" s="85">
        <f>(ROUND(SUMIFS(Input!$I:$I,Input!$H:$H,'1.CC Transition risk-Banking b.'!$A22&amp;"*",Input!$E:$E,'1.CC Transition risk-Banking b.'!R$63,Input!$G:$G,"&gt;20")
+ SUMIFS(Input!$I:$I,Input!$H:$H,'1.CC Transition risk-Banking b.'!$A22&amp;"*",Input!$E:$E,'1.CC Transition risk-Banking b.'!R$63,Input!$G:$G,"-2")
+ SUMIFS(Input!$I:$I,Input!$H:$H,'1.CC Transition risk-Banking b.'!$A22&amp;"*",Input!$E:$E,'1.CC Transition risk-Banking b.'!R$63,Input!$G:$G,"-3"),0))/1000000</f>
        <v>0</v>
      </c>
      <c r="S22" s="86">
        <f>ROUND(IFERROR((SUMIFS(Input!$Q:$Q,Input!$H:$H,'1.CC Transition risk-Banking b.'!$A22&amp;"*",Input!$E:$E,'1.CC Transition risk-Banking b.'!S$63,Input!$G:$G,"&gt;0")/1000000)/'1.CC Transition risk-Banking b.'!$D22,0),0)</f>
        <v>0</v>
      </c>
    </row>
    <row r="23" spans="1:19" x14ac:dyDescent="0.3">
      <c r="A23" s="96" t="s">
        <v>114</v>
      </c>
      <c r="B23" s="66">
        <v>18</v>
      </c>
      <c r="C23" s="69" t="s">
        <v>115</v>
      </c>
      <c r="D23" s="83">
        <f>(ROUND(SUMIFS(Input!$I:$I,Input!$H:$H,'1.CC Transition risk-Banking b.'!$A23&amp;"*",Input!$E:$E,'1.CC Transition risk-Banking b.'!$D$63),0))/1000000</f>
        <v>0</v>
      </c>
      <c r="E23" s="83">
        <f>(ROUND(SUMIFS(Input!$I:$I,Input!$H:$H,'1.CC Transition risk-Banking b.'!$A23&amp;"*",Input!$E:$E,'1.CC Transition risk-Banking b.'!$E$63,Input!$F:$F,'1.CC Transition risk-Banking b.'!$E$64),0))/1000000</f>
        <v>0</v>
      </c>
      <c r="F23" s="83">
        <f>(ROUND(SUMIFS(Input!$P:$P,Input!$H:$H,'1.CC Transition risk-Banking b.'!$A23&amp;"*",Input!$E:$E,'1.CC Transition risk-Banking b.'!$E$63,Input!$O:$O,'1.CC Transition risk-Banking b.'!$F$63),0))/1000000</f>
        <v>0</v>
      </c>
      <c r="G23" s="83">
        <f>(ROUND(SUMIFS(Input!$I:$I,Input!$H:$H,'1.CC Transition risk-Banking b.'!$A23&amp;"*",Input!$E:$E,'1.CC Transition risk-Banking b.'!$G$63,Input!$C:$C,'1.CC Transition risk-Banking b.'!$G$64),0))/1000000</f>
        <v>0</v>
      </c>
      <c r="H23" s="83">
        <f>(ROUND(SUMIFS(Input!$I:$I,Input!$H:$H,'1.CC Transition risk-Banking b.'!$A23&amp;"*",Input!$E:$E,'1.CC Transition risk-Banking b.'!$H$63,Input!$C:$C,'1.CC Transition risk-Banking b.'!$H$64),0))/1000000</f>
        <v>0</v>
      </c>
      <c r="I23" s="83">
        <f>(ROUND(SUMIFS(Input!$I:$I,Input!$H:$H,'1.CC Transition risk-Banking b.'!$A23&amp;"*",Input!$E:$E,'1.CC Transition risk-Banking b.'!$I$63),0))/1000000</f>
        <v>0</v>
      </c>
      <c r="J23" s="83">
        <f>(ROUND(SUMIFS(Input!$I:$I,Input!$H:$H,'1.CC Transition risk-Banking b.'!$A23&amp;"*",Input!$E:$E,'1.CC Transition risk-Banking b.'!$J$63,Input!$C:$C,'1.CC Transition risk-Banking b.'!$J$64),0))/1000000</f>
        <v>0</v>
      </c>
      <c r="K23" s="83">
        <f>(ROUND(SUMIFS(Input!$I:$I,Input!$H:$H,'1.CC Transition risk-Banking b.'!$A23&amp;"*",Input!$E:$E,'1.CC Transition risk-Banking b.'!$K$63,Input!$C:$C,'1.CC Transition risk-Banking b.'!$K$64),0))/1000000</f>
        <v>0</v>
      </c>
      <c r="L23" s="84">
        <f>(ROUND(SUMIFS(Input!$J:$J,Input!$H:$H,'1.CC Transition risk-Banking b.'!$A23&amp;"*")
+ SUMIFS(Input!$L:$L,Input!$H:$H,'1.CC Transition risk-Banking b.'!$A23&amp;"*")
+SUMIFS(Input!$N:$N,Input!$H:$H,'1.CC Transition risk-Banking b.'!$A23&amp;"*"),0))/1000000</f>
        <v>0</v>
      </c>
      <c r="M23" s="84">
        <f>(ROUND(SUMIFS(Input!$N:$N,Input!$H:$H,'1.CC Transition risk-Banking b.'!$A23&amp;"*"),0))/1000000</f>
        <v>0</v>
      </c>
      <c r="N23" s="91">
        <f>IFERROR(AVERAGE(SUMIFS(Input!$I:$I,Input!$H:$H,'1.CC Transition risk-Banking b.'!$A23&amp;"*",Input!$R:$R,"SOUR1",Input!$E:$E,'1.CC Transition risk-Banking b.'!$O$63),
SUMIFS(Input!$I:$I,Input!$H:$H,'1.CC Transition risk-Banking b.'!$A23&amp;"*",Input!$S:$S,"SOUR1",Input!$E:$E,'1.CC Transition risk-Banking b.'!$O$63),
SUMIFS(Input!$I:$I,Input!$H:$H,'1.CC Transition risk-Banking b.'!$A23&amp;"*",Input!$T:$T,"SOUR1",Input!$E:$E,'1.CC Transition risk-Banking b.'!$O$63))/SUMIFS(Input!$I:$I,Input!$H:$H,'1.CC Transition risk-Banking b.'!$A23&amp;"*",Input!$E:$E,'1.CC Transition risk-Banking b.'!$O$63),0)</f>
        <v>0</v>
      </c>
      <c r="O23" s="85">
        <f>(ROUND(SUMIFS(Input!$I:$I,Input!$H:$H,'1.CC Transition risk-Banking b.'!$A23&amp;"*",Input!$E:$E,'1.CC Transition risk-Banking b.'!O$63,Input!$G:$G,"&gt;=0",Input!$G:$G,"&lt;=5")
+ SUMIFS(Input!$I:$I,Input!$H:$H,'1.CC Transition risk-Banking b.'!$A23&amp;"*",Input!$E:$E,'1.CC Transition risk-Banking b.'!O$63,Input!$G:$G,"-4")
+ SUMIFS(Input!$I:$I,Input!$H:$H,'1.CC Transition risk-Banking b.'!$A23&amp;"*",Input!$E:$E,'1.CC Transition risk-Banking b.'!O$63,Input!$G:$G,"-1"),0))/1000000</f>
        <v>0</v>
      </c>
      <c r="P23" s="85">
        <f>(ROUND(SUMIFS(Input!$I:$I,Input!$H:$H,'1.CC Transition risk-Banking b.'!$A23&amp;"*",Input!$E:$E,'1.CC Transition risk-Banking b.'!P$63,Input!$G:$G,"&gt;5",Input!$G:$G,"&lt;=10"),0))/1000000</f>
        <v>0</v>
      </c>
      <c r="Q23" s="85">
        <f>(ROUND(SUMIFS(Input!$I:$I,Input!$H:$H,'1.CC Transition risk-Banking b.'!$A23&amp;"*",Input!$E:$E,'1.CC Transition risk-Banking b.'!Q$63,Input!$G:$G,"&gt;10",Input!$G:$G,"&lt;=20"),0))/1000000</f>
        <v>0</v>
      </c>
      <c r="R23" s="85">
        <f>(ROUND(SUMIFS(Input!$I:$I,Input!$H:$H,'1.CC Transition risk-Banking b.'!$A23&amp;"*",Input!$E:$E,'1.CC Transition risk-Banking b.'!R$63,Input!$G:$G,"&gt;20")
+ SUMIFS(Input!$I:$I,Input!$H:$H,'1.CC Transition risk-Banking b.'!$A23&amp;"*",Input!$E:$E,'1.CC Transition risk-Banking b.'!R$63,Input!$G:$G,"-2")
+ SUMIFS(Input!$I:$I,Input!$H:$H,'1.CC Transition risk-Banking b.'!$A23&amp;"*",Input!$E:$E,'1.CC Transition risk-Banking b.'!R$63,Input!$G:$G,"-3"),0))/1000000</f>
        <v>0</v>
      </c>
      <c r="S23" s="86">
        <f>ROUND(IFERROR((SUMIFS(Input!$Q:$Q,Input!$H:$H,'1.CC Transition risk-Banking b.'!$A23&amp;"*",Input!$E:$E,'1.CC Transition risk-Banking b.'!S$63,Input!$G:$G,"&gt;0")/1000000)/'1.CC Transition risk-Banking b.'!$D23,0),0)</f>
        <v>0</v>
      </c>
    </row>
    <row r="24" spans="1:19" x14ac:dyDescent="0.3">
      <c r="A24" s="96" t="s">
        <v>116</v>
      </c>
      <c r="B24" s="66">
        <v>19</v>
      </c>
      <c r="C24" s="69" t="s">
        <v>117</v>
      </c>
      <c r="D24" s="83">
        <f>(ROUND(SUMIFS(Input!$I:$I,Input!$H:$H,'1.CC Transition risk-Banking b.'!$A24&amp;"*",Input!$E:$E,'1.CC Transition risk-Banking b.'!$D$63),0))/1000000</f>
        <v>0</v>
      </c>
      <c r="E24" s="83">
        <f>(ROUND(SUMIFS(Input!$I:$I,Input!$H:$H,'1.CC Transition risk-Banking b.'!$A24&amp;"*",Input!$E:$E,'1.CC Transition risk-Banking b.'!$E$63,Input!$F:$F,'1.CC Transition risk-Banking b.'!$E$64),0))/1000000</f>
        <v>0</v>
      </c>
      <c r="F24" s="83">
        <f>(ROUND(SUMIFS(Input!$P:$P,Input!$H:$H,'1.CC Transition risk-Banking b.'!$A24&amp;"*",Input!$E:$E,'1.CC Transition risk-Banking b.'!$E$63,Input!$O:$O,'1.CC Transition risk-Banking b.'!$F$63),0))/1000000</f>
        <v>0</v>
      </c>
      <c r="G24" s="83">
        <f>(ROUND(SUMIFS(Input!$I:$I,Input!$H:$H,'1.CC Transition risk-Banking b.'!$A24&amp;"*",Input!$E:$E,'1.CC Transition risk-Banking b.'!$G$63,Input!$C:$C,'1.CC Transition risk-Banking b.'!$G$64),0))/1000000</f>
        <v>0</v>
      </c>
      <c r="H24" s="83">
        <f>(ROUND(SUMIFS(Input!$I:$I,Input!$H:$H,'1.CC Transition risk-Banking b.'!$A24&amp;"*",Input!$E:$E,'1.CC Transition risk-Banking b.'!$H$63,Input!$C:$C,'1.CC Transition risk-Banking b.'!$H$64),0))/1000000</f>
        <v>0</v>
      </c>
      <c r="I24" s="83">
        <f>(ROUND(SUMIFS(Input!$I:$I,Input!$H:$H,'1.CC Transition risk-Banking b.'!$A24&amp;"*",Input!$E:$E,'1.CC Transition risk-Banking b.'!$I$63),0))/1000000</f>
        <v>0</v>
      </c>
      <c r="J24" s="83">
        <f>(ROUND(SUMIFS(Input!$I:$I,Input!$H:$H,'1.CC Transition risk-Banking b.'!$A24&amp;"*",Input!$E:$E,'1.CC Transition risk-Banking b.'!$J$63,Input!$C:$C,'1.CC Transition risk-Banking b.'!$J$64),0))/1000000</f>
        <v>0</v>
      </c>
      <c r="K24" s="83">
        <f>(ROUND(SUMIFS(Input!$I:$I,Input!$H:$H,'1.CC Transition risk-Banking b.'!$A24&amp;"*",Input!$E:$E,'1.CC Transition risk-Banking b.'!$K$63,Input!$C:$C,'1.CC Transition risk-Banking b.'!$K$64),0))/1000000</f>
        <v>0</v>
      </c>
      <c r="L24" s="84">
        <f>(ROUND(SUMIFS(Input!$J:$J,Input!$H:$H,'1.CC Transition risk-Banking b.'!$A24&amp;"*")
+ SUMIFS(Input!$L:$L,Input!$H:$H,'1.CC Transition risk-Banking b.'!$A24&amp;"*")
+SUMIFS(Input!$N:$N,Input!$H:$H,'1.CC Transition risk-Banking b.'!$A24&amp;"*"),0))/1000000</f>
        <v>0</v>
      </c>
      <c r="M24" s="84">
        <f>(ROUND(SUMIFS(Input!$N:$N,Input!$H:$H,'1.CC Transition risk-Banking b.'!$A24&amp;"*"),0))/1000000</f>
        <v>0</v>
      </c>
      <c r="N24" s="91">
        <f>IFERROR(AVERAGE(SUMIFS(Input!$I:$I,Input!$H:$H,'1.CC Transition risk-Banking b.'!$A24&amp;"*",Input!$R:$R,"SOUR1",Input!$E:$E,'1.CC Transition risk-Banking b.'!$O$63),
SUMIFS(Input!$I:$I,Input!$H:$H,'1.CC Transition risk-Banking b.'!$A24&amp;"*",Input!$S:$S,"SOUR1",Input!$E:$E,'1.CC Transition risk-Banking b.'!$O$63),
SUMIFS(Input!$I:$I,Input!$H:$H,'1.CC Transition risk-Banking b.'!$A24&amp;"*",Input!$T:$T,"SOUR1",Input!$E:$E,'1.CC Transition risk-Banking b.'!$O$63))/SUMIFS(Input!$I:$I,Input!$H:$H,'1.CC Transition risk-Banking b.'!$A24&amp;"*",Input!$E:$E,'1.CC Transition risk-Banking b.'!$O$63),0)</f>
        <v>0</v>
      </c>
      <c r="O24" s="85">
        <f>(ROUND(SUMIFS(Input!$I:$I,Input!$H:$H,'1.CC Transition risk-Banking b.'!$A24&amp;"*",Input!$E:$E,'1.CC Transition risk-Banking b.'!O$63,Input!$G:$G,"&gt;=0",Input!$G:$G,"&lt;=5")
+ SUMIFS(Input!$I:$I,Input!$H:$H,'1.CC Transition risk-Banking b.'!$A24&amp;"*",Input!$E:$E,'1.CC Transition risk-Banking b.'!O$63,Input!$G:$G,"-4")
+ SUMIFS(Input!$I:$I,Input!$H:$H,'1.CC Transition risk-Banking b.'!$A24&amp;"*",Input!$E:$E,'1.CC Transition risk-Banking b.'!O$63,Input!$G:$G,"-1"),0))/1000000</f>
        <v>0</v>
      </c>
      <c r="P24" s="85">
        <f>(ROUND(SUMIFS(Input!$I:$I,Input!$H:$H,'1.CC Transition risk-Banking b.'!$A24&amp;"*",Input!$E:$E,'1.CC Transition risk-Banking b.'!P$63,Input!$G:$G,"&gt;5",Input!$G:$G,"&lt;=10"),0))/1000000</f>
        <v>0</v>
      </c>
      <c r="Q24" s="85">
        <f>(ROUND(SUMIFS(Input!$I:$I,Input!$H:$H,'1.CC Transition risk-Banking b.'!$A24&amp;"*",Input!$E:$E,'1.CC Transition risk-Banking b.'!Q$63,Input!$G:$G,"&gt;10",Input!$G:$G,"&lt;=20"),0))/1000000</f>
        <v>0</v>
      </c>
      <c r="R24" s="85">
        <f>(ROUND(SUMIFS(Input!$I:$I,Input!$H:$H,'1.CC Transition risk-Banking b.'!$A24&amp;"*",Input!$E:$E,'1.CC Transition risk-Banking b.'!R$63,Input!$G:$G,"&gt;20")
+ SUMIFS(Input!$I:$I,Input!$H:$H,'1.CC Transition risk-Banking b.'!$A24&amp;"*",Input!$E:$E,'1.CC Transition risk-Banking b.'!R$63,Input!$G:$G,"-2")
+ SUMIFS(Input!$I:$I,Input!$H:$H,'1.CC Transition risk-Banking b.'!$A24&amp;"*",Input!$E:$E,'1.CC Transition risk-Banking b.'!R$63,Input!$G:$G,"-3"),0))/1000000</f>
        <v>0</v>
      </c>
      <c r="S24" s="86">
        <f>ROUND(IFERROR((SUMIFS(Input!$Q:$Q,Input!$H:$H,'1.CC Transition risk-Banking b.'!$A24&amp;"*",Input!$E:$E,'1.CC Transition risk-Banking b.'!S$63,Input!$G:$G,"&gt;0")/1000000)/'1.CC Transition risk-Banking b.'!$D24,0),0)</f>
        <v>0</v>
      </c>
    </row>
    <row r="25" spans="1:19" x14ac:dyDescent="0.3">
      <c r="A25" s="96" t="s">
        <v>118</v>
      </c>
      <c r="B25" s="66">
        <v>20</v>
      </c>
      <c r="C25" s="69" t="s">
        <v>119</v>
      </c>
      <c r="D25" s="83">
        <f>(ROUND(SUMIFS(Input!$I:$I,Input!$H:$H,'1.CC Transition risk-Banking b.'!$A25&amp;"*",Input!$E:$E,'1.CC Transition risk-Banking b.'!$D$63),0))/1000000</f>
        <v>0</v>
      </c>
      <c r="E25" s="83">
        <f>(ROUND(SUMIFS(Input!$I:$I,Input!$H:$H,'1.CC Transition risk-Banking b.'!$A25&amp;"*",Input!$E:$E,'1.CC Transition risk-Banking b.'!$E$63,Input!$F:$F,'1.CC Transition risk-Banking b.'!$E$64),0))/1000000</f>
        <v>0</v>
      </c>
      <c r="F25" s="83">
        <f>(ROUND(SUMIFS(Input!$P:$P,Input!$H:$H,'1.CC Transition risk-Banking b.'!$A25&amp;"*",Input!$E:$E,'1.CC Transition risk-Banking b.'!$E$63,Input!$O:$O,'1.CC Transition risk-Banking b.'!$F$63),0))/1000000</f>
        <v>0</v>
      </c>
      <c r="G25" s="83">
        <f>(ROUND(SUMIFS(Input!$I:$I,Input!$H:$H,'1.CC Transition risk-Banking b.'!$A25&amp;"*",Input!$E:$E,'1.CC Transition risk-Banking b.'!$G$63,Input!$C:$C,'1.CC Transition risk-Banking b.'!$G$64),0))/1000000</f>
        <v>0</v>
      </c>
      <c r="H25" s="83">
        <f>(ROUND(SUMIFS(Input!$I:$I,Input!$H:$H,'1.CC Transition risk-Banking b.'!$A25&amp;"*",Input!$E:$E,'1.CC Transition risk-Banking b.'!$H$63,Input!$C:$C,'1.CC Transition risk-Banking b.'!$H$64),0))/1000000</f>
        <v>0</v>
      </c>
      <c r="I25" s="83">
        <f>(ROUND(SUMIFS(Input!$I:$I,Input!$H:$H,'1.CC Transition risk-Banking b.'!$A25&amp;"*",Input!$E:$E,'1.CC Transition risk-Banking b.'!$I$63),0))/1000000</f>
        <v>0</v>
      </c>
      <c r="J25" s="83">
        <f>(ROUND(SUMIFS(Input!$I:$I,Input!$H:$H,'1.CC Transition risk-Banking b.'!$A25&amp;"*",Input!$E:$E,'1.CC Transition risk-Banking b.'!$J$63,Input!$C:$C,'1.CC Transition risk-Banking b.'!$J$64),0))/1000000</f>
        <v>0</v>
      </c>
      <c r="K25" s="83">
        <f>(ROUND(SUMIFS(Input!$I:$I,Input!$H:$H,'1.CC Transition risk-Banking b.'!$A25&amp;"*",Input!$E:$E,'1.CC Transition risk-Banking b.'!$K$63,Input!$C:$C,'1.CC Transition risk-Banking b.'!$K$64),0))/1000000</f>
        <v>0</v>
      </c>
      <c r="L25" s="84">
        <f>(ROUND(SUMIFS(Input!$J:$J,Input!$H:$H,'1.CC Transition risk-Banking b.'!$A25&amp;"*")
+ SUMIFS(Input!$L:$L,Input!$H:$H,'1.CC Transition risk-Banking b.'!$A25&amp;"*")
+SUMIFS(Input!$N:$N,Input!$H:$H,'1.CC Transition risk-Banking b.'!$A25&amp;"*"),0))/1000000</f>
        <v>0</v>
      </c>
      <c r="M25" s="84">
        <f>(ROUND(SUMIFS(Input!$N:$N,Input!$H:$H,'1.CC Transition risk-Banking b.'!$A25&amp;"*"),0))/1000000</f>
        <v>0</v>
      </c>
      <c r="N25" s="91">
        <f>IFERROR(AVERAGE(SUMIFS(Input!$I:$I,Input!$H:$H,'1.CC Transition risk-Banking b.'!$A25&amp;"*",Input!$R:$R,"SOUR1",Input!$E:$E,'1.CC Transition risk-Banking b.'!$O$63),
SUMIFS(Input!$I:$I,Input!$H:$H,'1.CC Transition risk-Banking b.'!$A25&amp;"*",Input!$S:$S,"SOUR1",Input!$E:$E,'1.CC Transition risk-Banking b.'!$O$63),
SUMIFS(Input!$I:$I,Input!$H:$H,'1.CC Transition risk-Banking b.'!$A25&amp;"*",Input!$T:$T,"SOUR1",Input!$E:$E,'1.CC Transition risk-Banking b.'!$O$63))/SUMIFS(Input!$I:$I,Input!$H:$H,'1.CC Transition risk-Banking b.'!$A25&amp;"*",Input!$E:$E,'1.CC Transition risk-Banking b.'!$O$63),0)</f>
        <v>0</v>
      </c>
      <c r="O25" s="85">
        <f>(ROUND(SUMIFS(Input!$I:$I,Input!$H:$H,'1.CC Transition risk-Banking b.'!$A25&amp;"*",Input!$E:$E,'1.CC Transition risk-Banking b.'!O$63,Input!$G:$G,"&gt;=0",Input!$G:$G,"&lt;=5")
+ SUMIFS(Input!$I:$I,Input!$H:$H,'1.CC Transition risk-Banking b.'!$A25&amp;"*",Input!$E:$E,'1.CC Transition risk-Banking b.'!O$63,Input!$G:$G,"-4")
+ SUMIFS(Input!$I:$I,Input!$H:$H,'1.CC Transition risk-Banking b.'!$A25&amp;"*",Input!$E:$E,'1.CC Transition risk-Banking b.'!O$63,Input!$G:$G,"-1"),0))/1000000</f>
        <v>0</v>
      </c>
      <c r="P25" s="85">
        <f>(ROUND(SUMIFS(Input!$I:$I,Input!$H:$H,'1.CC Transition risk-Banking b.'!$A25&amp;"*",Input!$E:$E,'1.CC Transition risk-Banking b.'!P$63,Input!$G:$G,"&gt;5",Input!$G:$G,"&lt;=10"),0))/1000000</f>
        <v>0</v>
      </c>
      <c r="Q25" s="85">
        <f>(ROUND(SUMIFS(Input!$I:$I,Input!$H:$H,'1.CC Transition risk-Banking b.'!$A25&amp;"*",Input!$E:$E,'1.CC Transition risk-Banking b.'!Q$63,Input!$G:$G,"&gt;10",Input!$G:$G,"&lt;=20"),0))/1000000</f>
        <v>0</v>
      </c>
      <c r="R25" s="85">
        <f>(ROUND(SUMIFS(Input!$I:$I,Input!$H:$H,'1.CC Transition risk-Banking b.'!$A25&amp;"*",Input!$E:$E,'1.CC Transition risk-Banking b.'!R$63,Input!$G:$G,"&gt;20")
+ SUMIFS(Input!$I:$I,Input!$H:$H,'1.CC Transition risk-Banking b.'!$A25&amp;"*",Input!$E:$E,'1.CC Transition risk-Banking b.'!R$63,Input!$G:$G,"-2")
+ SUMIFS(Input!$I:$I,Input!$H:$H,'1.CC Transition risk-Banking b.'!$A25&amp;"*",Input!$E:$E,'1.CC Transition risk-Banking b.'!R$63,Input!$G:$G,"-3"),0))/1000000</f>
        <v>0</v>
      </c>
      <c r="S25" s="86">
        <f>ROUND(IFERROR((SUMIFS(Input!$Q:$Q,Input!$H:$H,'1.CC Transition risk-Banking b.'!$A25&amp;"*",Input!$E:$E,'1.CC Transition risk-Banking b.'!S$63,Input!$G:$G,"&gt;0")/1000000)/'1.CC Transition risk-Banking b.'!$D25,0),0)</f>
        <v>0</v>
      </c>
    </row>
    <row r="26" spans="1:19" x14ac:dyDescent="0.3">
      <c r="A26" s="96" t="s">
        <v>120</v>
      </c>
      <c r="B26" s="66">
        <v>21</v>
      </c>
      <c r="C26" s="69" t="s">
        <v>121</v>
      </c>
      <c r="D26" s="83">
        <f>(ROUND(SUMIFS(Input!$I:$I,Input!$H:$H,'1.CC Transition risk-Banking b.'!$A26&amp;"*",Input!$E:$E,'1.CC Transition risk-Banking b.'!$D$63),0))/1000000</f>
        <v>0</v>
      </c>
      <c r="E26" s="83">
        <f>(ROUND(SUMIFS(Input!$I:$I,Input!$H:$H,'1.CC Transition risk-Banking b.'!$A26&amp;"*",Input!$E:$E,'1.CC Transition risk-Banking b.'!$E$63,Input!$F:$F,'1.CC Transition risk-Banking b.'!$E$64),0))/1000000</f>
        <v>0</v>
      </c>
      <c r="F26" s="83">
        <f>(ROUND(SUMIFS(Input!$P:$P,Input!$H:$H,'1.CC Transition risk-Banking b.'!$A26&amp;"*",Input!$E:$E,'1.CC Transition risk-Banking b.'!$E$63,Input!$O:$O,'1.CC Transition risk-Banking b.'!$F$63),0))/1000000</f>
        <v>0</v>
      </c>
      <c r="G26" s="83">
        <f>(ROUND(SUMIFS(Input!$I:$I,Input!$H:$H,'1.CC Transition risk-Banking b.'!$A26&amp;"*",Input!$E:$E,'1.CC Transition risk-Banking b.'!$G$63,Input!$C:$C,'1.CC Transition risk-Banking b.'!$G$64),0))/1000000</f>
        <v>0</v>
      </c>
      <c r="H26" s="83">
        <f>(ROUND(SUMIFS(Input!$I:$I,Input!$H:$H,'1.CC Transition risk-Banking b.'!$A26&amp;"*",Input!$E:$E,'1.CC Transition risk-Banking b.'!$H$63,Input!$C:$C,'1.CC Transition risk-Banking b.'!$H$64),0))/1000000</f>
        <v>0</v>
      </c>
      <c r="I26" s="83">
        <f>(ROUND(SUMIFS(Input!$I:$I,Input!$H:$H,'1.CC Transition risk-Banking b.'!$A26&amp;"*",Input!$E:$E,'1.CC Transition risk-Banking b.'!$I$63),0))/1000000</f>
        <v>0</v>
      </c>
      <c r="J26" s="83">
        <f>(ROUND(SUMIFS(Input!$I:$I,Input!$H:$H,'1.CC Transition risk-Banking b.'!$A26&amp;"*",Input!$E:$E,'1.CC Transition risk-Banking b.'!$J$63,Input!$C:$C,'1.CC Transition risk-Banking b.'!$J$64),0))/1000000</f>
        <v>0</v>
      </c>
      <c r="K26" s="83">
        <f>(ROUND(SUMIFS(Input!$I:$I,Input!$H:$H,'1.CC Transition risk-Banking b.'!$A26&amp;"*",Input!$E:$E,'1.CC Transition risk-Banking b.'!$K$63,Input!$C:$C,'1.CC Transition risk-Banking b.'!$K$64),0))/1000000</f>
        <v>0</v>
      </c>
      <c r="L26" s="84">
        <f>(ROUND(SUMIFS(Input!$J:$J,Input!$H:$H,'1.CC Transition risk-Banking b.'!$A26&amp;"*")
+ SUMIFS(Input!$L:$L,Input!$H:$H,'1.CC Transition risk-Banking b.'!$A26&amp;"*")
+SUMIFS(Input!$N:$N,Input!$H:$H,'1.CC Transition risk-Banking b.'!$A26&amp;"*"),0))/1000000</f>
        <v>0</v>
      </c>
      <c r="M26" s="84">
        <f>(ROUND(SUMIFS(Input!$N:$N,Input!$H:$H,'1.CC Transition risk-Banking b.'!$A26&amp;"*"),0))/1000000</f>
        <v>0</v>
      </c>
      <c r="N26" s="91">
        <f>IFERROR(AVERAGE(SUMIFS(Input!$I:$I,Input!$H:$H,'1.CC Transition risk-Banking b.'!$A26&amp;"*",Input!$R:$R,"SOUR1",Input!$E:$E,'1.CC Transition risk-Banking b.'!$O$63),
SUMIFS(Input!$I:$I,Input!$H:$H,'1.CC Transition risk-Banking b.'!$A26&amp;"*",Input!$S:$S,"SOUR1",Input!$E:$E,'1.CC Transition risk-Banking b.'!$O$63),
SUMIFS(Input!$I:$I,Input!$H:$H,'1.CC Transition risk-Banking b.'!$A26&amp;"*",Input!$T:$T,"SOUR1",Input!$E:$E,'1.CC Transition risk-Banking b.'!$O$63))/SUMIFS(Input!$I:$I,Input!$H:$H,'1.CC Transition risk-Banking b.'!$A26&amp;"*",Input!$E:$E,'1.CC Transition risk-Banking b.'!$O$63),0)</f>
        <v>0</v>
      </c>
      <c r="O26" s="85">
        <f>(ROUND(SUMIFS(Input!$I:$I,Input!$H:$H,'1.CC Transition risk-Banking b.'!$A26&amp;"*",Input!$E:$E,'1.CC Transition risk-Banking b.'!O$63,Input!$G:$G,"&gt;=0",Input!$G:$G,"&lt;=5")
+ SUMIFS(Input!$I:$I,Input!$H:$H,'1.CC Transition risk-Banking b.'!$A26&amp;"*",Input!$E:$E,'1.CC Transition risk-Banking b.'!O$63,Input!$G:$G,"-4")
+ SUMIFS(Input!$I:$I,Input!$H:$H,'1.CC Transition risk-Banking b.'!$A26&amp;"*",Input!$E:$E,'1.CC Transition risk-Banking b.'!O$63,Input!$G:$G,"-1"),0))/1000000</f>
        <v>0</v>
      </c>
      <c r="P26" s="85">
        <f>(ROUND(SUMIFS(Input!$I:$I,Input!$H:$H,'1.CC Transition risk-Banking b.'!$A26&amp;"*",Input!$E:$E,'1.CC Transition risk-Banking b.'!P$63,Input!$G:$G,"&gt;5",Input!$G:$G,"&lt;=10"),0))/1000000</f>
        <v>0</v>
      </c>
      <c r="Q26" s="85">
        <f>(ROUND(SUMIFS(Input!$I:$I,Input!$H:$H,'1.CC Transition risk-Banking b.'!$A26&amp;"*",Input!$E:$E,'1.CC Transition risk-Banking b.'!Q$63,Input!$G:$G,"&gt;10",Input!$G:$G,"&lt;=20"),0))/1000000</f>
        <v>0</v>
      </c>
      <c r="R26" s="85">
        <f>(ROUND(SUMIFS(Input!$I:$I,Input!$H:$H,'1.CC Transition risk-Banking b.'!$A26&amp;"*",Input!$E:$E,'1.CC Transition risk-Banking b.'!R$63,Input!$G:$G,"&gt;20")
+ SUMIFS(Input!$I:$I,Input!$H:$H,'1.CC Transition risk-Banking b.'!$A26&amp;"*",Input!$E:$E,'1.CC Transition risk-Banking b.'!R$63,Input!$G:$G,"-2")
+ SUMIFS(Input!$I:$I,Input!$H:$H,'1.CC Transition risk-Banking b.'!$A26&amp;"*",Input!$E:$E,'1.CC Transition risk-Banking b.'!R$63,Input!$G:$G,"-3"),0))/1000000</f>
        <v>0</v>
      </c>
      <c r="S26" s="86">
        <f>ROUND(IFERROR((SUMIFS(Input!$Q:$Q,Input!$H:$H,'1.CC Transition risk-Banking b.'!$A26&amp;"*",Input!$E:$E,'1.CC Transition risk-Banking b.'!S$63,Input!$G:$G,"&gt;0")/1000000)/'1.CC Transition risk-Banking b.'!$D26,0),0)</f>
        <v>0</v>
      </c>
    </row>
    <row r="27" spans="1:19" x14ac:dyDescent="0.3">
      <c r="A27" s="96" t="s">
        <v>122</v>
      </c>
      <c r="B27" s="66">
        <v>22</v>
      </c>
      <c r="C27" s="69" t="s">
        <v>123</v>
      </c>
      <c r="D27" s="83">
        <f>(ROUND(SUMIFS(Input!$I:$I,Input!$H:$H,'1.CC Transition risk-Banking b.'!$A27&amp;"*",Input!$E:$E,'1.CC Transition risk-Banking b.'!$D$63),0))/1000000</f>
        <v>0</v>
      </c>
      <c r="E27" s="83">
        <f>(ROUND(SUMIFS(Input!$I:$I,Input!$H:$H,'1.CC Transition risk-Banking b.'!$A27&amp;"*",Input!$E:$E,'1.CC Transition risk-Banking b.'!$E$63,Input!$F:$F,'1.CC Transition risk-Banking b.'!$E$64),0))/1000000</f>
        <v>0</v>
      </c>
      <c r="F27" s="83">
        <f>(ROUND(SUMIFS(Input!$P:$P,Input!$H:$H,'1.CC Transition risk-Banking b.'!$A27&amp;"*",Input!$E:$E,'1.CC Transition risk-Banking b.'!$E$63,Input!$O:$O,'1.CC Transition risk-Banking b.'!$F$63),0))/1000000</f>
        <v>0</v>
      </c>
      <c r="G27" s="83">
        <f>(ROUND(SUMIFS(Input!$I:$I,Input!$H:$H,'1.CC Transition risk-Banking b.'!$A27&amp;"*",Input!$E:$E,'1.CC Transition risk-Banking b.'!$G$63,Input!$C:$C,'1.CC Transition risk-Banking b.'!$G$64),0))/1000000</f>
        <v>0</v>
      </c>
      <c r="H27" s="83">
        <f>(ROUND(SUMIFS(Input!$I:$I,Input!$H:$H,'1.CC Transition risk-Banking b.'!$A27&amp;"*",Input!$E:$E,'1.CC Transition risk-Banking b.'!$H$63,Input!$C:$C,'1.CC Transition risk-Banking b.'!$H$64),0))/1000000</f>
        <v>0</v>
      </c>
      <c r="I27" s="83">
        <f>(ROUND(SUMIFS(Input!$I:$I,Input!$H:$H,'1.CC Transition risk-Banking b.'!$A27&amp;"*",Input!$E:$E,'1.CC Transition risk-Banking b.'!$I$63),0))/1000000</f>
        <v>0</v>
      </c>
      <c r="J27" s="83">
        <f>(ROUND(SUMIFS(Input!$I:$I,Input!$H:$H,'1.CC Transition risk-Banking b.'!$A27&amp;"*",Input!$E:$E,'1.CC Transition risk-Banking b.'!$J$63,Input!$C:$C,'1.CC Transition risk-Banking b.'!$J$64),0))/1000000</f>
        <v>0</v>
      </c>
      <c r="K27" s="83">
        <f>(ROUND(SUMIFS(Input!$I:$I,Input!$H:$H,'1.CC Transition risk-Banking b.'!$A27&amp;"*",Input!$E:$E,'1.CC Transition risk-Banking b.'!$K$63,Input!$C:$C,'1.CC Transition risk-Banking b.'!$K$64),0))/1000000</f>
        <v>0</v>
      </c>
      <c r="L27" s="84">
        <f>(ROUND(SUMIFS(Input!$J:$J,Input!$H:$H,'1.CC Transition risk-Banking b.'!$A27&amp;"*")
+ SUMIFS(Input!$L:$L,Input!$H:$H,'1.CC Transition risk-Banking b.'!$A27&amp;"*")
+SUMIFS(Input!$N:$N,Input!$H:$H,'1.CC Transition risk-Banking b.'!$A27&amp;"*"),0))/1000000</f>
        <v>0</v>
      </c>
      <c r="M27" s="84">
        <f>(ROUND(SUMIFS(Input!$N:$N,Input!$H:$H,'1.CC Transition risk-Banking b.'!$A27&amp;"*"),0))/1000000</f>
        <v>0</v>
      </c>
      <c r="N27" s="91">
        <f>IFERROR(AVERAGE(SUMIFS(Input!$I:$I,Input!$H:$H,'1.CC Transition risk-Banking b.'!$A27&amp;"*",Input!$R:$R,"SOUR1",Input!$E:$E,'1.CC Transition risk-Banking b.'!$O$63),
SUMIFS(Input!$I:$I,Input!$H:$H,'1.CC Transition risk-Banking b.'!$A27&amp;"*",Input!$S:$S,"SOUR1",Input!$E:$E,'1.CC Transition risk-Banking b.'!$O$63),
SUMIFS(Input!$I:$I,Input!$H:$H,'1.CC Transition risk-Banking b.'!$A27&amp;"*",Input!$T:$T,"SOUR1",Input!$E:$E,'1.CC Transition risk-Banking b.'!$O$63))/SUMIFS(Input!$I:$I,Input!$H:$H,'1.CC Transition risk-Banking b.'!$A27&amp;"*",Input!$E:$E,'1.CC Transition risk-Banking b.'!$O$63),0)</f>
        <v>0</v>
      </c>
      <c r="O27" s="85">
        <f>(ROUND(SUMIFS(Input!$I:$I,Input!$H:$H,'1.CC Transition risk-Banking b.'!$A27&amp;"*",Input!$E:$E,'1.CC Transition risk-Banking b.'!O$63,Input!$G:$G,"&gt;=0",Input!$G:$G,"&lt;=5")
+ SUMIFS(Input!$I:$I,Input!$H:$H,'1.CC Transition risk-Banking b.'!$A27&amp;"*",Input!$E:$E,'1.CC Transition risk-Banking b.'!O$63,Input!$G:$G,"-4")
+ SUMIFS(Input!$I:$I,Input!$H:$H,'1.CC Transition risk-Banking b.'!$A27&amp;"*",Input!$E:$E,'1.CC Transition risk-Banking b.'!O$63,Input!$G:$G,"-1"),0))/1000000</f>
        <v>0</v>
      </c>
      <c r="P27" s="85">
        <f>(ROUND(SUMIFS(Input!$I:$I,Input!$H:$H,'1.CC Transition risk-Banking b.'!$A27&amp;"*",Input!$E:$E,'1.CC Transition risk-Banking b.'!P$63,Input!$G:$G,"&gt;5",Input!$G:$G,"&lt;=10"),0))/1000000</f>
        <v>0</v>
      </c>
      <c r="Q27" s="85">
        <f>(ROUND(SUMIFS(Input!$I:$I,Input!$H:$H,'1.CC Transition risk-Banking b.'!$A27&amp;"*",Input!$E:$E,'1.CC Transition risk-Banking b.'!Q$63,Input!$G:$G,"&gt;10",Input!$G:$G,"&lt;=20"),0))/1000000</f>
        <v>0</v>
      </c>
      <c r="R27" s="85">
        <f>(ROUND(SUMIFS(Input!$I:$I,Input!$H:$H,'1.CC Transition risk-Banking b.'!$A27&amp;"*",Input!$E:$E,'1.CC Transition risk-Banking b.'!R$63,Input!$G:$G,"&gt;20")
+ SUMIFS(Input!$I:$I,Input!$H:$H,'1.CC Transition risk-Banking b.'!$A27&amp;"*",Input!$E:$E,'1.CC Transition risk-Banking b.'!R$63,Input!$G:$G,"-2")
+ SUMIFS(Input!$I:$I,Input!$H:$H,'1.CC Transition risk-Banking b.'!$A27&amp;"*",Input!$E:$E,'1.CC Transition risk-Banking b.'!R$63,Input!$G:$G,"-3"),0))/1000000</f>
        <v>0</v>
      </c>
      <c r="S27" s="86">
        <f>ROUND(IFERROR((SUMIFS(Input!$Q:$Q,Input!$H:$H,'1.CC Transition risk-Banking b.'!$A27&amp;"*",Input!$E:$E,'1.CC Transition risk-Banking b.'!S$63,Input!$G:$G,"&gt;0")/1000000)/'1.CC Transition risk-Banking b.'!$D27,0),0)</f>
        <v>0</v>
      </c>
    </row>
    <row r="28" spans="1:19" x14ac:dyDescent="0.3">
      <c r="A28" s="96" t="s">
        <v>124</v>
      </c>
      <c r="B28" s="66">
        <v>23</v>
      </c>
      <c r="C28" s="69" t="s">
        <v>125</v>
      </c>
      <c r="D28" s="83">
        <f>(ROUND(SUMIFS(Input!$I:$I,Input!$H:$H,'1.CC Transition risk-Banking b.'!$A28&amp;"*",Input!$E:$E,'1.CC Transition risk-Banking b.'!$D$63),0))/1000000</f>
        <v>0</v>
      </c>
      <c r="E28" s="83">
        <f>(ROUND(SUMIFS(Input!$I:$I,Input!$H:$H,'1.CC Transition risk-Banking b.'!$A28&amp;"*",Input!$E:$E,'1.CC Transition risk-Banking b.'!$E$63,Input!$F:$F,'1.CC Transition risk-Banking b.'!$E$64),0))/1000000</f>
        <v>0</v>
      </c>
      <c r="F28" s="83">
        <f>(ROUND(SUMIFS(Input!$P:$P,Input!$H:$H,'1.CC Transition risk-Banking b.'!$A28&amp;"*",Input!$E:$E,'1.CC Transition risk-Banking b.'!$E$63,Input!$O:$O,'1.CC Transition risk-Banking b.'!$F$63),0))/1000000</f>
        <v>0</v>
      </c>
      <c r="G28" s="83">
        <f>(ROUND(SUMIFS(Input!$I:$I,Input!$H:$H,'1.CC Transition risk-Banking b.'!$A28&amp;"*",Input!$E:$E,'1.CC Transition risk-Banking b.'!$G$63,Input!$C:$C,'1.CC Transition risk-Banking b.'!$G$64),0))/1000000</f>
        <v>0</v>
      </c>
      <c r="H28" s="83">
        <f>(ROUND(SUMIFS(Input!$I:$I,Input!$H:$H,'1.CC Transition risk-Banking b.'!$A28&amp;"*",Input!$E:$E,'1.CC Transition risk-Banking b.'!$H$63,Input!$C:$C,'1.CC Transition risk-Banking b.'!$H$64),0))/1000000</f>
        <v>0</v>
      </c>
      <c r="I28" s="83">
        <f>(ROUND(SUMIFS(Input!$I:$I,Input!$H:$H,'1.CC Transition risk-Banking b.'!$A28&amp;"*",Input!$E:$E,'1.CC Transition risk-Banking b.'!$I$63),0))/1000000</f>
        <v>0</v>
      </c>
      <c r="J28" s="83">
        <f>(ROUND(SUMIFS(Input!$I:$I,Input!$H:$H,'1.CC Transition risk-Banking b.'!$A28&amp;"*",Input!$E:$E,'1.CC Transition risk-Banking b.'!$J$63,Input!$C:$C,'1.CC Transition risk-Banking b.'!$J$64),0))/1000000</f>
        <v>0</v>
      </c>
      <c r="K28" s="83">
        <f>(ROUND(SUMIFS(Input!$I:$I,Input!$H:$H,'1.CC Transition risk-Banking b.'!$A28&amp;"*",Input!$E:$E,'1.CC Transition risk-Banking b.'!$K$63,Input!$C:$C,'1.CC Transition risk-Banking b.'!$K$64),0))/1000000</f>
        <v>0</v>
      </c>
      <c r="L28" s="84">
        <f>(ROUND(SUMIFS(Input!$J:$J,Input!$H:$H,'1.CC Transition risk-Banking b.'!$A28&amp;"*")
+ SUMIFS(Input!$L:$L,Input!$H:$H,'1.CC Transition risk-Banking b.'!$A28&amp;"*")
+SUMIFS(Input!$N:$N,Input!$H:$H,'1.CC Transition risk-Banking b.'!$A28&amp;"*"),0))/1000000</f>
        <v>0</v>
      </c>
      <c r="M28" s="84">
        <f>(ROUND(SUMIFS(Input!$N:$N,Input!$H:$H,'1.CC Transition risk-Banking b.'!$A28&amp;"*"),0))/1000000</f>
        <v>0</v>
      </c>
      <c r="N28" s="91">
        <f>IFERROR(AVERAGE(SUMIFS(Input!$I:$I,Input!$H:$H,'1.CC Transition risk-Banking b.'!$A28&amp;"*",Input!$R:$R,"SOUR1",Input!$E:$E,'1.CC Transition risk-Banking b.'!$O$63),
SUMIFS(Input!$I:$I,Input!$H:$H,'1.CC Transition risk-Banking b.'!$A28&amp;"*",Input!$S:$S,"SOUR1",Input!$E:$E,'1.CC Transition risk-Banking b.'!$O$63),
SUMIFS(Input!$I:$I,Input!$H:$H,'1.CC Transition risk-Banking b.'!$A28&amp;"*",Input!$T:$T,"SOUR1",Input!$E:$E,'1.CC Transition risk-Banking b.'!$O$63))/SUMIFS(Input!$I:$I,Input!$H:$H,'1.CC Transition risk-Banking b.'!$A28&amp;"*",Input!$E:$E,'1.CC Transition risk-Banking b.'!$O$63),0)</f>
        <v>0</v>
      </c>
      <c r="O28" s="85">
        <f>(ROUND(SUMIFS(Input!$I:$I,Input!$H:$H,'1.CC Transition risk-Banking b.'!$A28&amp;"*",Input!$E:$E,'1.CC Transition risk-Banking b.'!O$63,Input!$G:$G,"&gt;=0",Input!$G:$G,"&lt;=5")
+ SUMIFS(Input!$I:$I,Input!$H:$H,'1.CC Transition risk-Banking b.'!$A28&amp;"*",Input!$E:$E,'1.CC Transition risk-Banking b.'!O$63,Input!$G:$G,"-4")
+ SUMIFS(Input!$I:$I,Input!$H:$H,'1.CC Transition risk-Banking b.'!$A28&amp;"*",Input!$E:$E,'1.CC Transition risk-Banking b.'!O$63,Input!$G:$G,"-1"),0))/1000000</f>
        <v>0</v>
      </c>
      <c r="P28" s="85">
        <f>(ROUND(SUMIFS(Input!$I:$I,Input!$H:$H,'1.CC Transition risk-Banking b.'!$A28&amp;"*",Input!$E:$E,'1.CC Transition risk-Banking b.'!P$63,Input!$G:$G,"&gt;5",Input!$G:$G,"&lt;=10"),0))/1000000</f>
        <v>0</v>
      </c>
      <c r="Q28" s="85">
        <f>(ROUND(SUMIFS(Input!$I:$I,Input!$H:$H,'1.CC Transition risk-Banking b.'!$A28&amp;"*",Input!$E:$E,'1.CC Transition risk-Banking b.'!Q$63,Input!$G:$G,"&gt;10",Input!$G:$G,"&lt;=20"),0))/1000000</f>
        <v>0</v>
      </c>
      <c r="R28" s="85">
        <f>(ROUND(SUMIFS(Input!$I:$I,Input!$H:$H,'1.CC Transition risk-Banking b.'!$A28&amp;"*",Input!$E:$E,'1.CC Transition risk-Banking b.'!R$63,Input!$G:$G,"&gt;20")
+ SUMIFS(Input!$I:$I,Input!$H:$H,'1.CC Transition risk-Banking b.'!$A28&amp;"*",Input!$E:$E,'1.CC Transition risk-Banking b.'!R$63,Input!$G:$G,"-2")
+ SUMIFS(Input!$I:$I,Input!$H:$H,'1.CC Transition risk-Banking b.'!$A28&amp;"*",Input!$E:$E,'1.CC Transition risk-Banking b.'!R$63,Input!$G:$G,"-3"),0))/1000000</f>
        <v>0</v>
      </c>
      <c r="S28" s="86">
        <f>ROUND(IFERROR((SUMIFS(Input!$Q:$Q,Input!$H:$H,'1.CC Transition risk-Banking b.'!$A28&amp;"*",Input!$E:$E,'1.CC Transition risk-Banking b.'!S$63,Input!$G:$G,"&gt;0")/1000000)/'1.CC Transition risk-Banking b.'!$D28,0),0)</f>
        <v>0</v>
      </c>
    </row>
    <row r="29" spans="1:19" x14ac:dyDescent="0.3">
      <c r="A29" s="96" t="s">
        <v>126</v>
      </c>
      <c r="B29" s="66">
        <v>24</v>
      </c>
      <c r="C29" s="69" t="s">
        <v>127</v>
      </c>
      <c r="D29" s="83">
        <f>(ROUND(SUMIFS(Input!$I:$I,Input!$H:$H,'1.CC Transition risk-Banking b.'!$A29&amp;"*",Input!$E:$E,'1.CC Transition risk-Banking b.'!$D$63),0))/1000000</f>
        <v>0</v>
      </c>
      <c r="E29" s="83">
        <f>(ROUND(SUMIFS(Input!$I:$I,Input!$H:$H,'1.CC Transition risk-Banking b.'!$A29&amp;"*",Input!$E:$E,'1.CC Transition risk-Banking b.'!$E$63,Input!$F:$F,'1.CC Transition risk-Banking b.'!$E$64),0))/1000000</f>
        <v>0</v>
      </c>
      <c r="F29" s="83">
        <f>(ROUND(SUMIFS(Input!$P:$P,Input!$H:$H,'1.CC Transition risk-Banking b.'!$A29&amp;"*",Input!$E:$E,'1.CC Transition risk-Banking b.'!$E$63,Input!$O:$O,'1.CC Transition risk-Banking b.'!$F$63),0))/1000000</f>
        <v>0</v>
      </c>
      <c r="G29" s="83">
        <f>(ROUND(SUMIFS(Input!$I:$I,Input!$H:$H,'1.CC Transition risk-Banking b.'!$A29&amp;"*",Input!$E:$E,'1.CC Transition risk-Banking b.'!$G$63,Input!$C:$C,'1.CC Transition risk-Banking b.'!$G$64),0))/1000000</f>
        <v>0</v>
      </c>
      <c r="H29" s="83">
        <f>(ROUND(SUMIFS(Input!$I:$I,Input!$H:$H,'1.CC Transition risk-Banking b.'!$A29&amp;"*",Input!$E:$E,'1.CC Transition risk-Banking b.'!$H$63,Input!$C:$C,'1.CC Transition risk-Banking b.'!$H$64),0))/1000000</f>
        <v>0</v>
      </c>
      <c r="I29" s="83">
        <f>(ROUND(SUMIFS(Input!$I:$I,Input!$H:$H,'1.CC Transition risk-Banking b.'!$A29&amp;"*",Input!$E:$E,'1.CC Transition risk-Banking b.'!$I$63),0))/1000000</f>
        <v>0</v>
      </c>
      <c r="J29" s="83">
        <f>(ROUND(SUMIFS(Input!$I:$I,Input!$H:$H,'1.CC Transition risk-Banking b.'!$A29&amp;"*",Input!$E:$E,'1.CC Transition risk-Banking b.'!$J$63,Input!$C:$C,'1.CC Transition risk-Banking b.'!$J$64),0))/1000000</f>
        <v>0</v>
      </c>
      <c r="K29" s="83">
        <f>(ROUND(SUMIFS(Input!$I:$I,Input!$H:$H,'1.CC Transition risk-Banking b.'!$A29&amp;"*",Input!$E:$E,'1.CC Transition risk-Banking b.'!$K$63,Input!$C:$C,'1.CC Transition risk-Banking b.'!$K$64),0))/1000000</f>
        <v>0</v>
      </c>
      <c r="L29" s="84">
        <f>(ROUND(SUMIFS(Input!$J:$J,Input!$H:$H,'1.CC Transition risk-Banking b.'!$A29&amp;"*")
+ SUMIFS(Input!$L:$L,Input!$H:$H,'1.CC Transition risk-Banking b.'!$A29&amp;"*")
+SUMIFS(Input!$N:$N,Input!$H:$H,'1.CC Transition risk-Banking b.'!$A29&amp;"*"),0))/1000000</f>
        <v>0</v>
      </c>
      <c r="M29" s="84">
        <f>(ROUND(SUMIFS(Input!$N:$N,Input!$H:$H,'1.CC Transition risk-Banking b.'!$A29&amp;"*"),0))/1000000</f>
        <v>0</v>
      </c>
      <c r="N29" s="91">
        <f>IFERROR(AVERAGE(SUMIFS(Input!$I:$I,Input!$H:$H,'1.CC Transition risk-Banking b.'!$A29&amp;"*",Input!$R:$R,"SOUR1",Input!$E:$E,'1.CC Transition risk-Banking b.'!$O$63),
SUMIFS(Input!$I:$I,Input!$H:$H,'1.CC Transition risk-Banking b.'!$A29&amp;"*",Input!$S:$S,"SOUR1",Input!$E:$E,'1.CC Transition risk-Banking b.'!$O$63),
SUMIFS(Input!$I:$I,Input!$H:$H,'1.CC Transition risk-Banking b.'!$A29&amp;"*",Input!$T:$T,"SOUR1",Input!$E:$E,'1.CC Transition risk-Banking b.'!$O$63))/SUMIFS(Input!$I:$I,Input!$H:$H,'1.CC Transition risk-Banking b.'!$A29&amp;"*",Input!$E:$E,'1.CC Transition risk-Banking b.'!$O$63),0)</f>
        <v>0</v>
      </c>
      <c r="O29" s="85">
        <f>(ROUND(SUMIFS(Input!$I:$I,Input!$H:$H,'1.CC Transition risk-Banking b.'!$A29&amp;"*",Input!$E:$E,'1.CC Transition risk-Banking b.'!O$63,Input!$G:$G,"&gt;=0",Input!$G:$G,"&lt;=5")
+ SUMIFS(Input!$I:$I,Input!$H:$H,'1.CC Transition risk-Banking b.'!$A29&amp;"*",Input!$E:$E,'1.CC Transition risk-Banking b.'!O$63,Input!$G:$G,"-4")
+ SUMIFS(Input!$I:$I,Input!$H:$H,'1.CC Transition risk-Banking b.'!$A29&amp;"*",Input!$E:$E,'1.CC Transition risk-Banking b.'!O$63,Input!$G:$G,"-1"),0))/1000000</f>
        <v>0</v>
      </c>
      <c r="P29" s="85">
        <f>(ROUND(SUMIFS(Input!$I:$I,Input!$H:$H,'1.CC Transition risk-Banking b.'!$A29&amp;"*",Input!$E:$E,'1.CC Transition risk-Banking b.'!P$63,Input!$G:$G,"&gt;5",Input!$G:$G,"&lt;=10"),0))/1000000</f>
        <v>0</v>
      </c>
      <c r="Q29" s="85">
        <f>(ROUND(SUMIFS(Input!$I:$I,Input!$H:$H,'1.CC Transition risk-Banking b.'!$A29&amp;"*",Input!$E:$E,'1.CC Transition risk-Banking b.'!Q$63,Input!$G:$G,"&gt;10",Input!$G:$G,"&lt;=20"),0))/1000000</f>
        <v>0</v>
      </c>
      <c r="R29" s="85">
        <f>(ROUND(SUMIFS(Input!$I:$I,Input!$H:$H,'1.CC Transition risk-Banking b.'!$A29&amp;"*",Input!$E:$E,'1.CC Transition risk-Banking b.'!R$63,Input!$G:$G,"&gt;20")
+ SUMIFS(Input!$I:$I,Input!$H:$H,'1.CC Transition risk-Banking b.'!$A29&amp;"*",Input!$E:$E,'1.CC Transition risk-Banking b.'!R$63,Input!$G:$G,"-2")
+ SUMIFS(Input!$I:$I,Input!$H:$H,'1.CC Transition risk-Banking b.'!$A29&amp;"*",Input!$E:$E,'1.CC Transition risk-Banking b.'!R$63,Input!$G:$G,"-3"),0))/1000000</f>
        <v>0</v>
      </c>
      <c r="S29" s="86">
        <f>ROUND(IFERROR((SUMIFS(Input!$Q:$Q,Input!$H:$H,'1.CC Transition risk-Banking b.'!$A29&amp;"*",Input!$E:$E,'1.CC Transition risk-Banking b.'!S$63,Input!$G:$G,"&gt;0")/1000000)/'1.CC Transition risk-Banking b.'!$D29,0),0)</f>
        <v>0</v>
      </c>
    </row>
    <row r="30" spans="1:19" x14ac:dyDescent="0.3">
      <c r="A30" s="96" t="s">
        <v>128</v>
      </c>
      <c r="B30" s="66">
        <v>25</v>
      </c>
      <c r="C30" s="69" t="s">
        <v>129</v>
      </c>
      <c r="D30" s="83">
        <f>(ROUND(SUMIFS(Input!$I:$I,Input!$H:$H,'1.CC Transition risk-Banking b.'!$A30&amp;"*",Input!$E:$E,'1.CC Transition risk-Banking b.'!$D$63),0))/1000000</f>
        <v>0</v>
      </c>
      <c r="E30" s="83">
        <f>(ROUND(SUMIFS(Input!$I:$I,Input!$H:$H,'1.CC Transition risk-Banking b.'!$A30&amp;"*",Input!$E:$E,'1.CC Transition risk-Banking b.'!$E$63,Input!$F:$F,'1.CC Transition risk-Banking b.'!$E$64),0))/1000000</f>
        <v>0</v>
      </c>
      <c r="F30" s="83">
        <f>(ROUND(SUMIFS(Input!$P:$P,Input!$H:$H,'1.CC Transition risk-Banking b.'!$A30&amp;"*",Input!$E:$E,'1.CC Transition risk-Banking b.'!$E$63,Input!$O:$O,'1.CC Transition risk-Banking b.'!$F$63),0))/1000000</f>
        <v>0</v>
      </c>
      <c r="G30" s="83">
        <f>(ROUND(SUMIFS(Input!$I:$I,Input!$H:$H,'1.CC Transition risk-Banking b.'!$A30&amp;"*",Input!$E:$E,'1.CC Transition risk-Banking b.'!$G$63,Input!$C:$C,'1.CC Transition risk-Banking b.'!$G$64),0))/1000000</f>
        <v>0</v>
      </c>
      <c r="H30" s="83">
        <f>(ROUND(SUMIFS(Input!$I:$I,Input!$H:$H,'1.CC Transition risk-Banking b.'!$A30&amp;"*",Input!$E:$E,'1.CC Transition risk-Banking b.'!$H$63,Input!$C:$C,'1.CC Transition risk-Banking b.'!$H$64),0))/1000000</f>
        <v>0</v>
      </c>
      <c r="I30" s="83">
        <f>(ROUND(SUMIFS(Input!$I:$I,Input!$H:$H,'1.CC Transition risk-Banking b.'!$A30&amp;"*",Input!$E:$E,'1.CC Transition risk-Banking b.'!$I$63),0))/1000000</f>
        <v>0</v>
      </c>
      <c r="J30" s="83">
        <f>(ROUND(SUMIFS(Input!$I:$I,Input!$H:$H,'1.CC Transition risk-Banking b.'!$A30&amp;"*",Input!$E:$E,'1.CC Transition risk-Banking b.'!$J$63,Input!$C:$C,'1.CC Transition risk-Banking b.'!$J$64),0))/1000000</f>
        <v>0</v>
      </c>
      <c r="K30" s="83">
        <f>(ROUND(SUMIFS(Input!$I:$I,Input!$H:$H,'1.CC Transition risk-Banking b.'!$A30&amp;"*",Input!$E:$E,'1.CC Transition risk-Banking b.'!$K$63,Input!$C:$C,'1.CC Transition risk-Banking b.'!$K$64),0))/1000000</f>
        <v>0</v>
      </c>
      <c r="L30" s="84">
        <f>(ROUND(SUMIFS(Input!$J:$J,Input!$H:$H,'1.CC Transition risk-Banking b.'!$A30&amp;"*")
+ SUMIFS(Input!$L:$L,Input!$H:$H,'1.CC Transition risk-Banking b.'!$A30&amp;"*")
+SUMIFS(Input!$N:$N,Input!$H:$H,'1.CC Transition risk-Banking b.'!$A30&amp;"*"),0))/1000000</f>
        <v>0</v>
      </c>
      <c r="M30" s="84">
        <f>(ROUND(SUMIFS(Input!$N:$N,Input!$H:$H,'1.CC Transition risk-Banking b.'!$A30&amp;"*"),0))/1000000</f>
        <v>0</v>
      </c>
      <c r="N30" s="91">
        <f>IFERROR(AVERAGE(SUMIFS(Input!$I:$I,Input!$H:$H,'1.CC Transition risk-Banking b.'!$A30&amp;"*",Input!$R:$R,"SOUR1",Input!$E:$E,'1.CC Transition risk-Banking b.'!$O$63),
SUMIFS(Input!$I:$I,Input!$H:$H,'1.CC Transition risk-Banking b.'!$A30&amp;"*",Input!$S:$S,"SOUR1",Input!$E:$E,'1.CC Transition risk-Banking b.'!$O$63),
SUMIFS(Input!$I:$I,Input!$H:$H,'1.CC Transition risk-Banking b.'!$A30&amp;"*",Input!$T:$T,"SOUR1",Input!$E:$E,'1.CC Transition risk-Banking b.'!$O$63))/SUMIFS(Input!$I:$I,Input!$H:$H,'1.CC Transition risk-Banking b.'!$A30&amp;"*",Input!$E:$E,'1.CC Transition risk-Banking b.'!$O$63),0)</f>
        <v>0</v>
      </c>
      <c r="O30" s="85">
        <f>(ROUND(SUMIFS(Input!$I:$I,Input!$H:$H,'1.CC Transition risk-Banking b.'!$A30&amp;"*",Input!$E:$E,'1.CC Transition risk-Banking b.'!O$63,Input!$G:$G,"&gt;=0",Input!$G:$G,"&lt;=5")
+ SUMIFS(Input!$I:$I,Input!$H:$H,'1.CC Transition risk-Banking b.'!$A30&amp;"*",Input!$E:$E,'1.CC Transition risk-Banking b.'!O$63,Input!$G:$G,"-4")
+ SUMIFS(Input!$I:$I,Input!$H:$H,'1.CC Transition risk-Banking b.'!$A30&amp;"*",Input!$E:$E,'1.CC Transition risk-Banking b.'!O$63,Input!$G:$G,"-1"),0))/1000000</f>
        <v>0</v>
      </c>
      <c r="P30" s="85">
        <f>(ROUND(SUMIFS(Input!$I:$I,Input!$H:$H,'1.CC Transition risk-Banking b.'!$A30&amp;"*",Input!$E:$E,'1.CC Transition risk-Banking b.'!P$63,Input!$G:$G,"&gt;5",Input!$G:$G,"&lt;=10"),0))/1000000</f>
        <v>0</v>
      </c>
      <c r="Q30" s="85">
        <f>(ROUND(SUMIFS(Input!$I:$I,Input!$H:$H,'1.CC Transition risk-Banking b.'!$A30&amp;"*",Input!$E:$E,'1.CC Transition risk-Banking b.'!Q$63,Input!$G:$G,"&gt;10",Input!$G:$G,"&lt;=20"),0))/1000000</f>
        <v>0</v>
      </c>
      <c r="R30" s="85">
        <f>(ROUND(SUMIFS(Input!$I:$I,Input!$H:$H,'1.CC Transition risk-Banking b.'!$A30&amp;"*",Input!$E:$E,'1.CC Transition risk-Banking b.'!R$63,Input!$G:$G,"&gt;20")
+ SUMIFS(Input!$I:$I,Input!$H:$H,'1.CC Transition risk-Banking b.'!$A30&amp;"*",Input!$E:$E,'1.CC Transition risk-Banking b.'!R$63,Input!$G:$G,"-2")
+ SUMIFS(Input!$I:$I,Input!$H:$H,'1.CC Transition risk-Banking b.'!$A30&amp;"*",Input!$E:$E,'1.CC Transition risk-Banking b.'!R$63,Input!$G:$G,"-3"),0))/1000000</f>
        <v>0</v>
      </c>
      <c r="S30" s="86">
        <f>ROUND(IFERROR((SUMIFS(Input!$Q:$Q,Input!$H:$H,'1.CC Transition risk-Banking b.'!$A30&amp;"*",Input!$E:$E,'1.CC Transition risk-Banking b.'!S$63,Input!$G:$G,"&gt;0")/1000000)/'1.CC Transition risk-Banking b.'!$D30,0),0)</f>
        <v>0</v>
      </c>
    </row>
    <row r="31" spans="1:19" x14ac:dyDescent="0.3">
      <c r="A31" s="96" t="s">
        <v>130</v>
      </c>
      <c r="B31" s="66">
        <v>26</v>
      </c>
      <c r="C31" s="69" t="s">
        <v>131</v>
      </c>
      <c r="D31" s="83">
        <f>(ROUND(SUMIFS(Input!$I:$I,Input!$H:$H,'1.CC Transition risk-Banking b.'!$A31&amp;"*",Input!$E:$E,'1.CC Transition risk-Banking b.'!$D$63),0))/1000000</f>
        <v>0</v>
      </c>
      <c r="E31" s="83">
        <f>(ROUND(SUMIFS(Input!$I:$I,Input!$H:$H,'1.CC Transition risk-Banking b.'!$A31&amp;"*",Input!$E:$E,'1.CC Transition risk-Banking b.'!$E$63,Input!$F:$F,'1.CC Transition risk-Banking b.'!$E$64),0))/1000000</f>
        <v>0</v>
      </c>
      <c r="F31" s="83">
        <f>(ROUND(SUMIFS(Input!$P:$P,Input!$H:$H,'1.CC Transition risk-Banking b.'!$A31&amp;"*",Input!$E:$E,'1.CC Transition risk-Banking b.'!$E$63,Input!$O:$O,'1.CC Transition risk-Banking b.'!$F$63),0))/1000000</f>
        <v>0</v>
      </c>
      <c r="G31" s="83">
        <f>(ROUND(SUMIFS(Input!$I:$I,Input!$H:$H,'1.CC Transition risk-Banking b.'!$A31&amp;"*",Input!$E:$E,'1.CC Transition risk-Banking b.'!$G$63,Input!$C:$C,'1.CC Transition risk-Banking b.'!$G$64),0))/1000000</f>
        <v>0</v>
      </c>
      <c r="H31" s="83">
        <f>(ROUND(SUMIFS(Input!$I:$I,Input!$H:$H,'1.CC Transition risk-Banking b.'!$A31&amp;"*",Input!$E:$E,'1.CC Transition risk-Banking b.'!$H$63,Input!$C:$C,'1.CC Transition risk-Banking b.'!$H$64),0))/1000000</f>
        <v>0</v>
      </c>
      <c r="I31" s="83">
        <f>(ROUND(SUMIFS(Input!$I:$I,Input!$H:$H,'1.CC Transition risk-Banking b.'!$A31&amp;"*",Input!$E:$E,'1.CC Transition risk-Banking b.'!$I$63),0))/1000000</f>
        <v>0</v>
      </c>
      <c r="J31" s="83">
        <f>(ROUND(SUMIFS(Input!$I:$I,Input!$H:$H,'1.CC Transition risk-Banking b.'!$A31&amp;"*",Input!$E:$E,'1.CC Transition risk-Banking b.'!$J$63,Input!$C:$C,'1.CC Transition risk-Banking b.'!$J$64),0))/1000000</f>
        <v>0</v>
      </c>
      <c r="K31" s="83">
        <f>(ROUND(SUMIFS(Input!$I:$I,Input!$H:$H,'1.CC Transition risk-Banking b.'!$A31&amp;"*",Input!$E:$E,'1.CC Transition risk-Banking b.'!$K$63,Input!$C:$C,'1.CC Transition risk-Banking b.'!$K$64),0))/1000000</f>
        <v>0</v>
      </c>
      <c r="L31" s="84">
        <f>(ROUND(SUMIFS(Input!$J:$J,Input!$H:$H,'1.CC Transition risk-Banking b.'!$A31&amp;"*")
+ SUMIFS(Input!$L:$L,Input!$H:$H,'1.CC Transition risk-Banking b.'!$A31&amp;"*")
+SUMIFS(Input!$N:$N,Input!$H:$H,'1.CC Transition risk-Banking b.'!$A31&amp;"*"),0))/1000000</f>
        <v>0</v>
      </c>
      <c r="M31" s="84">
        <f>(ROUND(SUMIFS(Input!$N:$N,Input!$H:$H,'1.CC Transition risk-Banking b.'!$A31&amp;"*"),0))/1000000</f>
        <v>0</v>
      </c>
      <c r="N31" s="91">
        <f>IFERROR(AVERAGE(SUMIFS(Input!$I:$I,Input!$H:$H,'1.CC Transition risk-Banking b.'!$A31&amp;"*",Input!$R:$R,"SOUR1",Input!$E:$E,'1.CC Transition risk-Banking b.'!$O$63),
SUMIFS(Input!$I:$I,Input!$H:$H,'1.CC Transition risk-Banking b.'!$A31&amp;"*",Input!$S:$S,"SOUR1",Input!$E:$E,'1.CC Transition risk-Banking b.'!$O$63),
SUMIFS(Input!$I:$I,Input!$H:$H,'1.CC Transition risk-Banking b.'!$A31&amp;"*",Input!$T:$T,"SOUR1",Input!$E:$E,'1.CC Transition risk-Banking b.'!$O$63))/SUMIFS(Input!$I:$I,Input!$H:$H,'1.CC Transition risk-Banking b.'!$A31&amp;"*",Input!$E:$E,'1.CC Transition risk-Banking b.'!$O$63),0)</f>
        <v>0</v>
      </c>
      <c r="O31" s="85">
        <f>(ROUND(SUMIFS(Input!$I:$I,Input!$H:$H,'1.CC Transition risk-Banking b.'!$A31&amp;"*",Input!$E:$E,'1.CC Transition risk-Banking b.'!O$63,Input!$G:$G,"&gt;=0",Input!$G:$G,"&lt;=5")
+ SUMIFS(Input!$I:$I,Input!$H:$H,'1.CC Transition risk-Banking b.'!$A31&amp;"*",Input!$E:$E,'1.CC Transition risk-Banking b.'!O$63,Input!$G:$G,"-4")
+ SUMIFS(Input!$I:$I,Input!$H:$H,'1.CC Transition risk-Banking b.'!$A31&amp;"*",Input!$E:$E,'1.CC Transition risk-Banking b.'!O$63,Input!$G:$G,"-1"),0))/1000000</f>
        <v>0</v>
      </c>
      <c r="P31" s="85">
        <f>(ROUND(SUMIFS(Input!$I:$I,Input!$H:$H,'1.CC Transition risk-Banking b.'!$A31&amp;"*",Input!$E:$E,'1.CC Transition risk-Banking b.'!P$63,Input!$G:$G,"&gt;5",Input!$G:$G,"&lt;=10"),0))/1000000</f>
        <v>0</v>
      </c>
      <c r="Q31" s="85">
        <f>(ROUND(SUMIFS(Input!$I:$I,Input!$H:$H,'1.CC Transition risk-Banking b.'!$A31&amp;"*",Input!$E:$E,'1.CC Transition risk-Banking b.'!Q$63,Input!$G:$G,"&gt;10",Input!$G:$G,"&lt;=20"),0))/1000000</f>
        <v>0</v>
      </c>
      <c r="R31" s="85">
        <f>(ROUND(SUMIFS(Input!$I:$I,Input!$H:$H,'1.CC Transition risk-Banking b.'!$A31&amp;"*",Input!$E:$E,'1.CC Transition risk-Banking b.'!R$63,Input!$G:$G,"&gt;20")
+ SUMIFS(Input!$I:$I,Input!$H:$H,'1.CC Transition risk-Banking b.'!$A31&amp;"*",Input!$E:$E,'1.CC Transition risk-Banking b.'!R$63,Input!$G:$G,"-2")
+ SUMIFS(Input!$I:$I,Input!$H:$H,'1.CC Transition risk-Banking b.'!$A31&amp;"*",Input!$E:$E,'1.CC Transition risk-Banking b.'!R$63,Input!$G:$G,"-3"),0))/1000000</f>
        <v>0</v>
      </c>
      <c r="S31" s="86">
        <f>ROUND(IFERROR((SUMIFS(Input!$Q:$Q,Input!$H:$H,'1.CC Transition risk-Banking b.'!$A31&amp;"*",Input!$E:$E,'1.CC Transition risk-Banking b.'!S$63,Input!$G:$G,"&gt;0")/1000000)/'1.CC Transition risk-Banking b.'!$D31,0),0)</f>
        <v>0</v>
      </c>
    </row>
    <row r="32" spans="1:19" x14ac:dyDescent="0.3">
      <c r="A32" s="96" t="s">
        <v>132</v>
      </c>
      <c r="B32" s="66">
        <v>27</v>
      </c>
      <c r="C32" s="69" t="s">
        <v>133</v>
      </c>
      <c r="D32" s="83">
        <f>(ROUND(SUMIFS(Input!$I:$I,Input!$H:$H,'1.CC Transition risk-Banking b.'!$A32&amp;"*",Input!$E:$E,'1.CC Transition risk-Banking b.'!$D$63),0))/1000000</f>
        <v>0</v>
      </c>
      <c r="E32" s="83">
        <f>(ROUND(SUMIFS(Input!$I:$I,Input!$H:$H,'1.CC Transition risk-Banking b.'!$A32&amp;"*",Input!$E:$E,'1.CC Transition risk-Banking b.'!$E$63,Input!$F:$F,'1.CC Transition risk-Banking b.'!$E$64),0))/1000000</f>
        <v>0</v>
      </c>
      <c r="F32" s="83">
        <f>(ROUND(SUMIFS(Input!$P:$P,Input!$H:$H,'1.CC Transition risk-Banking b.'!$A32&amp;"*",Input!$E:$E,'1.CC Transition risk-Banking b.'!$E$63,Input!$O:$O,'1.CC Transition risk-Banking b.'!$F$63),0))/1000000</f>
        <v>0</v>
      </c>
      <c r="G32" s="83">
        <f>(ROUND(SUMIFS(Input!$I:$I,Input!$H:$H,'1.CC Transition risk-Banking b.'!$A32&amp;"*",Input!$E:$E,'1.CC Transition risk-Banking b.'!$G$63,Input!$C:$C,'1.CC Transition risk-Banking b.'!$G$64),0))/1000000</f>
        <v>0</v>
      </c>
      <c r="H32" s="83">
        <f>(ROUND(SUMIFS(Input!$I:$I,Input!$H:$H,'1.CC Transition risk-Banking b.'!$A32&amp;"*",Input!$E:$E,'1.CC Transition risk-Banking b.'!$H$63,Input!$C:$C,'1.CC Transition risk-Banking b.'!$H$64),0))/1000000</f>
        <v>0</v>
      </c>
      <c r="I32" s="83">
        <f>(ROUND(SUMIFS(Input!$I:$I,Input!$H:$H,'1.CC Transition risk-Banking b.'!$A32&amp;"*",Input!$E:$E,'1.CC Transition risk-Banking b.'!$I$63),0))/1000000</f>
        <v>0</v>
      </c>
      <c r="J32" s="83">
        <f>(ROUND(SUMIFS(Input!$I:$I,Input!$H:$H,'1.CC Transition risk-Banking b.'!$A32&amp;"*",Input!$E:$E,'1.CC Transition risk-Banking b.'!$J$63,Input!$C:$C,'1.CC Transition risk-Banking b.'!$J$64),0))/1000000</f>
        <v>0</v>
      </c>
      <c r="K32" s="83">
        <f>(ROUND(SUMIFS(Input!$I:$I,Input!$H:$H,'1.CC Transition risk-Banking b.'!$A32&amp;"*",Input!$E:$E,'1.CC Transition risk-Banking b.'!$K$63,Input!$C:$C,'1.CC Transition risk-Banking b.'!$K$64),0))/1000000</f>
        <v>0</v>
      </c>
      <c r="L32" s="84">
        <f>(ROUND(SUMIFS(Input!$J:$J,Input!$H:$H,'1.CC Transition risk-Banking b.'!$A32&amp;"*")
+ SUMIFS(Input!$L:$L,Input!$H:$H,'1.CC Transition risk-Banking b.'!$A32&amp;"*")
+SUMIFS(Input!$N:$N,Input!$H:$H,'1.CC Transition risk-Banking b.'!$A32&amp;"*"),0))/1000000</f>
        <v>0</v>
      </c>
      <c r="M32" s="84">
        <f>(ROUND(SUMIFS(Input!$N:$N,Input!$H:$H,'1.CC Transition risk-Banking b.'!$A32&amp;"*"),0))/1000000</f>
        <v>0</v>
      </c>
      <c r="N32" s="91">
        <f>IFERROR(AVERAGE(SUMIFS(Input!$I:$I,Input!$H:$H,'1.CC Transition risk-Banking b.'!$A32&amp;"*",Input!$R:$R,"SOUR1",Input!$E:$E,'1.CC Transition risk-Banking b.'!$O$63),
SUMIFS(Input!$I:$I,Input!$H:$H,'1.CC Transition risk-Banking b.'!$A32&amp;"*",Input!$S:$S,"SOUR1",Input!$E:$E,'1.CC Transition risk-Banking b.'!$O$63),
SUMIFS(Input!$I:$I,Input!$H:$H,'1.CC Transition risk-Banking b.'!$A32&amp;"*",Input!$T:$T,"SOUR1",Input!$E:$E,'1.CC Transition risk-Banking b.'!$O$63))/SUMIFS(Input!$I:$I,Input!$H:$H,'1.CC Transition risk-Banking b.'!$A32&amp;"*",Input!$E:$E,'1.CC Transition risk-Banking b.'!$O$63),0)</f>
        <v>0</v>
      </c>
      <c r="O32" s="85">
        <f>(ROUND(SUMIFS(Input!$I:$I,Input!$H:$H,'1.CC Transition risk-Banking b.'!$A32&amp;"*",Input!$E:$E,'1.CC Transition risk-Banking b.'!O$63,Input!$G:$G,"&gt;=0",Input!$G:$G,"&lt;=5")
+ SUMIFS(Input!$I:$I,Input!$H:$H,'1.CC Transition risk-Banking b.'!$A32&amp;"*",Input!$E:$E,'1.CC Transition risk-Banking b.'!O$63,Input!$G:$G,"-4")
+ SUMIFS(Input!$I:$I,Input!$H:$H,'1.CC Transition risk-Banking b.'!$A32&amp;"*",Input!$E:$E,'1.CC Transition risk-Banking b.'!O$63,Input!$G:$G,"-1"),0))/1000000</f>
        <v>0</v>
      </c>
      <c r="P32" s="85">
        <f>(ROUND(SUMIFS(Input!$I:$I,Input!$H:$H,'1.CC Transition risk-Banking b.'!$A32&amp;"*",Input!$E:$E,'1.CC Transition risk-Banking b.'!P$63,Input!$G:$G,"&gt;5",Input!$G:$G,"&lt;=10"),0))/1000000</f>
        <v>0</v>
      </c>
      <c r="Q32" s="85">
        <f>(ROUND(SUMIFS(Input!$I:$I,Input!$H:$H,'1.CC Transition risk-Banking b.'!$A32&amp;"*",Input!$E:$E,'1.CC Transition risk-Banking b.'!Q$63,Input!$G:$G,"&gt;10",Input!$G:$G,"&lt;=20"),0))/1000000</f>
        <v>0</v>
      </c>
      <c r="R32" s="85">
        <f>(ROUND(SUMIFS(Input!$I:$I,Input!$H:$H,'1.CC Transition risk-Banking b.'!$A32&amp;"*",Input!$E:$E,'1.CC Transition risk-Banking b.'!R$63,Input!$G:$G,"&gt;20")
+ SUMIFS(Input!$I:$I,Input!$H:$H,'1.CC Transition risk-Banking b.'!$A32&amp;"*",Input!$E:$E,'1.CC Transition risk-Banking b.'!R$63,Input!$G:$G,"-2")
+ SUMIFS(Input!$I:$I,Input!$H:$H,'1.CC Transition risk-Banking b.'!$A32&amp;"*",Input!$E:$E,'1.CC Transition risk-Banking b.'!R$63,Input!$G:$G,"-3"),0))/1000000</f>
        <v>0</v>
      </c>
      <c r="S32" s="86">
        <f>ROUND(IFERROR((SUMIFS(Input!$Q:$Q,Input!$H:$H,'1.CC Transition risk-Banking b.'!$A32&amp;"*",Input!$E:$E,'1.CC Transition risk-Banking b.'!S$63,Input!$G:$G,"&gt;0")/1000000)/'1.CC Transition risk-Banking b.'!$D32,0),0)</f>
        <v>0</v>
      </c>
    </row>
    <row r="33" spans="1:19" x14ac:dyDescent="0.3">
      <c r="A33" s="96" t="s">
        <v>134</v>
      </c>
      <c r="B33" s="66">
        <v>28</v>
      </c>
      <c r="C33" s="69" t="s">
        <v>135</v>
      </c>
      <c r="D33" s="83">
        <f>(ROUND(SUMIFS(Input!$I:$I,Input!$H:$H,'1.CC Transition risk-Banking b.'!$A33&amp;"*",Input!$E:$E,'1.CC Transition risk-Banking b.'!$D$63),0))/1000000</f>
        <v>0</v>
      </c>
      <c r="E33" s="83">
        <f>(ROUND(SUMIFS(Input!$I:$I,Input!$H:$H,'1.CC Transition risk-Banking b.'!$A33&amp;"*",Input!$E:$E,'1.CC Transition risk-Banking b.'!$E$63,Input!$F:$F,'1.CC Transition risk-Banking b.'!$E$64),0))/1000000</f>
        <v>0</v>
      </c>
      <c r="F33" s="83">
        <f>(ROUND(SUMIFS(Input!$P:$P,Input!$H:$H,'1.CC Transition risk-Banking b.'!$A33&amp;"*",Input!$E:$E,'1.CC Transition risk-Banking b.'!$E$63,Input!$O:$O,'1.CC Transition risk-Banking b.'!$F$63),0))/1000000</f>
        <v>0</v>
      </c>
      <c r="G33" s="83">
        <f>(ROUND(SUMIFS(Input!$I:$I,Input!$H:$H,'1.CC Transition risk-Banking b.'!$A33&amp;"*",Input!$E:$E,'1.CC Transition risk-Banking b.'!$G$63,Input!$C:$C,'1.CC Transition risk-Banking b.'!$G$64),0))/1000000</f>
        <v>0</v>
      </c>
      <c r="H33" s="83">
        <f>(ROUND(SUMIFS(Input!$I:$I,Input!$H:$H,'1.CC Transition risk-Banking b.'!$A33&amp;"*",Input!$E:$E,'1.CC Transition risk-Banking b.'!$H$63,Input!$C:$C,'1.CC Transition risk-Banking b.'!$H$64),0))/1000000</f>
        <v>0</v>
      </c>
      <c r="I33" s="83">
        <f>(ROUND(SUMIFS(Input!$I:$I,Input!$H:$H,'1.CC Transition risk-Banking b.'!$A33&amp;"*",Input!$E:$E,'1.CC Transition risk-Banking b.'!$I$63),0))/1000000</f>
        <v>0</v>
      </c>
      <c r="J33" s="83">
        <f>(ROUND(SUMIFS(Input!$I:$I,Input!$H:$H,'1.CC Transition risk-Banking b.'!$A33&amp;"*",Input!$E:$E,'1.CC Transition risk-Banking b.'!$J$63,Input!$C:$C,'1.CC Transition risk-Banking b.'!$J$64),0))/1000000</f>
        <v>0</v>
      </c>
      <c r="K33" s="83">
        <f>(ROUND(SUMIFS(Input!$I:$I,Input!$H:$H,'1.CC Transition risk-Banking b.'!$A33&amp;"*",Input!$E:$E,'1.CC Transition risk-Banking b.'!$K$63,Input!$C:$C,'1.CC Transition risk-Banking b.'!$K$64),0))/1000000</f>
        <v>0</v>
      </c>
      <c r="L33" s="84">
        <f>(ROUND(SUMIFS(Input!$J:$J,Input!$H:$H,'1.CC Transition risk-Banking b.'!$A33&amp;"*")
+ SUMIFS(Input!$L:$L,Input!$H:$H,'1.CC Transition risk-Banking b.'!$A33&amp;"*")
+SUMIFS(Input!$N:$N,Input!$H:$H,'1.CC Transition risk-Banking b.'!$A33&amp;"*"),0))/1000000</f>
        <v>0</v>
      </c>
      <c r="M33" s="84">
        <f>(ROUND(SUMIFS(Input!$N:$N,Input!$H:$H,'1.CC Transition risk-Banking b.'!$A33&amp;"*"),0))/1000000</f>
        <v>0</v>
      </c>
      <c r="N33" s="91">
        <f>IFERROR(AVERAGE(SUMIFS(Input!$I:$I,Input!$H:$H,'1.CC Transition risk-Banking b.'!$A33&amp;"*",Input!$R:$R,"SOUR1",Input!$E:$E,'1.CC Transition risk-Banking b.'!$O$63),
SUMIFS(Input!$I:$I,Input!$H:$H,'1.CC Transition risk-Banking b.'!$A33&amp;"*",Input!$S:$S,"SOUR1",Input!$E:$E,'1.CC Transition risk-Banking b.'!$O$63),
SUMIFS(Input!$I:$I,Input!$H:$H,'1.CC Transition risk-Banking b.'!$A33&amp;"*",Input!$T:$T,"SOUR1",Input!$E:$E,'1.CC Transition risk-Banking b.'!$O$63))/SUMIFS(Input!$I:$I,Input!$H:$H,'1.CC Transition risk-Banking b.'!$A33&amp;"*",Input!$E:$E,'1.CC Transition risk-Banking b.'!$O$63),0)</f>
        <v>0</v>
      </c>
      <c r="O33" s="85">
        <f>(ROUND(SUMIFS(Input!$I:$I,Input!$H:$H,'1.CC Transition risk-Banking b.'!$A33&amp;"*",Input!$E:$E,'1.CC Transition risk-Banking b.'!O$63,Input!$G:$G,"&gt;=0",Input!$G:$G,"&lt;=5")
+ SUMIFS(Input!$I:$I,Input!$H:$H,'1.CC Transition risk-Banking b.'!$A33&amp;"*",Input!$E:$E,'1.CC Transition risk-Banking b.'!O$63,Input!$G:$G,"-4")
+ SUMIFS(Input!$I:$I,Input!$H:$H,'1.CC Transition risk-Banking b.'!$A33&amp;"*",Input!$E:$E,'1.CC Transition risk-Banking b.'!O$63,Input!$G:$G,"-1"),0))/1000000</f>
        <v>0</v>
      </c>
      <c r="P33" s="85">
        <f>(ROUND(SUMIFS(Input!$I:$I,Input!$H:$H,'1.CC Transition risk-Banking b.'!$A33&amp;"*",Input!$E:$E,'1.CC Transition risk-Banking b.'!P$63,Input!$G:$G,"&gt;5",Input!$G:$G,"&lt;=10"),0))/1000000</f>
        <v>0</v>
      </c>
      <c r="Q33" s="85">
        <f>(ROUND(SUMIFS(Input!$I:$I,Input!$H:$H,'1.CC Transition risk-Banking b.'!$A33&amp;"*",Input!$E:$E,'1.CC Transition risk-Banking b.'!Q$63,Input!$G:$G,"&gt;10",Input!$G:$G,"&lt;=20"),0))/1000000</f>
        <v>0</v>
      </c>
      <c r="R33" s="85">
        <f>(ROUND(SUMIFS(Input!$I:$I,Input!$H:$H,'1.CC Transition risk-Banking b.'!$A33&amp;"*",Input!$E:$E,'1.CC Transition risk-Banking b.'!R$63,Input!$G:$G,"&gt;20")
+ SUMIFS(Input!$I:$I,Input!$H:$H,'1.CC Transition risk-Banking b.'!$A33&amp;"*",Input!$E:$E,'1.CC Transition risk-Banking b.'!R$63,Input!$G:$G,"-2")
+ SUMIFS(Input!$I:$I,Input!$H:$H,'1.CC Transition risk-Banking b.'!$A33&amp;"*",Input!$E:$E,'1.CC Transition risk-Banking b.'!R$63,Input!$G:$G,"-3"),0))/1000000</f>
        <v>0</v>
      </c>
      <c r="S33" s="86">
        <f>ROUND(IFERROR((SUMIFS(Input!$Q:$Q,Input!$H:$H,'1.CC Transition risk-Banking b.'!$A33&amp;"*",Input!$E:$E,'1.CC Transition risk-Banking b.'!S$63,Input!$G:$G,"&gt;0")/1000000)/'1.CC Transition risk-Banking b.'!$D33,0),0)</f>
        <v>0</v>
      </c>
    </row>
    <row r="34" spans="1:19" x14ac:dyDescent="0.3">
      <c r="A34" s="96" t="s">
        <v>136</v>
      </c>
      <c r="B34" s="66">
        <v>29</v>
      </c>
      <c r="C34" s="69" t="s">
        <v>137</v>
      </c>
      <c r="D34" s="83">
        <f>(ROUND(SUMIFS(Input!$I:$I,Input!$H:$H,'1.CC Transition risk-Banking b.'!$A34&amp;"*",Input!$E:$E,'1.CC Transition risk-Banking b.'!$D$63),0))/1000000</f>
        <v>0</v>
      </c>
      <c r="E34" s="83">
        <f>(ROUND(SUMIFS(Input!$I:$I,Input!$H:$H,'1.CC Transition risk-Banking b.'!$A34&amp;"*",Input!$E:$E,'1.CC Transition risk-Banking b.'!$E$63,Input!$F:$F,'1.CC Transition risk-Banking b.'!$E$64),0))/1000000</f>
        <v>0</v>
      </c>
      <c r="F34" s="83">
        <f>(ROUND(SUMIFS(Input!$P:$P,Input!$H:$H,'1.CC Transition risk-Banking b.'!$A34&amp;"*",Input!$E:$E,'1.CC Transition risk-Banking b.'!$E$63,Input!$O:$O,'1.CC Transition risk-Banking b.'!$F$63),0))/1000000</f>
        <v>0</v>
      </c>
      <c r="G34" s="83">
        <f>(ROUND(SUMIFS(Input!$I:$I,Input!$H:$H,'1.CC Transition risk-Banking b.'!$A34&amp;"*",Input!$E:$E,'1.CC Transition risk-Banking b.'!$G$63,Input!$C:$C,'1.CC Transition risk-Banking b.'!$G$64),0))/1000000</f>
        <v>0</v>
      </c>
      <c r="H34" s="83">
        <f>(ROUND(SUMIFS(Input!$I:$I,Input!$H:$H,'1.CC Transition risk-Banking b.'!$A34&amp;"*",Input!$E:$E,'1.CC Transition risk-Banking b.'!$H$63,Input!$C:$C,'1.CC Transition risk-Banking b.'!$H$64),0))/1000000</f>
        <v>0</v>
      </c>
      <c r="I34" s="83">
        <f>(ROUND(SUMIFS(Input!$I:$I,Input!$H:$H,'1.CC Transition risk-Banking b.'!$A34&amp;"*",Input!$E:$E,'1.CC Transition risk-Banking b.'!$I$63),0))/1000000</f>
        <v>0</v>
      </c>
      <c r="J34" s="83">
        <f>(ROUND(SUMIFS(Input!$I:$I,Input!$H:$H,'1.CC Transition risk-Banking b.'!$A34&amp;"*",Input!$E:$E,'1.CC Transition risk-Banking b.'!$J$63,Input!$C:$C,'1.CC Transition risk-Banking b.'!$J$64),0))/1000000</f>
        <v>0</v>
      </c>
      <c r="K34" s="83">
        <f>(ROUND(SUMIFS(Input!$I:$I,Input!$H:$H,'1.CC Transition risk-Banking b.'!$A34&amp;"*",Input!$E:$E,'1.CC Transition risk-Banking b.'!$K$63,Input!$C:$C,'1.CC Transition risk-Banking b.'!$K$64),0))/1000000</f>
        <v>0</v>
      </c>
      <c r="L34" s="84">
        <f>(ROUND(SUMIFS(Input!$J:$J,Input!$H:$H,'1.CC Transition risk-Banking b.'!$A34&amp;"*")
+ SUMIFS(Input!$L:$L,Input!$H:$H,'1.CC Transition risk-Banking b.'!$A34&amp;"*")
+SUMIFS(Input!$N:$N,Input!$H:$H,'1.CC Transition risk-Banking b.'!$A34&amp;"*"),0))/1000000</f>
        <v>0</v>
      </c>
      <c r="M34" s="84">
        <f>(ROUND(SUMIFS(Input!$N:$N,Input!$H:$H,'1.CC Transition risk-Banking b.'!$A34&amp;"*"),0))/1000000</f>
        <v>0</v>
      </c>
      <c r="N34" s="91">
        <f>IFERROR(AVERAGE(SUMIFS(Input!$I:$I,Input!$H:$H,'1.CC Transition risk-Banking b.'!$A34&amp;"*",Input!$R:$R,"SOUR1",Input!$E:$E,'1.CC Transition risk-Banking b.'!$O$63),
SUMIFS(Input!$I:$I,Input!$H:$H,'1.CC Transition risk-Banking b.'!$A34&amp;"*",Input!$S:$S,"SOUR1",Input!$E:$E,'1.CC Transition risk-Banking b.'!$O$63),
SUMIFS(Input!$I:$I,Input!$H:$H,'1.CC Transition risk-Banking b.'!$A34&amp;"*",Input!$T:$T,"SOUR1",Input!$E:$E,'1.CC Transition risk-Banking b.'!$O$63))/SUMIFS(Input!$I:$I,Input!$H:$H,'1.CC Transition risk-Banking b.'!$A34&amp;"*",Input!$E:$E,'1.CC Transition risk-Banking b.'!$O$63),0)</f>
        <v>0</v>
      </c>
      <c r="O34" s="85">
        <f>(ROUND(SUMIFS(Input!$I:$I,Input!$H:$H,'1.CC Transition risk-Banking b.'!$A34&amp;"*",Input!$E:$E,'1.CC Transition risk-Banking b.'!O$63,Input!$G:$G,"&gt;=0",Input!$G:$G,"&lt;=5")
+ SUMIFS(Input!$I:$I,Input!$H:$H,'1.CC Transition risk-Banking b.'!$A34&amp;"*",Input!$E:$E,'1.CC Transition risk-Banking b.'!O$63,Input!$G:$G,"-4")
+ SUMIFS(Input!$I:$I,Input!$H:$H,'1.CC Transition risk-Banking b.'!$A34&amp;"*",Input!$E:$E,'1.CC Transition risk-Banking b.'!O$63,Input!$G:$G,"-1"),0))/1000000</f>
        <v>0</v>
      </c>
      <c r="P34" s="85">
        <f>(ROUND(SUMIFS(Input!$I:$I,Input!$H:$H,'1.CC Transition risk-Banking b.'!$A34&amp;"*",Input!$E:$E,'1.CC Transition risk-Banking b.'!P$63,Input!$G:$G,"&gt;5",Input!$G:$G,"&lt;=10"),0))/1000000</f>
        <v>0</v>
      </c>
      <c r="Q34" s="85">
        <f>(ROUND(SUMIFS(Input!$I:$I,Input!$H:$H,'1.CC Transition risk-Banking b.'!$A34&amp;"*",Input!$E:$E,'1.CC Transition risk-Banking b.'!Q$63,Input!$G:$G,"&gt;10",Input!$G:$G,"&lt;=20"),0))/1000000</f>
        <v>0</v>
      </c>
      <c r="R34" s="85">
        <f>(ROUND(SUMIFS(Input!$I:$I,Input!$H:$H,'1.CC Transition risk-Banking b.'!$A34&amp;"*",Input!$E:$E,'1.CC Transition risk-Banking b.'!R$63,Input!$G:$G,"&gt;20")
+ SUMIFS(Input!$I:$I,Input!$H:$H,'1.CC Transition risk-Banking b.'!$A34&amp;"*",Input!$E:$E,'1.CC Transition risk-Banking b.'!R$63,Input!$G:$G,"-2")
+ SUMIFS(Input!$I:$I,Input!$H:$H,'1.CC Transition risk-Banking b.'!$A34&amp;"*",Input!$E:$E,'1.CC Transition risk-Banking b.'!R$63,Input!$G:$G,"-3"),0))/1000000</f>
        <v>0</v>
      </c>
      <c r="S34" s="86">
        <f>ROUND(IFERROR((SUMIFS(Input!$Q:$Q,Input!$H:$H,'1.CC Transition risk-Banking b.'!$A34&amp;"*",Input!$E:$E,'1.CC Transition risk-Banking b.'!S$63,Input!$G:$G,"&gt;0")/1000000)/'1.CC Transition risk-Banking b.'!$D34,0),0)</f>
        <v>0</v>
      </c>
    </row>
    <row r="35" spans="1:19" x14ac:dyDescent="0.3">
      <c r="A35" s="96" t="s">
        <v>138</v>
      </c>
      <c r="B35" s="66">
        <v>30</v>
      </c>
      <c r="C35" s="69" t="s">
        <v>139</v>
      </c>
      <c r="D35" s="83">
        <f>(ROUND(SUMIFS(Input!$I:$I,Input!$H:$H,'1.CC Transition risk-Banking b.'!$A35&amp;"*",Input!$E:$E,'1.CC Transition risk-Banking b.'!$D$63),0))/1000000</f>
        <v>0</v>
      </c>
      <c r="E35" s="83">
        <f>(ROUND(SUMIFS(Input!$I:$I,Input!$H:$H,'1.CC Transition risk-Banking b.'!$A35&amp;"*",Input!$E:$E,'1.CC Transition risk-Banking b.'!$E$63,Input!$F:$F,'1.CC Transition risk-Banking b.'!$E$64),0))/1000000</f>
        <v>0</v>
      </c>
      <c r="F35" s="83">
        <f>(ROUND(SUMIFS(Input!$P:$P,Input!$H:$H,'1.CC Transition risk-Banking b.'!$A35&amp;"*",Input!$E:$E,'1.CC Transition risk-Banking b.'!$E$63,Input!$O:$O,'1.CC Transition risk-Banking b.'!$F$63),0))/1000000</f>
        <v>0</v>
      </c>
      <c r="G35" s="83">
        <f>(ROUND(SUMIFS(Input!$I:$I,Input!$H:$H,'1.CC Transition risk-Banking b.'!$A35&amp;"*",Input!$E:$E,'1.CC Transition risk-Banking b.'!$G$63,Input!$C:$C,'1.CC Transition risk-Banking b.'!$G$64),0))/1000000</f>
        <v>0</v>
      </c>
      <c r="H35" s="83">
        <f>(ROUND(SUMIFS(Input!$I:$I,Input!$H:$H,'1.CC Transition risk-Banking b.'!$A35&amp;"*",Input!$E:$E,'1.CC Transition risk-Banking b.'!$H$63,Input!$C:$C,'1.CC Transition risk-Banking b.'!$H$64),0))/1000000</f>
        <v>0</v>
      </c>
      <c r="I35" s="83">
        <f>(ROUND(SUMIFS(Input!$I:$I,Input!$H:$H,'1.CC Transition risk-Banking b.'!$A35&amp;"*",Input!$E:$E,'1.CC Transition risk-Banking b.'!$I$63),0))/1000000</f>
        <v>0</v>
      </c>
      <c r="J35" s="83">
        <f>(ROUND(SUMIFS(Input!$I:$I,Input!$H:$H,'1.CC Transition risk-Banking b.'!$A35&amp;"*",Input!$E:$E,'1.CC Transition risk-Banking b.'!$J$63,Input!$C:$C,'1.CC Transition risk-Banking b.'!$J$64),0))/1000000</f>
        <v>0</v>
      </c>
      <c r="K35" s="83">
        <f>(ROUND(SUMIFS(Input!$I:$I,Input!$H:$H,'1.CC Transition risk-Banking b.'!$A35&amp;"*",Input!$E:$E,'1.CC Transition risk-Banking b.'!$K$63,Input!$C:$C,'1.CC Transition risk-Banking b.'!$K$64),0))/1000000</f>
        <v>0</v>
      </c>
      <c r="L35" s="84">
        <f>(ROUND(SUMIFS(Input!$J:$J,Input!$H:$H,'1.CC Transition risk-Banking b.'!$A35&amp;"*")
+ SUMIFS(Input!$L:$L,Input!$H:$H,'1.CC Transition risk-Banking b.'!$A35&amp;"*")
+SUMIFS(Input!$N:$N,Input!$H:$H,'1.CC Transition risk-Banking b.'!$A35&amp;"*"),0))/1000000</f>
        <v>0</v>
      </c>
      <c r="M35" s="84">
        <f>(ROUND(SUMIFS(Input!$N:$N,Input!$H:$H,'1.CC Transition risk-Banking b.'!$A35&amp;"*"),0))/1000000</f>
        <v>0</v>
      </c>
      <c r="N35" s="91">
        <f>IFERROR(AVERAGE(SUMIFS(Input!$I:$I,Input!$H:$H,'1.CC Transition risk-Banking b.'!$A35&amp;"*",Input!$R:$R,"SOUR1",Input!$E:$E,'1.CC Transition risk-Banking b.'!$O$63),
SUMIFS(Input!$I:$I,Input!$H:$H,'1.CC Transition risk-Banking b.'!$A35&amp;"*",Input!$S:$S,"SOUR1",Input!$E:$E,'1.CC Transition risk-Banking b.'!$O$63),
SUMIFS(Input!$I:$I,Input!$H:$H,'1.CC Transition risk-Banking b.'!$A35&amp;"*",Input!$T:$T,"SOUR1",Input!$E:$E,'1.CC Transition risk-Banking b.'!$O$63))/SUMIFS(Input!$I:$I,Input!$H:$H,'1.CC Transition risk-Banking b.'!$A35&amp;"*",Input!$E:$E,'1.CC Transition risk-Banking b.'!$O$63),0)</f>
        <v>0</v>
      </c>
      <c r="O35" s="85">
        <f>(ROUND(SUMIFS(Input!$I:$I,Input!$H:$H,'1.CC Transition risk-Banking b.'!$A35&amp;"*",Input!$E:$E,'1.CC Transition risk-Banking b.'!O$63,Input!$G:$G,"&gt;=0",Input!$G:$G,"&lt;=5")
+ SUMIFS(Input!$I:$I,Input!$H:$H,'1.CC Transition risk-Banking b.'!$A35&amp;"*",Input!$E:$E,'1.CC Transition risk-Banking b.'!O$63,Input!$G:$G,"-4")
+ SUMIFS(Input!$I:$I,Input!$H:$H,'1.CC Transition risk-Banking b.'!$A35&amp;"*",Input!$E:$E,'1.CC Transition risk-Banking b.'!O$63,Input!$G:$G,"-1"),0))/1000000</f>
        <v>0</v>
      </c>
      <c r="P35" s="85">
        <f>(ROUND(SUMIFS(Input!$I:$I,Input!$H:$H,'1.CC Transition risk-Banking b.'!$A35&amp;"*",Input!$E:$E,'1.CC Transition risk-Banking b.'!P$63,Input!$G:$G,"&gt;5",Input!$G:$G,"&lt;=10"),0))/1000000</f>
        <v>0</v>
      </c>
      <c r="Q35" s="85">
        <f>(ROUND(SUMIFS(Input!$I:$I,Input!$H:$H,'1.CC Transition risk-Banking b.'!$A35&amp;"*",Input!$E:$E,'1.CC Transition risk-Banking b.'!Q$63,Input!$G:$G,"&gt;10",Input!$G:$G,"&lt;=20"),0))/1000000</f>
        <v>0</v>
      </c>
      <c r="R35" s="85">
        <f>(ROUND(SUMIFS(Input!$I:$I,Input!$H:$H,'1.CC Transition risk-Banking b.'!$A35&amp;"*",Input!$E:$E,'1.CC Transition risk-Banking b.'!R$63,Input!$G:$G,"&gt;20")
+ SUMIFS(Input!$I:$I,Input!$H:$H,'1.CC Transition risk-Banking b.'!$A35&amp;"*",Input!$E:$E,'1.CC Transition risk-Banking b.'!R$63,Input!$G:$G,"-2")
+ SUMIFS(Input!$I:$I,Input!$H:$H,'1.CC Transition risk-Banking b.'!$A35&amp;"*",Input!$E:$E,'1.CC Transition risk-Banking b.'!R$63,Input!$G:$G,"-3"),0))/1000000</f>
        <v>0</v>
      </c>
      <c r="S35" s="86">
        <f>ROUND(IFERROR((SUMIFS(Input!$Q:$Q,Input!$H:$H,'1.CC Transition risk-Banking b.'!$A35&amp;"*",Input!$E:$E,'1.CC Transition risk-Banking b.'!S$63,Input!$G:$G,"&gt;0")/1000000)/'1.CC Transition risk-Banking b.'!$D35,0),0)</f>
        <v>0</v>
      </c>
    </row>
    <row r="36" spans="1:19" x14ac:dyDescent="0.3">
      <c r="A36" s="96" t="s">
        <v>140</v>
      </c>
      <c r="B36" s="66">
        <v>31</v>
      </c>
      <c r="C36" s="69" t="s">
        <v>141</v>
      </c>
      <c r="D36" s="83">
        <f>(ROUND(SUMIFS(Input!$I:$I,Input!$H:$H,'1.CC Transition risk-Banking b.'!$A36&amp;"*",Input!$E:$E,'1.CC Transition risk-Banking b.'!$D$63),0))/1000000</f>
        <v>0</v>
      </c>
      <c r="E36" s="83">
        <f>(ROUND(SUMIFS(Input!$I:$I,Input!$H:$H,'1.CC Transition risk-Banking b.'!$A36&amp;"*",Input!$E:$E,'1.CC Transition risk-Banking b.'!$E$63,Input!$F:$F,'1.CC Transition risk-Banking b.'!$E$64),0))/1000000</f>
        <v>0</v>
      </c>
      <c r="F36" s="83">
        <f>(ROUND(SUMIFS(Input!$P:$P,Input!$H:$H,'1.CC Transition risk-Banking b.'!$A36&amp;"*",Input!$E:$E,'1.CC Transition risk-Banking b.'!$E$63,Input!$O:$O,'1.CC Transition risk-Banking b.'!$F$63),0))/1000000</f>
        <v>0</v>
      </c>
      <c r="G36" s="83">
        <f>(ROUND(SUMIFS(Input!$I:$I,Input!$H:$H,'1.CC Transition risk-Banking b.'!$A36&amp;"*",Input!$E:$E,'1.CC Transition risk-Banking b.'!$G$63,Input!$C:$C,'1.CC Transition risk-Banking b.'!$G$64),0))/1000000</f>
        <v>0</v>
      </c>
      <c r="H36" s="83">
        <f>(ROUND(SUMIFS(Input!$I:$I,Input!$H:$H,'1.CC Transition risk-Banking b.'!$A36&amp;"*",Input!$E:$E,'1.CC Transition risk-Banking b.'!$H$63,Input!$C:$C,'1.CC Transition risk-Banking b.'!$H$64),0))/1000000</f>
        <v>0</v>
      </c>
      <c r="I36" s="83">
        <f>(ROUND(SUMIFS(Input!$I:$I,Input!$H:$H,'1.CC Transition risk-Banking b.'!$A36&amp;"*",Input!$E:$E,'1.CC Transition risk-Banking b.'!$I$63),0))/1000000</f>
        <v>0</v>
      </c>
      <c r="J36" s="83">
        <f>(ROUND(SUMIFS(Input!$I:$I,Input!$H:$H,'1.CC Transition risk-Banking b.'!$A36&amp;"*",Input!$E:$E,'1.CC Transition risk-Banking b.'!$J$63,Input!$C:$C,'1.CC Transition risk-Banking b.'!$J$64),0))/1000000</f>
        <v>0</v>
      </c>
      <c r="K36" s="83">
        <f>(ROUND(SUMIFS(Input!$I:$I,Input!$H:$H,'1.CC Transition risk-Banking b.'!$A36&amp;"*",Input!$E:$E,'1.CC Transition risk-Banking b.'!$K$63,Input!$C:$C,'1.CC Transition risk-Banking b.'!$K$64),0))/1000000</f>
        <v>0</v>
      </c>
      <c r="L36" s="84">
        <f>(ROUND(SUMIFS(Input!$J:$J,Input!$H:$H,'1.CC Transition risk-Banking b.'!$A36&amp;"*")
+ SUMIFS(Input!$L:$L,Input!$H:$H,'1.CC Transition risk-Banking b.'!$A36&amp;"*")
+SUMIFS(Input!$N:$N,Input!$H:$H,'1.CC Transition risk-Banking b.'!$A36&amp;"*"),0))/1000000</f>
        <v>0</v>
      </c>
      <c r="M36" s="84">
        <f>(ROUND(SUMIFS(Input!$N:$N,Input!$H:$H,'1.CC Transition risk-Banking b.'!$A36&amp;"*"),0))/1000000</f>
        <v>0</v>
      </c>
      <c r="N36" s="91">
        <f>IFERROR(AVERAGE(SUMIFS(Input!$I:$I,Input!$H:$H,'1.CC Transition risk-Banking b.'!$A36&amp;"*",Input!$R:$R,"SOUR1",Input!$E:$E,'1.CC Transition risk-Banking b.'!$O$63),
SUMIFS(Input!$I:$I,Input!$H:$H,'1.CC Transition risk-Banking b.'!$A36&amp;"*",Input!$S:$S,"SOUR1",Input!$E:$E,'1.CC Transition risk-Banking b.'!$O$63),
SUMIFS(Input!$I:$I,Input!$H:$H,'1.CC Transition risk-Banking b.'!$A36&amp;"*",Input!$T:$T,"SOUR1",Input!$E:$E,'1.CC Transition risk-Banking b.'!$O$63))/SUMIFS(Input!$I:$I,Input!$H:$H,'1.CC Transition risk-Banking b.'!$A36&amp;"*",Input!$E:$E,'1.CC Transition risk-Banking b.'!$O$63),0)</f>
        <v>0</v>
      </c>
      <c r="O36" s="85">
        <f>(ROUND(SUMIFS(Input!$I:$I,Input!$H:$H,'1.CC Transition risk-Banking b.'!$A36&amp;"*",Input!$E:$E,'1.CC Transition risk-Banking b.'!O$63,Input!$G:$G,"&gt;=0",Input!$G:$G,"&lt;=5")
+ SUMIFS(Input!$I:$I,Input!$H:$H,'1.CC Transition risk-Banking b.'!$A36&amp;"*",Input!$E:$E,'1.CC Transition risk-Banking b.'!O$63,Input!$G:$G,"-4")
+ SUMIFS(Input!$I:$I,Input!$H:$H,'1.CC Transition risk-Banking b.'!$A36&amp;"*",Input!$E:$E,'1.CC Transition risk-Banking b.'!O$63,Input!$G:$G,"-1"),0))/1000000</f>
        <v>0</v>
      </c>
      <c r="P36" s="85">
        <f>(ROUND(SUMIFS(Input!$I:$I,Input!$H:$H,'1.CC Transition risk-Banking b.'!$A36&amp;"*",Input!$E:$E,'1.CC Transition risk-Banking b.'!P$63,Input!$G:$G,"&gt;5",Input!$G:$G,"&lt;=10"),0))/1000000</f>
        <v>0</v>
      </c>
      <c r="Q36" s="85">
        <f>(ROUND(SUMIFS(Input!$I:$I,Input!$H:$H,'1.CC Transition risk-Banking b.'!$A36&amp;"*",Input!$E:$E,'1.CC Transition risk-Banking b.'!Q$63,Input!$G:$G,"&gt;10",Input!$G:$G,"&lt;=20"),0))/1000000</f>
        <v>0</v>
      </c>
      <c r="R36" s="85">
        <f>(ROUND(SUMIFS(Input!$I:$I,Input!$H:$H,'1.CC Transition risk-Banking b.'!$A36&amp;"*",Input!$E:$E,'1.CC Transition risk-Banking b.'!R$63,Input!$G:$G,"&gt;20")
+ SUMIFS(Input!$I:$I,Input!$H:$H,'1.CC Transition risk-Banking b.'!$A36&amp;"*",Input!$E:$E,'1.CC Transition risk-Banking b.'!R$63,Input!$G:$G,"-2")
+ SUMIFS(Input!$I:$I,Input!$H:$H,'1.CC Transition risk-Banking b.'!$A36&amp;"*",Input!$E:$E,'1.CC Transition risk-Banking b.'!R$63,Input!$G:$G,"-3"),0))/1000000</f>
        <v>0</v>
      </c>
      <c r="S36" s="86">
        <f>ROUND(IFERROR((SUMIFS(Input!$Q:$Q,Input!$H:$H,'1.CC Transition risk-Banking b.'!$A36&amp;"*",Input!$E:$E,'1.CC Transition risk-Banking b.'!S$63,Input!$G:$G,"&gt;0")/1000000)/'1.CC Transition risk-Banking b.'!$D36,0),0)</f>
        <v>0</v>
      </c>
    </row>
    <row r="37" spans="1:19" x14ac:dyDescent="0.3">
      <c r="A37" s="96" t="s">
        <v>142</v>
      </c>
      <c r="B37" s="66">
        <v>32</v>
      </c>
      <c r="C37" s="69" t="s">
        <v>143</v>
      </c>
      <c r="D37" s="83">
        <f>(ROUND(SUMIFS(Input!$I:$I,Input!$H:$H,'1.CC Transition risk-Banking b.'!$A37&amp;"*",Input!$E:$E,'1.CC Transition risk-Banking b.'!$D$63),0))/1000000</f>
        <v>0</v>
      </c>
      <c r="E37" s="83">
        <f>(ROUND(SUMIFS(Input!$I:$I,Input!$H:$H,'1.CC Transition risk-Banking b.'!$A37&amp;"*",Input!$E:$E,'1.CC Transition risk-Banking b.'!$E$63,Input!$F:$F,'1.CC Transition risk-Banking b.'!$E$64),0))/1000000</f>
        <v>0</v>
      </c>
      <c r="F37" s="83">
        <f>(ROUND(SUMIFS(Input!$P:$P,Input!$H:$H,'1.CC Transition risk-Banking b.'!$A37&amp;"*",Input!$E:$E,'1.CC Transition risk-Banking b.'!$E$63,Input!$O:$O,'1.CC Transition risk-Banking b.'!$F$63),0))/1000000</f>
        <v>0</v>
      </c>
      <c r="G37" s="83">
        <f>(ROUND(SUMIFS(Input!$I:$I,Input!$H:$H,'1.CC Transition risk-Banking b.'!$A37&amp;"*",Input!$E:$E,'1.CC Transition risk-Banking b.'!$G$63,Input!$C:$C,'1.CC Transition risk-Banking b.'!$G$64),0))/1000000</f>
        <v>0</v>
      </c>
      <c r="H37" s="83">
        <f>(ROUND(SUMIFS(Input!$I:$I,Input!$H:$H,'1.CC Transition risk-Banking b.'!$A37&amp;"*",Input!$E:$E,'1.CC Transition risk-Banking b.'!$H$63,Input!$C:$C,'1.CC Transition risk-Banking b.'!$H$64),0))/1000000</f>
        <v>0</v>
      </c>
      <c r="I37" s="83">
        <f>(ROUND(SUMIFS(Input!$I:$I,Input!$H:$H,'1.CC Transition risk-Banking b.'!$A37&amp;"*",Input!$E:$E,'1.CC Transition risk-Banking b.'!$I$63),0))/1000000</f>
        <v>0</v>
      </c>
      <c r="J37" s="83">
        <f>(ROUND(SUMIFS(Input!$I:$I,Input!$H:$H,'1.CC Transition risk-Banking b.'!$A37&amp;"*",Input!$E:$E,'1.CC Transition risk-Banking b.'!$J$63,Input!$C:$C,'1.CC Transition risk-Banking b.'!$J$64),0))/1000000</f>
        <v>0</v>
      </c>
      <c r="K37" s="83">
        <f>(ROUND(SUMIFS(Input!$I:$I,Input!$H:$H,'1.CC Transition risk-Banking b.'!$A37&amp;"*",Input!$E:$E,'1.CC Transition risk-Banking b.'!$K$63,Input!$C:$C,'1.CC Transition risk-Banking b.'!$K$64),0))/1000000</f>
        <v>0</v>
      </c>
      <c r="L37" s="84">
        <f>(ROUND(SUMIFS(Input!$J:$J,Input!$H:$H,'1.CC Transition risk-Banking b.'!$A37&amp;"*")
+ SUMIFS(Input!$L:$L,Input!$H:$H,'1.CC Transition risk-Banking b.'!$A37&amp;"*")
+SUMIFS(Input!$N:$N,Input!$H:$H,'1.CC Transition risk-Banking b.'!$A37&amp;"*"),0))/1000000</f>
        <v>0</v>
      </c>
      <c r="M37" s="84">
        <f>(ROUND(SUMIFS(Input!$N:$N,Input!$H:$H,'1.CC Transition risk-Banking b.'!$A37&amp;"*"),0))/1000000</f>
        <v>0</v>
      </c>
      <c r="N37" s="91">
        <f>IFERROR(AVERAGE(SUMIFS(Input!$I:$I,Input!$H:$H,'1.CC Transition risk-Banking b.'!$A37&amp;"*",Input!$R:$R,"SOUR1",Input!$E:$E,'1.CC Transition risk-Banking b.'!$O$63),
SUMIFS(Input!$I:$I,Input!$H:$H,'1.CC Transition risk-Banking b.'!$A37&amp;"*",Input!$S:$S,"SOUR1",Input!$E:$E,'1.CC Transition risk-Banking b.'!$O$63),
SUMIFS(Input!$I:$I,Input!$H:$H,'1.CC Transition risk-Banking b.'!$A37&amp;"*",Input!$T:$T,"SOUR1",Input!$E:$E,'1.CC Transition risk-Banking b.'!$O$63))/SUMIFS(Input!$I:$I,Input!$H:$H,'1.CC Transition risk-Banking b.'!$A37&amp;"*",Input!$E:$E,'1.CC Transition risk-Banking b.'!$O$63),0)</f>
        <v>0</v>
      </c>
      <c r="O37" s="85">
        <f>(ROUND(SUMIFS(Input!$I:$I,Input!$H:$H,'1.CC Transition risk-Banking b.'!$A37&amp;"*",Input!$E:$E,'1.CC Transition risk-Banking b.'!O$63,Input!$G:$G,"&gt;=0",Input!$G:$G,"&lt;=5")
+ SUMIFS(Input!$I:$I,Input!$H:$H,'1.CC Transition risk-Banking b.'!$A37&amp;"*",Input!$E:$E,'1.CC Transition risk-Banking b.'!O$63,Input!$G:$G,"-4")
+ SUMIFS(Input!$I:$I,Input!$H:$H,'1.CC Transition risk-Banking b.'!$A37&amp;"*",Input!$E:$E,'1.CC Transition risk-Banking b.'!O$63,Input!$G:$G,"-1"),0))/1000000</f>
        <v>0</v>
      </c>
      <c r="P37" s="85">
        <f>(ROUND(SUMIFS(Input!$I:$I,Input!$H:$H,'1.CC Transition risk-Banking b.'!$A37&amp;"*",Input!$E:$E,'1.CC Transition risk-Banking b.'!P$63,Input!$G:$G,"&gt;5",Input!$G:$G,"&lt;=10"),0))/1000000</f>
        <v>0</v>
      </c>
      <c r="Q37" s="85">
        <f>(ROUND(SUMIFS(Input!$I:$I,Input!$H:$H,'1.CC Transition risk-Banking b.'!$A37&amp;"*",Input!$E:$E,'1.CC Transition risk-Banking b.'!Q$63,Input!$G:$G,"&gt;10",Input!$G:$G,"&lt;=20"),0))/1000000</f>
        <v>0</v>
      </c>
      <c r="R37" s="85">
        <f>(ROUND(SUMIFS(Input!$I:$I,Input!$H:$H,'1.CC Transition risk-Banking b.'!$A37&amp;"*",Input!$E:$E,'1.CC Transition risk-Banking b.'!R$63,Input!$G:$G,"&gt;20")
+ SUMIFS(Input!$I:$I,Input!$H:$H,'1.CC Transition risk-Banking b.'!$A37&amp;"*",Input!$E:$E,'1.CC Transition risk-Banking b.'!R$63,Input!$G:$G,"-2")
+ SUMIFS(Input!$I:$I,Input!$H:$H,'1.CC Transition risk-Banking b.'!$A37&amp;"*",Input!$E:$E,'1.CC Transition risk-Banking b.'!R$63,Input!$G:$G,"-3"),0))/1000000</f>
        <v>0</v>
      </c>
      <c r="S37" s="86">
        <f>ROUND(IFERROR((SUMIFS(Input!$Q:$Q,Input!$H:$H,'1.CC Transition risk-Banking b.'!$A37&amp;"*",Input!$E:$E,'1.CC Transition risk-Banking b.'!S$63,Input!$G:$G,"&gt;0")/1000000)/'1.CC Transition risk-Banking b.'!$D37,0),0)</f>
        <v>0</v>
      </c>
    </row>
    <row r="38" spans="1:19" x14ac:dyDescent="0.3">
      <c r="A38" s="96" t="s">
        <v>144</v>
      </c>
      <c r="B38" s="66">
        <v>33</v>
      </c>
      <c r="C38" s="69" t="s">
        <v>145</v>
      </c>
      <c r="D38" s="83">
        <f>(ROUND(SUMIFS(Input!$I:$I,Input!$H:$H,'1.CC Transition risk-Banking b.'!$A38&amp;"*",Input!$E:$E,'1.CC Transition risk-Banking b.'!$D$63),0))/1000000</f>
        <v>0</v>
      </c>
      <c r="E38" s="83">
        <f>(ROUND(SUMIFS(Input!$I:$I,Input!$H:$H,'1.CC Transition risk-Banking b.'!$A38&amp;"*",Input!$E:$E,'1.CC Transition risk-Banking b.'!$E$63,Input!$F:$F,'1.CC Transition risk-Banking b.'!$E$64),0))/1000000</f>
        <v>0</v>
      </c>
      <c r="F38" s="83">
        <f>(ROUND(SUMIFS(Input!$P:$P,Input!$H:$H,'1.CC Transition risk-Banking b.'!$A38&amp;"*",Input!$E:$E,'1.CC Transition risk-Banking b.'!$E$63,Input!$O:$O,'1.CC Transition risk-Banking b.'!$F$63),0))/1000000</f>
        <v>0</v>
      </c>
      <c r="G38" s="83">
        <f>(ROUND(SUMIFS(Input!$I:$I,Input!$H:$H,'1.CC Transition risk-Banking b.'!$A38&amp;"*",Input!$E:$E,'1.CC Transition risk-Banking b.'!$G$63,Input!$C:$C,'1.CC Transition risk-Banking b.'!$G$64),0))/1000000</f>
        <v>0</v>
      </c>
      <c r="H38" s="83">
        <f>(ROUND(SUMIFS(Input!$I:$I,Input!$H:$H,'1.CC Transition risk-Banking b.'!$A38&amp;"*",Input!$E:$E,'1.CC Transition risk-Banking b.'!$H$63,Input!$C:$C,'1.CC Transition risk-Banking b.'!$H$64),0))/1000000</f>
        <v>0</v>
      </c>
      <c r="I38" s="83">
        <f>(ROUND(SUMIFS(Input!$I:$I,Input!$H:$H,'1.CC Transition risk-Banking b.'!$A38&amp;"*",Input!$E:$E,'1.CC Transition risk-Banking b.'!$I$63),0))/1000000</f>
        <v>0</v>
      </c>
      <c r="J38" s="83">
        <f>(ROUND(SUMIFS(Input!$I:$I,Input!$H:$H,'1.CC Transition risk-Banking b.'!$A38&amp;"*",Input!$E:$E,'1.CC Transition risk-Banking b.'!$J$63,Input!$C:$C,'1.CC Transition risk-Banking b.'!$J$64),0))/1000000</f>
        <v>0</v>
      </c>
      <c r="K38" s="83">
        <f>(ROUND(SUMIFS(Input!$I:$I,Input!$H:$H,'1.CC Transition risk-Banking b.'!$A38&amp;"*",Input!$E:$E,'1.CC Transition risk-Banking b.'!$K$63,Input!$C:$C,'1.CC Transition risk-Banking b.'!$K$64),0))/1000000</f>
        <v>0</v>
      </c>
      <c r="L38" s="84">
        <f>(ROUND(SUMIFS(Input!$J:$J,Input!$H:$H,'1.CC Transition risk-Banking b.'!$A38&amp;"*")
+ SUMIFS(Input!$L:$L,Input!$H:$H,'1.CC Transition risk-Banking b.'!$A38&amp;"*")
+SUMIFS(Input!$N:$N,Input!$H:$H,'1.CC Transition risk-Banking b.'!$A38&amp;"*"),0))/1000000</f>
        <v>0</v>
      </c>
      <c r="M38" s="84">
        <f>(ROUND(SUMIFS(Input!$N:$N,Input!$H:$H,'1.CC Transition risk-Banking b.'!$A38&amp;"*"),0))/1000000</f>
        <v>0</v>
      </c>
      <c r="N38" s="91">
        <f>IFERROR(AVERAGE(SUMIFS(Input!$I:$I,Input!$H:$H,'1.CC Transition risk-Banking b.'!$A38&amp;"*",Input!$R:$R,"SOUR1",Input!$E:$E,'1.CC Transition risk-Banking b.'!$O$63),
SUMIFS(Input!$I:$I,Input!$H:$H,'1.CC Transition risk-Banking b.'!$A38&amp;"*",Input!$S:$S,"SOUR1",Input!$E:$E,'1.CC Transition risk-Banking b.'!$O$63),
SUMIFS(Input!$I:$I,Input!$H:$H,'1.CC Transition risk-Banking b.'!$A38&amp;"*",Input!$T:$T,"SOUR1",Input!$E:$E,'1.CC Transition risk-Banking b.'!$O$63))/SUMIFS(Input!$I:$I,Input!$H:$H,'1.CC Transition risk-Banking b.'!$A38&amp;"*",Input!$E:$E,'1.CC Transition risk-Banking b.'!$O$63),0)</f>
        <v>0</v>
      </c>
      <c r="O38" s="85">
        <f>(ROUND(SUMIFS(Input!$I:$I,Input!$H:$H,'1.CC Transition risk-Banking b.'!$A38&amp;"*",Input!$E:$E,'1.CC Transition risk-Banking b.'!O$63,Input!$G:$G,"&gt;=0",Input!$G:$G,"&lt;=5")
+ SUMIFS(Input!$I:$I,Input!$H:$H,'1.CC Transition risk-Banking b.'!$A38&amp;"*",Input!$E:$E,'1.CC Transition risk-Banking b.'!O$63,Input!$G:$G,"-4")
+ SUMIFS(Input!$I:$I,Input!$H:$H,'1.CC Transition risk-Banking b.'!$A38&amp;"*",Input!$E:$E,'1.CC Transition risk-Banking b.'!O$63,Input!$G:$G,"-1"),0))/1000000</f>
        <v>0</v>
      </c>
      <c r="P38" s="85">
        <f>(ROUND(SUMIFS(Input!$I:$I,Input!$H:$H,'1.CC Transition risk-Banking b.'!$A38&amp;"*",Input!$E:$E,'1.CC Transition risk-Banking b.'!P$63,Input!$G:$G,"&gt;5",Input!$G:$G,"&lt;=10"),0))/1000000</f>
        <v>0</v>
      </c>
      <c r="Q38" s="85">
        <f>(ROUND(SUMIFS(Input!$I:$I,Input!$H:$H,'1.CC Transition risk-Banking b.'!$A38&amp;"*",Input!$E:$E,'1.CC Transition risk-Banking b.'!Q$63,Input!$G:$G,"&gt;10",Input!$G:$G,"&lt;=20"),0))/1000000</f>
        <v>0</v>
      </c>
      <c r="R38" s="85">
        <f>(ROUND(SUMIFS(Input!$I:$I,Input!$H:$H,'1.CC Transition risk-Banking b.'!$A38&amp;"*",Input!$E:$E,'1.CC Transition risk-Banking b.'!R$63,Input!$G:$G,"&gt;20")
+ SUMIFS(Input!$I:$I,Input!$H:$H,'1.CC Transition risk-Banking b.'!$A38&amp;"*",Input!$E:$E,'1.CC Transition risk-Banking b.'!R$63,Input!$G:$G,"-2")
+ SUMIFS(Input!$I:$I,Input!$H:$H,'1.CC Transition risk-Banking b.'!$A38&amp;"*",Input!$E:$E,'1.CC Transition risk-Banking b.'!R$63,Input!$G:$G,"-3"),0))/1000000</f>
        <v>0</v>
      </c>
      <c r="S38" s="86">
        <f>ROUND(IFERROR((SUMIFS(Input!$Q:$Q,Input!$H:$H,'1.CC Transition risk-Banking b.'!$A38&amp;"*",Input!$E:$E,'1.CC Transition risk-Banking b.'!S$63,Input!$G:$G,"&gt;0")/1000000)/'1.CC Transition risk-Banking b.'!$D38,0),0)</f>
        <v>0</v>
      </c>
    </row>
    <row r="39" spans="1:19" x14ac:dyDescent="0.3">
      <c r="A39" s="96" t="s">
        <v>146</v>
      </c>
      <c r="B39" s="66">
        <v>34</v>
      </c>
      <c r="C39" s="68" t="s">
        <v>147</v>
      </c>
      <c r="D39" s="83">
        <f>(ROUND(SUMIFS(Input!$I:$I,Input!$H:$H,'1.CC Transition risk-Banking b.'!$A39&amp;"*",Input!$E:$E,'1.CC Transition risk-Banking b.'!$D$63),0))/1000000</f>
        <v>0</v>
      </c>
      <c r="E39" s="83">
        <f>(ROUND(SUMIFS(Input!$I:$I,Input!$H:$H,'1.CC Transition risk-Banking b.'!$A39&amp;"*",Input!$E:$E,'1.CC Transition risk-Banking b.'!$E$63,Input!$F:$F,'1.CC Transition risk-Banking b.'!$E$64),0))/1000000</f>
        <v>0</v>
      </c>
      <c r="F39" s="83">
        <f>(ROUND(SUMIFS(Input!$P:$P,Input!$H:$H,'1.CC Transition risk-Banking b.'!$A39&amp;"*",Input!$E:$E,'1.CC Transition risk-Banking b.'!$E$63,Input!$O:$O,'1.CC Transition risk-Banking b.'!$F$63),0))/1000000</f>
        <v>0</v>
      </c>
      <c r="G39" s="83">
        <f>(ROUND(SUMIFS(Input!$I:$I,Input!$H:$H,'1.CC Transition risk-Banking b.'!$A39&amp;"*",Input!$E:$E,'1.CC Transition risk-Banking b.'!$G$63,Input!$C:$C,'1.CC Transition risk-Banking b.'!$G$64),0))/1000000</f>
        <v>0</v>
      </c>
      <c r="H39" s="83">
        <f>(ROUND(SUMIFS(Input!$I:$I,Input!$H:$H,'1.CC Transition risk-Banking b.'!$A39&amp;"*",Input!$E:$E,'1.CC Transition risk-Banking b.'!$H$63,Input!$C:$C,'1.CC Transition risk-Banking b.'!$H$64),0))/1000000</f>
        <v>0</v>
      </c>
      <c r="I39" s="83">
        <f>(ROUND(SUMIFS(Input!$I:$I,Input!$H:$H,'1.CC Transition risk-Banking b.'!$A39&amp;"*",Input!$E:$E,'1.CC Transition risk-Banking b.'!$I$63),0))/1000000</f>
        <v>0</v>
      </c>
      <c r="J39" s="83">
        <f>(ROUND(SUMIFS(Input!$I:$I,Input!$H:$H,'1.CC Transition risk-Banking b.'!$A39&amp;"*",Input!$E:$E,'1.CC Transition risk-Banking b.'!$J$63,Input!$C:$C,'1.CC Transition risk-Banking b.'!$J$64),0))/1000000</f>
        <v>0</v>
      </c>
      <c r="K39" s="83">
        <f>(ROUND(SUMIFS(Input!$I:$I,Input!$H:$H,'1.CC Transition risk-Banking b.'!$A39&amp;"*",Input!$E:$E,'1.CC Transition risk-Banking b.'!$K$63,Input!$C:$C,'1.CC Transition risk-Banking b.'!$K$64),0))/1000000</f>
        <v>0</v>
      </c>
      <c r="L39" s="84">
        <f>(ROUND(SUMIFS(Input!$J:$J,Input!$H:$H,'1.CC Transition risk-Banking b.'!$A39&amp;"*")
+ SUMIFS(Input!$L:$L,Input!$H:$H,'1.CC Transition risk-Banking b.'!$A39&amp;"*")
+SUMIFS(Input!$N:$N,Input!$H:$H,'1.CC Transition risk-Banking b.'!$A39&amp;"*"),0))/1000000</f>
        <v>0</v>
      </c>
      <c r="M39" s="84">
        <f>(ROUND(SUMIFS(Input!$N:$N,Input!$H:$H,'1.CC Transition risk-Banking b.'!$A39&amp;"*"),0))/1000000</f>
        <v>0</v>
      </c>
      <c r="N39" s="91">
        <f>IFERROR(AVERAGE(SUMIFS(Input!$I:$I,Input!$H:$H,'1.CC Transition risk-Banking b.'!$A39&amp;"*",Input!$R:$R,"SOUR1",Input!$E:$E,'1.CC Transition risk-Banking b.'!$O$63),
SUMIFS(Input!$I:$I,Input!$H:$H,'1.CC Transition risk-Banking b.'!$A39&amp;"*",Input!$S:$S,"SOUR1",Input!$E:$E,'1.CC Transition risk-Banking b.'!$O$63),
SUMIFS(Input!$I:$I,Input!$H:$H,'1.CC Transition risk-Banking b.'!$A39&amp;"*",Input!$T:$T,"SOUR1",Input!$E:$E,'1.CC Transition risk-Banking b.'!$O$63))/SUMIFS(Input!$I:$I,Input!$H:$H,'1.CC Transition risk-Banking b.'!$A39&amp;"*",Input!$E:$E,'1.CC Transition risk-Banking b.'!$O$63),0)</f>
        <v>0</v>
      </c>
      <c r="O39" s="85">
        <f>(ROUND(SUMIFS(Input!$I:$I,Input!$H:$H,'1.CC Transition risk-Banking b.'!$A39&amp;"*",Input!$E:$E,'1.CC Transition risk-Banking b.'!O$63,Input!$G:$G,"&gt;=0",Input!$G:$G,"&lt;=5")
+ SUMIFS(Input!$I:$I,Input!$H:$H,'1.CC Transition risk-Banking b.'!$A39&amp;"*",Input!$E:$E,'1.CC Transition risk-Banking b.'!O$63,Input!$G:$G,"-4")
+ SUMIFS(Input!$I:$I,Input!$H:$H,'1.CC Transition risk-Banking b.'!$A39&amp;"*",Input!$E:$E,'1.CC Transition risk-Banking b.'!O$63,Input!$G:$G,"-1"),0))/1000000</f>
        <v>0</v>
      </c>
      <c r="P39" s="85">
        <f>(ROUND(SUMIFS(Input!$I:$I,Input!$H:$H,'1.CC Transition risk-Banking b.'!$A39&amp;"*",Input!$E:$E,'1.CC Transition risk-Banking b.'!P$63,Input!$G:$G,"&gt;5",Input!$G:$G,"&lt;=10"),0))/1000000</f>
        <v>0</v>
      </c>
      <c r="Q39" s="85">
        <f>(ROUND(SUMIFS(Input!$I:$I,Input!$H:$H,'1.CC Transition risk-Banking b.'!$A39&amp;"*",Input!$E:$E,'1.CC Transition risk-Banking b.'!Q$63,Input!$G:$G,"&gt;10",Input!$G:$G,"&lt;=20"),0))/1000000</f>
        <v>0</v>
      </c>
      <c r="R39" s="85">
        <f>(ROUND(SUMIFS(Input!$I:$I,Input!$H:$H,'1.CC Transition risk-Banking b.'!$A39&amp;"*",Input!$E:$E,'1.CC Transition risk-Banking b.'!R$63,Input!$G:$G,"&gt;20")
+ SUMIFS(Input!$I:$I,Input!$H:$H,'1.CC Transition risk-Banking b.'!$A39&amp;"*",Input!$E:$E,'1.CC Transition risk-Banking b.'!R$63,Input!$G:$G,"-2")
+ SUMIFS(Input!$I:$I,Input!$H:$H,'1.CC Transition risk-Banking b.'!$A39&amp;"*",Input!$E:$E,'1.CC Transition risk-Banking b.'!R$63,Input!$G:$G,"-3"),0))/1000000</f>
        <v>0</v>
      </c>
      <c r="S39" s="86">
        <f>ROUND(IFERROR((SUMIFS(Input!$Q:$Q,Input!$H:$H,'1.CC Transition risk-Banking b.'!$A39&amp;"*",Input!$E:$E,'1.CC Transition risk-Banking b.'!S$63,Input!$G:$G,"&gt;0")/1000000)/'1.CC Transition risk-Banking b.'!$D39,0),0)</f>
        <v>0</v>
      </c>
    </row>
    <row r="40" spans="1:19" x14ac:dyDescent="0.3">
      <c r="A40" s="96" t="s">
        <v>148</v>
      </c>
      <c r="B40" s="66">
        <v>35</v>
      </c>
      <c r="C40" s="70" t="s">
        <v>149</v>
      </c>
      <c r="D40" s="83">
        <f>(ROUND(SUMIFS(Input!$I:$I,Input!$H:$H,'1.CC Transition risk-Banking b.'!$A40&amp;"*",Input!$E:$E,'1.CC Transition risk-Banking b.'!$D$63),0))/1000000</f>
        <v>0</v>
      </c>
      <c r="E40" s="83">
        <f>(ROUND(SUMIFS(Input!$I:$I,Input!$H:$H,'1.CC Transition risk-Banking b.'!$A40&amp;"*",Input!$E:$E,'1.CC Transition risk-Banking b.'!$E$63,Input!$F:$F,'1.CC Transition risk-Banking b.'!$E$64),0))/1000000</f>
        <v>0</v>
      </c>
      <c r="F40" s="83">
        <f>(ROUND(SUMIFS(Input!$P:$P,Input!$H:$H,'1.CC Transition risk-Banking b.'!$A40&amp;"*",Input!$E:$E,'1.CC Transition risk-Banking b.'!$E$63,Input!$O:$O,'1.CC Transition risk-Banking b.'!$F$63),0))/1000000</f>
        <v>0</v>
      </c>
      <c r="G40" s="83">
        <f>(ROUND(SUMIFS(Input!$I:$I,Input!$H:$H,'1.CC Transition risk-Banking b.'!$A40&amp;"*",Input!$E:$E,'1.CC Transition risk-Banking b.'!$G$63,Input!$C:$C,'1.CC Transition risk-Banking b.'!$G$64),0))/1000000</f>
        <v>0</v>
      </c>
      <c r="H40" s="83">
        <f>(ROUND(SUMIFS(Input!$I:$I,Input!$H:$H,'1.CC Transition risk-Banking b.'!$A40&amp;"*",Input!$E:$E,'1.CC Transition risk-Banking b.'!$H$63,Input!$C:$C,'1.CC Transition risk-Banking b.'!$H$64),0))/1000000</f>
        <v>0</v>
      </c>
      <c r="I40" s="83">
        <f>(ROUND(SUMIFS(Input!$I:$I,Input!$H:$H,'1.CC Transition risk-Banking b.'!$A40&amp;"*",Input!$E:$E,'1.CC Transition risk-Banking b.'!$I$63),0))/1000000</f>
        <v>0</v>
      </c>
      <c r="J40" s="83">
        <f>(ROUND(SUMIFS(Input!$I:$I,Input!$H:$H,'1.CC Transition risk-Banking b.'!$A40&amp;"*",Input!$E:$E,'1.CC Transition risk-Banking b.'!$J$63,Input!$C:$C,'1.CC Transition risk-Banking b.'!$J$64),0))/1000000</f>
        <v>0</v>
      </c>
      <c r="K40" s="83">
        <f>(ROUND(SUMIFS(Input!$I:$I,Input!$H:$H,'1.CC Transition risk-Banking b.'!$A40&amp;"*",Input!$E:$E,'1.CC Transition risk-Banking b.'!$K$63,Input!$C:$C,'1.CC Transition risk-Banking b.'!$K$64),0))/1000000</f>
        <v>0</v>
      </c>
      <c r="L40" s="84">
        <f>(ROUND(SUMIFS(Input!$J:$J,Input!$H:$H,'1.CC Transition risk-Banking b.'!$A40&amp;"*")
+ SUMIFS(Input!$L:$L,Input!$H:$H,'1.CC Transition risk-Banking b.'!$A40&amp;"*")
+SUMIFS(Input!$N:$N,Input!$H:$H,'1.CC Transition risk-Banking b.'!$A40&amp;"*"),0))/1000000</f>
        <v>0</v>
      </c>
      <c r="M40" s="84">
        <f>(ROUND(SUMIFS(Input!$N:$N,Input!$H:$H,'1.CC Transition risk-Banking b.'!$A40&amp;"*"),0))/1000000</f>
        <v>0</v>
      </c>
      <c r="N40" s="91">
        <f>IFERROR(AVERAGE(SUMIFS(Input!$I:$I,Input!$H:$H,'1.CC Transition risk-Banking b.'!$A40&amp;"*",Input!$R:$R,"SOUR1",Input!$E:$E,'1.CC Transition risk-Banking b.'!$O$63),
SUMIFS(Input!$I:$I,Input!$H:$H,'1.CC Transition risk-Banking b.'!$A40&amp;"*",Input!$S:$S,"SOUR1",Input!$E:$E,'1.CC Transition risk-Banking b.'!$O$63),
SUMIFS(Input!$I:$I,Input!$H:$H,'1.CC Transition risk-Banking b.'!$A40&amp;"*",Input!$T:$T,"SOUR1",Input!$E:$E,'1.CC Transition risk-Banking b.'!$O$63))/SUMIFS(Input!$I:$I,Input!$H:$H,'1.CC Transition risk-Banking b.'!$A40&amp;"*",Input!$E:$E,'1.CC Transition risk-Banking b.'!$O$63),0)</f>
        <v>0</v>
      </c>
      <c r="O40" s="85">
        <f>(ROUND(SUMIFS(Input!$I:$I,Input!$H:$H,'1.CC Transition risk-Banking b.'!$A40&amp;"*",Input!$E:$E,'1.CC Transition risk-Banking b.'!O$63,Input!$G:$G,"&gt;=0",Input!$G:$G,"&lt;=5")
+ SUMIFS(Input!$I:$I,Input!$H:$H,'1.CC Transition risk-Banking b.'!$A40&amp;"*",Input!$E:$E,'1.CC Transition risk-Banking b.'!O$63,Input!$G:$G,"-4")
+ SUMIFS(Input!$I:$I,Input!$H:$H,'1.CC Transition risk-Banking b.'!$A40&amp;"*",Input!$E:$E,'1.CC Transition risk-Banking b.'!O$63,Input!$G:$G,"-1"),0))/1000000</f>
        <v>0</v>
      </c>
      <c r="P40" s="85">
        <f>(ROUND(SUMIFS(Input!$I:$I,Input!$H:$H,'1.CC Transition risk-Banking b.'!$A40&amp;"*",Input!$E:$E,'1.CC Transition risk-Banking b.'!P$63,Input!$G:$G,"&gt;5",Input!$G:$G,"&lt;=10"),0))/1000000</f>
        <v>0</v>
      </c>
      <c r="Q40" s="85">
        <f>(ROUND(SUMIFS(Input!$I:$I,Input!$H:$H,'1.CC Transition risk-Banking b.'!$A40&amp;"*",Input!$E:$E,'1.CC Transition risk-Banking b.'!Q$63,Input!$G:$G,"&gt;10",Input!$G:$G,"&lt;=20"),0))/1000000</f>
        <v>0</v>
      </c>
      <c r="R40" s="85">
        <f>(ROUND(SUMIFS(Input!$I:$I,Input!$H:$H,'1.CC Transition risk-Banking b.'!$A40&amp;"*",Input!$E:$E,'1.CC Transition risk-Banking b.'!R$63,Input!$G:$G,"&gt;20")
+ SUMIFS(Input!$I:$I,Input!$H:$H,'1.CC Transition risk-Banking b.'!$A40&amp;"*",Input!$E:$E,'1.CC Transition risk-Banking b.'!R$63,Input!$G:$G,"-2")
+ SUMIFS(Input!$I:$I,Input!$H:$H,'1.CC Transition risk-Banking b.'!$A40&amp;"*",Input!$E:$E,'1.CC Transition risk-Banking b.'!R$63,Input!$G:$G,"-3"),0))/1000000</f>
        <v>0</v>
      </c>
      <c r="S40" s="86">
        <f>ROUND(IFERROR((SUMIFS(Input!$Q:$Q,Input!$H:$H,'1.CC Transition risk-Banking b.'!$A40&amp;"*",Input!$E:$E,'1.CC Transition risk-Banking b.'!S$63,Input!$G:$G,"&gt;0")/1000000)/'1.CC Transition risk-Banking b.'!$D40,0),0)</f>
        <v>0</v>
      </c>
    </row>
    <row r="41" spans="1:19" x14ac:dyDescent="0.3">
      <c r="A41" s="96" t="s">
        <v>47</v>
      </c>
      <c r="B41" s="66">
        <v>36</v>
      </c>
      <c r="C41" s="70" t="s">
        <v>150</v>
      </c>
      <c r="D41" s="83">
        <f>(ROUND(SUMIFS(Input!$I:$I,Input!$H:$H,'1.CC Transition risk-Banking b.'!$A41&amp;"*",Input!$E:$E,'1.CC Transition risk-Banking b.'!$D$63),0))/1000000</f>
        <v>0</v>
      </c>
      <c r="E41" s="83">
        <f>(ROUND(SUMIFS(Input!$I:$I,Input!$H:$H,'1.CC Transition risk-Banking b.'!$A41&amp;"*",Input!$E:$E,'1.CC Transition risk-Banking b.'!$E$63,Input!$F:$F,'1.CC Transition risk-Banking b.'!$E$64),0))/1000000</f>
        <v>0</v>
      </c>
      <c r="F41" s="83">
        <f>(ROUND(SUMIFS(Input!$P:$P,Input!$H:$H,'1.CC Transition risk-Banking b.'!$A41&amp;"*",Input!$E:$E,'1.CC Transition risk-Banking b.'!$E$63,Input!$O:$O,'1.CC Transition risk-Banking b.'!$F$63),0))/1000000</f>
        <v>0</v>
      </c>
      <c r="G41" s="83">
        <f>(ROUND(SUMIFS(Input!$I:$I,Input!$H:$H,'1.CC Transition risk-Banking b.'!$A41&amp;"*",Input!$E:$E,'1.CC Transition risk-Banking b.'!$G$63,Input!$C:$C,'1.CC Transition risk-Banking b.'!$G$64),0))/1000000</f>
        <v>0</v>
      </c>
      <c r="H41" s="83">
        <f>(ROUND(SUMIFS(Input!$I:$I,Input!$H:$H,'1.CC Transition risk-Banking b.'!$A41&amp;"*",Input!$E:$E,'1.CC Transition risk-Banking b.'!$H$63,Input!$C:$C,'1.CC Transition risk-Banking b.'!$H$64),0))/1000000</f>
        <v>0</v>
      </c>
      <c r="I41" s="83">
        <f>(ROUND(SUMIFS(Input!$I:$I,Input!$H:$H,'1.CC Transition risk-Banking b.'!$A41&amp;"*",Input!$E:$E,'1.CC Transition risk-Banking b.'!$I$63),0))/1000000</f>
        <v>0</v>
      </c>
      <c r="J41" s="83">
        <f>(ROUND(SUMIFS(Input!$I:$I,Input!$H:$H,'1.CC Transition risk-Banking b.'!$A41&amp;"*",Input!$E:$E,'1.CC Transition risk-Banking b.'!$J$63,Input!$C:$C,'1.CC Transition risk-Banking b.'!$J$64),0))/1000000</f>
        <v>0</v>
      </c>
      <c r="K41" s="83">
        <f>(ROUND(SUMIFS(Input!$I:$I,Input!$H:$H,'1.CC Transition risk-Banking b.'!$A41&amp;"*",Input!$E:$E,'1.CC Transition risk-Banking b.'!$K$63,Input!$C:$C,'1.CC Transition risk-Banking b.'!$K$64),0))/1000000</f>
        <v>0</v>
      </c>
      <c r="L41" s="84">
        <f>(ROUND(SUMIFS(Input!$J:$J,Input!$H:$H,'1.CC Transition risk-Banking b.'!$A41&amp;"*")
+ SUMIFS(Input!$L:$L,Input!$H:$H,'1.CC Transition risk-Banking b.'!$A41&amp;"*")
+SUMIFS(Input!$N:$N,Input!$H:$H,'1.CC Transition risk-Banking b.'!$A41&amp;"*"),0))/1000000</f>
        <v>0</v>
      </c>
      <c r="M41" s="84">
        <f>(ROUND(SUMIFS(Input!$N:$N,Input!$H:$H,'1.CC Transition risk-Banking b.'!$A41&amp;"*"),0))/1000000</f>
        <v>0</v>
      </c>
      <c r="N41" s="102">
        <f>IFERROR(AVERAGE(SUMIFS(Input!$I:$I,Input!$H:$H,'1.CC Transition risk-Banking b.'!$A41&amp;"*",Input!$R:$R,"SOUR1",Input!$E:$E,'1.CC Transition risk-Banking b.'!$O$63),
SUMIFS(Input!$I:$I,Input!$H:$H,'1.CC Transition risk-Banking b.'!$A41&amp;"*",Input!$S:$S,"SOUR1",Input!$E:$E,'1.CC Transition risk-Banking b.'!$O$63),
SUMIFS(Input!$I:$I,Input!$H:$H,'1.CC Transition risk-Banking b.'!$A41&amp;"*",Input!$T:$T,"SOUR1",Input!$E:$E,'1.CC Transition risk-Banking b.'!$O$63))/SUMIFS(Input!$I:$I,Input!$H:$H,'1.CC Transition risk-Banking b.'!$A41&amp;"*",Input!$E:$E,'1.CC Transition risk-Banking b.'!$O$63),0)</f>
        <v>0</v>
      </c>
      <c r="O41" s="85">
        <f>(ROUND(SUMIFS(Input!$I:$I,Input!$H:$H,'1.CC Transition risk-Banking b.'!$A41&amp;"*",Input!$E:$E,'1.CC Transition risk-Banking b.'!O$63,Input!$G:$G,"&gt;=0",Input!$G:$G,"&lt;=5")
+ SUMIFS(Input!$I:$I,Input!$H:$H,'1.CC Transition risk-Banking b.'!$A41&amp;"*",Input!$E:$E,'1.CC Transition risk-Banking b.'!O$63,Input!$G:$G,"-4")
+ SUMIFS(Input!$I:$I,Input!$H:$H,'1.CC Transition risk-Banking b.'!$A41&amp;"*",Input!$E:$E,'1.CC Transition risk-Banking b.'!O$63,Input!$G:$G,"-1"),0))/1000000</f>
        <v>0</v>
      </c>
      <c r="P41" s="85">
        <f>(ROUND(SUMIFS(Input!$I:$I,Input!$H:$H,'1.CC Transition risk-Banking b.'!$A41&amp;"*",Input!$E:$E,'1.CC Transition risk-Banking b.'!P$63,Input!$G:$G,"&gt;5",Input!$G:$G,"&lt;=10"),0))/1000000</f>
        <v>0</v>
      </c>
      <c r="Q41" s="85">
        <f>(ROUND(SUMIFS(Input!$I:$I,Input!$H:$H,'1.CC Transition risk-Banking b.'!$A41&amp;"*",Input!$E:$E,'1.CC Transition risk-Banking b.'!Q$63,Input!$G:$G,"&gt;10",Input!$G:$G,"&lt;=20"),0))/1000000</f>
        <v>0</v>
      </c>
      <c r="R41" s="85">
        <f>(ROUND(SUMIFS(Input!$I:$I,Input!$H:$H,'1.CC Transition risk-Banking b.'!$A41&amp;"*",Input!$E:$E,'1.CC Transition risk-Banking b.'!R$63,Input!$G:$G,"&gt;20")
+ SUMIFS(Input!$I:$I,Input!$H:$H,'1.CC Transition risk-Banking b.'!$A41&amp;"*",Input!$E:$E,'1.CC Transition risk-Banking b.'!R$63,Input!$G:$G,"-2")
+ SUMIFS(Input!$I:$I,Input!$H:$H,'1.CC Transition risk-Banking b.'!$A41&amp;"*",Input!$E:$E,'1.CC Transition risk-Banking b.'!R$63,Input!$G:$G,"-3"),0))/1000000</f>
        <v>0</v>
      </c>
      <c r="S41" s="86">
        <f>ROUND(IFERROR((SUMIFS(Input!$Q:$Q,Input!$H:$H,'1.CC Transition risk-Banking b.'!$A41&amp;"*",Input!$E:$E,'1.CC Transition risk-Banking b.'!S$63,Input!$G:$G,"&gt;0")/1000000)/'1.CC Transition risk-Banking b.'!$D41,0),0)</f>
        <v>0</v>
      </c>
    </row>
    <row r="42" spans="1:19" x14ac:dyDescent="0.3">
      <c r="A42" s="96" t="s">
        <v>151</v>
      </c>
      <c r="B42" s="66">
        <v>37</v>
      </c>
      <c r="C42" s="70" t="s">
        <v>152</v>
      </c>
      <c r="D42" s="83">
        <f>(ROUND(SUMIFS(Input!$I:$I,Input!$H:$H,'1.CC Transition risk-Banking b.'!$A42&amp;"*",Input!$E:$E,'1.CC Transition risk-Banking b.'!$D$63),0))/1000000</f>
        <v>0</v>
      </c>
      <c r="E42" s="83">
        <f>(ROUND(SUMIFS(Input!$I:$I,Input!$H:$H,'1.CC Transition risk-Banking b.'!$A42&amp;"*",Input!$E:$E,'1.CC Transition risk-Banking b.'!$E$63,Input!$F:$F,'1.CC Transition risk-Banking b.'!$E$64),0))/1000000</f>
        <v>0</v>
      </c>
      <c r="F42" s="83">
        <f>(ROUND(SUMIFS(Input!$P:$P,Input!$H:$H,'1.CC Transition risk-Banking b.'!$A42&amp;"*",Input!$E:$E,'1.CC Transition risk-Banking b.'!$E$63,Input!$O:$O,'1.CC Transition risk-Banking b.'!$F$63),0))/1000000</f>
        <v>0</v>
      </c>
      <c r="G42" s="83">
        <f>(ROUND(SUMIFS(Input!$I:$I,Input!$H:$H,'1.CC Transition risk-Banking b.'!$A42&amp;"*",Input!$E:$E,'1.CC Transition risk-Banking b.'!$G$63,Input!$C:$C,'1.CC Transition risk-Banking b.'!$G$64),0))/1000000</f>
        <v>0</v>
      </c>
      <c r="H42" s="83">
        <f>(ROUND(SUMIFS(Input!$I:$I,Input!$H:$H,'1.CC Transition risk-Banking b.'!$A42&amp;"*",Input!$E:$E,'1.CC Transition risk-Banking b.'!$H$63,Input!$C:$C,'1.CC Transition risk-Banking b.'!$H$64),0))/1000000</f>
        <v>0</v>
      </c>
      <c r="I42" s="83">
        <f>(ROUND(SUMIFS(Input!$I:$I,Input!$H:$H,'1.CC Transition risk-Banking b.'!$A42&amp;"*",Input!$E:$E,'1.CC Transition risk-Banking b.'!$I$63),0))/1000000</f>
        <v>0</v>
      </c>
      <c r="J42" s="83">
        <f>(ROUND(SUMIFS(Input!$I:$I,Input!$H:$H,'1.CC Transition risk-Banking b.'!$A42&amp;"*",Input!$E:$E,'1.CC Transition risk-Banking b.'!$J$63,Input!$C:$C,'1.CC Transition risk-Banking b.'!$J$64),0))/1000000</f>
        <v>0</v>
      </c>
      <c r="K42" s="83">
        <f>(ROUND(SUMIFS(Input!$I:$I,Input!$H:$H,'1.CC Transition risk-Banking b.'!$A42&amp;"*",Input!$E:$E,'1.CC Transition risk-Banking b.'!$K$63,Input!$C:$C,'1.CC Transition risk-Banking b.'!$K$64),0))/1000000</f>
        <v>0</v>
      </c>
      <c r="L42" s="84">
        <f>(ROUND(SUMIFS(Input!$J:$J,Input!$H:$H,'1.CC Transition risk-Banking b.'!$A42&amp;"*")
+ SUMIFS(Input!$L:$L,Input!$H:$H,'1.CC Transition risk-Banking b.'!$A42&amp;"*")
+SUMIFS(Input!$N:$N,Input!$H:$H,'1.CC Transition risk-Banking b.'!$A42&amp;"*"),0))/1000000</f>
        <v>0</v>
      </c>
      <c r="M42" s="84">
        <f>(ROUND(SUMIFS(Input!$N:$N,Input!$H:$H,'1.CC Transition risk-Banking b.'!$A42&amp;"*"),0))/1000000</f>
        <v>0</v>
      </c>
      <c r="N42" s="91">
        <f>IFERROR(AVERAGE(SUMIFS(Input!$I:$I,Input!$H:$H,'1.CC Transition risk-Banking b.'!$A42&amp;"*",Input!$R:$R,"SOUR1",Input!$E:$E,'1.CC Transition risk-Banking b.'!$O$63),
SUMIFS(Input!$I:$I,Input!$H:$H,'1.CC Transition risk-Banking b.'!$A42&amp;"*",Input!$S:$S,"SOUR1",Input!$E:$E,'1.CC Transition risk-Banking b.'!$O$63),
SUMIFS(Input!$I:$I,Input!$H:$H,'1.CC Transition risk-Banking b.'!$A42&amp;"*",Input!$T:$T,"SOUR1",Input!$E:$E,'1.CC Transition risk-Banking b.'!$O$63))/SUMIFS(Input!$I:$I,Input!$H:$H,'1.CC Transition risk-Banking b.'!$A42&amp;"*",Input!$E:$E,'1.CC Transition risk-Banking b.'!$O$63),0)</f>
        <v>0</v>
      </c>
      <c r="O42" s="85">
        <f>(ROUND(SUMIFS(Input!$I:$I,Input!$H:$H,'1.CC Transition risk-Banking b.'!$A42&amp;"*",Input!$E:$E,'1.CC Transition risk-Banking b.'!O$63,Input!$G:$G,"&gt;=0",Input!$G:$G,"&lt;=5")
+ SUMIFS(Input!$I:$I,Input!$H:$H,'1.CC Transition risk-Banking b.'!$A42&amp;"*",Input!$E:$E,'1.CC Transition risk-Banking b.'!O$63,Input!$G:$G,"-4")
+ SUMIFS(Input!$I:$I,Input!$H:$H,'1.CC Transition risk-Banking b.'!$A42&amp;"*",Input!$E:$E,'1.CC Transition risk-Banking b.'!O$63,Input!$G:$G,"-1"),0))/1000000</f>
        <v>0</v>
      </c>
      <c r="P42" s="85">
        <f>(ROUND(SUMIFS(Input!$I:$I,Input!$H:$H,'1.CC Transition risk-Banking b.'!$A42&amp;"*",Input!$E:$E,'1.CC Transition risk-Banking b.'!P$63,Input!$G:$G,"&gt;5",Input!$G:$G,"&lt;=10"),0))/1000000</f>
        <v>0</v>
      </c>
      <c r="Q42" s="85">
        <f>(ROUND(SUMIFS(Input!$I:$I,Input!$H:$H,'1.CC Transition risk-Banking b.'!$A42&amp;"*",Input!$E:$E,'1.CC Transition risk-Banking b.'!Q$63,Input!$G:$G,"&gt;10",Input!$G:$G,"&lt;=20"),0))/1000000</f>
        <v>0</v>
      </c>
      <c r="R42" s="85">
        <f>(ROUND(SUMIFS(Input!$I:$I,Input!$H:$H,'1.CC Transition risk-Banking b.'!$A42&amp;"*",Input!$E:$E,'1.CC Transition risk-Banking b.'!R$63,Input!$G:$G,"&gt;20")
+ SUMIFS(Input!$I:$I,Input!$H:$H,'1.CC Transition risk-Banking b.'!$A42&amp;"*",Input!$E:$E,'1.CC Transition risk-Banking b.'!R$63,Input!$G:$G,"-2")
+ SUMIFS(Input!$I:$I,Input!$H:$H,'1.CC Transition risk-Banking b.'!$A42&amp;"*",Input!$E:$E,'1.CC Transition risk-Banking b.'!R$63,Input!$G:$G,"-3"),0))/1000000</f>
        <v>0</v>
      </c>
      <c r="S42" s="86">
        <f>ROUND(IFERROR((SUMIFS(Input!$Q:$Q,Input!$H:$H,'1.CC Transition risk-Banking b.'!$A42&amp;"*",Input!$E:$E,'1.CC Transition risk-Banking b.'!S$63,Input!$G:$G,"&gt;0")/1000000)/'1.CC Transition risk-Banking b.'!$D42,0),0)</f>
        <v>0</v>
      </c>
    </row>
    <row r="43" spans="1:19" x14ac:dyDescent="0.3">
      <c r="A43" s="96" t="s">
        <v>153</v>
      </c>
      <c r="B43" s="66">
        <v>38</v>
      </c>
      <c r="C43" s="70" t="s">
        <v>154</v>
      </c>
      <c r="D43" s="83">
        <f>(ROUND(SUMIFS(Input!$I:$I,Input!$H:$H,'1.CC Transition risk-Banking b.'!$A43&amp;"*",Input!$E:$E,'1.CC Transition risk-Banking b.'!$D$63),0))/1000000</f>
        <v>0</v>
      </c>
      <c r="E43" s="83">
        <f>(ROUND(SUMIFS(Input!$I:$I,Input!$H:$H,'1.CC Transition risk-Banking b.'!$A43&amp;"*",Input!$E:$E,'1.CC Transition risk-Banking b.'!$E$63,Input!$F:$F,'1.CC Transition risk-Banking b.'!$E$64),0))/1000000</f>
        <v>0</v>
      </c>
      <c r="F43" s="83">
        <f>(ROUND(SUMIFS(Input!$P:$P,Input!$H:$H,'1.CC Transition risk-Banking b.'!$A43&amp;"*",Input!$E:$E,'1.CC Transition risk-Banking b.'!$E$63,Input!$O:$O,'1.CC Transition risk-Banking b.'!$F$63),0))/1000000</f>
        <v>0</v>
      </c>
      <c r="G43" s="83">
        <f>(ROUND(SUMIFS(Input!$I:$I,Input!$H:$H,'1.CC Transition risk-Banking b.'!$A43&amp;"*",Input!$E:$E,'1.CC Transition risk-Banking b.'!$G$63,Input!$C:$C,'1.CC Transition risk-Banking b.'!$G$64),0))/1000000</f>
        <v>0</v>
      </c>
      <c r="H43" s="83">
        <f>(ROUND(SUMIFS(Input!$I:$I,Input!$H:$H,'1.CC Transition risk-Banking b.'!$A43&amp;"*",Input!$E:$E,'1.CC Transition risk-Banking b.'!$H$63,Input!$C:$C,'1.CC Transition risk-Banking b.'!$H$64),0))/1000000</f>
        <v>0</v>
      </c>
      <c r="I43" s="83">
        <f>(ROUND(SUMIFS(Input!$I:$I,Input!$H:$H,'1.CC Transition risk-Banking b.'!$A43&amp;"*",Input!$E:$E,'1.CC Transition risk-Banking b.'!$I$63),0))/1000000</f>
        <v>0</v>
      </c>
      <c r="J43" s="83">
        <f>(ROUND(SUMIFS(Input!$I:$I,Input!$H:$H,'1.CC Transition risk-Banking b.'!$A43&amp;"*",Input!$E:$E,'1.CC Transition risk-Banking b.'!$J$63,Input!$C:$C,'1.CC Transition risk-Banking b.'!$J$64),0))/1000000</f>
        <v>0</v>
      </c>
      <c r="K43" s="83">
        <f>(ROUND(SUMIFS(Input!$I:$I,Input!$H:$H,'1.CC Transition risk-Banking b.'!$A43&amp;"*",Input!$E:$E,'1.CC Transition risk-Banking b.'!$K$63,Input!$C:$C,'1.CC Transition risk-Banking b.'!$K$64),0))/1000000</f>
        <v>0</v>
      </c>
      <c r="L43" s="84">
        <f>(ROUND(SUMIFS(Input!$J:$J,Input!$H:$H,'1.CC Transition risk-Banking b.'!$A43&amp;"*")
+ SUMIFS(Input!$L:$L,Input!$H:$H,'1.CC Transition risk-Banking b.'!$A43&amp;"*")
+SUMIFS(Input!$N:$N,Input!$H:$H,'1.CC Transition risk-Banking b.'!$A43&amp;"*"),0))/1000000</f>
        <v>0</v>
      </c>
      <c r="M43" s="84">
        <f>(ROUND(SUMIFS(Input!$N:$N,Input!$H:$H,'1.CC Transition risk-Banking b.'!$A43&amp;"*"),0))/1000000</f>
        <v>0</v>
      </c>
      <c r="N43" s="91">
        <f>IFERROR(AVERAGE(SUMIFS(Input!$I:$I,Input!$H:$H,'1.CC Transition risk-Banking b.'!$A43&amp;"*",Input!$R:$R,"SOUR1",Input!$E:$E,'1.CC Transition risk-Banking b.'!$O$63),
SUMIFS(Input!$I:$I,Input!$H:$H,'1.CC Transition risk-Banking b.'!$A43&amp;"*",Input!$S:$S,"SOUR1",Input!$E:$E,'1.CC Transition risk-Banking b.'!$O$63),
SUMIFS(Input!$I:$I,Input!$H:$H,'1.CC Transition risk-Banking b.'!$A43&amp;"*",Input!$T:$T,"SOUR1",Input!$E:$E,'1.CC Transition risk-Banking b.'!$O$63))/SUMIFS(Input!$I:$I,Input!$H:$H,'1.CC Transition risk-Banking b.'!$A43&amp;"*",Input!$E:$E,'1.CC Transition risk-Banking b.'!$O$63),0)</f>
        <v>0</v>
      </c>
      <c r="O43" s="85">
        <f>(ROUND(SUMIFS(Input!$I:$I,Input!$H:$H,'1.CC Transition risk-Banking b.'!$A43&amp;"*",Input!$E:$E,'1.CC Transition risk-Banking b.'!O$63,Input!$G:$G,"&gt;=0",Input!$G:$G,"&lt;=5")
+ SUMIFS(Input!$I:$I,Input!$H:$H,'1.CC Transition risk-Banking b.'!$A43&amp;"*",Input!$E:$E,'1.CC Transition risk-Banking b.'!O$63,Input!$G:$G,"-4")
+ SUMIFS(Input!$I:$I,Input!$H:$H,'1.CC Transition risk-Banking b.'!$A43&amp;"*",Input!$E:$E,'1.CC Transition risk-Banking b.'!O$63,Input!$G:$G,"-1"),0))/1000000</f>
        <v>0</v>
      </c>
      <c r="P43" s="85">
        <f>(ROUND(SUMIFS(Input!$I:$I,Input!$H:$H,'1.CC Transition risk-Banking b.'!$A43&amp;"*",Input!$E:$E,'1.CC Transition risk-Banking b.'!P$63,Input!$G:$G,"&gt;5",Input!$G:$G,"&lt;=10"),0))/1000000</f>
        <v>0</v>
      </c>
      <c r="Q43" s="85">
        <f>(ROUND(SUMIFS(Input!$I:$I,Input!$H:$H,'1.CC Transition risk-Banking b.'!$A43&amp;"*",Input!$E:$E,'1.CC Transition risk-Banking b.'!Q$63,Input!$G:$G,"&gt;10",Input!$G:$G,"&lt;=20"),0))/1000000</f>
        <v>0</v>
      </c>
      <c r="R43" s="85">
        <f>(ROUND(SUMIFS(Input!$I:$I,Input!$H:$H,'1.CC Transition risk-Banking b.'!$A43&amp;"*",Input!$E:$E,'1.CC Transition risk-Banking b.'!R$63,Input!$G:$G,"&gt;20")
+ SUMIFS(Input!$I:$I,Input!$H:$H,'1.CC Transition risk-Banking b.'!$A43&amp;"*",Input!$E:$E,'1.CC Transition risk-Banking b.'!R$63,Input!$G:$G,"-2")
+ SUMIFS(Input!$I:$I,Input!$H:$H,'1.CC Transition risk-Banking b.'!$A43&amp;"*",Input!$E:$E,'1.CC Transition risk-Banking b.'!R$63,Input!$G:$G,"-3"),0))/1000000</f>
        <v>0</v>
      </c>
      <c r="S43" s="86">
        <f>ROUND(IFERROR((SUMIFS(Input!$Q:$Q,Input!$H:$H,'1.CC Transition risk-Banking b.'!$A43&amp;"*",Input!$E:$E,'1.CC Transition risk-Banking b.'!S$63,Input!$G:$G,"&gt;0")/1000000)/'1.CC Transition risk-Banking b.'!$D43,0),0)</f>
        <v>0</v>
      </c>
    </row>
    <row r="44" spans="1:19" x14ac:dyDescent="0.3">
      <c r="A44" s="96" t="s">
        <v>155</v>
      </c>
      <c r="B44" s="66">
        <v>39</v>
      </c>
      <c r="C44" s="68" t="s">
        <v>156</v>
      </c>
      <c r="D44" s="83">
        <f>(ROUND(SUMIFS(Input!$I:$I,Input!$H:$H,'1.CC Transition risk-Banking b.'!$A44&amp;"*",Input!$E:$E,'1.CC Transition risk-Banking b.'!$D$63),0))/1000000</f>
        <v>0</v>
      </c>
      <c r="E44" s="83">
        <f>(ROUND(SUMIFS(Input!$I:$I,Input!$H:$H,'1.CC Transition risk-Banking b.'!$A44&amp;"*",Input!$E:$E,'1.CC Transition risk-Banking b.'!$E$63,Input!$F:$F,'1.CC Transition risk-Banking b.'!$E$64),0))/1000000</f>
        <v>0</v>
      </c>
      <c r="F44" s="83">
        <f>(ROUND(SUMIFS(Input!$P:$P,Input!$H:$H,'1.CC Transition risk-Banking b.'!$A44&amp;"*",Input!$E:$E,'1.CC Transition risk-Banking b.'!$E$63,Input!$O:$O,'1.CC Transition risk-Banking b.'!$F$63),0))/1000000</f>
        <v>0</v>
      </c>
      <c r="G44" s="83">
        <f>(ROUND(SUMIFS(Input!$I:$I,Input!$H:$H,'1.CC Transition risk-Banking b.'!$A44&amp;"*",Input!$E:$E,'1.CC Transition risk-Banking b.'!$G$63,Input!$C:$C,'1.CC Transition risk-Banking b.'!$G$64),0))/1000000</f>
        <v>0</v>
      </c>
      <c r="H44" s="83">
        <f>(ROUND(SUMIFS(Input!$I:$I,Input!$H:$H,'1.CC Transition risk-Banking b.'!$A44&amp;"*",Input!$E:$E,'1.CC Transition risk-Banking b.'!$H$63,Input!$C:$C,'1.CC Transition risk-Banking b.'!$H$64),0))/1000000</f>
        <v>0</v>
      </c>
      <c r="I44" s="83">
        <f>(ROUND(SUMIFS(Input!$I:$I,Input!$H:$H,'1.CC Transition risk-Banking b.'!$A44&amp;"*",Input!$E:$E,'1.CC Transition risk-Banking b.'!$I$63),0))/1000000</f>
        <v>0</v>
      </c>
      <c r="J44" s="83">
        <f>(ROUND(SUMIFS(Input!$I:$I,Input!$H:$H,'1.CC Transition risk-Banking b.'!$A44&amp;"*",Input!$E:$E,'1.CC Transition risk-Banking b.'!$J$63,Input!$C:$C,'1.CC Transition risk-Banking b.'!$J$64),0))/1000000</f>
        <v>0</v>
      </c>
      <c r="K44" s="83">
        <f>(ROUND(SUMIFS(Input!$I:$I,Input!$H:$H,'1.CC Transition risk-Banking b.'!$A44&amp;"*",Input!$E:$E,'1.CC Transition risk-Banking b.'!$K$63,Input!$C:$C,'1.CC Transition risk-Banking b.'!$K$64),0))/1000000</f>
        <v>0</v>
      </c>
      <c r="L44" s="84">
        <f>(ROUND(SUMIFS(Input!$J:$J,Input!$H:$H,'1.CC Transition risk-Banking b.'!$A44&amp;"*")
+ SUMIFS(Input!$L:$L,Input!$H:$H,'1.CC Transition risk-Banking b.'!$A44&amp;"*")
+SUMIFS(Input!$N:$N,Input!$H:$H,'1.CC Transition risk-Banking b.'!$A44&amp;"*"),0))/1000000</f>
        <v>0</v>
      </c>
      <c r="M44" s="84">
        <f>(ROUND(SUMIFS(Input!$N:$N,Input!$H:$H,'1.CC Transition risk-Banking b.'!$A44&amp;"*"),0))/1000000</f>
        <v>0</v>
      </c>
      <c r="N44" s="91">
        <f>IFERROR(AVERAGE(SUMIFS(Input!$I:$I,Input!$H:$H,'1.CC Transition risk-Banking b.'!$A44&amp;"*",Input!$R:$R,"SOUR1",Input!$E:$E,'1.CC Transition risk-Banking b.'!$O$63),
SUMIFS(Input!$I:$I,Input!$H:$H,'1.CC Transition risk-Banking b.'!$A44&amp;"*",Input!$S:$S,"SOUR1",Input!$E:$E,'1.CC Transition risk-Banking b.'!$O$63),
SUMIFS(Input!$I:$I,Input!$H:$H,'1.CC Transition risk-Banking b.'!$A44&amp;"*",Input!$T:$T,"SOUR1",Input!$E:$E,'1.CC Transition risk-Banking b.'!$O$63))/SUMIFS(Input!$I:$I,Input!$H:$H,'1.CC Transition risk-Banking b.'!$A44&amp;"*",Input!$E:$E,'1.CC Transition risk-Banking b.'!$O$63),0)</f>
        <v>0</v>
      </c>
      <c r="O44" s="85">
        <f>(ROUND(SUMIFS(Input!$I:$I,Input!$H:$H,'1.CC Transition risk-Banking b.'!$A44&amp;"*",Input!$E:$E,'1.CC Transition risk-Banking b.'!O$63,Input!$G:$G,"&gt;=0",Input!$G:$G,"&lt;=5")
+ SUMIFS(Input!$I:$I,Input!$H:$H,'1.CC Transition risk-Banking b.'!$A44&amp;"*",Input!$E:$E,'1.CC Transition risk-Banking b.'!O$63,Input!$G:$G,"-4")
+ SUMIFS(Input!$I:$I,Input!$H:$H,'1.CC Transition risk-Banking b.'!$A44&amp;"*",Input!$E:$E,'1.CC Transition risk-Banking b.'!O$63,Input!$G:$G,"-1"),0))/1000000</f>
        <v>0</v>
      </c>
      <c r="P44" s="85">
        <f>(ROUND(SUMIFS(Input!$I:$I,Input!$H:$H,'1.CC Transition risk-Banking b.'!$A44&amp;"*",Input!$E:$E,'1.CC Transition risk-Banking b.'!P$63,Input!$G:$G,"&gt;5",Input!$G:$G,"&lt;=10"),0))/1000000</f>
        <v>0</v>
      </c>
      <c r="Q44" s="85">
        <f>(ROUND(SUMIFS(Input!$I:$I,Input!$H:$H,'1.CC Transition risk-Banking b.'!$A44&amp;"*",Input!$E:$E,'1.CC Transition risk-Banking b.'!Q$63,Input!$G:$G,"&gt;10",Input!$G:$G,"&lt;=20"),0))/1000000</f>
        <v>0</v>
      </c>
      <c r="R44" s="85">
        <f>(ROUND(SUMIFS(Input!$I:$I,Input!$H:$H,'1.CC Transition risk-Banking b.'!$A44&amp;"*",Input!$E:$E,'1.CC Transition risk-Banking b.'!R$63,Input!$G:$G,"&gt;20")
+ SUMIFS(Input!$I:$I,Input!$H:$H,'1.CC Transition risk-Banking b.'!$A44&amp;"*",Input!$E:$E,'1.CC Transition risk-Banking b.'!R$63,Input!$G:$G,"-2")
+ SUMIFS(Input!$I:$I,Input!$H:$H,'1.CC Transition risk-Banking b.'!$A44&amp;"*",Input!$E:$E,'1.CC Transition risk-Banking b.'!R$63,Input!$G:$G,"-3"),0))/1000000</f>
        <v>0</v>
      </c>
      <c r="S44" s="86">
        <f>ROUND(IFERROR((SUMIFS(Input!$Q:$Q,Input!$H:$H,'1.CC Transition risk-Banking b.'!$A44&amp;"*",Input!$E:$E,'1.CC Transition risk-Banking b.'!S$63,Input!$G:$G,"&gt;0")/1000000)/'1.CC Transition risk-Banking b.'!$D44,0),0)</f>
        <v>0</v>
      </c>
    </row>
    <row r="45" spans="1:19" x14ac:dyDescent="0.3">
      <c r="A45" s="96" t="s">
        <v>157</v>
      </c>
      <c r="B45" s="66">
        <v>40</v>
      </c>
      <c r="C45" s="68" t="s">
        <v>158</v>
      </c>
      <c r="D45" s="83">
        <f>(ROUND(SUMIFS(Input!$I:$I,Input!$H:$H,'1.CC Transition risk-Banking b.'!$A45&amp;"*",Input!$E:$E,'1.CC Transition risk-Banking b.'!$D$63),0))/1000000</f>
        <v>0</v>
      </c>
      <c r="E45" s="83">
        <f>(ROUND(SUMIFS(Input!$I:$I,Input!$H:$H,'1.CC Transition risk-Banking b.'!$A45&amp;"*",Input!$E:$E,'1.CC Transition risk-Banking b.'!$E$63,Input!$F:$F,'1.CC Transition risk-Banking b.'!$E$64),0))/1000000</f>
        <v>0</v>
      </c>
      <c r="F45" s="83">
        <f>(ROUND(SUMIFS(Input!$P:$P,Input!$H:$H,'1.CC Transition risk-Banking b.'!$A45&amp;"*",Input!$E:$E,'1.CC Transition risk-Banking b.'!$E$63,Input!$O:$O,'1.CC Transition risk-Banking b.'!$F$63),0))/1000000</f>
        <v>0</v>
      </c>
      <c r="G45" s="83">
        <f>(ROUND(SUMIFS(Input!$I:$I,Input!$H:$H,'1.CC Transition risk-Banking b.'!$A45&amp;"*",Input!$E:$E,'1.CC Transition risk-Banking b.'!$G$63,Input!$C:$C,'1.CC Transition risk-Banking b.'!$G$64),0))/1000000</f>
        <v>0</v>
      </c>
      <c r="H45" s="83">
        <f>(ROUND(SUMIFS(Input!$I:$I,Input!$H:$H,'1.CC Transition risk-Banking b.'!$A45&amp;"*",Input!$E:$E,'1.CC Transition risk-Banking b.'!$H$63,Input!$C:$C,'1.CC Transition risk-Banking b.'!$H$64),0))/1000000</f>
        <v>0</v>
      </c>
      <c r="I45" s="83">
        <f>(ROUND(SUMIFS(Input!$I:$I,Input!$H:$H,'1.CC Transition risk-Banking b.'!$A45&amp;"*",Input!$E:$E,'1.CC Transition risk-Banking b.'!$I$63),0))/1000000</f>
        <v>0</v>
      </c>
      <c r="J45" s="83">
        <f>(ROUND(SUMIFS(Input!$I:$I,Input!$H:$H,'1.CC Transition risk-Banking b.'!$A45&amp;"*",Input!$E:$E,'1.CC Transition risk-Banking b.'!$J$63,Input!$C:$C,'1.CC Transition risk-Banking b.'!$J$64),0))/1000000</f>
        <v>0</v>
      </c>
      <c r="K45" s="83">
        <f>(ROUND(SUMIFS(Input!$I:$I,Input!$H:$H,'1.CC Transition risk-Banking b.'!$A45&amp;"*",Input!$E:$E,'1.CC Transition risk-Banking b.'!$K$63,Input!$C:$C,'1.CC Transition risk-Banking b.'!$K$64),0))/1000000</f>
        <v>0</v>
      </c>
      <c r="L45" s="84">
        <f>(ROUND(SUMIFS(Input!$J:$J,Input!$H:$H,'1.CC Transition risk-Banking b.'!$A45&amp;"*")
+ SUMIFS(Input!$L:$L,Input!$H:$H,'1.CC Transition risk-Banking b.'!$A45&amp;"*")
+SUMIFS(Input!$N:$N,Input!$H:$H,'1.CC Transition risk-Banking b.'!$A45&amp;"*"),0))/1000000</f>
        <v>0</v>
      </c>
      <c r="M45" s="84">
        <f>(ROUND(SUMIFS(Input!$N:$N,Input!$H:$H,'1.CC Transition risk-Banking b.'!$A45&amp;"*"),0))/1000000</f>
        <v>0</v>
      </c>
      <c r="N45" s="91">
        <f>IFERROR(AVERAGE(SUMIFS(Input!$I:$I,Input!$H:$H,'1.CC Transition risk-Banking b.'!$A45&amp;"*",Input!$R:$R,"SOUR1",Input!$E:$E,'1.CC Transition risk-Banking b.'!$O$63),
SUMIFS(Input!$I:$I,Input!$H:$H,'1.CC Transition risk-Banking b.'!$A45&amp;"*",Input!$S:$S,"SOUR1",Input!$E:$E,'1.CC Transition risk-Banking b.'!$O$63),
SUMIFS(Input!$I:$I,Input!$H:$H,'1.CC Transition risk-Banking b.'!$A45&amp;"*",Input!$T:$T,"SOUR1",Input!$E:$E,'1.CC Transition risk-Banking b.'!$O$63))/SUMIFS(Input!$I:$I,Input!$H:$H,'1.CC Transition risk-Banking b.'!$A45&amp;"*",Input!$E:$E,'1.CC Transition risk-Banking b.'!$O$63),0)</f>
        <v>0</v>
      </c>
      <c r="O45" s="85">
        <f>(ROUND(SUMIFS(Input!$I:$I,Input!$H:$H,'1.CC Transition risk-Banking b.'!$A45&amp;"*",Input!$E:$E,'1.CC Transition risk-Banking b.'!O$63,Input!$G:$G,"&gt;=0",Input!$G:$G,"&lt;=5")
+ SUMIFS(Input!$I:$I,Input!$H:$H,'1.CC Transition risk-Banking b.'!$A45&amp;"*",Input!$E:$E,'1.CC Transition risk-Banking b.'!O$63,Input!$G:$G,"-4")
+ SUMIFS(Input!$I:$I,Input!$H:$H,'1.CC Transition risk-Banking b.'!$A45&amp;"*",Input!$E:$E,'1.CC Transition risk-Banking b.'!O$63,Input!$G:$G,"-1"),0))/1000000</f>
        <v>0</v>
      </c>
      <c r="P45" s="85">
        <f>(ROUND(SUMIFS(Input!$I:$I,Input!$H:$H,'1.CC Transition risk-Banking b.'!$A45&amp;"*",Input!$E:$E,'1.CC Transition risk-Banking b.'!P$63,Input!$G:$G,"&gt;5",Input!$G:$G,"&lt;=10"),0))/1000000</f>
        <v>0</v>
      </c>
      <c r="Q45" s="85">
        <f>(ROUND(SUMIFS(Input!$I:$I,Input!$H:$H,'1.CC Transition risk-Banking b.'!$A45&amp;"*",Input!$E:$E,'1.CC Transition risk-Banking b.'!Q$63,Input!$G:$G,"&gt;10",Input!$G:$G,"&lt;=20"),0))/1000000</f>
        <v>0</v>
      </c>
      <c r="R45" s="85">
        <f>(ROUND(SUMIFS(Input!$I:$I,Input!$H:$H,'1.CC Transition risk-Banking b.'!$A45&amp;"*",Input!$E:$E,'1.CC Transition risk-Banking b.'!R$63,Input!$G:$G,"&gt;20")
+ SUMIFS(Input!$I:$I,Input!$H:$H,'1.CC Transition risk-Banking b.'!$A45&amp;"*",Input!$E:$E,'1.CC Transition risk-Banking b.'!R$63,Input!$G:$G,"-2")
+ SUMIFS(Input!$I:$I,Input!$H:$H,'1.CC Transition risk-Banking b.'!$A45&amp;"*",Input!$E:$E,'1.CC Transition risk-Banking b.'!R$63,Input!$G:$G,"-3"),0))/1000000</f>
        <v>0</v>
      </c>
      <c r="S45" s="86">
        <f>ROUND(IFERROR((SUMIFS(Input!$Q:$Q,Input!$H:$H,'1.CC Transition risk-Banking b.'!$A45&amp;"*",Input!$E:$E,'1.CC Transition risk-Banking b.'!S$63,Input!$G:$G,"&gt;0")/1000000)/'1.CC Transition risk-Banking b.'!$D45,0),0)</f>
        <v>0</v>
      </c>
    </row>
    <row r="46" spans="1:19" x14ac:dyDescent="0.3">
      <c r="A46" s="96" t="s">
        <v>159</v>
      </c>
      <c r="B46" s="66">
        <v>41</v>
      </c>
      <c r="C46" s="70" t="s">
        <v>160</v>
      </c>
      <c r="D46" s="83">
        <f>(ROUND(SUMIFS(Input!$I:$I,Input!$H:$H,'1.CC Transition risk-Banking b.'!$A46&amp;"*",Input!$E:$E,'1.CC Transition risk-Banking b.'!$D$63),0))/1000000</f>
        <v>0</v>
      </c>
      <c r="E46" s="83">
        <f>(ROUND(SUMIFS(Input!$I:$I,Input!$H:$H,'1.CC Transition risk-Banking b.'!$A46&amp;"*",Input!$E:$E,'1.CC Transition risk-Banking b.'!$E$63,Input!$F:$F,'1.CC Transition risk-Banking b.'!$E$64),0))/1000000</f>
        <v>0</v>
      </c>
      <c r="F46" s="83">
        <f>(ROUND(SUMIFS(Input!$P:$P,Input!$H:$H,'1.CC Transition risk-Banking b.'!$A46&amp;"*",Input!$E:$E,'1.CC Transition risk-Banking b.'!$E$63,Input!$O:$O,'1.CC Transition risk-Banking b.'!$F$63),0))/1000000</f>
        <v>0</v>
      </c>
      <c r="G46" s="83">
        <f>(ROUND(SUMIFS(Input!$I:$I,Input!$H:$H,'1.CC Transition risk-Banking b.'!$A46&amp;"*",Input!$E:$E,'1.CC Transition risk-Banking b.'!$G$63,Input!$C:$C,'1.CC Transition risk-Banking b.'!$G$64),0))/1000000</f>
        <v>0</v>
      </c>
      <c r="H46" s="83">
        <f>(ROUND(SUMIFS(Input!$I:$I,Input!$H:$H,'1.CC Transition risk-Banking b.'!$A46&amp;"*",Input!$E:$E,'1.CC Transition risk-Banking b.'!$H$63,Input!$C:$C,'1.CC Transition risk-Banking b.'!$H$64),0))/1000000</f>
        <v>0</v>
      </c>
      <c r="I46" s="83">
        <f>(ROUND(SUMIFS(Input!$I:$I,Input!$H:$H,'1.CC Transition risk-Banking b.'!$A46&amp;"*",Input!$E:$E,'1.CC Transition risk-Banking b.'!$I$63),0))/1000000</f>
        <v>0</v>
      </c>
      <c r="J46" s="83">
        <f>(ROUND(SUMIFS(Input!$I:$I,Input!$H:$H,'1.CC Transition risk-Banking b.'!$A46&amp;"*",Input!$E:$E,'1.CC Transition risk-Banking b.'!$J$63,Input!$C:$C,'1.CC Transition risk-Banking b.'!$J$64),0))/1000000</f>
        <v>0</v>
      </c>
      <c r="K46" s="83">
        <f>(ROUND(SUMIFS(Input!$I:$I,Input!$H:$H,'1.CC Transition risk-Banking b.'!$A46&amp;"*",Input!$E:$E,'1.CC Transition risk-Banking b.'!$K$63,Input!$C:$C,'1.CC Transition risk-Banking b.'!$K$64),0))/1000000</f>
        <v>0</v>
      </c>
      <c r="L46" s="84">
        <f>(ROUND(SUMIFS(Input!$J:$J,Input!$H:$H,'1.CC Transition risk-Banking b.'!$A46&amp;"*")
+ SUMIFS(Input!$L:$L,Input!$H:$H,'1.CC Transition risk-Banking b.'!$A46&amp;"*")
+SUMIFS(Input!$N:$N,Input!$H:$H,'1.CC Transition risk-Banking b.'!$A46&amp;"*"),0))/1000000</f>
        <v>0</v>
      </c>
      <c r="M46" s="84">
        <f>(ROUND(SUMIFS(Input!$N:$N,Input!$H:$H,'1.CC Transition risk-Banking b.'!$A46&amp;"*"),0))/1000000</f>
        <v>0</v>
      </c>
      <c r="N46" s="91">
        <f>IFERROR(AVERAGE(SUMIFS(Input!$I:$I,Input!$H:$H,'1.CC Transition risk-Banking b.'!$A46&amp;"*",Input!$R:$R,"SOUR1",Input!$E:$E,'1.CC Transition risk-Banking b.'!$O$63),
SUMIFS(Input!$I:$I,Input!$H:$H,'1.CC Transition risk-Banking b.'!$A46&amp;"*",Input!$S:$S,"SOUR1",Input!$E:$E,'1.CC Transition risk-Banking b.'!$O$63),
SUMIFS(Input!$I:$I,Input!$H:$H,'1.CC Transition risk-Banking b.'!$A46&amp;"*",Input!$T:$T,"SOUR1",Input!$E:$E,'1.CC Transition risk-Banking b.'!$O$63))/SUMIFS(Input!$I:$I,Input!$H:$H,'1.CC Transition risk-Banking b.'!$A46&amp;"*",Input!$E:$E,'1.CC Transition risk-Banking b.'!$O$63),0)</f>
        <v>0</v>
      </c>
      <c r="O46" s="85">
        <f>(ROUND(SUMIFS(Input!$I:$I,Input!$H:$H,'1.CC Transition risk-Banking b.'!$A46&amp;"*",Input!$E:$E,'1.CC Transition risk-Banking b.'!O$63,Input!$G:$G,"&gt;=0",Input!$G:$G,"&lt;=5")
+ SUMIFS(Input!$I:$I,Input!$H:$H,'1.CC Transition risk-Banking b.'!$A46&amp;"*",Input!$E:$E,'1.CC Transition risk-Banking b.'!O$63,Input!$G:$G,"-4")
+ SUMIFS(Input!$I:$I,Input!$H:$H,'1.CC Transition risk-Banking b.'!$A46&amp;"*",Input!$E:$E,'1.CC Transition risk-Banking b.'!O$63,Input!$G:$G,"-1"),0))/1000000</f>
        <v>0</v>
      </c>
      <c r="P46" s="85">
        <f>(ROUND(SUMIFS(Input!$I:$I,Input!$H:$H,'1.CC Transition risk-Banking b.'!$A46&amp;"*",Input!$E:$E,'1.CC Transition risk-Banking b.'!P$63,Input!$G:$G,"&gt;5",Input!$G:$G,"&lt;=10"),0))/1000000</f>
        <v>0</v>
      </c>
      <c r="Q46" s="85">
        <f>(ROUND(SUMIFS(Input!$I:$I,Input!$H:$H,'1.CC Transition risk-Banking b.'!$A46&amp;"*",Input!$E:$E,'1.CC Transition risk-Banking b.'!Q$63,Input!$G:$G,"&gt;10",Input!$G:$G,"&lt;=20"),0))/1000000</f>
        <v>0</v>
      </c>
      <c r="R46" s="85">
        <f>(ROUND(SUMIFS(Input!$I:$I,Input!$H:$H,'1.CC Transition risk-Banking b.'!$A46&amp;"*",Input!$E:$E,'1.CC Transition risk-Banking b.'!R$63,Input!$G:$G,"&gt;20")
+ SUMIFS(Input!$I:$I,Input!$H:$H,'1.CC Transition risk-Banking b.'!$A46&amp;"*",Input!$E:$E,'1.CC Transition risk-Banking b.'!R$63,Input!$G:$G,"-2")
+ SUMIFS(Input!$I:$I,Input!$H:$H,'1.CC Transition risk-Banking b.'!$A46&amp;"*",Input!$E:$E,'1.CC Transition risk-Banking b.'!R$63,Input!$G:$G,"-3"),0))/1000000</f>
        <v>0</v>
      </c>
      <c r="S46" s="86">
        <f>ROUND(IFERROR((SUMIFS(Input!$Q:$Q,Input!$H:$H,'1.CC Transition risk-Banking b.'!$A46&amp;"*",Input!$E:$E,'1.CC Transition risk-Banking b.'!S$63,Input!$G:$G,"&gt;0")/1000000)/'1.CC Transition risk-Banking b.'!$D46,0),0)</f>
        <v>0</v>
      </c>
    </row>
    <row r="47" spans="1:19" x14ac:dyDescent="0.3">
      <c r="A47" s="96" t="s">
        <v>161</v>
      </c>
      <c r="B47" s="66">
        <v>42</v>
      </c>
      <c r="C47" s="70" t="s">
        <v>162</v>
      </c>
      <c r="D47" s="83">
        <f>(ROUND(SUMIFS(Input!$I:$I,Input!$H:$H,'1.CC Transition risk-Banking b.'!$A47&amp;"*",Input!$E:$E,'1.CC Transition risk-Banking b.'!$D$63),0))/1000000</f>
        <v>0</v>
      </c>
      <c r="E47" s="83">
        <f>(ROUND(SUMIFS(Input!$I:$I,Input!$H:$H,'1.CC Transition risk-Banking b.'!$A47&amp;"*",Input!$E:$E,'1.CC Transition risk-Banking b.'!$E$63,Input!$F:$F,'1.CC Transition risk-Banking b.'!$E$64),0))/1000000</f>
        <v>0</v>
      </c>
      <c r="F47" s="83">
        <f>(ROUND(SUMIFS(Input!$P:$P,Input!$H:$H,'1.CC Transition risk-Banking b.'!$A47&amp;"*",Input!$E:$E,'1.CC Transition risk-Banking b.'!$E$63,Input!$O:$O,'1.CC Transition risk-Banking b.'!$F$63),0))/1000000</f>
        <v>0</v>
      </c>
      <c r="G47" s="83">
        <f>(ROUND(SUMIFS(Input!$I:$I,Input!$H:$H,'1.CC Transition risk-Banking b.'!$A47&amp;"*",Input!$E:$E,'1.CC Transition risk-Banking b.'!$G$63,Input!$C:$C,'1.CC Transition risk-Banking b.'!$G$64),0))/1000000</f>
        <v>0</v>
      </c>
      <c r="H47" s="83">
        <f>(ROUND(SUMIFS(Input!$I:$I,Input!$H:$H,'1.CC Transition risk-Banking b.'!$A47&amp;"*",Input!$E:$E,'1.CC Transition risk-Banking b.'!$H$63,Input!$C:$C,'1.CC Transition risk-Banking b.'!$H$64),0))/1000000</f>
        <v>0</v>
      </c>
      <c r="I47" s="83">
        <f>(ROUND(SUMIFS(Input!$I:$I,Input!$H:$H,'1.CC Transition risk-Banking b.'!$A47&amp;"*",Input!$E:$E,'1.CC Transition risk-Banking b.'!$I$63),0))/1000000</f>
        <v>0</v>
      </c>
      <c r="J47" s="83">
        <f>(ROUND(SUMIFS(Input!$I:$I,Input!$H:$H,'1.CC Transition risk-Banking b.'!$A47&amp;"*",Input!$E:$E,'1.CC Transition risk-Banking b.'!$J$63,Input!$C:$C,'1.CC Transition risk-Banking b.'!$J$64),0))/1000000</f>
        <v>0</v>
      </c>
      <c r="K47" s="83">
        <f>(ROUND(SUMIFS(Input!$I:$I,Input!$H:$H,'1.CC Transition risk-Banking b.'!$A47&amp;"*",Input!$E:$E,'1.CC Transition risk-Banking b.'!$K$63,Input!$C:$C,'1.CC Transition risk-Banking b.'!$K$64),0))/1000000</f>
        <v>0</v>
      </c>
      <c r="L47" s="84">
        <f>(ROUND(SUMIFS(Input!$J:$J,Input!$H:$H,'1.CC Transition risk-Banking b.'!$A47&amp;"*")
+ SUMIFS(Input!$L:$L,Input!$H:$H,'1.CC Transition risk-Banking b.'!$A47&amp;"*")
+SUMIFS(Input!$N:$N,Input!$H:$H,'1.CC Transition risk-Banking b.'!$A47&amp;"*"),0))/1000000</f>
        <v>0</v>
      </c>
      <c r="M47" s="84">
        <f>(ROUND(SUMIFS(Input!$N:$N,Input!$H:$H,'1.CC Transition risk-Banking b.'!$A47&amp;"*"),0))/1000000</f>
        <v>0</v>
      </c>
      <c r="N47" s="91">
        <f>IFERROR(AVERAGE(SUMIFS(Input!$I:$I,Input!$H:$H,'1.CC Transition risk-Banking b.'!$A47&amp;"*",Input!$R:$R,"SOUR1",Input!$E:$E,'1.CC Transition risk-Banking b.'!$O$63),
SUMIFS(Input!$I:$I,Input!$H:$H,'1.CC Transition risk-Banking b.'!$A47&amp;"*",Input!$S:$S,"SOUR1",Input!$E:$E,'1.CC Transition risk-Banking b.'!$O$63),
SUMIFS(Input!$I:$I,Input!$H:$H,'1.CC Transition risk-Banking b.'!$A47&amp;"*",Input!$T:$T,"SOUR1",Input!$E:$E,'1.CC Transition risk-Banking b.'!$O$63))/SUMIFS(Input!$I:$I,Input!$H:$H,'1.CC Transition risk-Banking b.'!$A47&amp;"*",Input!$E:$E,'1.CC Transition risk-Banking b.'!$O$63),0)</f>
        <v>0</v>
      </c>
      <c r="O47" s="85">
        <f>(ROUND(SUMIFS(Input!$I:$I,Input!$H:$H,'1.CC Transition risk-Banking b.'!$A47&amp;"*",Input!$E:$E,'1.CC Transition risk-Banking b.'!O$63,Input!$G:$G,"&gt;=0",Input!$G:$G,"&lt;=5")
+ SUMIFS(Input!$I:$I,Input!$H:$H,'1.CC Transition risk-Banking b.'!$A47&amp;"*",Input!$E:$E,'1.CC Transition risk-Banking b.'!O$63,Input!$G:$G,"-4")
+ SUMIFS(Input!$I:$I,Input!$H:$H,'1.CC Transition risk-Banking b.'!$A47&amp;"*",Input!$E:$E,'1.CC Transition risk-Banking b.'!O$63,Input!$G:$G,"-1"),0))/1000000</f>
        <v>0</v>
      </c>
      <c r="P47" s="85">
        <f>(ROUND(SUMIFS(Input!$I:$I,Input!$H:$H,'1.CC Transition risk-Banking b.'!$A47&amp;"*",Input!$E:$E,'1.CC Transition risk-Banking b.'!P$63,Input!$G:$G,"&gt;5",Input!$G:$G,"&lt;=10"),0))/1000000</f>
        <v>0</v>
      </c>
      <c r="Q47" s="85">
        <f>(ROUND(SUMIFS(Input!$I:$I,Input!$H:$H,'1.CC Transition risk-Banking b.'!$A47&amp;"*",Input!$E:$E,'1.CC Transition risk-Banking b.'!Q$63,Input!$G:$G,"&gt;10",Input!$G:$G,"&lt;=20"),0))/1000000</f>
        <v>0</v>
      </c>
      <c r="R47" s="85">
        <f>(ROUND(SUMIFS(Input!$I:$I,Input!$H:$H,'1.CC Transition risk-Banking b.'!$A47&amp;"*",Input!$E:$E,'1.CC Transition risk-Banking b.'!R$63,Input!$G:$G,"&gt;20")
+ SUMIFS(Input!$I:$I,Input!$H:$H,'1.CC Transition risk-Banking b.'!$A47&amp;"*",Input!$E:$E,'1.CC Transition risk-Banking b.'!R$63,Input!$G:$G,"-2")
+ SUMIFS(Input!$I:$I,Input!$H:$H,'1.CC Transition risk-Banking b.'!$A47&amp;"*",Input!$E:$E,'1.CC Transition risk-Banking b.'!R$63,Input!$G:$G,"-3"),0))/1000000</f>
        <v>0</v>
      </c>
      <c r="S47" s="86">
        <f>ROUND(IFERROR((SUMIFS(Input!$Q:$Q,Input!$H:$H,'1.CC Transition risk-Banking b.'!$A47&amp;"*",Input!$E:$E,'1.CC Transition risk-Banking b.'!S$63,Input!$G:$G,"&gt;0")/1000000)/'1.CC Transition risk-Banking b.'!$D47,0),0)</f>
        <v>0</v>
      </c>
    </row>
    <row r="48" spans="1:19" x14ac:dyDescent="0.3">
      <c r="A48" s="96" t="s">
        <v>163</v>
      </c>
      <c r="B48" s="66">
        <v>43</v>
      </c>
      <c r="C48" s="70" t="s">
        <v>164</v>
      </c>
      <c r="D48" s="83">
        <f>(ROUND(SUMIFS(Input!$I:$I,Input!$H:$H,'1.CC Transition risk-Banking b.'!$A48&amp;"*",Input!$E:$E,'1.CC Transition risk-Banking b.'!$D$63),0))/1000000</f>
        <v>0</v>
      </c>
      <c r="E48" s="83">
        <f>(ROUND(SUMIFS(Input!$I:$I,Input!$H:$H,'1.CC Transition risk-Banking b.'!$A48&amp;"*",Input!$E:$E,'1.CC Transition risk-Banking b.'!$E$63,Input!$F:$F,'1.CC Transition risk-Banking b.'!$E$64),0))/1000000</f>
        <v>0</v>
      </c>
      <c r="F48" s="83">
        <f>(ROUND(SUMIFS(Input!$P:$P,Input!$H:$H,'1.CC Transition risk-Banking b.'!$A48&amp;"*",Input!$E:$E,'1.CC Transition risk-Banking b.'!$E$63,Input!$O:$O,'1.CC Transition risk-Banking b.'!$F$63),0))/1000000</f>
        <v>0</v>
      </c>
      <c r="G48" s="83">
        <f>(ROUND(SUMIFS(Input!$I:$I,Input!$H:$H,'1.CC Transition risk-Banking b.'!$A48&amp;"*",Input!$E:$E,'1.CC Transition risk-Banking b.'!$G$63,Input!$C:$C,'1.CC Transition risk-Banking b.'!$G$64),0))/1000000</f>
        <v>0</v>
      </c>
      <c r="H48" s="83">
        <f>(ROUND(SUMIFS(Input!$I:$I,Input!$H:$H,'1.CC Transition risk-Banking b.'!$A48&amp;"*",Input!$E:$E,'1.CC Transition risk-Banking b.'!$H$63,Input!$C:$C,'1.CC Transition risk-Banking b.'!$H$64),0))/1000000</f>
        <v>0</v>
      </c>
      <c r="I48" s="83">
        <f>(ROUND(SUMIFS(Input!$I:$I,Input!$H:$H,'1.CC Transition risk-Banking b.'!$A48&amp;"*",Input!$E:$E,'1.CC Transition risk-Banking b.'!$I$63),0))/1000000</f>
        <v>0</v>
      </c>
      <c r="J48" s="83">
        <f>(ROUND(SUMIFS(Input!$I:$I,Input!$H:$H,'1.CC Transition risk-Banking b.'!$A48&amp;"*",Input!$E:$E,'1.CC Transition risk-Banking b.'!$J$63,Input!$C:$C,'1.CC Transition risk-Banking b.'!$J$64),0))/1000000</f>
        <v>0</v>
      </c>
      <c r="K48" s="83">
        <f>(ROUND(SUMIFS(Input!$I:$I,Input!$H:$H,'1.CC Transition risk-Banking b.'!$A48&amp;"*",Input!$E:$E,'1.CC Transition risk-Banking b.'!$K$63,Input!$C:$C,'1.CC Transition risk-Banking b.'!$K$64),0))/1000000</f>
        <v>0</v>
      </c>
      <c r="L48" s="84">
        <f>(ROUND(SUMIFS(Input!$J:$J,Input!$H:$H,'1.CC Transition risk-Banking b.'!$A48&amp;"*")
+ SUMIFS(Input!$L:$L,Input!$H:$H,'1.CC Transition risk-Banking b.'!$A48&amp;"*")
+SUMIFS(Input!$N:$N,Input!$H:$H,'1.CC Transition risk-Banking b.'!$A48&amp;"*"),0))/1000000</f>
        <v>0</v>
      </c>
      <c r="M48" s="84">
        <f>(ROUND(SUMIFS(Input!$N:$N,Input!$H:$H,'1.CC Transition risk-Banking b.'!$A48&amp;"*"),0))/1000000</f>
        <v>0</v>
      </c>
      <c r="N48" s="91">
        <f>IFERROR(AVERAGE(SUMIFS(Input!$I:$I,Input!$H:$H,'1.CC Transition risk-Banking b.'!$A48&amp;"*",Input!$R:$R,"SOUR1",Input!$E:$E,'1.CC Transition risk-Banking b.'!$O$63),
SUMIFS(Input!$I:$I,Input!$H:$H,'1.CC Transition risk-Banking b.'!$A48&amp;"*",Input!$S:$S,"SOUR1",Input!$E:$E,'1.CC Transition risk-Banking b.'!$O$63),
SUMIFS(Input!$I:$I,Input!$H:$H,'1.CC Transition risk-Banking b.'!$A48&amp;"*",Input!$T:$T,"SOUR1",Input!$E:$E,'1.CC Transition risk-Banking b.'!$O$63))/SUMIFS(Input!$I:$I,Input!$H:$H,'1.CC Transition risk-Banking b.'!$A48&amp;"*",Input!$E:$E,'1.CC Transition risk-Banking b.'!$O$63),0)</f>
        <v>0</v>
      </c>
      <c r="O48" s="85">
        <f>(ROUND(SUMIFS(Input!$I:$I,Input!$H:$H,'1.CC Transition risk-Banking b.'!$A48&amp;"*",Input!$E:$E,'1.CC Transition risk-Banking b.'!O$63,Input!$G:$G,"&gt;=0",Input!$G:$G,"&lt;=5")
+ SUMIFS(Input!$I:$I,Input!$H:$H,'1.CC Transition risk-Banking b.'!$A48&amp;"*",Input!$E:$E,'1.CC Transition risk-Banking b.'!O$63,Input!$G:$G,"-4")
+ SUMIFS(Input!$I:$I,Input!$H:$H,'1.CC Transition risk-Banking b.'!$A48&amp;"*",Input!$E:$E,'1.CC Transition risk-Banking b.'!O$63,Input!$G:$G,"-1"),0))/1000000</f>
        <v>0</v>
      </c>
      <c r="P48" s="85">
        <f>(ROUND(SUMIFS(Input!$I:$I,Input!$H:$H,'1.CC Transition risk-Banking b.'!$A48&amp;"*",Input!$E:$E,'1.CC Transition risk-Banking b.'!P$63,Input!$G:$G,"&gt;5",Input!$G:$G,"&lt;=10"),0))/1000000</f>
        <v>0</v>
      </c>
      <c r="Q48" s="85">
        <f>(ROUND(SUMIFS(Input!$I:$I,Input!$H:$H,'1.CC Transition risk-Banking b.'!$A48&amp;"*",Input!$E:$E,'1.CC Transition risk-Banking b.'!Q$63,Input!$G:$G,"&gt;10",Input!$G:$G,"&lt;=20"),0))/1000000</f>
        <v>0</v>
      </c>
      <c r="R48" s="85">
        <f>(ROUND(SUMIFS(Input!$I:$I,Input!$H:$H,'1.CC Transition risk-Banking b.'!$A48&amp;"*",Input!$E:$E,'1.CC Transition risk-Banking b.'!R$63,Input!$G:$G,"&gt;20")
+ SUMIFS(Input!$I:$I,Input!$H:$H,'1.CC Transition risk-Banking b.'!$A48&amp;"*",Input!$E:$E,'1.CC Transition risk-Banking b.'!R$63,Input!$G:$G,"-2")
+ SUMIFS(Input!$I:$I,Input!$H:$H,'1.CC Transition risk-Banking b.'!$A48&amp;"*",Input!$E:$E,'1.CC Transition risk-Banking b.'!R$63,Input!$G:$G,"-3"),0))/1000000</f>
        <v>0</v>
      </c>
      <c r="S48" s="86">
        <f>ROUND(IFERROR((SUMIFS(Input!$Q:$Q,Input!$H:$H,'1.CC Transition risk-Banking b.'!$A48&amp;"*",Input!$E:$E,'1.CC Transition risk-Banking b.'!S$63,Input!$G:$G,"&gt;0")/1000000)/'1.CC Transition risk-Banking b.'!$D48,0),0)</f>
        <v>0</v>
      </c>
    </row>
    <row r="49" spans="1:19" x14ac:dyDescent="0.3">
      <c r="A49" s="96" t="s">
        <v>165</v>
      </c>
      <c r="B49" s="66">
        <v>44</v>
      </c>
      <c r="C49" s="68" t="s">
        <v>166</v>
      </c>
      <c r="D49" s="83">
        <f>(ROUND(SUMIFS(Input!$I:$I,Input!$H:$H,'1.CC Transition risk-Banking b.'!$A49&amp;"*",Input!$E:$E,'1.CC Transition risk-Banking b.'!$D$63),0))/1000000</f>
        <v>0</v>
      </c>
      <c r="E49" s="83">
        <f>(ROUND(SUMIFS(Input!$I:$I,Input!$H:$H,'1.CC Transition risk-Banking b.'!$A49&amp;"*",Input!$E:$E,'1.CC Transition risk-Banking b.'!$E$63,Input!$F:$F,'1.CC Transition risk-Banking b.'!$E$64),0))/1000000</f>
        <v>0</v>
      </c>
      <c r="F49" s="83">
        <f>(ROUND(SUMIFS(Input!$P:$P,Input!$H:$H,'1.CC Transition risk-Banking b.'!$A49&amp;"*",Input!$E:$E,'1.CC Transition risk-Banking b.'!$E$63,Input!$O:$O,'1.CC Transition risk-Banking b.'!$F$63),0))/1000000</f>
        <v>0</v>
      </c>
      <c r="G49" s="83">
        <f>(ROUND(SUMIFS(Input!$I:$I,Input!$H:$H,'1.CC Transition risk-Banking b.'!$A49&amp;"*",Input!$E:$E,'1.CC Transition risk-Banking b.'!$G$63,Input!$C:$C,'1.CC Transition risk-Banking b.'!$G$64),0))/1000000</f>
        <v>0</v>
      </c>
      <c r="H49" s="83">
        <f>(ROUND(SUMIFS(Input!$I:$I,Input!$H:$H,'1.CC Transition risk-Banking b.'!$A49&amp;"*",Input!$E:$E,'1.CC Transition risk-Banking b.'!$H$63,Input!$C:$C,'1.CC Transition risk-Banking b.'!$H$64),0))/1000000</f>
        <v>0</v>
      </c>
      <c r="I49" s="83">
        <f>(ROUND(SUMIFS(Input!$I:$I,Input!$H:$H,'1.CC Transition risk-Banking b.'!$A49&amp;"*",Input!$E:$E,'1.CC Transition risk-Banking b.'!$I$63),0))/1000000</f>
        <v>0</v>
      </c>
      <c r="J49" s="83">
        <f>(ROUND(SUMIFS(Input!$I:$I,Input!$H:$H,'1.CC Transition risk-Banking b.'!$A49&amp;"*",Input!$E:$E,'1.CC Transition risk-Banking b.'!$J$63,Input!$C:$C,'1.CC Transition risk-Banking b.'!$J$64),0))/1000000</f>
        <v>0</v>
      </c>
      <c r="K49" s="83">
        <f>(ROUND(SUMIFS(Input!$I:$I,Input!$H:$H,'1.CC Transition risk-Banking b.'!$A49&amp;"*",Input!$E:$E,'1.CC Transition risk-Banking b.'!$K$63,Input!$C:$C,'1.CC Transition risk-Banking b.'!$K$64),0))/1000000</f>
        <v>0</v>
      </c>
      <c r="L49" s="84">
        <f>(ROUND(SUMIFS(Input!$J:$J,Input!$H:$H,'1.CC Transition risk-Banking b.'!$A49&amp;"*")
+ SUMIFS(Input!$L:$L,Input!$H:$H,'1.CC Transition risk-Banking b.'!$A49&amp;"*")
+SUMIFS(Input!$N:$N,Input!$H:$H,'1.CC Transition risk-Banking b.'!$A49&amp;"*"),0))/1000000</f>
        <v>0</v>
      </c>
      <c r="M49" s="84">
        <f>(ROUND(SUMIFS(Input!$N:$N,Input!$H:$H,'1.CC Transition risk-Banking b.'!$A49&amp;"*"),0))/1000000</f>
        <v>0</v>
      </c>
      <c r="N49" s="91">
        <f>IFERROR(AVERAGE(SUMIFS(Input!$I:$I,Input!$H:$H,'1.CC Transition risk-Banking b.'!$A49&amp;"*",Input!$R:$R,"SOUR1",Input!$E:$E,'1.CC Transition risk-Banking b.'!$O$63),
SUMIFS(Input!$I:$I,Input!$H:$H,'1.CC Transition risk-Banking b.'!$A49&amp;"*",Input!$S:$S,"SOUR1",Input!$E:$E,'1.CC Transition risk-Banking b.'!$O$63),
SUMIFS(Input!$I:$I,Input!$H:$H,'1.CC Transition risk-Banking b.'!$A49&amp;"*",Input!$T:$T,"SOUR1",Input!$E:$E,'1.CC Transition risk-Banking b.'!$O$63))/SUMIFS(Input!$I:$I,Input!$H:$H,'1.CC Transition risk-Banking b.'!$A49&amp;"*",Input!$E:$E,'1.CC Transition risk-Banking b.'!$O$63),0)</f>
        <v>0</v>
      </c>
      <c r="O49" s="85">
        <f>(ROUND(SUMIFS(Input!$I:$I,Input!$H:$H,'1.CC Transition risk-Banking b.'!$A49&amp;"*",Input!$E:$E,'1.CC Transition risk-Banking b.'!O$63,Input!$G:$G,"&gt;=0",Input!$G:$G,"&lt;=5")
+ SUMIFS(Input!$I:$I,Input!$H:$H,'1.CC Transition risk-Banking b.'!$A49&amp;"*",Input!$E:$E,'1.CC Transition risk-Banking b.'!O$63,Input!$G:$G,"-4")
+ SUMIFS(Input!$I:$I,Input!$H:$H,'1.CC Transition risk-Banking b.'!$A49&amp;"*",Input!$E:$E,'1.CC Transition risk-Banking b.'!O$63,Input!$G:$G,"-1"),0))/1000000</f>
        <v>0</v>
      </c>
      <c r="P49" s="85">
        <f>(ROUND(SUMIFS(Input!$I:$I,Input!$H:$H,'1.CC Transition risk-Banking b.'!$A49&amp;"*",Input!$E:$E,'1.CC Transition risk-Banking b.'!P$63,Input!$G:$G,"&gt;5",Input!$G:$G,"&lt;=10"),0))/1000000</f>
        <v>0</v>
      </c>
      <c r="Q49" s="85">
        <f>(ROUND(SUMIFS(Input!$I:$I,Input!$H:$H,'1.CC Transition risk-Banking b.'!$A49&amp;"*",Input!$E:$E,'1.CC Transition risk-Banking b.'!Q$63,Input!$G:$G,"&gt;10",Input!$G:$G,"&lt;=20"),0))/1000000</f>
        <v>0</v>
      </c>
      <c r="R49" s="85">
        <f>(ROUND(SUMIFS(Input!$I:$I,Input!$H:$H,'1.CC Transition risk-Banking b.'!$A49&amp;"*",Input!$E:$E,'1.CC Transition risk-Banking b.'!R$63,Input!$G:$G,"&gt;20")
+ SUMIFS(Input!$I:$I,Input!$H:$H,'1.CC Transition risk-Banking b.'!$A49&amp;"*",Input!$E:$E,'1.CC Transition risk-Banking b.'!R$63,Input!$G:$G,"-2")
+ SUMIFS(Input!$I:$I,Input!$H:$H,'1.CC Transition risk-Banking b.'!$A49&amp;"*",Input!$E:$E,'1.CC Transition risk-Banking b.'!R$63,Input!$G:$G,"-3"),0))/1000000</f>
        <v>0</v>
      </c>
      <c r="S49" s="86">
        <f>ROUND(IFERROR((SUMIFS(Input!$Q:$Q,Input!$H:$H,'1.CC Transition risk-Banking b.'!$A49&amp;"*",Input!$E:$E,'1.CC Transition risk-Banking b.'!S$63,Input!$G:$G,"&gt;0")/1000000)/'1.CC Transition risk-Banking b.'!$D49,0),0)</f>
        <v>0</v>
      </c>
    </row>
    <row r="50" spans="1:19" x14ac:dyDescent="0.3">
      <c r="A50" s="96" t="s">
        <v>167</v>
      </c>
      <c r="B50" s="66">
        <v>45</v>
      </c>
      <c r="C50" s="68" t="s">
        <v>168</v>
      </c>
      <c r="D50" s="83">
        <f>(ROUND(SUMIFS(Input!$I:$I,Input!$H:$H,'1.CC Transition risk-Banking b.'!$A50&amp;"*",Input!$E:$E,'1.CC Transition risk-Banking b.'!$D$63),0))/1000000</f>
        <v>0</v>
      </c>
      <c r="E50" s="83">
        <f>(ROUND(SUMIFS(Input!$I:$I,Input!$H:$H,'1.CC Transition risk-Banking b.'!$A50&amp;"*",Input!$E:$E,'1.CC Transition risk-Banking b.'!$E$63,Input!$F:$F,'1.CC Transition risk-Banking b.'!$E$64),0))/1000000</f>
        <v>0</v>
      </c>
      <c r="F50" s="83">
        <f>(ROUND(SUMIFS(Input!$P:$P,Input!$H:$H,'1.CC Transition risk-Banking b.'!$A50&amp;"*",Input!$E:$E,'1.CC Transition risk-Banking b.'!$E$63,Input!$O:$O,'1.CC Transition risk-Banking b.'!$F$63),0))/1000000</f>
        <v>0</v>
      </c>
      <c r="G50" s="83">
        <f>(ROUND(SUMIFS(Input!$I:$I,Input!$H:$H,'1.CC Transition risk-Banking b.'!$A50&amp;"*",Input!$E:$E,'1.CC Transition risk-Banking b.'!$G$63,Input!$C:$C,'1.CC Transition risk-Banking b.'!$G$64),0))/1000000</f>
        <v>0</v>
      </c>
      <c r="H50" s="83">
        <f>(ROUND(SUMIFS(Input!$I:$I,Input!$H:$H,'1.CC Transition risk-Banking b.'!$A50&amp;"*",Input!$E:$E,'1.CC Transition risk-Banking b.'!$H$63,Input!$C:$C,'1.CC Transition risk-Banking b.'!$H$64),0))/1000000</f>
        <v>0</v>
      </c>
      <c r="I50" s="83">
        <f>(ROUND(SUMIFS(Input!$I:$I,Input!$H:$H,'1.CC Transition risk-Banking b.'!$A50&amp;"*",Input!$E:$E,'1.CC Transition risk-Banking b.'!$I$63),0))/1000000</f>
        <v>0</v>
      </c>
      <c r="J50" s="83">
        <f>(ROUND(SUMIFS(Input!$I:$I,Input!$H:$H,'1.CC Transition risk-Banking b.'!$A50&amp;"*",Input!$E:$E,'1.CC Transition risk-Banking b.'!$J$63,Input!$C:$C,'1.CC Transition risk-Banking b.'!$J$64),0))/1000000</f>
        <v>0</v>
      </c>
      <c r="K50" s="83">
        <f>(ROUND(SUMIFS(Input!$I:$I,Input!$H:$H,'1.CC Transition risk-Banking b.'!$A50&amp;"*",Input!$E:$E,'1.CC Transition risk-Banking b.'!$K$63,Input!$C:$C,'1.CC Transition risk-Banking b.'!$K$64),0))/1000000</f>
        <v>0</v>
      </c>
      <c r="L50" s="84">
        <f>(ROUND(SUMIFS(Input!$J:$J,Input!$H:$H,'1.CC Transition risk-Banking b.'!$A50&amp;"*")
+ SUMIFS(Input!$L:$L,Input!$H:$H,'1.CC Transition risk-Banking b.'!$A50&amp;"*")
+SUMIFS(Input!$N:$N,Input!$H:$H,'1.CC Transition risk-Banking b.'!$A50&amp;"*"),0))/1000000</f>
        <v>0</v>
      </c>
      <c r="M50" s="84">
        <f>(ROUND(SUMIFS(Input!$N:$N,Input!$H:$H,'1.CC Transition risk-Banking b.'!$A50&amp;"*"),0))/1000000</f>
        <v>0</v>
      </c>
      <c r="N50" s="91">
        <f>IFERROR(AVERAGE(SUMIFS(Input!$I:$I,Input!$H:$H,'1.CC Transition risk-Banking b.'!$A50&amp;"*",Input!$R:$R,"SOUR1",Input!$E:$E,'1.CC Transition risk-Banking b.'!$O$63),
SUMIFS(Input!$I:$I,Input!$H:$H,'1.CC Transition risk-Banking b.'!$A50&amp;"*",Input!$S:$S,"SOUR1",Input!$E:$E,'1.CC Transition risk-Banking b.'!$O$63),
SUMIFS(Input!$I:$I,Input!$H:$H,'1.CC Transition risk-Banking b.'!$A50&amp;"*",Input!$T:$T,"SOUR1",Input!$E:$E,'1.CC Transition risk-Banking b.'!$O$63))/SUMIFS(Input!$I:$I,Input!$H:$H,'1.CC Transition risk-Banking b.'!$A50&amp;"*",Input!$E:$E,'1.CC Transition risk-Banking b.'!$O$63),0)</f>
        <v>0</v>
      </c>
      <c r="O50" s="85">
        <f>(ROUND(SUMIFS(Input!$I:$I,Input!$H:$H,'1.CC Transition risk-Banking b.'!$A50&amp;"*",Input!$E:$E,'1.CC Transition risk-Banking b.'!O$63,Input!$G:$G,"&gt;=0",Input!$G:$G,"&lt;=5")
+ SUMIFS(Input!$I:$I,Input!$H:$H,'1.CC Transition risk-Banking b.'!$A50&amp;"*",Input!$E:$E,'1.CC Transition risk-Banking b.'!O$63,Input!$G:$G,"-4")
+ SUMIFS(Input!$I:$I,Input!$H:$H,'1.CC Transition risk-Banking b.'!$A50&amp;"*",Input!$E:$E,'1.CC Transition risk-Banking b.'!O$63,Input!$G:$G,"-1"),0))/1000000</f>
        <v>0</v>
      </c>
      <c r="P50" s="85">
        <f>(ROUND(SUMIFS(Input!$I:$I,Input!$H:$H,'1.CC Transition risk-Banking b.'!$A50&amp;"*",Input!$E:$E,'1.CC Transition risk-Banking b.'!P$63,Input!$G:$G,"&gt;5",Input!$G:$G,"&lt;=10"),0))/1000000</f>
        <v>0</v>
      </c>
      <c r="Q50" s="85">
        <f>(ROUND(SUMIFS(Input!$I:$I,Input!$H:$H,'1.CC Transition risk-Banking b.'!$A50&amp;"*",Input!$E:$E,'1.CC Transition risk-Banking b.'!Q$63,Input!$G:$G,"&gt;10",Input!$G:$G,"&lt;=20"),0))/1000000</f>
        <v>0</v>
      </c>
      <c r="R50" s="85">
        <f>(ROUND(SUMIFS(Input!$I:$I,Input!$H:$H,'1.CC Transition risk-Banking b.'!$A50&amp;"*",Input!$E:$E,'1.CC Transition risk-Banking b.'!R$63,Input!$G:$G,"&gt;20")
+ SUMIFS(Input!$I:$I,Input!$H:$H,'1.CC Transition risk-Banking b.'!$A50&amp;"*",Input!$E:$E,'1.CC Transition risk-Banking b.'!R$63,Input!$G:$G,"-2")
+ SUMIFS(Input!$I:$I,Input!$H:$H,'1.CC Transition risk-Banking b.'!$A50&amp;"*",Input!$E:$E,'1.CC Transition risk-Banking b.'!R$63,Input!$G:$G,"-3"),0))/1000000</f>
        <v>0</v>
      </c>
      <c r="S50" s="86">
        <f>ROUND(IFERROR((SUMIFS(Input!$Q:$Q,Input!$H:$H,'1.CC Transition risk-Banking b.'!$A50&amp;"*",Input!$E:$E,'1.CC Transition risk-Banking b.'!S$63,Input!$G:$G,"&gt;0")/1000000)/'1.CC Transition risk-Banking b.'!$D50,0),0)</f>
        <v>0</v>
      </c>
    </row>
    <row r="51" spans="1:19" x14ac:dyDescent="0.3">
      <c r="A51" s="96" t="s">
        <v>169</v>
      </c>
      <c r="B51" s="66">
        <v>46</v>
      </c>
      <c r="C51" s="70" t="s">
        <v>170</v>
      </c>
      <c r="D51" s="83">
        <f>(ROUND(SUMIFS(Input!$I:$I,Input!$H:$H,'1.CC Transition risk-Banking b.'!$A51&amp;"*",Input!$E:$E,'1.CC Transition risk-Banking b.'!$D$63),0))/1000000</f>
        <v>0</v>
      </c>
      <c r="E51" s="83">
        <f>(ROUND(SUMIFS(Input!$I:$I,Input!$H:$H,'1.CC Transition risk-Banking b.'!$A51&amp;"*",Input!$E:$E,'1.CC Transition risk-Banking b.'!$E$63,Input!$F:$F,'1.CC Transition risk-Banking b.'!$E$64),0))/1000000</f>
        <v>0</v>
      </c>
      <c r="F51" s="83">
        <f>(ROUND(SUMIFS(Input!$P:$P,Input!$H:$H,'1.CC Transition risk-Banking b.'!$A51&amp;"*",Input!$E:$E,'1.CC Transition risk-Banking b.'!$E$63,Input!$O:$O,'1.CC Transition risk-Banking b.'!$F$63),0))/1000000</f>
        <v>0</v>
      </c>
      <c r="G51" s="83">
        <f>(ROUND(SUMIFS(Input!$I:$I,Input!$H:$H,'1.CC Transition risk-Banking b.'!$A51&amp;"*",Input!$E:$E,'1.CC Transition risk-Banking b.'!$G$63,Input!$C:$C,'1.CC Transition risk-Banking b.'!$G$64),0))/1000000</f>
        <v>0</v>
      </c>
      <c r="H51" s="83">
        <f>(ROUND(SUMIFS(Input!$I:$I,Input!$H:$H,'1.CC Transition risk-Banking b.'!$A51&amp;"*",Input!$E:$E,'1.CC Transition risk-Banking b.'!$H$63,Input!$C:$C,'1.CC Transition risk-Banking b.'!$H$64),0))/1000000</f>
        <v>0</v>
      </c>
      <c r="I51" s="83">
        <f>(ROUND(SUMIFS(Input!$I:$I,Input!$H:$H,'1.CC Transition risk-Banking b.'!$A51&amp;"*",Input!$E:$E,'1.CC Transition risk-Banking b.'!$I$63),0))/1000000</f>
        <v>0</v>
      </c>
      <c r="J51" s="83">
        <f>(ROUND(SUMIFS(Input!$I:$I,Input!$H:$H,'1.CC Transition risk-Banking b.'!$A51&amp;"*",Input!$E:$E,'1.CC Transition risk-Banking b.'!$J$63,Input!$C:$C,'1.CC Transition risk-Banking b.'!$J$64),0))/1000000</f>
        <v>0</v>
      </c>
      <c r="K51" s="83">
        <f>(ROUND(SUMIFS(Input!$I:$I,Input!$H:$H,'1.CC Transition risk-Banking b.'!$A51&amp;"*",Input!$E:$E,'1.CC Transition risk-Banking b.'!$K$63,Input!$C:$C,'1.CC Transition risk-Banking b.'!$K$64),0))/1000000</f>
        <v>0</v>
      </c>
      <c r="L51" s="84">
        <f>(ROUND(SUMIFS(Input!$J:$J,Input!$H:$H,'1.CC Transition risk-Banking b.'!$A51&amp;"*")
+ SUMIFS(Input!$L:$L,Input!$H:$H,'1.CC Transition risk-Banking b.'!$A51&amp;"*")
+SUMIFS(Input!$N:$N,Input!$H:$H,'1.CC Transition risk-Banking b.'!$A51&amp;"*"),0))/1000000</f>
        <v>0</v>
      </c>
      <c r="M51" s="84">
        <f>(ROUND(SUMIFS(Input!$N:$N,Input!$H:$H,'1.CC Transition risk-Banking b.'!$A51&amp;"*"),0))/1000000</f>
        <v>0</v>
      </c>
      <c r="N51" s="91">
        <f>IFERROR(AVERAGE(SUMIFS(Input!$I:$I,Input!$H:$H,'1.CC Transition risk-Banking b.'!$A51&amp;"*",Input!$R:$R,"SOUR1",Input!$E:$E,'1.CC Transition risk-Banking b.'!$O$63),
SUMIFS(Input!$I:$I,Input!$H:$H,'1.CC Transition risk-Banking b.'!$A51&amp;"*",Input!$S:$S,"SOUR1",Input!$E:$E,'1.CC Transition risk-Banking b.'!$O$63),
SUMIFS(Input!$I:$I,Input!$H:$H,'1.CC Transition risk-Banking b.'!$A51&amp;"*",Input!$T:$T,"SOUR1",Input!$E:$E,'1.CC Transition risk-Banking b.'!$O$63))/SUMIFS(Input!$I:$I,Input!$H:$H,'1.CC Transition risk-Banking b.'!$A51&amp;"*",Input!$E:$E,'1.CC Transition risk-Banking b.'!$O$63),0)</f>
        <v>0</v>
      </c>
      <c r="O51" s="85">
        <f>(ROUND(SUMIFS(Input!$I:$I,Input!$H:$H,'1.CC Transition risk-Banking b.'!$A51&amp;"*",Input!$E:$E,'1.CC Transition risk-Banking b.'!O$63,Input!$G:$G,"&gt;=0",Input!$G:$G,"&lt;=5")
+ SUMIFS(Input!$I:$I,Input!$H:$H,'1.CC Transition risk-Banking b.'!$A51&amp;"*",Input!$E:$E,'1.CC Transition risk-Banking b.'!O$63,Input!$G:$G,"-4")
+ SUMIFS(Input!$I:$I,Input!$H:$H,'1.CC Transition risk-Banking b.'!$A51&amp;"*",Input!$E:$E,'1.CC Transition risk-Banking b.'!O$63,Input!$G:$G,"-1"),0))/1000000</f>
        <v>0</v>
      </c>
      <c r="P51" s="85">
        <f>(ROUND(SUMIFS(Input!$I:$I,Input!$H:$H,'1.CC Transition risk-Banking b.'!$A51&amp;"*",Input!$E:$E,'1.CC Transition risk-Banking b.'!P$63,Input!$G:$G,"&gt;5",Input!$G:$G,"&lt;=10"),0))/1000000</f>
        <v>0</v>
      </c>
      <c r="Q51" s="85">
        <f>(ROUND(SUMIFS(Input!$I:$I,Input!$H:$H,'1.CC Transition risk-Banking b.'!$A51&amp;"*",Input!$E:$E,'1.CC Transition risk-Banking b.'!Q$63,Input!$G:$G,"&gt;10",Input!$G:$G,"&lt;=20"),0))/1000000</f>
        <v>0</v>
      </c>
      <c r="R51" s="85">
        <f>(ROUND(SUMIFS(Input!$I:$I,Input!$H:$H,'1.CC Transition risk-Banking b.'!$A51&amp;"*",Input!$E:$E,'1.CC Transition risk-Banking b.'!R$63,Input!$G:$G,"&gt;20")
+ SUMIFS(Input!$I:$I,Input!$H:$H,'1.CC Transition risk-Banking b.'!$A51&amp;"*",Input!$E:$E,'1.CC Transition risk-Banking b.'!R$63,Input!$G:$G,"-2")
+ SUMIFS(Input!$I:$I,Input!$H:$H,'1.CC Transition risk-Banking b.'!$A51&amp;"*",Input!$E:$E,'1.CC Transition risk-Banking b.'!R$63,Input!$G:$G,"-3"),0))/1000000</f>
        <v>0</v>
      </c>
      <c r="S51" s="86">
        <f>ROUND(IFERROR((SUMIFS(Input!$Q:$Q,Input!$H:$H,'1.CC Transition risk-Banking b.'!$A51&amp;"*",Input!$E:$E,'1.CC Transition risk-Banking b.'!S$63,Input!$G:$G,"&gt;0")/1000000)/'1.CC Transition risk-Banking b.'!$D51,0),0)</f>
        <v>0</v>
      </c>
    </row>
    <row r="52" spans="1:19" x14ac:dyDescent="0.3">
      <c r="A52" s="96" t="s">
        <v>171</v>
      </c>
      <c r="B52" s="66">
        <v>47</v>
      </c>
      <c r="C52" s="70" t="s">
        <v>172</v>
      </c>
      <c r="D52" s="83">
        <f>(ROUND(SUMIFS(Input!$I:$I,Input!$H:$H,'1.CC Transition risk-Banking b.'!$A52&amp;"*",Input!$E:$E,'1.CC Transition risk-Banking b.'!$D$63),0))/1000000</f>
        <v>0</v>
      </c>
      <c r="E52" s="83">
        <f>(ROUND(SUMIFS(Input!$I:$I,Input!$H:$H,'1.CC Transition risk-Banking b.'!$A52&amp;"*",Input!$E:$E,'1.CC Transition risk-Banking b.'!$E$63,Input!$F:$F,'1.CC Transition risk-Banking b.'!$E$64),0))/1000000</f>
        <v>0</v>
      </c>
      <c r="F52" s="83">
        <f>(ROUND(SUMIFS(Input!$P:$P,Input!$H:$H,'1.CC Transition risk-Banking b.'!$A52&amp;"*",Input!$E:$E,'1.CC Transition risk-Banking b.'!$E$63,Input!$O:$O,'1.CC Transition risk-Banking b.'!$F$63),0))/1000000</f>
        <v>0</v>
      </c>
      <c r="G52" s="83">
        <f>(ROUND(SUMIFS(Input!$I:$I,Input!$H:$H,'1.CC Transition risk-Banking b.'!$A52&amp;"*",Input!$E:$E,'1.CC Transition risk-Banking b.'!$G$63,Input!$C:$C,'1.CC Transition risk-Banking b.'!$G$64),0))/1000000</f>
        <v>0</v>
      </c>
      <c r="H52" s="83">
        <f>(ROUND(SUMIFS(Input!$I:$I,Input!$H:$H,'1.CC Transition risk-Banking b.'!$A52&amp;"*",Input!$E:$E,'1.CC Transition risk-Banking b.'!$H$63,Input!$C:$C,'1.CC Transition risk-Banking b.'!$H$64),0))/1000000</f>
        <v>0</v>
      </c>
      <c r="I52" s="83">
        <f>(ROUND(SUMIFS(Input!$I:$I,Input!$H:$H,'1.CC Transition risk-Banking b.'!$A52&amp;"*",Input!$E:$E,'1.CC Transition risk-Banking b.'!$I$63),0))/1000000</f>
        <v>0</v>
      </c>
      <c r="J52" s="83">
        <f>(ROUND(SUMIFS(Input!$I:$I,Input!$H:$H,'1.CC Transition risk-Banking b.'!$A52&amp;"*",Input!$E:$E,'1.CC Transition risk-Banking b.'!$J$63,Input!$C:$C,'1.CC Transition risk-Banking b.'!$J$64),0))/1000000</f>
        <v>0</v>
      </c>
      <c r="K52" s="83">
        <f>(ROUND(SUMIFS(Input!$I:$I,Input!$H:$H,'1.CC Transition risk-Banking b.'!$A52&amp;"*",Input!$E:$E,'1.CC Transition risk-Banking b.'!$K$63,Input!$C:$C,'1.CC Transition risk-Banking b.'!$K$64),0))/1000000</f>
        <v>0</v>
      </c>
      <c r="L52" s="84">
        <f>(ROUND(SUMIFS(Input!$J:$J,Input!$H:$H,'1.CC Transition risk-Banking b.'!$A52&amp;"*")
+ SUMIFS(Input!$L:$L,Input!$H:$H,'1.CC Transition risk-Banking b.'!$A52&amp;"*")
+SUMIFS(Input!$N:$N,Input!$H:$H,'1.CC Transition risk-Banking b.'!$A52&amp;"*"),0))/1000000</f>
        <v>0</v>
      </c>
      <c r="M52" s="84">
        <f>(ROUND(SUMIFS(Input!$N:$N,Input!$H:$H,'1.CC Transition risk-Banking b.'!$A52&amp;"*"),0))/1000000</f>
        <v>0</v>
      </c>
      <c r="N52" s="91">
        <f>IFERROR(AVERAGE(SUMIFS(Input!$I:$I,Input!$H:$H,'1.CC Transition risk-Banking b.'!$A52&amp;"*",Input!$R:$R,"SOUR1",Input!$E:$E,'1.CC Transition risk-Banking b.'!$O$63),
SUMIFS(Input!$I:$I,Input!$H:$H,'1.CC Transition risk-Banking b.'!$A52&amp;"*",Input!$S:$S,"SOUR1",Input!$E:$E,'1.CC Transition risk-Banking b.'!$O$63),
SUMIFS(Input!$I:$I,Input!$H:$H,'1.CC Transition risk-Banking b.'!$A52&amp;"*",Input!$T:$T,"SOUR1",Input!$E:$E,'1.CC Transition risk-Banking b.'!$O$63))/SUMIFS(Input!$I:$I,Input!$H:$H,'1.CC Transition risk-Banking b.'!$A52&amp;"*",Input!$E:$E,'1.CC Transition risk-Banking b.'!$O$63),0)</f>
        <v>0</v>
      </c>
      <c r="O52" s="85">
        <f>(ROUND(SUMIFS(Input!$I:$I,Input!$H:$H,'1.CC Transition risk-Banking b.'!$A52&amp;"*",Input!$E:$E,'1.CC Transition risk-Banking b.'!O$63,Input!$G:$G,"&gt;=0",Input!$G:$G,"&lt;=5")
+ SUMIFS(Input!$I:$I,Input!$H:$H,'1.CC Transition risk-Banking b.'!$A52&amp;"*",Input!$E:$E,'1.CC Transition risk-Banking b.'!O$63,Input!$G:$G,"-4")
+ SUMIFS(Input!$I:$I,Input!$H:$H,'1.CC Transition risk-Banking b.'!$A52&amp;"*",Input!$E:$E,'1.CC Transition risk-Banking b.'!O$63,Input!$G:$G,"-1"),0))/1000000</f>
        <v>0</v>
      </c>
      <c r="P52" s="85">
        <f>(ROUND(SUMIFS(Input!$I:$I,Input!$H:$H,'1.CC Transition risk-Banking b.'!$A52&amp;"*",Input!$E:$E,'1.CC Transition risk-Banking b.'!P$63,Input!$G:$G,"&gt;5",Input!$G:$G,"&lt;=10"),0))/1000000</f>
        <v>0</v>
      </c>
      <c r="Q52" s="85">
        <f>(ROUND(SUMIFS(Input!$I:$I,Input!$H:$H,'1.CC Transition risk-Banking b.'!$A52&amp;"*",Input!$E:$E,'1.CC Transition risk-Banking b.'!Q$63,Input!$G:$G,"&gt;10",Input!$G:$G,"&lt;=20"),0))/1000000</f>
        <v>0</v>
      </c>
      <c r="R52" s="85">
        <f>(ROUND(SUMIFS(Input!$I:$I,Input!$H:$H,'1.CC Transition risk-Banking b.'!$A52&amp;"*",Input!$E:$E,'1.CC Transition risk-Banking b.'!R$63,Input!$G:$G,"&gt;20")
+ SUMIFS(Input!$I:$I,Input!$H:$H,'1.CC Transition risk-Banking b.'!$A52&amp;"*",Input!$E:$E,'1.CC Transition risk-Banking b.'!R$63,Input!$G:$G,"-2")
+ SUMIFS(Input!$I:$I,Input!$H:$H,'1.CC Transition risk-Banking b.'!$A52&amp;"*",Input!$E:$E,'1.CC Transition risk-Banking b.'!R$63,Input!$G:$G,"-3"),0))/1000000</f>
        <v>0</v>
      </c>
      <c r="S52" s="86">
        <f>ROUND(IFERROR((SUMIFS(Input!$Q:$Q,Input!$H:$H,'1.CC Transition risk-Banking b.'!$A52&amp;"*",Input!$E:$E,'1.CC Transition risk-Banking b.'!S$63,Input!$G:$G,"&gt;0")/1000000)/'1.CC Transition risk-Banking b.'!$D52,0),0)</f>
        <v>0</v>
      </c>
    </row>
    <row r="53" spans="1:19" x14ac:dyDescent="0.3">
      <c r="A53" s="96" t="s">
        <v>173</v>
      </c>
      <c r="B53" s="66">
        <v>48</v>
      </c>
      <c r="C53" s="70" t="s">
        <v>174</v>
      </c>
      <c r="D53" s="83">
        <f>(ROUND(SUMIFS(Input!$I:$I,Input!$H:$H,'1.CC Transition risk-Banking b.'!$A53&amp;"*",Input!$E:$E,'1.CC Transition risk-Banking b.'!$D$63),0))/1000000</f>
        <v>0</v>
      </c>
      <c r="E53" s="83">
        <f>(ROUND(SUMIFS(Input!$I:$I,Input!$H:$H,'1.CC Transition risk-Banking b.'!$A53&amp;"*",Input!$E:$E,'1.CC Transition risk-Banking b.'!$E$63,Input!$F:$F,'1.CC Transition risk-Banking b.'!$E$64),0))/1000000</f>
        <v>0</v>
      </c>
      <c r="F53" s="83">
        <f>(ROUND(SUMIFS(Input!$P:$P,Input!$H:$H,'1.CC Transition risk-Banking b.'!$A53&amp;"*",Input!$E:$E,'1.CC Transition risk-Banking b.'!$E$63,Input!$O:$O,'1.CC Transition risk-Banking b.'!$F$63),0))/1000000</f>
        <v>0</v>
      </c>
      <c r="G53" s="83">
        <f>(ROUND(SUMIFS(Input!$I:$I,Input!$H:$H,'1.CC Transition risk-Banking b.'!$A53&amp;"*",Input!$E:$E,'1.CC Transition risk-Banking b.'!$G$63,Input!$C:$C,'1.CC Transition risk-Banking b.'!$G$64),0))/1000000</f>
        <v>0</v>
      </c>
      <c r="H53" s="83">
        <f>(ROUND(SUMIFS(Input!$I:$I,Input!$H:$H,'1.CC Transition risk-Banking b.'!$A53&amp;"*",Input!$E:$E,'1.CC Transition risk-Banking b.'!$H$63,Input!$C:$C,'1.CC Transition risk-Banking b.'!$H$64),0))/1000000</f>
        <v>0</v>
      </c>
      <c r="I53" s="83">
        <f>(ROUND(SUMIFS(Input!$I:$I,Input!$H:$H,'1.CC Transition risk-Banking b.'!$A53&amp;"*",Input!$E:$E,'1.CC Transition risk-Banking b.'!$I$63),0))/1000000</f>
        <v>0</v>
      </c>
      <c r="J53" s="83">
        <f>(ROUND(SUMIFS(Input!$I:$I,Input!$H:$H,'1.CC Transition risk-Banking b.'!$A53&amp;"*",Input!$E:$E,'1.CC Transition risk-Banking b.'!$J$63,Input!$C:$C,'1.CC Transition risk-Banking b.'!$J$64),0))/1000000</f>
        <v>0</v>
      </c>
      <c r="K53" s="83">
        <f>(ROUND(SUMIFS(Input!$I:$I,Input!$H:$H,'1.CC Transition risk-Banking b.'!$A53&amp;"*",Input!$E:$E,'1.CC Transition risk-Banking b.'!$K$63,Input!$C:$C,'1.CC Transition risk-Banking b.'!$K$64),0))/1000000</f>
        <v>0</v>
      </c>
      <c r="L53" s="84">
        <f>(ROUND(SUMIFS(Input!$J:$J,Input!$H:$H,'1.CC Transition risk-Banking b.'!$A53&amp;"*")
+ SUMIFS(Input!$L:$L,Input!$H:$H,'1.CC Transition risk-Banking b.'!$A53&amp;"*")
+SUMIFS(Input!$N:$N,Input!$H:$H,'1.CC Transition risk-Banking b.'!$A53&amp;"*"),0))/1000000</f>
        <v>0</v>
      </c>
      <c r="M53" s="84">
        <f>(ROUND(SUMIFS(Input!$N:$N,Input!$H:$H,'1.CC Transition risk-Banking b.'!$A53&amp;"*"),0))/1000000</f>
        <v>0</v>
      </c>
      <c r="N53" s="91">
        <f>IFERROR(AVERAGE(SUMIFS(Input!$I:$I,Input!$H:$H,'1.CC Transition risk-Banking b.'!$A53&amp;"*",Input!$R:$R,"SOUR1",Input!$E:$E,'1.CC Transition risk-Banking b.'!$O$63),
SUMIFS(Input!$I:$I,Input!$H:$H,'1.CC Transition risk-Banking b.'!$A53&amp;"*",Input!$S:$S,"SOUR1",Input!$E:$E,'1.CC Transition risk-Banking b.'!$O$63),
SUMIFS(Input!$I:$I,Input!$H:$H,'1.CC Transition risk-Banking b.'!$A53&amp;"*",Input!$T:$T,"SOUR1",Input!$E:$E,'1.CC Transition risk-Banking b.'!$O$63))/SUMIFS(Input!$I:$I,Input!$H:$H,'1.CC Transition risk-Banking b.'!$A53&amp;"*",Input!$E:$E,'1.CC Transition risk-Banking b.'!$O$63),0)</f>
        <v>0</v>
      </c>
      <c r="O53" s="85">
        <f>(ROUND(SUMIFS(Input!$I:$I,Input!$H:$H,'1.CC Transition risk-Banking b.'!$A53&amp;"*",Input!$E:$E,'1.CC Transition risk-Banking b.'!O$63,Input!$G:$G,"&gt;=0",Input!$G:$G,"&lt;=5")
+ SUMIFS(Input!$I:$I,Input!$H:$H,'1.CC Transition risk-Banking b.'!$A53&amp;"*",Input!$E:$E,'1.CC Transition risk-Banking b.'!O$63,Input!$G:$G,"-4")
+ SUMIFS(Input!$I:$I,Input!$H:$H,'1.CC Transition risk-Banking b.'!$A53&amp;"*",Input!$E:$E,'1.CC Transition risk-Banking b.'!O$63,Input!$G:$G,"-1"),0))/1000000</f>
        <v>0</v>
      </c>
      <c r="P53" s="85">
        <f>(ROUND(SUMIFS(Input!$I:$I,Input!$H:$H,'1.CC Transition risk-Banking b.'!$A53&amp;"*",Input!$E:$E,'1.CC Transition risk-Banking b.'!P$63,Input!$G:$G,"&gt;5",Input!$G:$G,"&lt;=10"),0))/1000000</f>
        <v>0</v>
      </c>
      <c r="Q53" s="85">
        <f>(ROUND(SUMIFS(Input!$I:$I,Input!$H:$H,'1.CC Transition risk-Banking b.'!$A53&amp;"*",Input!$E:$E,'1.CC Transition risk-Banking b.'!Q$63,Input!$G:$G,"&gt;10",Input!$G:$G,"&lt;=20"),0))/1000000</f>
        <v>0</v>
      </c>
      <c r="R53" s="85">
        <f>(ROUND(SUMIFS(Input!$I:$I,Input!$H:$H,'1.CC Transition risk-Banking b.'!$A53&amp;"*",Input!$E:$E,'1.CC Transition risk-Banking b.'!R$63,Input!$G:$G,"&gt;20")
+ SUMIFS(Input!$I:$I,Input!$H:$H,'1.CC Transition risk-Banking b.'!$A53&amp;"*",Input!$E:$E,'1.CC Transition risk-Banking b.'!R$63,Input!$G:$G,"-2")
+ SUMIFS(Input!$I:$I,Input!$H:$H,'1.CC Transition risk-Banking b.'!$A53&amp;"*",Input!$E:$E,'1.CC Transition risk-Banking b.'!R$63,Input!$G:$G,"-3"),0))/1000000</f>
        <v>0</v>
      </c>
      <c r="S53" s="86">
        <f>ROUND(IFERROR((SUMIFS(Input!$Q:$Q,Input!$H:$H,'1.CC Transition risk-Banking b.'!$A53&amp;"*",Input!$E:$E,'1.CC Transition risk-Banking b.'!S$63,Input!$G:$G,"&gt;0")/1000000)/'1.CC Transition risk-Banking b.'!$D53,0),0)</f>
        <v>0</v>
      </c>
    </row>
    <row r="54" spans="1:19" x14ac:dyDescent="0.3">
      <c r="A54" s="96" t="s">
        <v>175</v>
      </c>
      <c r="B54" s="66">
        <v>49</v>
      </c>
      <c r="C54" s="70" t="s">
        <v>176</v>
      </c>
      <c r="D54" s="83">
        <f>(ROUND(SUMIFS(Input!$I:$I,Input!$H:$H,'1.CC Transition risk-Banking b.'!$A54&amp;"*",Input!$E:$E,'1.CC Transition risk-Banking b.'!$D$63),0))/1000000</f>
        <v>0</v>
      </c>
      <c r="E54" s="83">
        <f>(ROUND(SUMIFS(Input!$I:$I,Input!$H:$H,'1.CC Transition risk-Banking b.'!$A54&amp;"*",Input!$E:$E,'1.CC Transition risk-Banking b.'!$E$63,Input!$F:$F,'1.CC Transition risk-Banking b.'!$E$64),0))/1000000</f>
        <v>0</v>
      </c>
      <c r="F54" s="83">
        <f>(ROUND(SUMIFS(Input!$P:$P,Input!$H:$H,'1.CC Transition risk-Banking b.'!$A54&amp;"*",Input!$E:$E,'1.CC Transition risk-Banking b.'!$E$63,Input!$O:$O,'1.CC Transition risk-Banking b.'!$F$63),0))/1000000</f>
        <v>0</v>
      </c>
      <c r="G54" s="83">
        <f>(ROUND(SUMIFS(Input!$I:$I,Input!$H:$H,'1.CC Transition risk-Banking b.'!$A54&amp;"*",Input!$E:$E,'1.CC Transition risk-Banking b.'!$G$63,Input!$C:$C,'1.CC Transition risk-Banking b.'!$G$64),0))/1000000</f>
        <v>0</v>
      </c>
      <c r="H54" s="83">
        <f>(ROUND(SUMIFS(Input!$I:$I,Input!$H:$H,'1.CC Transition risk-Banking b.'!$A54&amp;"*",Input!$E:$E,'1.CC Transition risk-Banking b.'!$H$63,Input!$C:$C,'1.CC Transition risk-Banking b.'!$H$64),0))/1000000</f>
        <v>0</v>
      </c>
      <c r="I54" s="83">
        <f>(ROUND(SUMIFS(Input!$I:$I,Input!$H:$H,'1.CC Transition risk-Banking b.'!$A54&amp;"*",Input!$E:$E,'1.CC Transition risk-Banking b.'!$I$63),0))/1000000</f>
        <v>0</v>
      </c>
      <c r="J54" s="83">
        <f>(ROUND(SUMIFS(Input!$I:$I,Input!$H:$H,'1.CC Transition risk-Banking b.'!$A54&amp;"*",Input!$E:$E,'1.CC Transition risk-Banking b.'!$J$63,Input!$C:$C,'1.CC Transition risk-Banking b.'!$J$64),0))/1000000</f>
        <v>0</v>
      </c>
      <c r="K54" s="83">
        <f>(ROUND(SUMIFS(Input!$I:$I,Input!$H:$H,'1.CC Transition risk-Banking b.'!$A54&amp;"*",Input!$E:$E,'1.CC Transition risk-Banking b.'!$K$63,Input!$C:$C,'1.CC Transition risk-Banking b.'!$K$64),0))/1000000</f>
        <v>0</v>
      </c>
      <c r="L54" s="84">
        <f>(ROUND(SUMIFS(Input!$J:$J,Input!$H:$H,'1.CC Transition risk-Banking b.'!$A54&amp;"*")
+ SUMIFS(Input!$L:$L,Input!$H:$H,'1.CC Transition risk-Banking b.'!$A54&amp;"*")
+SUMIFS(Input!$N:$N,Input!$H:$H,'1.CC Transition risk-Banking b.'!$A54&amp;"*"),0))/1000000</f>
        <v>0</v>
      </c>
      <c r="M54" s="84">
        <f>(ROUND(SUMIFS(Input!$N:$N,Input!$H:$H,'1.CC Transition risk-Banking b.'!$A54&amp;"*"),0))/1000000</f>
        <v>0</v>
      </c>
      <c r="N54" s="91">
        <f>IFERROR(AVERAGE(SUMIFS(Input!$I:$I,Input!$H:$H,'1.CC Transition risk-Banking b.'!$A54&amp;"*",Input!$R:$R,"SOUR1",Input!$E:$E,'1.CC Transition risk-Banking b.'!$O$63),
SUMIFS(Input!$I:$I,Input!$H:$H,'1.CC Transition risk-Banking b.'!$A54&amp;"*",Input!$S:$S,"SOUR1",Input!$E:$E,'1.CC Transition risk-Banking b.'!$O$63),
SUMIFS(Input!$I:$I,Input!$H:$H,'1.CC Transition risk-Banking b.'!$A54&amp;"*",Input!$T:$T,"SOUR1",Input!$E:$E,'1.CC Transition risk-Banking b.'!$O$63))/SUMIFS(Input!$I:$I,Input!$H:$H,'1.CC Transition risk-Banking b.'!$A54&amp;"*",Input!$E:$E,'1.CC Transition risk-Banking b.'!$O$63),0)</f>
        <v>0</v>
      </c>
      <c r="O54" s="85">
        <f>(ROUND(SUMIFS(Input!$I:$I,Input!$H:$H,'1.CC Transition risk-Banking b.'!$A54&amp;"*",Input!$E:$E,'1.CC Transition risk-Banking b.'!O$63,Input!$G:$G,"&gt;=0",Input!$G:$G,"&lt;=5")
+ SUMIFS(Input!$I:$I,Input!$H:$H,'1.CC Transition risk-Banking b.'!$A54&amp;"*",Input!$E:$E,'1.CC Transition risk-Banking b.'!O$63,Input!$G:$G,"-4")
+ SUMIFS(Input!$I:$I,Input!$H:$H,'1.CC Transition risk-Banking b.'!$A54&amp;"*",Input!$E:$E,'1.CC Transition risk-Banking b.'!O$63,Input!$G:$G,"-1"),0))/1000000</f>
        <v>0</v>
      </c>
      <c r="P54" s="85">
        <f>(ROUND(SUMIFS(Input!$I:$I,Input!$H:$H,'1.CC Transition risk-Banking b.'!$A54&amp;"*",Input!$E:$E,'1.CC Transition risk-Banking b.'!P$63,Input!$G:$G,"&gt;5",Input!$G:$G,"&lt;=10"),0))/1000000</f>
        <v>0</v>
      </c>
      <c r="Q54" s="85">
        <f>(ROUND(SUMIFS(Input!$I:$I,Input!$H:$H,'1.CC Transition risk-Banking b.'!$A54&amp;"*",Input!$E:$E,'1.CC Transition risk-Banking b.'!Q$63,Input!$G:$G,"&gt;10",Input!$G:$G,"&lt;=20"),0))/1000000</f>
        <v>0</v>
      </c>
      <c r="R54" s="85">
        <f>(ROUND(SUMIFS(Input!$I:$I,Input!$H:$H,'1.CC Transition risk-Banking b.'!$A54&amp;"*",Input!$E:$E,'1.CC Transition risk-Banking b.'!R$63,Input!$G:$G,"&gt;20")
+ SUMIFS(Input!$I:$I,Input!$H:$H,'1.CC Transition risk-Banking b.'!$A54&amp;"*",Input!$E:$E,'1.CC Transition risk-Banking b.'!R$63,Input!$G:$G,"-2")
+ SUMIFS(Input!$I:$I,Input!$H:$H,'1.CC Transition risk-Banking b.'!$A54&amp;"*",Input!$E:$E,'1.CC Transition risk-Banking b.'!R$63,Input!$G:$G,"-3"),0))/1000000</f>
        <v>0</v>
      </c>
      <c r="S54" s="86">
        <f>ROUND(IFERROR((SUMIFS(Input!$Q:$Q,Input!$H:$H,'1.CC Transition risk-Banking b.'!$A54&amp;"*",Input!$E:$E,'1.CC Transition risk-Banking b.'!S$63,Input!$G:$G,"&gt;0")/1000000)/'1.CC Transition risk-Banking b.'!$D54,0),0)</f>
        <v>0</v>
      </c>
    </row>
    <row r="55" spans="1:19" x14ac:dyDescent="0.3">
      <c r="A55" s="96" t="s">
        <v>177</v>
      </c>
      <c r="B55" s="66">
        <v>50</v>
      </c>
      <c r="C55" s="70" t="s">
        <v>178</v>
      </c>
      <c r="D55" s="83">
        <f>(ROUND(SUMIFS(Input!$I:$I,Input!$H:$H,'1.CC Transition risk-Banking b.'!$A55&amp;"*",Input!$E:$E,'1.CC Transition risk-Banking b.'!$D$63),0))/1000000</f>
        <v>0</v>
      </c>
      <c r="E55" s="83">
        <f>(ROUND(SUMIFS(Input!$I:$I,Input!$H:$H,'1.CC Transition risk-Banking b.'!$A55&amp;"*",Input!$E:$E,'1.CC Transition risk-Banking b.'!$E$63,Input!$F:$F,'1.CC Transition risk-Banking b.'!$E$64),0))/1000000</f>
        <v>0</v>
      </c>
      <c r="F55" s="83">
        <f>(ROUND(SUMIFS(Input!$P:$P,Input!$H:$H,'1.CC Transition risk-Banking b.'!$A55&amp;"*",Input!$E:$E,'1.CC Transition risk-Banking b.'!$E$63,Input!$O:$O,'1.CC Transition risk-Banking b.'!$F$63),0))/1000000</f>
        <v>0</v>
      </c>
      <c r="G55" s="83">
        <f>(ROUND(SUMIFS(Input!$I:$I,Input!$H:$H,'1.CC Transition risk-Banking b.'!$A55&amp;"*",Input!$E:$E,'1.CC Transition risk-Banking b.'!$G$63,Input!$C:$C,'1.CC Transition risk-Banking b.'!$G$64),0))/1000000</f>
        <v>0</v>
      </c>
      <c r="H55" s="83">
        <f>(ROUND(SUMIFS(Input!$I:$I,Input!$H:$H,'1.CC Transition risk-Banking b.'!$A55&amp;"*",Input!$E:$E,'1.CC Transition risk-Banking b.'!$H$63,Input!$C:$C,'1.CC Transition risk-Banking b.'!$H$64),0))/1000000</f>
        <v>0</v>
      </c>
      <c r="I55" s="83">
        <f>(ROUND(SUMIFS(Input!$I:$I,Input!$H:$H,'1.CC Transition risk-Banking b.'!$A55&amp;"*",Input!$E:$E,'1.CC Transition risk-Banking b.'!$I$63),0))/1000000</f>
        <v>0</v>
      </c>
      <c r="J55" s="83">
        <f>(ROUND(SUMIFS(Input!$I:$I,Input!$H:$H,'1.CC Transition risk-Banking b.'!$A55&amp;"*",Input!$E:$E,'1.CC Transition risk-Banking b.'!$J$63,Input!$C:$C,'1.CC Transition risk-Banking b.'!$J$64),0))/1000000</f>
        <v>0</v>
      </c>
      <c r="K55" s="83">
        <f>(ROUND(SUMIFS(Input!$I:$I,Input!$H:$H,'1.CC Transition risk-Banking b.'!$A55&amp;"*",Input!$E:$E,'1.CC Transition risk-Banking b.'!$K$63,Input!$C:$C,'1.CC Transition risk-Banking b.'!$K$64),0))/1000000</f>
        <v>0</v>
      </c>
      <c r="L55" s="84">
        <f>(ROUND(SUMIFS(Input!$J:$J,Input!$H:$H,'1.CC Transition risk-Banking b.'!$A55&amp;"*")
+ SUMIFS(Input!$L:$L,Input!$H:$H,'1.CC Transition risk-Banking b.'!$A55&amp;"*")
+SUMIFS(Input!$N:$N,Input!$H:$H,'1.CC Transition risk-Banking b.'!$A55&amp;"*"),0))/1000000</f>
        <v>0</v>
      </c>
      <c r="M55" s="84">
        <f>(ROUND(SUMIFS(Input!$N:$N,Input!$H:$H,'1.CC Transition risk-Banking b.'!$A55&amp;"*"),0))/1000000</f>
        <v>0</v>
      </c>
      <c r="N55" s="91">
        <f>IFERROR(AVERAGE(SUMIFS(Input!$I:$I,Input!$H:$H,'1.CC Transition risk-Banking b.'!$A55&amp;"*",Input!$R:$R,"SOUR1",Input!$E:$E,'1.CC Transition risk-Banking b.'!$O$63),
SUMIFS(Input!$I:$I,Input!$H:$H,'1.CC Transition risk-Banking b.'!$A55&amp;"*",Input!$S:$S,"SOUR1",Input!$E:$E,'1.CC Transition risk-Banking b.'!$O$63),
SUMIFS(Input!$I:$I,Input!$H:$H,'1.CC Transition risk-Banking b.'!$A55&amp;"*",Input!$T:$T,"SOUR1",Input!$E:$E,'1.CC Transition risk-Banking b.'!$O$63))/SUMIFS(Input!$I:$I,Input!$H:$H,'1.CC Transition risk-Banking b.'!$A55&amp;"*",Input!$E:$E,'1.CC Transition risk-Banking b.'!$O$63),0)</f>
        <v>0</v>
      </c>
      <c r="O55" s="85">
        <f>(ROUND(SUMIFS(Input!$I:$I,Input!$H:$H,'1.CC Transition risk-Banking b.'!$A55&amp;"*",Input!$E:$E,'1.CC Transition risk-Banking b.'!O$63,Input!$G:$G,"&gt;=0",Input!$G:$G,"&lt;=5")
+ SUMIFS(Input!$I:$I,Input!$H:$H,'1.CC Transition risk-Banking b.'!$A55&amp;"*",Input!$E:$E,'1.CC Transition risk-Banking b.'!O$63,Input!$G:$G,"-4")
+ SUMIFS(Input!$I:$I,Input!$H:$H,'1.CC Transition risk-Banking b.'!$A55&amp;"*",Input!$E:$E,'1.CC Transition risk-Banking b.'!O$63,Input!$G:$G,"-1"),0))/1000000</f>
        <v>0</v>
      </c>
      <c r="P55" s="85">
        <f>(ROUND(SUMIFS(Input!$I:$I,Input!$H:$H,'1.CC Transition risk-Banking b.'!$A55&amp;"*",Input!$E:$E,'1.CC Transition risk-Banking b.'!P$63,Input!$G:$G,"&gt;5",Input!$G:$G,"&lt;=10"),0))/1000000</f>
        <v>0</v>
      </c>
      <c r="Q55" s="85">
        <f>(ROUND(SUMIFS(Input!$I:$I,Input!$H:$H,'1.CC Transition risk-Banking b.'!$A55&amp;"*",Input!$E:$E,'1.CC Transition risk-Banking b.'!Q$63,Input!$G:$G,"&gt;10",Input!$G:$G,"&lt;=20"),0))/1000000</f>
        <v>0</v>
      </c>
      <c r="R55" s="85">
        <f>(ROUND(SUMIFS(Input!$I:$I,Input!$H:$H,'1.CC Transition risk-Banking b.'!$A55&amp;"*",Input!$E:$E,'1.CC Transition risk-Banking b.'!R$63,Input!$G:$G,"&gt;20")
+ SUMIFS(Input!$I:$I,Input!$H:$H,'1.CC Transition risk-Banking b.'!$A55&amp;"*",Input!$E:$E,'1.CC Transition risk-Banking b.'!R$63,Input!$G:$G,"-2")
+ SUMIFS(Input!$I:$I,Input!$H:$H,'1.CC Transition risk-Banking b.'!$A55&amp;"*",Input!$E:$E,'1.CC Transition risk-Banking b.'!R$63,Input!$G:$G,"-3"),0))/1000000</f>
        <v>0</v>
      </c>
      <c r="S55" s="86">
        <f>ROUND(IFERROR((SUMIFS(Input!$Q:$Q,Input!$H:$H,'1.CC Transition risk-Banking b.'!$A55&amp;"*",Input!$E:$E,'1.CC Transition risk-Banking b.'!S$63,Input!$G:$G,"&gt;0")/1000000)/'1.CC Transition risk-Banking b.'!$D55,0),0)</f>
        <v>0</v>
      </c>
    </row>
    <row r="56" spans="1:19" s="72" customFormat="1" x14ac:dyDescent="0.3">
      <c r="A56" s="96" t="s">
        <v>179</v>
      </c>
      <c r="B56" s="66">
        <v>51</v>
      </c>
      <c r="C56" s="71" t="s">
        <v>180</v>
      </c>
      <c r="D56" s="83">
        <f>(ROUND(SUMIFS(Input!$I:$I,Input!$H:$H,'1.CC Transition risk-Banking b.'!$A56&amp;"*",Input!$E:$E,'1.CC Transition risk-Banking b.'!$D$63),0))/1000000</f>
        <v>0</v>
      </c>
      <c r="E56" s="83">
        <f>(ROUND(SUMIFS(Input!$I:$I,Input!$H:$H,'1.CC Transition risk-Banking b.'!$A56&amp;"*",Input!$E:$E,'1.CC Transition risk-Banking b.'!$E$63,Input!$F:$F,'1.CC Transition risk-Banking b.'!$E$64),0))/1000000</f>
        <v>0</v>
      </c>
      <c r="F56" s="83">
        <f>(ROUND(SUMIFS(Input!$P:$P,Input!$H:$H,'1.CC Transition risk-Banking b.'!$A56&amp;"*",Input!$E:$E,'1.CC Transition risk-Banking b.'!$E$63,Input!$O:$O,'1.CC Transition risk-Banking b.'!$F$63),0))/1000000</f>
        <v>0</v>
      </c>
      <c r="G56" s="83">
        <f>(ROUND(SUMIFS(Input!$I:$I,Input!$H:$H,'1.CC Transition risk-Banking b.'!$A56&amp;"*",Input!$E:$E,'1.CC Transition risk-Banking b.'!$G$63,Input!$C:$C,'1.CC Transition risk-Banking b.'!$G$64),0))/1000000</f>
        <v>0</v>
      </c>
      <c r="H56" s="83">
        <f>(ROUND(SUMIFS(Input!$I:$I,Input!$H:$H,'1.CC Transition risk-Banking b.'!$A56&amp;"*",Input!$E:$E,'1.CC Transition risk-Banking b.'!$H$63,Input!$C:$C,'1.CC Transition risk-Banking b.'!$H$64),0))/1000000</f>
        <v>0</v>
      </c>
      <c r="I56" s="83">
        <f>(ROUND(SUMIFS(Input!$I:$I,Input!$H:$H,'1.CC Transition risk-Banking b.'!$A56&amp;"*",Input!$E:$E,'1.CC Transition risk-Banking b.'!$I$63),0))/1000000</f>
        <v>0</v>
      </c>
      <c r="J56" s="83">
        <f>(ROUND(SUMIFS(Input!$I:$I,Input!$H:$H,'1.CC Transition risk-Banking b.'!$A56&amp;"*",Input!$E:$E,'1.CC Transition risk-Banking b.'!$J$63,Input!$C:$C,'1.CC Transition risk-Banking b.'!$J$64),0))/1000000</f>
        <v>0</v>
      </c>
      <c r="K56" s="83">
        <f>(ROUND(SUMIFS(Input!$I:$I,Input!$H:$H,'1.CC Transition risk-Banking b.'!$A56&amp;"*",Input!$E:$E,'1.CC Transition risk-Banking b.'!$K$63,Input!$C:$C,'1.CC Transition risk-Banking b.'!$K$64),0))/1000000</f>
        <v>0</v>
      </c>
      <c r="L56" s="84">
        <f>(ROUND(SUMIFS(Input!$J:$J,Input!$H:$H,'1.CC Transition risk-Banking b.'!$A56&amp;"*")
+ SUMIFS(Input!$L:$L,Input!$H:$H,'1.CC Transition risk-Banking b.'!$A56&amp;"*")
+SUMIFS(Input!$N:$N,Input!$H:$H,'1.CC Transition risk-Banking b.'!$A56&amp;"*"),0))/1000000</f>
        <v>0</v>
      </c>
      <c r="M56" s="84">
        <f>(ROUND(SUMIFS(Input!$N:$N,Input!$H:$H,'1.CC Transition risk-Banking b.'!$A56&amp;"*"),0))/1000000</f>
        <v>0</v>
      </c>
      <c r="N56" s="91">
        <f>IFERROR(AVERAGE(SUMIFS(Input!$I:$I,Input!$H:$H,'1.CC Transition risk-Banking b.'!$A56&amp;"*",Input!$R:$R,"SOUR1",Input!$E:$E,'1.CC Transition risk-Banking b.'!$O$63),
SUMIFS(Input!$I:$I,Input!$H:$H,'1.CC Transition risk-Banking b.'!$A56&amp;"*",Input!$S:$S,"SOUR1",Input!$E:$E,'1.CC Transition risk-Banking b.'!$O$63),
SUMIFS(Input!$I:$I,Input!$H:$H,'1.CC Transition risk-Banking b.'!$A56&amp;"*",Input!$T:$T,"SOUR1",Input!$E:$E,'1.CC Transition risk-Banking b.'!$O$63))/SUMIFS(Input!$I:$I,Input!$H:$H,'1.CC Transition risk-Banking b.'!$A56&amp;"*",Input!$E:$E,'1.CC Transition risk-Banking b.'!$O$63),0)</f>
        <v>0</v>
      </c>
      <c r="O56" s="85">
        <f>(ROUND(SUMIFS(Input!$I:$I,Input!$H:$H,'1.CC Transition risk-Banking b.'!$A56&amp;"*",Input!$E:$E,'1.CC Transition risk-Banking b.'!O$63,Input!$G:$G,"&gt;=0",Input!$G:$G,"&lt;=5")
+ SUMIFS(Input!$I:$I,Input!$H:$H,'1.CC Transition risk-Banking b.'!$A56&amp;"*",Input!$E:$E,'1.CC Transition risk-Banking b.'!O$63,Input!$G:$G,"-4")
+ SUMIFS(Input!$I:$I,Input!$H:$H,'1.CC Transition risk-Banking b.'!$A56&amp;"*",Input!$E:$E,'1.CC Transition risk-Banking b.'!O$63,Input!$G:$G,"-1"),0))/1000000</f>
        <v>0</v>
      </c>
      <c r="P56" s="85">
        <f>(ROUND(SUMIFS(Input!$I:$I,Input!$H:$H,'1.CC Transition risk-Banking b.'!$A56&amp;"*",Input!$E:$E,'1.CC Transition risk-Banking b.'!P$63,Input!$G:$G,"&gt;5",Input!$G:$G,"&lt;=10"),0))/1000000</f>
        <v>0</v>
      </c>
      <c r="Q56" s="85">
        <f>(ROUND(SUMIFS(Input!$I:$I,Input!$H:$H,'1.CC Transition risk-Banking b.'!$A56&amp;"*",Input!$E:$E,'1.CC Transition risk-Banking b.'!Q$63,Input!$G:$G,"&gt;10",Input!$G:$G,"&lt;=20"),0))/1000000</f>
        <v>0</v>
      </c>
      <c r="R56" s="85">
        <f>(ROUND(SUMIFS(Input!$I:$I,Input!$H:$H,'1.CC Transition risk-Banking b.'!$A56&amp;"*",Input!$E:$E,'1.CC Transition risk-Banking b.'!R$63,Input!$G:$G,"&gt;20")
+ SUMIFS(Input!$I:$I,Input!$H:$H,'1.CC Transition risk-Banking b.'!$A56&amp;"*",Input!$E:$E,'1.CC Transition risk-Banking b.'!R$63,Input!$G:$G,"-2")
+ SUMIFS(Input!$I:$I,Input!$H:$H,'1.CC Transition risk-Banking b.'!$A56&amp;"*",Input!$E:$E,'1.CC Transition risk-Banking b.'!R$63,Input!$G:$G,"-3"),0))/1000000</f>
        <v>0</v>
      </c>
      <c r="S56" s="86">
        <f>ROUND(IFERROR((SUMIFS(Input!$Q:$Q,Input!$H:$H,'1.CC Transition risk-Banking b.'!$A56&amp;"*",Input!$E:$E,'1.CC Transition risk-Banking b.'!S$63,Input!$G:$G,"&gt;0")/1000000)/'1.CC Transition risk-Banking b.'!$D56,0),0)</f>
        <v>0</v>
      </c>
    </row>
    <row r="57" spans="1:19" x14ac:dyDescent="0.3">
      <c r="A57" s="96" t="s">
        <v>181</v>
      </c>
      <c r="B57" s="66">
        <v>52</v>
      </c>
      <c r="C57" s="68" t="s">
        <v>182</v>
      </c>
      <c r="D57" s="83">
        <f>(ROUND(SUMIFS(Input!$I:$I,Input!$H:$H,'1.CC Transition risk-Banking b.'!$A57&amp;"*",Input!$E:$E,'1.CC Transition risk-Banking b.'!$D$63),0))/1000000</f>
        <v>0</v>
      </c>
      <c r="E57" s="83">
        <f>(ROUND(SUMIFS(Input!$I:$I,Input!$H:$H,'1.CC Transition risk-Banking b.'!$A57&amp;"*",Input!$E:$E,'1.CC Transition risk-Banking b.'!$E$63,Input!$F:$F,'1.CC Transition risk-Banking b.'!$E$64),0))/1000000</f>
        <v>0</v>
      </c>
      <c r="F57" s="83">
        <f>(ROUND(SUMIFS(Input!$P:$P,Input!$H:$H,'1.CC Transition risk-Banking b.'!$A57&amp;"*",Input!$E:$E,'1.CC Transition risk-Banking b.'!$E$63,Input!$O:$O,'1.CC Transition risk-Banking b.'!$F$63),0))/1000000</f>
        <v>0</v>
      </c>
      <c r="G57" s="83">
        <f>(ROUND(SUMIFS(Input!$I:$I,Input!$H:$H,'1.CC Transition risk-Banking b.'!$A57&amp;"*",Input!$E:$E,'1.CC Transition risk-Banking b.'!$G$63,Input!$C:$C,'1.CC Transition risk-Banking b.'!$G$64),0))/1000000</f>
        <v>0</v>
      </c>
      <c r="H57" s="83">
        <f>(ROUND(SUMIFS(Input!$I:$I,Input!$H:$H,'1.CC Transition risk-Banking b.'!$A57&amp;"*",Input!$E:$E,'1.CC Transition risk-Banking b.'!$H$63,Input!$C:$C,'1.CC Transition risk-Banking b.'!$H$64),0))/1000000</f>
        <v>0</v>
      </c>
      <c r="I57" s="83">
        <f>(ROUND(SUMIFS(Input!$I:$I,Input!$H:$H,'1.CC Transition risk-Banking b.'!$A57&amp;"*",Input!$E:$E,'1.CC Transition risk-Banking b.'!$I$63),0))/1000000</f>
        <v>0</v>
      </c>
      <c r="J57" s="83">
        <f>(ROUND(SUMIFS(Input!$I:$I,Input!$H:$H,'1.CC Transition risk-Banking b.'!$A57&amp;"*",Input!$E:$E,'1.CC Transition risk-Banking b.'!$J$63,Input!$C:$C,'1.CC Transition risk-Banking b.'!$J$64),0))/1000000</f>
        <v>0</v>
      </c>
      <c r="K57" s="83">
        <f>(ROUND(SUMIFS(Input!$I:$I,Input!$H:$H,'1.CC Transition risk-Banking b.'!$A57&amp;"*",Input!$E:$E,'1.CC Transition risk-Banking b.'!$K$63,Input!$C:$C,'1.CC Transition risk-Banking b.'!$K$64),0))/1000000</f>
        <v>0</v>
      </c>
      <c r="L57" s="84">
        <f>(ROUND(SUMIFS(Input!$J:$J,Input!$H:$H,'1.CC Transition risk-Banking b.'!$A57&amp;"*")
+ SUMIFS(Input!$L:$L,Input!$H:$H,'1.CC Transition risk-Banking b.'!$A57&amp;"*")
+SUMIFS(Input!$N:$N,Input!$H:$H,'1.CC Transition risk-Banking b.'!$A57&amp;"*"),0))/1000000</f>
        <v>0</v>
      </c>
      <c r="M57" s="84">
        <f>(ROUND(SUMIFS(Input!$N:$N,Input!$H:$H,'1.CC Transition risk-Banking b.'!$A57&amp;"*"),0))/1000000</f>
        <v>0</v>
      </c>
      <c r="N57" s="91">
        <f>IFERROR(AVERAGE(SUMIFS(Input!$I:$I,Input!$H:$H,'1.CC Transition risk-Banking b.'!$A57&amp;"*",Input!$R:$R,"SOUR1",Input!$E:$E,'1.CC Transition risk-Banking b.'!$O$63),
SUMIFS(Input!$I:$I,Input!$H:$H,'1.CC Transition risk-Banking b.'!$A57&amp;"*",Input!$S:$S,"SOUR1",Input!$E:$E,'1.CC Transition risk-Banking b.'!$O$63),
SUMIFS(Input!$I:$I,Input!$H:$H,'1.CC Transition risk-Banking b.'!$A57&amp;"*",Input!$T:$T,"SOUR1",Input!$E:$E,'1.CC Transition risk-Banking b.'!$O$63))/SUMIFS(Input!$I:$I,Input!$H:$H,'1.CC Transition risk-Banking b.'!$A57&amp;"*",Input!$E:$E,'1.CC Transition risk-Banking b.'!$O$63),0)</f>
        <v>0</v>
      </c>
      <c r="O57" s="85">
        <f>(ROUND(SUMIFS(Input!$I:$I,Input!$H:$H,'1.CC Transition risk-Banking b.'!$A57&amp;"*",Input!$E:$E,'1.CC Transition risk-Banking b.'!O$63,Input!$G:$G,"&gt;=0",Input!$G:$G,"&lt;=5")
+ SUMIFS(Input!$I:$I,Input!$H:$H,'1.CC Transition risk-Banking b.'!$A57&amp;"*",Input!$E:$E,'1.CC Transition risk-Banking b.'!O$63,Input!$G:$G,"-4")
+ SUMIFS(Input!$I:$I,Input!$H:$H,'1.CC Transition risk-Banking b.'!$A57&amp;"*",Input!$E:$E,'1.CC Transition risk-Banking b.'!O$63,Input!$G:$G,"-1"),0))/1000000</f>
        <v>0</v>
      </c>
      <c r="P57" s="85">
        <f>(ROUND(SUMIFS(Input!$I:$I,Input!$H:$H,'1.CC Transition risk-Banking b.'!$A57&amp;"*",Input!$E:$E,'1.CC Transition risk-Banking b.'!P$63,Input!$G:$G,"&gt;5",Input!$G:$G,"&lt;=10"),0))/1000000</f>
        <v>0</v>
      </c>
      <c r="Q57" s="85">
        <f>(ROUND(SUMIFS(Input!$I:$I,Input!$H:$H,'1.CC Transition risk-Banking b.'!$A57&amp;"*",Input!$E:$E,'1.CC Transition risk-Banking b.'!Q$63,Input!$G:$G,"&gt;10",Input!$G:$G,"&lt;=20"),0))/1000000</f>
        <v>0</v>
      </c>
      <c r="R57" s="85">
        <f>(ROUND(SUMIFS(Input!$I:$I,Input!$H:$H,'1.CC Transition risk-Banking b.'!$A57&amp;"*",Input!$E:$E,'1.CC Transition risk-Banking b.'!R$63,Input!$G:$G,"&gt;20")
+ SUMIFS(Input!$I:$I,Input!$H:$H,'1.CC Transition risk-Banking b.'!$A57&amp;"*",Input!$E:$E,'1.CC Transition risk-Banking b.'!R$63,Input!$G:$G,"-2")
+ SUMIFS(Input!$I:$I,Input!$H:$H,'1.CC Transition risk-Banking b.'!$A57&amp;"*",Input!$E:$E,'1.CC Transition risk-Banking b.'!R$63,Input!$G:$G,"-3"),0))/1000000</f>
        <v>0</v>
      </c>
      <c r="S57" s="86">
        <f>ROUND(IFERROR((SUMIFS(Input!$Q:$Q,Input!$H:$H,'1.CC Transition risk-Banking b.'!$A57&amp;"*",Input!$E:$E,'1.CC Transition risk-Banking b.'!S$63,Input!$G:$G,"&gt;0")/1000000)/'1.CC Transition risk-Banking b.'!$D57,0),0)</f>
        <v>0</v>
      </c>
    </row>
    <row r="58" spans="1:19" s="72" customFormat="1" x14ac:dyDescent="0.3">
      <c r="A58" s="96"/>
      <c r="B58" s="66">
        <v>53</v>
      </c>
      <c r="C58" s="73" t="s">
        <v>183</v>
      </c>
      <c r="D58" s="88">
        <f>D59+D60</f>
        <v>0</v>
      </c>
      <c r="E58" s="88">
        <f>E59+E60</f>
        <v>0</v>
      </c>
      <c r="F58" s="88">
        <f>F59+F60</f>
        <v>0</v>
      </c>
      <c r="G58" s="88">
        <f t="shared" ref="G58:R58" si="1">G59+G60</f>
        <v>0</v>
      </c>
      <c r="H58" s="88">
        <f t="shared" si="1"/>
        <v>0</v>
      </c>
      <c r="I58" s="88">
        <f t="shared" si="1"/>
        <v>0</v>
      </c>
      <c r="J58" s="88">
        <f t="shared" si="1"/>
        <v>0</v>
      </c>
      <c r="K58" s="88">
        <f t="shared" si="1"/>
        <v>0</v>
      </c>
      <c r="L58" s="88">
        <f t="shared" si="1"/>
        <v>0</v>
      </c>
      <c r="M58" s="88">
        <f t="shared" si="1"/>
        <v>0</v>
      </c>
      <c r="N58" s="92" t="e">
        <f>(AVERAGE(SUM(SUMIFS(Input!$I:$I,Input!$H:$H,"J*",Input!$R:$R,"SOUR1",Input!$E:$E,'1.CC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b.'!$O$63)))/1000000)/$D$58</f>
        <v>#DIV/0!</v>
      </c>
      <c r="O58" s="88">
        <f t="shared" si="1"/>
        <v>0</v>
      </c>
      <c r="P58" s="88">
        <f t="shared" si="1"/>
        <v>0</v>
      </c>
      <c r="Q58" s="88">
        <f t="shared" si="1"/>
        <v>0</v>
      </c>
      <c r="R58" s="88">
        <f t="shared" si="1"/>
        <v>0</v>
      </c>
      <c r="S58" s="99" t="e">
        <f>ROUND(((SUMIFS(Input!$Q:$Q,Input!$H:$H,"K*",Input!$E:$E,'1.CC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b.'!D58,0)</f>
        <v>#DIV/0!</v>
      </c>
    </row>
    <row r="59" spans="1:19" s="72" customFormat="1" x14ac:dyDescent="0.3">
      <c r="A59" s="96" t="s">
        <v>184</v>
      </c>
      <c r="B59" s="66">
        <v>54</v>
      </c>
      <c r="C59" s="71" t="s">
        <v>185</v>
      </c>
      <c r="D59" s="83">
        <f>(ROUND(SUMIFS(Input!$I:$I,Input!$H:$H,'1.CC Transition risk-Banking b.'!$A59&amp;"*",Input!$E:$E,'1.CC Transition risk-Banking b.'!$D$63),0))/1000000</f>
        <v>0</v>
      </c>
      <c r="E59" s="83">
        <f>(ROUND(SUMIFS(Input!$I:$I,Input!$H:$H,'1.CC Transition risk-Banking b.'!$A59&amp;"*",Input!$E:$E,'1.CC Transition risk-Banking b.'!$E$63,Input!$F:$F,'1.CC Transition risk-Banking b.'!$E$64),0))/1000000</f>
        <v>0</v>
      </c>
      <c r="F59" s="83">
        <f>(ROUND(SUMIFS(Input!$P:$P,Input!$H:$H,'1.CC Transition risk-Banking b.'!$A59&amp;"*",Input!$E:$E,'1.CC Transition risk-Banking b.'!$E$63,Input!$O:$O,'1.CC Transition risk-Banking b.'!$F$63),0))/1000000</f>
        <v>0</v>
      </c>
      <c r="G59" s="83">
        <f>(ROUND(SUMIFS(Input!$I:$I,Input!$H:$H,'1.CC Transition risk-Banking b.'!$A59&amp;"*",Input!$E:$E,'1.CC Transition risk-Banking b.'!$G$63,Input!$C:$C,'1.CC Transition risk-Banking b.'!$G$64),0))/1000000</f>
        <v>0</v>
      </c>
      <c r="H59" s="83">
        <f>(ROUND(SUMIFS(Input!$I:$I,Input!$H:$H,'1.CC Transition risk-Banking b.'!$A59&amp;"*",Input!$E:$E,'1.CC Transition risk-Banking b.'!$H$63,Input!$C:$C,'1.CC Transition risk-Banking b.'!$H$64),0))/1000000</f>
        <v>0</v>
      </c>
      <c r="I59" s="83">
        <f>(ROUND(SUMIFS(Input!$I:$I,Input!$H:$H,'1.CC Transition risk-Banking b.'!$A59&amp;"*",Input!$E:$E,'1.CC Transition risk-Banking b.'!$I$63),0))/1000000</f>
        <v>0</v>
      </c>
      <c r="J59" s="83">
        <f>(ROUND(SUMIFS(Input!$I:$I,Input!$H:$H,'1.CC Transition risk-Banking b.'!$A59&amp;"*",Input!$E:$E,'1.CC Transition risk-Banking b.'!$J$63,Input!$C:$C,'1.CC Transition risk-Banking b.'!$J$64),0))/1000000</f>
        <v>0</v>
      </c>
      <c r="K59" s="83">
        <f>(ROUND(SUMIFS(Input!$I:$I,Input!$H:$H,'1.CC Transition risk-Banking b.'!$A59&amp;"*",Input!$E:$E,'1.CC Transition risk-Banking b.'!$K$63,Input!$C:$C,'1.CC Transition risk-Banking b.'!$K$64),0))/1000000</f>
        <v>0</v>
      </c>
      <c r="L59" s="84">
        <f>(ROUND(SUMIFS(Input!$J:$J,Input!$H:$H,'1.CC Transition risk-Banking b.'!$A59&amp;"*")
+ SUMIFS(Input!$L:$L,Input!$H:$H,'1.CC Transition risk-Banking b.'!$A59&amp;"*")
+SUMIFS(Input!$N:$N,Input!$H:$H,'1.CC Transition risk-Banking b.'!$A59&amp;"*"),0))/1000000</f>
        <v>0</v>
      </c>
      <c r="M59" s="84">
        <f>(ROUND(SUMIFS(Input!$N:$N,Input!$H:$H,'1.CC Transition risk-Banking b.'!$A59&amp;"*"),0))/1000000</f>
        <v>0</v>
      </c>
      <c r="N59" s="91">
        <f>IFERROR(AVERAGE(SUMIFS(Input!$I:$I,Input!$H:$H,'1.CC Transition risk-Banking b.'!$A59&amp;"*",Input!$R:$R,"SOUR1",Input!$E:$E,'1.CC Transition risk-Banking b.'!$O$63),
SUMIFS(Input!$I:$I,Input!$H:$H,'1.CC Transition risk-Banking b.'!$A59&amp;"*",Input!$S:$S,"SOUR1",Input!$E:$E,'1.CC Transition risk-Banking b.'!$O$63),
SUMIFS(Input!$I:$I,Input!$H:$H,'1.CC Transition risk-Banking b.'!$A59&amp;"*",Input!$T:$T,"SOUR1",Input!$E:$E,'1.CC Transition risk-Banking b.'!$O$63))/SUMIFS(Input!$I:$I,Input!$H:$H,'1.CC Transition risk-Banking b.'!$A59&amp;"*",Input!$E:$E,'1.CC Transition risk-Banking b.'!$O$63),0)</f>
        <v>0</v>
      </c>
      <c r="O59" s="85">
        <f>(ROUND(SUMIFS(Input!$I:$I,Input!$H:$H,'1.CC Transition risk-Banking b.'!$A59&amp;"*",Input!$E:$E,'1.CC Transition risk-Banking b.'!O$63,Input!$G:$G,"&gt;=0",Input!$G:$G,"&lt;=5")
+ SUMIFS(Input!$I:$I,Input!$H:$H,'1.CC Transition risk-Banking b.'!$A59&amp;"*",Input!$E:$E,'1.CC Transition risk-Banking b.'!O$63,Input!$G:$G,"-4")
+ SUMIFS(Input!$I:$I,Input!$H:$H,'1.CC Transition risk-Banking b.'!$A59&amp;"*",Input!$E:$E,'1.CC Transition risk-Banking b.'!O$63,Input!$G:$G,"-1"),0))/1000000</f>
        <v>0</v>
      </c>
      <c r="P59" s="85">
        <f>(ROUND(SUMIFS(Input!$I:$I,Input!$H:$H,'1.CC Transition risk-Banking b.'!$A59&amp;"*",Input!$E:$E,'1.CC Transition risk-Banking b.'!P$63,Input!$G:$G,"&gt;5",Input!$G:$G,"&lt;=10"),0))/1000000</f>
        <v>0</v>
      </c>
      <c r="Q59" s="85">
        <f>(ROUND(SUMIFS(Input!$I:$I,Input!$H:$H,'1.CC Transition risk-Banking b.'!$A59&amp;"*",Input!$E:$E,'1.CC Transition risk-Banking b.'!Q$63,Input!$G:$G,"&gt;10",Input!$G:$G,"&lt;=20"),0))/1000000</f>
        <v>0</v>
      </c>
      <c r="R59" s="85">
        <f>(ROUND(SUMIFS(Input!$I:$I,Input!$H:$H,'1.CC Transition risk-Banking b.'!$A59&amp;"*",Input!$E:$E,'1.CC Transition risk-Banking b.'!R$63,Input!$G:$G,"&gt;20")
+ SUMIFS(Input!$I:$I,Input!$H:$H,'1.CC Transition risk-Banking b.'!$A59&amp;"*",Input!$E:$E,'1.CC Transition risk-Banking b.'!R$63,Input!$G:$G,"-2")
+ SUMIFS(Input!$I:$I,Input!$H:$H,'1.CC Transition risk-Banking b.'!$A59&amp;"*",Input!$E:$E,'1.CC Transition risk-Banking b.'!R$63,Input!$G:$G,"-3"),0))/1000000</f>
        <v>0</v>
      </c>
      <c r="S59" s="86">
        <f>ROUND(IFERROR((SUMIFS(Input!$Q:$Q,Input!$H:$H,'1.CC Transition risk-Banking b.'!$A59&amp;"*",Input!$E:$E,'1.CC Transition risk-Banking b.'!S$63,Input!$G:$G,"&gt;0")/1000000)/'1.CC Transition risk-Banking b.'!$D59,0),0)</f>
        <v>0</v>
      </c>
    </row>
    <row r="60" spans="1:19" s="72" customFormat="1" ht="14.4" x14ac:dyDescent="0.3">
      <c r="A60" s="96" t="s">
        <v>186</v>
      </c>
      <c r="B60" s="66">
        <v>55</v>
      </c>
      <c r="C60" s="74" t="s">
        <v>187</v>
      </c>
      <c r="D60" s="83">
        <f>(ROUND(SUMIFS(Input!$I:$I,Input!$H:$H,"J*",Input!$E:$E,'1.CC Transition risk-Banking b.'!$D$63)
+ SUMIFS(Input!$I:$I,Input!$H:$H,"M*",Input!$E:$E,'1.CC Transition risk-Banking b.'!$D$63)
+ SUMIFS(Input!$I:$I,Input!$H:$H,"N*",Input!$E:$E,'1.CC Transition risk-Banking b.'!$D$63)
+ SUMIFS(Input!$I:$I,Input!$H:$H,"O*",Input!$E:$E,'1.CC Transition risk-Banking b.'!$D$63)
+ SUMIFS(Input!$I:$I,Input!$H:$H,"P*",Input!$E:$E,'1.CC Transition risk-Banking b.'!$D$63)
+ SUMIFS(Input!$I:$I,Input!$H:$H,"Q*",Input!$E:$E,'1.CC Transition risk-Banking b.'!$D$63)
+ SUMIFS(Input!$I:$I,Input!$H:$H,"R*",Input!$E:$E,'1.CC Transition risk-Banking b.'!$D$63)
+ SUMIFS(Input!$I:$I,Input!$H:$H,"S*",Input!$E:$E,'1.CC Transition risk-Banking b.'!$D$63)
+ SUMIFS(Input!$I:$I,Input!$H:$H,"T*",Input!$E:$E,'1.CC Transition risk-Banking b.'!$D$63)
+ SUMIFS(Input!$I:$I,Input!$H:$H,"U*",Input!$E:$E,'1.CC Transition risk-Banking b.'!$D$63),0))/1000000</f>
        <v>0</v>
      </c>
      <c r="E60" s="83">
        <f>(ROUND(SUMIFS(Input!$I:$I,Input!$H:$H,"J*",Input!$E:$E,'1.CC Transition risk-Banking b.'!$D$63,Input!$F:$F,'1.CC Transition risk-Banking b.'!$E$64)
+ SUMIFS(Input!$I:$I,Input!$H:$H,"M*",Input!$E:$E,'1.CC Transition risk-Banking b.'!$D$63,Input!$F:$F,'1.CC Transition risk-Banking b.'!$E$64)
+ SUMIFS(Input!$I:$I,Input!$H:$H,"N*",Input!$E:$E,'1.CC Transition risk-Banking b.'!$D$63,Input!$F:$F,'1.CC Transition risk-Banking b.'!$E$64)
+ SUMIFS(Input!$I:$I,Input!$H:$H,"O*",Input!$E:$E,'1.CC Transition risk-Banking b.'!$D$63,Input!$F:$F,'1.CC Transition risk-Banking b.'!$E$64)
+ SUMIFS(Input!$I:$I,Input!$H:$H,"P*",Input!$E:$E,'1.CC Transition risk-Banking b.'!$D$63,Input!$F:$F,'1.CC Transition risk-Banking b.'!$E$64)
+ SUMIFS(Input!$I:$I,Input!$H:$H,"Q*",Input!$E:$E,'1.CC Transition risk-Banking b.'!$D$63,Input!$F:$F,'1.CC Transition risk-Banking b.'!$E$64)
+ SUMIFS(Input!$I:$I,Input!$H:$H,"R*",Input!$E:$E,'1.CC Transition risk-Banking b.'!$D$63,Input!$F:$F,'1.CC Transition risk-Banking b.'!$E$64)
+ SUMIFS(Input!$I:$I,Input!$H:$H,"S*",Input!$E:$E,'1.CC Transition risk-Banking b.'!$D$63,Input!$F:$F,'1.CC Transition risk-Banking b.'!$E$64)
+ SUMIFS(Input!$I:$I,Input!$H:$H,"T*",Input!$E:$E,'1.CC Transition risk-Banking b.'!$D$63,Input!$F:$F,'1.CC Transition risk-Banking b.'!$E$64)
+ SUMIFS(Input!$I:$I,Input!$H:$H,"U*",Input!$E:$E,'1.CC Transition risk-Banking b.'!$D$63,Input!$F:$F,'1.CC Transition risk-Banking b.'!$E$64),0))/1000000</f>
        <v>0</v>
      </c>
      <c r="F60" s="83">
        <f>(ROUND(SUMIFS(Input!$P:$P,Input!$H:$H,"J*",Input!$E:$E,'1.CC Transition risk-Banking b.'!$D$63,Input!$O:$O,'1.CC Transition risk-Banking b.'!$F$63)
+ SUMIFS(Input!$P:$P,Input!$H:$H,"M*",Input!$E:$E,'1.CC Transition risk-Banking b.'!$D$63,Input!$O:$O,'1.CC Transition risk-Banking b.'!$F$63)
+ SUMIFS(Input!$P:$P,Input!$H:$H,"N*",Input!$E:$E,'1.CC Transition risk-Banking b.'!$D$63,Input!$O:$O,'1.CC Transition risk-Banking b.'!$F$63)
+ SUMIFS(Input!$P:$P,Input!$H:$H,"O*",Input!$E:$E,'1.CC Transition risk-Banking b.'!$D$63,Input!$O:$O,'1.CC Transition risk-Banking b.'!$F$63)
+ SUMIFS(Input!$P:$P,Input!$H:$H,"P*",Input!$E:$E,'1.CC Transition risk-Banking b.'!$D$63,Input!$O:$O,'1.CC Transition risk-Banking b.'!$F$63)
+ SUMIFS(Input!$P:$P,Input!$H:$H,"Q*",Input!$E:$E,'1.CC Transition risk-Banking b.'!$D$63,Input!$O:$O,'1.CC Transition risk-Banking b.'!$F$63)
+ SUMIFS(Input!$P:$P,Input!$H:$H,"R*",Input!$E:$E,'1.CC Transition risk-Banking b.'!$D$63,Input!$O:$O,'1.CC Transition risk-Banking b.'!$F$63)
+ SUMIFS(Input!$P:$P,Input!$H:$H,"S*",Input!$E:$E,'1.CC Transition risk-Banking b.'!$D$63,Input!$O:$O,'1.CC Transition risk-Banking b.'!$F$63)
+ SUMIFS(Input!$P:$P,Input!$H:$H,"T*",Input!$E:$E,'1.CC Transition risk-Banking b.'!$D$63,Input!$O:$O,'1.CC Transition risk-Banking b.'!$F$63)
+ SUMIFS(Input!$P:$P,Input!$H:$H,"U*",Input!$E:$E,'1.CC Transition risk-Banking b.'!$D$63,Input!$O:$O,'1.CC Transition risk-Banking b.'!$F$63),0))/1000000</f>
        <v>0</v>
      </c>
      <c r="G60" s="83">
        <f>(ROUND(SUMIFS(Input!$I:$I,Input!$H:$H,"J*",Input!$E:$E,'1.CC Transition risk-Banking b.'!$D$63,Input!$C:$C,'1.CC Transition risk-Banking b.'!$G$64)
+ SUMIFS(Input!$I:$I,Input!$H:$H,"M*",Input!$E:$E,'1.CC Transition risk-Banking b.'!$D$63,Input!$C:$C,'1.CC Transition risk-Banking b.'!$G$64)
+ SUMIFS(Input!$I:$I,Input!$H:$H,"N*",Input!$E:$E,'1.CC Transition risk-Banking b.'!$D$63,Input!$C:$C,'1.CC Transition risk-Banking b.'!$G$64)
+ SUMIFS(Input!$I:$I,Input!$H:$H,"O*",Input!$E:$E,'1.CC Transition risk-Banking b.'!$D$63,Input!$C:$C,'1.CC Transition risk-Banking b.'!$G$64)
+ SUMIFS(Input!$I:$I,Input!$H:$H,"P*",Input!$E:$E,'1.CC Transition risk-Banking b.'!$D$63,Input!$C:$C,'1.CC Transition risk-Banking b.'!$G$64)
+ SUMIFS(Input!$I:$I,Input!$H:$H,"Q*",Input!$E:$E,'1.CC Transition risk-Banking b.'!$D$63,Input!$C:$C,'1.CC Transition risk-Banking b.'!$G$64)
+ SUMIFS(Input!$I:$I,Input!$H:$H,"R*",Input!$E:$E,'1.CC Transition risk-Banking b.'!$D$63,Input!$C:$C,'1.CC Transition risk-Banking b.'!$G$64)
+ SUMIFS(Input!$I:$I,Input!$H:$H,"S*",Input!$E:$E,'1.CC Transition risk-Banking b.'!$D$63,Input!$C:$C,'1.CC Transition risk-Banking b.'!$G$64)
+ SUMIFS(Input!$I:$I,Input!$H:$H,"T*",Input!$E:$E,'1.CC Transition risk-Banking b.'!$D$63,Input!$C:$C,'1.CC Transition risk-Banking b.'!$G$64)
+ SUMIFS(Input!$I:$I,Input!$H:$H,"U*",Input!$E:$E,'1.CC Transition risk-Banking b.'!$D$63,Input!$C:$C,'1.CC Transition risk-Banking b.'!$G$64),0))/1000000</f>
        <v>0</v>
      </c>
      <c r="H60" s="83">
        <f>(ROUND(SUMIFS(Input!$I:$I,Input!$H:$H,"J*",Input!$E:$E,'1.CC Transition risk-Banking b.'!$D$63,Input!$C:$C,'1.CC Transition risk-Banking b.'!$H$64)
+ SUMIFS(Input!$I:$I,Input!$H:$H,"M*",Input!$E:$E,'1.CC Transition risk-Banking b.'!$D$63,Input!$C:$C,'1.CC Transition risk-Banking b.'!$H$64)
+ SUMIFS(Input!$I:$I,Input!$H:$H,"N*",Input!$E:$E,'1.CC Transition risk-Banking b.'!$D$63,Input!$C:$C,'1.CC Transition risk-Banking b.'!$H$64)
+ SUMIFS(Input!$I:$I,Input!$H:$H,"O*",Input!$E:$E,'1.CC Transition risk-Banking b.'!$D$63,Input!$C:$C,'1.CC Transition risk-Banking b.'!$H$64)
+ SUMIFS(Input!$I:$I,Input!$H:$H,"P*",Input!$E:$E,'1.CC Transition risk-Banking b.'!$D$63,Input!$C:$C,'1.CC Transition risk-Banking b.'!$H$64)
+ SUMIFS(Input!$I:$I,Input!$H:$H,"Q*",Input!$E:$E,'1.CC Transition risk-Banking b.'!$D$63,Input!$C:$C,'1.CC Transition risk-Banking b.'!$H$64)
+ SUMIFS(Input!$I:$I,Input!$H:$H,"R*",Input!$E:$E,'1.CC Transition risk-Banking b.'!$D$63,Input!$C:$C,'1.CC Transition risk-Banking b.'!$H$64)
+ SUMIFS(Input!$I:$I,Input!$H:$H,"S*",Input!$E:$E,'1.CC Transition risk-Banking b.'!$D$63,Input!$C:$C,'1.CC Transition risk-Banking b.'!$H$64)
+ SUMIFS(Input!$I:$I,Input!$H:$H,"T*",Input!$E:$E,'1.CC Transition risk-Banking b.'!$D$63,Input!$C:$C,'1.CC Transition risk-Banking b.'!$H$64)
+ SUMIFS(Input!$I:$I,Input!$H:$H,"U*",Input!$E:$E,'1.CC Transition risk-Banking b.'!$D$63,Input!$C:$C,'1.CC Transition risk-Banking b.'!$H$64),0))/1000000</f>
        <v>0</v>
      </c>
      <c r="I60" s="83">
        <f>(ROUND(SUMIFS(Input!$I:$I,Input!$H:$H,"J*",Input!$E:$E,'1.CC Transition risk-Banking b.'!I$63)
+ SUMIFS(Input!$I:$I,Input!$H:$H,"M*",Input!$E:$E,'1.CC Transition risk-Banking b.'!I$63)
+ SUMIFS(Input!$I:$I,Input!$H:$H,"N*",Input!$E:$E,'1.CC Transition risk-Banking b.'!I$63)
+ SUMIFS(Input!$I:$I,Input!$H:$H,"O*",Input!$E:$E,'1.CC Transition risk-Banking b.'!I$63)
+ SUMIFS(Input!$I:$I,Input!$H:$H,"P*",Input!$E:$E,'1.CC Transition risk-Banking b.'!I$63)
+ SUMIFS(Input!$I:$I,Input!$H:$H,"Q*",Input!$E:$E,'1.CC Transition risk-Banking b.'!I$63)
+ SUMIFS(Input!$I:$I,Input!$H:$H,"R*",Input!$E:$E,'1.CC Transition risk-Banking b.'!I$63)
+ SUMIFS(Input!$I:$I,Input!$H:$H,"S*",Input!$E:$E,'1.CC Transition risk-Banking b.'!I$63)
+ SUMIFS(Input!$I:$I,Input!$H:$H,"T*",Input!$E:$E,'1.CC Transition risk-Banking b.'!I$63)
+ SUMIFS(Input!$I:$I,Input!$H:$H,"U*",Input!$E:$E,'1.CC Transition risk-Banking b.'!I$63),0))/1000000</f>
        <v>0</v>
      </c>
      <c r="J60" s="83">
        <f>(ROUND(SUMIFS(Input!$I:$I,Input!$H:$H,"J*",Input!$E:$E,'1.CC Transition risk-Banking b.'!$J$63,Input!$C:$C,'1.CC Transition risk-Banking b.'!$J$64)
+ SUMIFS(Input!$I:$I,Input!$H:$H,"M*",Input!$E:$E,'1.CC Transition risk-Banking b.'!$J$63,Input!$C:$C,'1.CC Transition risk-Banking b.'!$J$64)
+ SUMIFS(Input!$I:$I,Input!$H:$H,"N*",Input!$E:$E,'1.CC Transition risk-Banking b.'!$J$63,Input!$C:$C,'1.CC Transition risk-Banking b.'!$J$64)
+ SUMIFS(Input!$I:$I,Input!$H:$H,"O*",Input!$E:$E,'1.CC Transition risk-Banking b.'!$J$63,Input!$C:$C,'1.CC Transition risk-Banking b.'!$J$64)
+ SUMIFS(Input!$I:$I,Input!$H:$H,"P*",Input!$E:$E,'1.CC Transition risk-Banking b.'!$J$63,Input!$C:$C,'1.CC Transition risk-Banking b.'!$J$64)
+ SUMIFS(Input!$I:$I,Input!$H:$H,"Q*",Input!$E:$E,'1.CC Transition risk-Banking b.'!$J$63,Input!$C:$C,'1.CC Transition risk-Banking b.'!$J$64)
+ SUMIFS(Input!$I:$I,Input!$H:$H,"R*",Input!$E:$E,'1.CC Transition risk-Banking b.'!$J$63,Input!$C:$C,'1.CC Transition risk-Banking b.'!$J$64)
+ SUMIFS(Input!$I:$I,Input!$H:$H,"S*",Input!$E:$E,'1.CC Transition risk-Banking b.'!$J$63,Input!$C:$C,'1.CC Transition risk-Banking b.'!$J$64)
+ SUMIFS(Input!$I:$I,Input!$H:$H,"T*",Input!$E:$E,'1.CC Transition risk-Banking b.'!$J$63,Input!$C:$C,'1.CC Transition risk-Banking b.'!$J$64)
+ SUMIFS(Input!$I:$I,Input!$H:$H,"U*",Input!$E:$E,'1.CC Transition risk-Banking b.'!$J$63,Input!$C:$C,'1.CC Transition risk-Banking b.'!$J$64),0))/1000000</f>
        <v>0</v>
      </c>
      <c r="K60" s="83">
        <f>(ROUND(SUMIFS(Input!$I:$I,Input!$H:$H,"J*",Input!$E:$E,'1.CC Transition risk-Banking b.'!$K$63,Input!$C:$C,'1.CC Transition risk-Banking b.'!$K$64)
+ SUMIFS(Input!$I:$I,Input!$H:$H,"M*",Input!$E:$E,'1.CC Transition risk-Banking b.'!$K$63,Input!$C:$C,'1.CC Transition risk-Banking b.'!$K$64)
+ SUMIFS(Input!$I:$I,Input!$H:$H,"N*",Input!$E:$E,'1.CC Transition risk-Banking b.'!$K$63,Input!$C:$C,'1.CC Transition risk-Banking b.'!$K$64)
+ SUMIFS(Input!$I:$I,Input!$H:$H,"O*",Input!$E:$E,'1.CC Transition risk-Banking b.'!$K$63,Input!$C:$C,'1.CC Transition risk-Banking b.'!$K$64)
+ SUMIFS(Input!$I:$I,Input!$H:$H,"P*",Input!$E:$E,'1.CC Transition risk-Banking b.'!$K$63,Input!$C:$C,'1.CC Transition risk-Banking b.'!$K$64)
+ SUMIFS(Input!$I:$I,Input!$H:$H,"Q*",Input!$E:$E,'1.CC Transition risk-Banking b.'!$K$63,Input!$C:$C,'1.CC Transition risk-Banking b.'!$K$64)
+ SUMIFS(Input!$I:$I,Input!$H:$H,"R*",Input!$E:$E,'1.CC Transition risk-Banking b.'!$K$63,Input!$C:$C,'1.CC Transition risk-Banking b.'!$K$64)
+ SUMIFS(Input!$I:$I,Input!$H:$H,"S*",Input!$E:$E,'1.CC Transition risk-Banking b.'!$K$63,Input!$C:$C,'1.CC Transition risk-Banking b.'!$K$64)
+ SUMIFS(Input!$I:$I,Input!$H:$H,"T*",Input!$E:$E,'1.CC Transition risk-Banking b.'!$K$63,Input!$C:$C,'1.CC Transition risk-Banking b.'!$K$64)
+ SUMIFS(Input!$I:$I,Input!$H:$H,"U*",Input!$E:$E,'1.CC Transition risk-Banking b.'!$K$63,Input!$C:$C,'1.CC Transition risk-Banking b.'!$K$64),0))/1000000</f>
        <v>0</v>
      </c>
      <c r="L60" s="89">
        <f>(ROUND(SUM(SUMIFS(Input!$J:$J,Input!$H:$H,{"J*";"M*";"N*";"O*";"P*";"Q*";"R*";"S*";"T*";"U*"}))
+ SUM(SUMIFS(Input!$L:$L,Input!$H:$H,{"J*";"M*";"N*";"O*";"P*";"Q*";"R*";"S*";"T*";"U*"}))
+ SUM(SUMIFS(Input!$N:$N,Input!$H:$H,{"J*";"M*";"N*";"O*";"P*";"Q*";"R*";"S*";"T*";"U*"})),0))/1000000</f>
        <v>0</v>
      </c>
      <c r="M60" s="100">
        <f>(ROUND(SUM(SUMIFS(Input!$N:$N,Input!$H:$H,{"J*";"M*";"N*";"O*";"P*";"Q*";"R*";"S*";"T*";"U*"})),0))/1000000</f>
        <v>0</v>
      </c>
      <c r="N60" s="93" t="e">
        <f>(AVERAGE(SUM(SUMIFS(Input!$I:$I,Input!$H:$H,"J*",Input!$R:$R,"SOUR1",Input!$E:$E,'1.CC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b.'!$O$63)))/1000000)/$D$60</f>
        <v>#DIV/0!</v>
      </c>
      <c r="O60" s="86">
        <f>(ROUND(SUMIFS(Input!$I:$I,Input!$H:$H,"J*",Input!$E:$E,'1.CC Transition risk-Banking b.'!O$63,Input!$G:$G,"&gt;=0",Input!$G:$G,"&lt;=5")
+ SUMIFS(Input!$I:$I,Input!$H:$H,"J*",Input!$E:$E,'1.CC Transition risk-Banking b.'!O$63,Input!$G:$G,"-4")
+ SUMIFS(Input!$I:$I,Input!$H:$H,"J*",Input!$E:$E,'1.CC Transition risk-Banking b.'!O$63,Input!$G:$G,"-1") +
SUMIFS(Input!$I:$I,Input!$H:$H,"M*",Input!$E:$E,'1.CC Transition risk-Banking b.'!O$63,Input!$G:$G,"&gt;=0",Input!$G:$G,"&lt;=5")
+ SUMIFS(Input!$I:$I,Input!$H:$H,"M*",Input!$E:$E,'1.CC Transition risk-Banking b.'!O$63,Input!$G:$G,"-4")
+ SUMIFS(Input!$I:$I,Input!$H:$H,"M*",Input!$E:$E,'1.CC Transition risk-Banking b.'!O$63,Input!$G:$G,"-1") +
SUMIFS(Input!$I:$I,Input!$H:$H,"N*",Input!$E:$E,'1.CC Transition risk-Banking b.'!O$63,Input!$G:$G,"&gt;=0",Input!$G:$G,"&lt;=5")
+ SUMIFS(Input!$I:$I,Input!$H:$H,"N*",Input!$E:$E,'1.CC Transition risk-Banking b.'!O$63,Input!$G:$G,"-4")
+ SUMIFS(Input!$I:$I,Input!$H:$H,"N*",Input!$E:$E,'1.CC Transition risk-Banking b.'!O$63,Input!$G:$G,"-1") +
SUMIFS(Input!$I:$I,Input!$H:$H,"O*",Input!$E:$E,'1.CC Transition risk-Banking b.'!O$63,Input!$G:$G,"&gt;=0",Input!$G:$G,"&lt;=5")
+ SUMIFS(Input!$I:$I,Input!$H:$H,"O*",Input!$E:$E,'1.CC Transition risk-Banking b.'!O$63,Input!$G:$G,"-4")
+ SUMIFS(Input!$I:$I,Input!$H:$H,"O*",Input!$E:$E,'1.CC Transition risk-Banking b.'!O$63,Input!$G:$G,"-1") +
SUMIFS(Input!$I:$I,Input!$H:$H,"P*",Input!$E:$E,'1.CC Transition risk-Banking b.'!O$63,Input!$G:$G,"&gt;=0",Input!$G:$G,"&lt;=5")
+ SUMIFS(Input!$I:$I,Input!$H:$H,"P*",Input!$E:$E,'1.CC Transition risk-Banking b.'!O$63,Input!$G:$G,"-4")
+ SUMIFS(Input!$I:$I,Input!$H:$H,"P*",Input!$E:$E,'1.CC Transition risk-Banking b.'!O$63,Input!$G:$G,"-1") +
SUMIFS(Input!$I:$I,Input!$H:$H,"Q*",Input!$E:$E,'1.CC Transition risk-Banking b.'!O$63,Input!$G:$G,"&gt;=0",Input!$G:$G,"&lt;=5")
+ SUMIFS(Input!$I:$I,Input!$H:$H,"Q*",Input!$E:$E,'1.CC Transition risk-Banking b.'!O$63,Input!$G:$G,"-4")
+ SUMIFS(Input!$I:$I,Input!$H:$H,"Q*",Input!$E:$E,'1.CC Transition risk-Banking b.'!O$63,Input!$G:$G,"-1") +
SUMIFS(Input!$I:$I,Input!$H:$H,"R*",Input!$E:$E,'1.CC Transition risk-Banking b.'!O$63,Input!$G:$G,"&gt;=0",Input!$G:$G,"&lt;=5")
+ SUMIFS(Input!$I:$I,Input!$H:$H,"R*",Input!$E:$E,'1.CC Transition risk-Banking b.'!O$63,Input!$G:$G,"-4")
+ SUMIFS(Input!$I:$I,Input!$H:$H,"R*",Input!$E:$E,'1.CC Transition risk-Banking b.'!O$63,Input!$G:$G,"-1") +
SUMIFS(Input!$I:$I,Input!$H:$H,"S*",Input!$E:$E,'1.CC Transition risk-Banking b.'!O$63,Input!$G:$G,"&gt;=0",Input!$G:$G,"&lt;=5")
+ SUMIFS(Input!$I:$I,Input!$H:$H,"S*",Input!$E:$E,'1.CC Transition risk-Banking b.'!O$63,Input!$G:$G,"-4")
+ SUMIFS(Input!$I:$I,Input!$H:$H,"S*",Input!$E:$E,'1.CC Transition risk-Banking b.'!O$63,Input!$G:$G,"-1") +
SUMIFS(Input!$I:$I,Input!$H:$H,"T*",Input!$E:$E,'1.CC Transition risk-Banking b.'!O$63,Input!$G:$G,"&gt;=0",Input!$G:$G,"&lt;=5")
+ SUMIFS(Input!$I:$I,Input!$H:$H,"T*",Input!$E:$E,'1.CC Transition risk-Banking b.'!O$63,Input!$G:$G,"-4")
+ SUMIFS(Input!$I:$I,Input!$H:$H,"T*",Input!$E:$E,'1.CC Transition risk-Banking b.'!O$63,Input!$G:$G,"-1") +
SUMIFS(Input!$I:$I,Input!$H:$H,"U*",Input!$E:$E,'1.CC Transition risk-Banking b.'!O$63,Input!$G:$G,"&gt;=0",Input!$G:$G,"&lt;=5")
+ SUMIFS(Input!$I:$I,Input!$H:$H,"U*",Input!$E:$E,'1.CC Transition risk-Banking b.'!O$63,Input!$G:$G,"-4")
+ SUMIFS(Input!$I:$I,Input!$H:$H,"U*",Input!$E:$E,'1.CC Transition risk-Banking b.'!O$63,Input!$G:$G,"-1"),0))/1000000</f>
        <v>0</v>
      </c>
      <c r="P60" s="86">
        <f>(ROUND(SUMIFS(Input!$I:$I,Input!$H:$H,"J*",Input!$E:$E,'1.CC Transition risk-Banking b.'!O$63,Input!$G:$G,"&gt;5",Input!$G:$G,"&lt;=10")
+ SUMIFS(Input!$I:$I,Input!$H:$H,"M*",Input!$E:$E,'1.CC Transition risk-Banking b.'!O$63,Input!$G:$G,"&gt;5",Input!$G:$G,"&lt;=10")
+ SUMIFS(Input!$I:$I,Input!$H:$H,"N*",Input!$E:$E,'1.CC Transition risk-Banking b.'!O$63,Input!$G:$G,"&gt;5",Input!$G:$G,"&lt;=10")
+ SUMIFS(Input!$I:$I,Input!$H:$H,"O*",Input!$E:$E,'1.CC Transition risk-Banking b.'!O$63,Input!$G:$G,"&gt;5",Input!$G:$G,"&lt;=10")
+ SUMIFS(Input!$I:$I,Input!$H:$H,"P*",Input!$E:$E,'1.CC Transition risk-Banking b.'!O$63,Input!$G:$G,"&gt;5",Input!$G:$G,"&lt;=10")
+ SUMIFS(Input!$I:$I,Input!$H:$H,"Q*",Input!$E:$E,'1.CC Transition risk-Banking b.'!O$63,Input!$G:$G,"&gt;5",Input!$G:$G,"&lt;=10")
+ SUMIFS(Input!$I:$I,Input!$H:$H,"R*",Input!$E:$E,'1.CC Transition risk-Banking b.'!O$63,Input!$G:$G,"&gt;5",Input!$G:$G,"&lt;=10")
+ SUMIFS(Input!$I:$I,Input!$H:$H,"S*",Input!$E:$E,'1.CC Transition risk-Banking b.'!O$63,Input!$G:$G,"&gt;5",Input!$G:$G,"&lt;=10")
+ SUMIFS(Input!$I:$I,Input!$H:$H,"T*",Input!$E:$E,'1.CC Transition risk-Banking b.'!O$63,Input!$G:$G,"&gt;5",Input!$G:$G,"&lt;=10")
+ SUMIFS(Input!$I:$I,Input!$H:$H,"U*",Input!$E:$E,'1.CC Transition risk-Banking b.'!O$63,Input!$G:$G,"&gt;5",Input!$G:$G,"&lt;=10"),0))/1000000</f>
        <v>0</v>
      </c>
      <c r="Q60" s="86">
        <f>(ROUND(SUMIFS(Input!$I:$I,Input!$H:$H,"J*",Input!$E:$E,'1.CC Transition risk-Banking b.'!P$63,Input!$G:$G,"&gt;10",Input!$G:$G,"&lt;=20")
+ SUMIFS(Input!$I:$I,Input!$H:$H,"M*",Input!$E:$E,'1.CC Transition risk-Banking b.'!P$63,Input!$G:$G,"&gt;10",Input!$G:$G,"&lt;=20")
+ SUMIFS(Input!$I:$I,Input!$H:$H,"N*",Input!$E:$E,'1.CC Transition risk-Banking b.'!P$63,Input!$G:$G,"&gt;10",Input!$G:$G,"&lt;=20")
+ SUMIFS(Input!$I:$I,Input!$H:$H,"O*",Input!$E:$E,'1.CC Transition risk-Banking b.'!P$63,Input!$G:$G,"&gt;10",Input!$G:$G,"&lt;=20")
+ SUMIFS(Input!$I:$I,Input!$H:$H,"P*",Input!$E:$E,'1.CC Transition risk-Banking b.'!P$63,Input!$G:$G,"&gt;10",Input!$G:$G,"&lt;=20")
+ SUMIFS(Input!$I:$I,Input!$H:$H,"Q*",Input!$E:$E,'1.CC Transition risk-Banking b.'!P$63,Input!$G:$G,"&gt;10",Input!$G:$G,"&lt;=20")
+ SUMIFS(Input!$I:$I,Input!$H:$H,"R*",Input!$E:$E,'1.CC Transition risk-Banking b.'!P$63,Input!$G:$G,"&gt;10",Input!$G:$G,"&lt;=20")
+ SUMIFS(Input!$I:$I,Input!$H:$H,"S*",Input!$E:$E,'1.CC Transition risk-Banking b.'!P$63,Input!$G:$G,"&gt;10",Input!$G:$G,"&lt;=20")
+ SUMIFS(Input!$I:$I,Input!$H:$H,"T*",Input!$E:$E,'1.CC Transition risk-Banking b.'!P$63,Input!$G:$G,"&gt;10",Input!$G:$G,"&lt;=20")
+ SUMIFS(Input!$I:$I,Input!$H:$H,"U*",Input!$E:$E,'1.CC Transition risk-Banking b.'!P$63,Input!$G:$G,"&gt;10",Input!$G:$G,"&lt;=20"),0))/1000000</f>
        <v>0</v>
      </c>
      <c r="R60" s="86">
        <f>(ROUND(SUMIFS(Input!$I:$I,Input!$H:$H,"J*",Input!$E:$E,'1.CC Transition risk-Banking b.'!R$63,Input!$G:$G,"&gt;20")
+ SUMIFS(Input!$I:$I,Input!$H:$H,"J*",Input!$E:$E,'1.CC Transition risk-Banking b.'!R$63,Input!$G:$G,"-2")
+ SUMIFS(Input!$I:$I,Input!$H:$H,"J*",Input!$E:$E,'1.CC Transition risk-Banking b.'!R$63,Input!$G:$G,"-3")
+ SUMIFS(Input!$I:$I,Input!$H:$H,"M*",Input!$E:$E,'1.CC Transition risk-Banking b.'!R$63,Input!$G:$G,"&gt;20")
+ SUMIFS(Input!$I:$I,Input!$H:$H,"M*",Input!$E:$E,'1.CC Transition risk-Banking b.'!R$63,Input!$G:$G,"-2")
+ SUMIFS(Input!$I:$I,Input!$H:$H,"M*",Input!$E:$E,'1.CC Transition risk-Banking b.'!R$63,Input!$G:$G,"-3")
+ SUMIFS(Input!$I:$I,Input!$H:$H,"N*",Input!$E:$E,'1.CC Transition risk-Banking b.'!R$63,Input!$G:$G,"&gt;20")
+ SUMIFS(Input!$I:$I,Input!$H:$H,"N*",Input!$E:$E,'1.CC Transition risk-Banking b.'!R$63,Input!$G:$G,"-2")
+ SUMIFS(Input!$I:$I,Input!$H:$H,"N*",Input!$E:$E,'1.CC Transition risk-Banking b.'!R$63,Input!$G:$G,"-3")
+ SUMIFS(Input!$I:$I,Input!$H:$H,"O*",Input!$E:$E,'1.CC Transition risk-Banking b.'!R$63,Input!$G:$G,"&gt;20")
+ SUMIFS(Input!$I:$I,Input!$H:$H,"O*",Input!$E:$E,'1.CC Transition risk-Banking b.'!R$63,Input!$G:$G,"-2")
+ SUMIFS(Input!$I:$I,Input!$H:$H,"O*",Input!$E:$E,'1.CC Transition risk-Banking b.'!R$63,Input!$G:$G,"-3")
+ SUMIFS(Input!$I:$I,Input!$H:$H,"P*",Input!$E:$E,'1.CC Transition risk-Banking b.'!R$63,Input!$G:$G,"&gt;20")
+ SUMIFS(Input!$I:$I,Input!$H:$H,"P*",Input!$E:$E,'1.CC Transition risk-Banking b.'!R$63,Input!$G:$G,"-2") +
+ SUMIFS(Input!$I:$I,Input!$H:$H,"P*",Input!$E:$E,'1.CC Transition risk-Banking b.'!R$63,Input!$G:$G,"-3")
+ SUMIFS(Input!$I:$I,Input!$H:$H,"Q*",Input!$E:$E,'1.CC Transition risk-Banking b.'!R$63,Input!$G:$G,"&gt;20")
+ SUMIFS(Input!$I:$I,Input!$H:$H,"Q*",Input!$E:$E,'1.CC Transition risk-Banking b.'!R$63,Input!$G:$G,"-2") +
+ SUMIFS(Input!$I:$I,Input!$H:$H,"Q*",Input!$E:$E,'1.CC Transition risk-Banking b.'!R$63,Input!$G:$G,"-3") +
+ SUMIFS(Input!$I:$I,Input!$H:$H,"R*",Input!$E:$E,'1.CC Transition risk-Banking b.'!R$63,Input!$G:$G,"&gt;20")
+ SUMIFS(Input!$I:$I,Input!$H:$H,"R*",Input!$E:$E,'1.CC Transition risk-Banking b.'!R$63,Input!$G:$G,"-2")
+ SUMIFS(Input!$I:$I,Input!$H:$H,"R*",Input!$E:$E,'1.CC Transition risk-Banking b.'!R$63,Input!$G:$G,"-3")
+ SUMIFS(Input!$I:$I,Input!$H:$H,"S*",Input!$E:$E,'1.CC Transition risk-Banking b.'!R$63,Input!$G:$G,"&gt;20")
+ SUMIFS(Input!$I:$I,Input!$H:$H,"S*",Input!$E:$E,'1.CC Transition risk-Banking b.'!R$63,Input!$G:$G,"-2")
+ SUMIFS(Input!$I:$I,Input!$H:$H,"S*",Input!$E:$E,'1.CC Transition risk-Banking b.'!R$63,Input!$G:$G,"-3")
+ SUMIFS(Input!$I:$I,Input!$H:$H,"T*",Input!$E:$E,'1.CC Transition risk-Banking b.'!R$63,Input!$G:$G,"&gt;20")
+ SUMIFS(Input!$I:$I,Input!$H:$H,"T*",Input!$E:$E,'1.CC Transition risk-Banking b.'!R$63,Input!$G:$G,"-2")
+ SUMIFS(Input!$I:$I,Input!$H:$H,"T*",Input!$E:$E,'1.CC Transition risk-Banking b.'!R$63,Input!$G:$G,"-3")
+ SUMIFS(Input!$I:$I,Input!$H:$H,"U*",Input!$E:$E,'1.CC Transition risk-Banking b.'!R$63,Input!$G:$G,"&gt;20")
+ SUMIFS(Input!$I:$I,Input!$H:$H,"U*",Input!$E:$E,'1.CC Transition risk-Banking b.'!R$63,Input!$G:$G,"-2")
+ SUMIFS(Input!$I:$I,Input!$H:$H,"U*",Input!$E:$E,'1.CC Transition risk-Banking b.'!R$63,Input!$G:$G,"-3"),0))/1000000</f>
        <v>0</v>
      </c>
      <c r="S60" s="87" t="e">
        <f>ROUND(((SUMIFS(Input!$Q:$Q,Input!$H:$H,"J*",Input!$E:$E,'1.CC Transition risk-Banking b.'!S$63,Input!$G:$G,"&gt;0")
+ SUMIFS(Input!$Q:$Q,Input!$H:$H,"M*",Input!$E:$E,'1.CC Transition risk-Banking b.'!S$63,Input!$G:$G,"&gt;0")
+ SUMIFS(Input!$Q:$Q,Input!$H:$H,"N*",Input!$E:$E,'1.CC Transition risk-Banking b.'!S$63,Input!$G:$G,"&gt;0")
+ SUMIFS(Input!$Q:$Q,Input!$H:$H,"O*",Input!$E:$E,'1.CC Transition risk-Banking b.'!S$63,Input!$G:$G,"&gt;0")
+ SUMIFS(Input!$Q:$Q,Input!$H:$H,"P*",Input!$E:$E,'1.CC Transition risk-Banking b.'!S$63,Input!$G:$G,"&gt;0")
+ SUMIFS(Input!$Q:$Q,Input!$H:$H,"Q*",Input!$E:$E,'1.CC Transition risk-Banking b.'!S$63,Input!$G:$G,"&gt;0")
+ SUMIFS(Input!$Q:$Q,Input!$H:$H,"R*",Input!$E:$E,'1.CC Transition risk-Banking b.'!S$63,Input!$G:$G,"&gt;0")
+ SUMIFS(Input!$Q:$Q,Input!$H:$H,"S*",Input!$E:$E,'1.CC Transition risk-Banking b.'!S$63,Input!$G:$G,"&gt;0")
+ SUMIFS(Input!$Q:$Q,Input!$H:$H,"T*",Input!$E:$E,'1.CC Transition risk-Banking b.'!S$63,Input!$G:$G,"&gt;0")
+ SUMIFS(Input!$Q:$Q,Input!$H:$H,"U*",Input!$E:$E,'1.CC Transition risk-Banking b.'!S$63,Input!$G:$G,"&gt;0"))/1000000)/'1.CC Transition risk-Banking b.'!D60,0)</f>
        <v>#DIV/0!</v>
      </c>
    </row>
    <row r="61" spans="1:19" x14ac:dyDescent="0.3">
      <c r="A61" s="96" t="s">
        <v>188</v>
      </c>
      <c r="B61" s="66">
        <v>56</v>
      </c>
      <c r="C61" s="75" t="s">
        <v>188</v>
      </c>
      <c r="D61" s="83">
        <f>D6+D58</f>
        <v>0</v>
      </c>
      <c r="E61" s="83">
        <f>E6+E58</f>
        <v>0</v>
      </c>
      <c r="F61" s="83">
        <f>F6+F58</f>
        <v>0</v>
      </c>
      <c r="G61" s="83">
        <f t="shared" ref="G61:R61" si="2">G6+G58</f>
        <v>0</v>
      </c>
      <c r="H61" s="83">
        <f t="shared" si="2"/>
        <v>0</v>
      </c>
      <c r="I61" s="83">
        <f t="shared" si="2"/>
        <v>0</v>
      </c>
      <c r="J61" s="83">
        <f t="shared" si="2"/>
        <v>0</v>
      </c>
      <c r="K61" s="83">
        <f t="shared" si="2"/>
        <v>0</v>
      </c>
      <c r="L61" s="83">
        <f t="shared" si="2"/>
        <v>0</v>
      </c>
      <c r="M61" s="83">
        <f t="shared" si="2"/>
        <v>0</v>
      </c>
      <c r="N61" s="94" t="e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 +
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 +
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 +
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b.'!$O$63)))/1000000)/$D$61</f>
        <v>#DIV/0!</v>
      </c>
      <c r="O61" s="83">
        <f t="shared" si="2"/>
        <v>0</v>
      </c>
      <c r="P61" s="83">
        <f t="shared" si="2"/>
        <v>0</v>
      </c>
      <c r="Q61" s="83">
        <f t="shared" si="2"/>
        <v>0</v>
      </c>
      <c r="R61" s="83">
        <f t="shared" si="2"/>
        <v>0</v>
      </c>
      <c r="S61" s="83" t="e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
+SUMIFS(Input!$Q:$Q,Input!$H:$H,"K*",Input!$E:$E,'1.CC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b.'!D61,0)</f>
        <v>#DIV/0!</v>
      </c>
    </row>
    <row r="62" spans="1:19" x14ac:dyDescent="0.3">
      <c r="C62" s="76" t="s">
        <v>189</v>
      </c>
      <c r="D62" s="77"/>
      <c r="E62" s="77"/>
      <c r="F62" s="77"/>
      <c r="G62" s="77"/>
      <c r="H62" s="77"/>
      <c r="I62" s="77"/>
      <c r="J62" s="77"/>
      <c r="K62" s="77"/>
    </row>
    <row r="63" spans="1:19" x14ac:dyDescent="0.3">
      <c r="C63" s="78"/>
      <c r="D63" s="95" t="s">
        <v>32</v>
      </c>
      <c r="E63" s="95" t="s">
        <v>32</v>
      </c>
      <c r="F63" s="95">
        <v>1</v>
      </c>
      <c r="G63" s="95" t="s">
        <v>32</v>
      </c>
      <c r="H63" s="95" t="s">
        <v>32</v>
      </c>
      <c r="I63" s="95" t="s">
        <v>31</v>
      </c>
      <c r="J63" s="95" t="s">
        <v>31</v>
      </c>
      <c r="K63" s="95" t="s">
        <v>31</v>
      </c>
      <c r="L63" s="96"/>
      <c r="M63" s="96"/>
      <c r="N63" s="96"/>
      <c r="O63" s="97" t="s">
        <v>32</v>
      </c>
      <c r="P63" s="97" t="s">
        <v>32</v>
      </c>
      <c r="Q63" s="97" t="s">
        <v>32</v>
      </c>
      <c r="R63" s="97" t="s">
        <v>32</v>
      </c>
      <c r="S63" s="97" t="s">
        <v>32</v>
      </c>
    </row>
    <row r="64" spans="1:19" ht="11.4" customHeight="1" x14ac:dyDescent="0.3">
      <c r="D64" s="98"/>
      <c r="E64" s="98" t="s">
        <v>46</v>
      </c>
      <c r="F64" s="98"/>
      <c r="G64" s="98" t="s">
        <v>33</v>
      </c>
      <c r="H64" s="98" t="s">
        <v>34</v>
      </c>
      <c r="I64" s="98"/>
      <c r="J64" s="98" t="s">
        <v>33</v>
      </c>
      <c r="K64" s="98" t="s">
        <v>34</v>
      </c>
      <c r="L64" s="96"/>
      <c r="M64" s="96"/>
      <c r="N64" s="96"/>
      <c r="O64" s="97">
        <v>-4</v>
      </c>
      <c r="P64" s="97" t="s">
        <v>190</v>
      </c>
      <c r="Q64" s="97" t="s">
        <v>191</v>
      </c>
      <c r="R64" s="97" t="s">
        <v>192</v>
      </c>
      <c r="S64" s="97">
        <v>-1</v>
      </c>
    </row>
    <row r="65" spans="3:19" x14ac:dyDescent="0.3"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7"/>
      <c r="P65" s="97" t="s">
        <v>193</v>
      </c>
      <c r="Q65" s="97" t="s">
        <v>194</v>
      </c>
      <c r="R65" s="97">
        <v>-3</v>
      </c>
      <c r="S65" s="97">
        <v>-2</v>
      </c>
    </row>
    <row r="66" spans="3:19" x14ac:dyDescent="0.3"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96"/>
      <c r="Q66" s="96"/>
      <c r="R66" s="97">
        <v>-2</v>
      </c>
      <c r="S66" s="96"/>
    </row>
    <row r="67" spans="3:19" x14ac:dyDescent="0.3">
      <c r="C67" s="79"/>
    </row>
    <row r="69" spans="3:19" x14ac:dyDescent="0.3">
      <c r="D69" s="79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  <pageSetup paperSize="9" orientation="portrait" r:id="rId1"/>
  <ignoredErrors>
    <ignoredError sqref="N61 N58 N6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AA08FF-BA12-4D0A-8953-9C151DD9864F}">
  <ds:schemaRefs>
    <ds:schemaRef ds:uri="http://www.w3.org/XML/1998/namespace"/>
    <ds:schemaRef ds:uri="http://purl.org/dc/terms/"/>
    <ds:schemaRef ds:uri="http://schemas.microsoft.com/office/2006/metadata/properties"/>
    <ds:schemaRef ds:uri="572bdb13-c576-4166-8827-65186753b8b5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4E27EB1-CFFD-4296-BAF8-08680200A526}"/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Instruções</vt:lpstr>
      <vt:lpstr>Menu</vt:lpstr>
      <vt:lpstr>Input</vt:lpstr>
      <vt:lpstr>R01</vt:lpstr>
      <vt:lpstr>R04</vt:lpstr>
      <vt:lpstr>1.CC Transition risk-Banking b.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2025-07-08T18:17:45Z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