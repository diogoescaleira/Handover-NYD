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804642\Santander Office 365\BS Implementação Templates Locais - Implementação Templates Locais\03. Templates\08. STE\02. STE2\04. Entregáveis\"/>
    </mc:Choice>
  </mc:AlternateContent>
  <bookViews>
    <workbookView xWindow="0" yWindow="0" windowWidth="23016" windowHeight="7176" activeTab="4"/>
  </bookViews>
  <sheets>
    <sheet name="Comparativos granulares" sheetId="1" r:id="rId1"/>
    <sheet name="Variação " sheetId="5" r:id="rId2"/>
    <sheet name="Input &gt;&gt;" sheetId="11" r:id="rId3"/>
    <sheet name="Paralelo" sheetId="9" r:id="rId4"/>
    <sheet name="Dez24" sheetId="10" r:id="rId5"/>
  </sheets>
  <definedNames>
    <definedName name="_xlnm._FilterDatabase" localSheetId="0" hidden="1">'Comparativos granulares'!$B$8:$E$100</definedName>
    <definedName name="BM" localSheetId="4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3" i="5" l="1"/>
  <c r="X32" i="5"/>
  <c r="X31" i="5"/>
  <c r="X30" i="5"/>
  <c r="X29" i="5"/>
  <c r="AT33" i="5" l="1"/>
  <c r="AQ33" i="5"/>
  <c r="AN33" i="5"/>
  <c r="AK33" i="5"/>
  <c r="AH33" i="5"/>
  <c r="AE33" i="5"/>
  <c r="AB33" i="5"/>
  <c r="AS33" i="5"/>
  <c r="AP33" i="5"/>
  <c r="AM33" i="5"/>
  <c r="AJ33" i="5"/>
  <c r="AG33" i="5"/>
  <c r="AD33" i="5"/>
  <c r="AA33" i="5"/>
  <c r="AR33" i="5" l="1"/>
  <c r="AU33" i="5"/>
  <c r="AI33" i="5"/>
  <c r="AL33" i="5"/>
  <c r="AO33" i="5"/>
  <c r="AC33" i="5"/>
  <c r="AF33" i="5"/>
  <c r="AS14" i="5"/>
  <c r="AT14" i="5"/>
  <c r="AQ14" i="5"/>
  <c r="AM14" i="5"/>
  <c r="AN14" i="5"/>
  <c r="AK14" i="5"/>
  <c r="AH14" i="5"/>
  <c r="AE14" i="5"/>
  <c r="AB14" i="5"/>
  <c r="AP14" i="5"/>
  <c r="AJ14" i="5"/>
  <c r="AG14" i="5"/>
  <c r="AD14" i="5"/>
  <c r="AA14" i="5"/>
  <c r="Y33" i="5"/>
  <c r="Z33" i="5" s="1"/>
  <c r="Y32" i="5"/>
  <c r="Z32" i="5" s="1"/>
  <c r="Y31" i="5"/>
  <c r="Z31" i="5" s="1"/>
  <c r="Y30" i="5"/>
  <c r="Z30" i="5" s="1"/>
  <c r="Y29" i="5"/>
  <c r="Z29" i="5" s="1"/>
  <c r="Y11" i="5"/>
  <c r="Y12" i="5"/>
  <c r="Y13" i="5"/>
  <c r="Y14" i="5"/>
  <c r="Y10" i="5"/>
  <c r="X11" i="5"/>
  <c r="X12" i="5"/>
  <c r="X13" i="5"/>
  <c r="X14" i="5"/>
  <c r="X10" i="5"/>
  <c r="AW47" i="5"/>
  <c r="AV47" i="5"/>
  <c r="AT47" i="5"/>
  <c r="AS47" i="5"/>
  <c r="AQ47" i="5"/>
  <c r="AP47" i="5"/>
  <c r="AN47" i="5"/>
  <c r="AM47" i="5"/>
  <c r="AK47" i="5"/>
  <c r="AJ47" i="5"/>
  <c r="AH47" i="5"/>
  <c r="AG47" i="5"/>
  <c r="AE47" i="5"/>
  <c r="AD47" i="5"/>
  <c r="AB47" i="5"/>
  <c r="AA47" i="5"/>
  <c r="Y47" i="5"/>
  <c r="X47" i="5"/>
  <c r="V47" i="5"/>
  <c r="U47" i="5"/>
  <c r="S47" i="5"/>
  <c r="R47" i="5"/>
  <c r="P47" i="5"/>
  <c r="O47" i="5"/>
  <c r="M47" i="5"/>
  <c r="L47" i="5"/>
  <c r="J47" i="5"/>
  <c r="I47" i="5"/>
  <c r="G47" i="5"/>
  <c r="F47" i="5"/>
  <c r="D47" i="5"/>
  <c r="AW46" i="5"/>
  <c r="AV46" i="5"/>
  <c r="AT46" i="5"/>
  <c r="AS46" i="5"/>
  <c r="AQ46" i="5"/>
  <c r="AP46" i="5"/>
  <c r="AN46" i="5"/>
  <c r="AM46" i="5"/>
  <c r="AK46" i="5"/>
  <c r="AJ46" i="5"/>
  <c r="AH46" i="5"/>
  <c r="AG46" i="5"/>
  <c r="AE46" i="5"/>
  <c r="AD46" i="5"/>
  <c r="AB46" i="5"/>
  <c r="AA46" i="5"/>
  <c r="Y46" i="5"/>
  <c r="X46" i="5"/>
  <c r="V46" i="5"/>
  <c r="U46" i="5"/>
  <c r="S46" i="5"/>
  <c r="R46" i="5"/>
  <c r="P46" i="5"/>
  <c r="O46" i="5"/>
  <c r="M46" i="5"/>
  <c r="L46" i="5"/>
  <c r="J46" i="5"/>
  <c r="I46" i="5"/>
  <c r="G46" i="5"/>
  <c r="F46" i="5"/>
  <c r="D46" i="5"/>
  <c r="AW45" i="5"/>
  <c r="AV45" i="5"/>
  <c r="AT45" i="5"/>
  <c r="AS45" i="5"/>
  <c r="AQ45" i="5"/>
  <c r="AP45" i="5"/>
  <c r="AN45" i="5"/>
  <c r="AM45" i="5"/>
  <c r="AK45" i="5"/>
  <c r="AJ45" i="5"/>
  <c r="AH45" i="5"/>
  <c r="AG45" i="5"/>
  <c r="AE45" i="5"/>
  <c r="AD45" i="5"/>
  <c r="AB45" i="5"/>
  <c r="AA45" i="5"/>
  <c r="Y45" i="5"/>
  <c r="X45" i="5"/>
  <c r="V45" i="5"/>
  <c r="U45" i="5"/>
  <c r="S45" i="5"/>
  <c r="R45" i="5"/>
  <c r="P45" i="5"/>
  <c r="O45" i="5"/>
  <c r="M45" i="5"/>
  <c r="L45" i="5"/>
  <c r="J45" i="5"/>
  <c r="I45" i="5"/>
  <c r="G45" i="5"/>
  <c r="F45" i="5"/>
  <c r="D45" i="5"/>
  <c r="AW44" i="5"/>
  <c r="AV44" i="5"/>
  <c r="AT44" i="5"/>
  <c r="AS44" i="5"/>
  <c r="AQ44" i="5"/>
  <c r="AP44" i="5"/>
  <c r="AN44" i="5"/>
  <c r="AM44" i="5"/>
  <c r="AK44" i="5"/>
  <c r="AJ44" i="5"/>
  <c r="AH44" i="5"/>
  <c r="AG44" i="5"/>
  <c r="AE44" i="5"/>
  <c r="AD44" i="5"/>
  <c r="AB44" i="5"/>
  <c r="AA44" i="5"/>
  <c r="Y44" i="5"/>
  <c r="X44" i="5"/>
  <c r="V44" i="5"/>
  <c r="U44" i="5"/>
  <c r="S44" i="5"/>
  <c r="R44" i="5"/>
  <c r="P44" i="5"/>
  <c r="O44" i="5"/>
  <c r="M44" i="5"/>
  <c r="L44" i="5"/>
  <c r="J44" i="5"/>
  <c r="I44" i="5"/>
  <c r="G44" i="5"/>
  <c r="F44" i="5"/>
  <c r="D44" i="5"/>
  <c r="AW43" i="5"/>
  <c r="AV43" i="5"/>
  <c r="AT43" i="5"/>
  <c r="AS43" i="5"/>
  <c r="AQ43" i="5"/>
  <c r="AP43" i="5"/>
  <c r="AN43" i="5"/>
  <c r="AM43" i="5"/>
  <c r="AK43" i="5"/>
  <c r="AJ43" i="5"/>
  <c r="AH43" i="5"/>
  <c r="AG43" i="5"/>
  <c r="AE43" i="5"/>
  <c r="AD43" i="5"/>
  <c r="AB43" i="5"/>
  <c r="AA43" i="5"/>
  <c r="Y43" i="5"/>
  <c r="X43" i="5"/>
  <c r="V43" i="5"/>
  <c r="U43" i="5"/>
  <c r="S43" i="5"/>
  <c r="R43" i="5"/>
  <c r="P43" i="5"/>
  <c r="O43" i="5"/>
  <c r="M43" i="5"/>
  <c r="L43" i="5"/>
  <c r="J43" i="5"/>
  <c r="I43" i="5"/>
  <c r="G43" i="5"/>
  <c r="F43" i="5"/>
  <c r="D43" i="5"/>
  <c r="AW42" i="5"/>
  <c r="AV42" i="5"/>
  <c r="AT42" i="5"/>
  <c r="AS42" i="5"/>
  <c r="AQ42" i="5"/>
  <c r="AP42" i="5"/>
  <c r="AN42" i="5"/>
  <c r="AM42" i="5"/>
  <c r="AK42" i="5"/>
  <c r="AJ42" i="5"/>
  <c r="AH42" i="5"/>
  <c r="AG42" i="5"/>
  <c r="AE42" i="5"/>
  <c r="AD42" i="5"/>
  <c r="AB42" i="5"/>
  <c r="AA42" i="5"/>
  <c r="Y42" i="5"/>
  <c r="X42" i="5"/>
  <c r="V42" i="5"/>
  <c r="U42" i="5"/>
  <c r="S42" i="5"/>
  <c r="R42" i="5"/>
  <c r="P42" i="5"/>
  <c r="O42" i="5"/>
  <c r="M42" i="5"/>
  <c r="L42" i="5"/>
  <c r="J42" i="5"/>
  <c r="I42" i="5"/>
  <c r="G42" i="5"/>
  <c r="F42" i="5"/>
  <c r="D42" i="5"/>
  <c r="AW40" i="5"/>
  <c r="AV40" i="5"/>
  <c r="AT40" i="5"/>
  <c r="AS40" i="5"/>
  <c r="AQ40" i="5"/>
  <c r="AP40" i="5"/>
  <c r="AN40" i="5"/>
  <c r="AM40" i="5"/>
  <c r="AK40" i="5"/>
  <c r="AJ40" i="5"/>
  <c r="AH40" i="5"/>
  <c r="AG40" i="5"/>
  <c r="AE40" i="5"/>
  <c r="AD40" i="5"/>
  <c r="AB40" i="5"/>
  <c r="AA40" i="5"/>
  <c r="Y40" i="5"/>
  <c r="X40" i="5"/>
  <c r="V40" i="5"/>
  <c r="U40" i="5"/>
  <c r="S40" i="5"/>
  <c r="R40" i="5"/>
  <c r="P40" i="5"/>
  <c r="O40" i="5"/>
  <c r="M40" i="5"/>
  <c r="L40" i="5"/>
  <c r="J40" i="5"/>
  <c r="I40" i="5"/>
  <c r="G40" i="5"/>
  <c r="F40" i="5"/>
  <c r="D40" i="5"/>
  <c r="AW39" i="5"/>
  <c r="AV39" i="5"/>
  <c r="AT39" i="5"/>
  <c r="AS39" i="5"/>
  <c r="AQ39" i="5"/>
  <c r="AP39" i="5"/>
  <c r="AN39" i="5"/>
  <c r="AM39" i="5"/>
  <c r="AK39" i="5"/>
  <c r="AJ39" i="5"/>
  <c r="AH39" i="5"/>
  <c r="AG39" i="5"/>
  <c r="AE39" i="5"/>
  <c r="AD39" i="5"/>
  <c r="AB39" i="5"/>
  <c r="AA39" i="5"/>
  <c r="Y39" i="5"/>
  <c r="X39" i="5"/>
  <c r="V39" i="5"/>
  <c r="U39" i="5"/>
  <c r="S39" i="5"/>
  <c r="R39" i="5"/>
  <c r="P39" i="5"/>
  <c r="O39" i="5"/>
  <c r="M39" i="5"/>
  <c r="L39" i="5"/>
  <c r="J39" i="5"/>
  <c r="I39" i="5"/>
  <c r="G39" i="5"/>
  <c r="F39" i="5"/>
  <c r="D39" i="5"/>
  <c r="AW38" i="5"/>
  <c r="AV38" i="5"/>
  <c r="AT38" i="5"/>
  <c r="AS38" i="5"/>
  <c r="AQ38" i="5"/>
  <c r="AP38" i="5"/>
  <c r="AN38" i="5"/>
  <c r="AM38" i="5"/>
  <c r="AK38" i="5"/>
  <c r="AJ38" i="5"/>
  <c r="AH38" i="5"/>
  <c r="AG38" i="5"/>
  <c r="AE38" i="5"/>
  <c r="AD38" i="5"/>
  <c r="AB38" i="5"/>
  <c r="AA38" i="5"/>
  <c r="Y38" i="5"/>
  <c r="X38" i="5"/>
  <c r="V38" i="5"/>
  <c r="U38" i="5"/>
  <c r="S38" i="5"/>
  <c r="R38" i="5"/>
  <c r="P38" i="5"/>
  <c r="O38" i="5"/>
  <c r="M38" i="5"/>
  <c r="L38" i="5"/>
  <c r="J38" i="5"/>
  <c r="I38" i="5"/>
  <c r="G38" i="5"/>
  <c r="F38" i="5"/>
  <c r="D38" i="5"/>
  <c r="AW37" i="5"/>
  <c r="AV37" i="5"/>
  <c r="AT37" i="5"/>
  <c r="AS37" i="5"/>
  <c r="AQ37" i="5"/>
  <c r="AP37" i="5"/>
  <c r="AN37" i="5"/>
  <c r="AM37" i="5"/>
  <c r="AK37" i="5"/>
  <c r="AJ37" i="5"/>
  <c r="AH37" i="5"/>
  <c r="AG37" i="5"/>
  <c r="AE37" i="5"/>
  <c r="AD37" i="5"/>
  <c r="AB37" i="5"/>
  <c r="AA37" i="5"/>
  <c r="Y37" i="5"/>
  <c r="X37" i="5"/>
  <c r="V37" i="5"/>
  <c r="U37" i="5"/>
  <c r="S37" i="5"/>
  <c r="R37" i="5"/>
  <c r="P37" i="5"/>
  <c r="O37" i="5"/>
  <c r="M37" i="5"/>
  <c r="L37" i="5"/>
  <c r="J37" i="5"/>
  <c r="I37" i="5"/>
  <c r="G37" i="5"/>
  <c r="F37" i="5"/>
  <c r="D37" i="5"/>
  <c r="AW36" i="5"/>
  <c r="AV36" i="5"/>
  <c r="AT36" i="5"/>
  <c r="AS36" i="5"/>
  <c r="AQ36" i="5"/>
  <c r="AP36" i="5"/>
  <c r="AN36" i="5"/>
  <c r="AM36" i="5"/>
  <c r="AK36" i="5"/>
  <c r="AJ36" i="5"/>
  <c r="AH36" i="5"/>
  <c r="AG36" i="5"/>
  <c r="AE36" i="5"/>
  <c r="AD36" i="5"/>
  <c r="AB36" i="5"/>
  <c r="AA36" i="5"/>
  <c r="Y36" i="5"/>
  <c r="X36" i="5"/>
  <c r="V36" i="5"/>
  <c r="U36" i="5"/>
  <c r="S36" i="5"/>
  <c r="R36" i="5"/>
  <c r="P36" i="5"/>
  <c r="O36" i="5"/>
  <c r="M36" i="5"/>
  <c r="L36" i="5"/>
  <c r="J36" i="5"/>
  <c r="I36" i="5"/>
  <c r="G36" i="5"/>
  <c r="F36" i="5"/>
  <c r="D36" i="5"/>
  <c r="AW35" i="5"/>
  <c r="AV35" i="5"/>
  <c r="AT35" i="5"/>
  <c r="AS35" i="5"/>
  <c r="AQ35" i="5"/>
  <c r="AP35" i="5"/>
  <c r="AN35" i="5"/>
  <c r="AM35" i="5"/>
  <c r="AK35" i="5"/>
  <c r="AJ35" i="5"/>
  <c r="AH35" i="5"/>
  <c r="AG35" i="5"/>
  <c r="AE35" i="5"/>
  <c r="AD35" i="5"/>
  <c r="AB35" i="5"/>
  <c r="AA35" i="5"/>
  <c r="Y35" i="5"/>
  <c r="X35" i="5"/>
  <c r="V35" i="5"/>
  <c r="U35" i="5"/>
  <c r="S35" i="5"/>
  <c r="R35" i="5"/>
  <c r="P35" i="5"/>
  <c r="O35" i="5"/>
  <c r="M35" i="5"/>
  <c r="L35" i="5"/>
  <c r="J35" i="5"/>
  <c r="I35" i="5"/>
  <c r="G35" i="5"/>
  <c r="F35" i="5"/>
  <c r="D35" i="5"/>
  <c r="C47" i="5"/>
  <c r="C46" i="5"/>
  <c r="C45" i="5"/>
  <c r="C44" i="5"/>
  <c r="C43" i="5"/>
  <c r="C42" i="5"/>
  <c r="E42" i="5" s="1"/>
  <c r="C40" i="5"/>
  <c r="C39" i="5"/>
  <c r="C38" i="5"/>
  <c r="C37" i="5"/>
  <c r="C36" i="5"/>
  <c r="C35" i="5"/>
  <c r="AW28" i="5"/>
  <c r="AV28" i="5"/>
  <c r="AT28" i="5"/>
  <c r="AS28" i="5"/>
  <c r="AQ28" i="5"/>
  <c r="AP28" i="5"/>
  <c r="AN28" i="5"/>
  <c r="AM28" i="5"/>
  <c r="AK28" i="5"/>
  <c r="AJ28" i="5"/>
  <c r="AH28" i="5"/>
  <c r="AG28" i="5"/>
  <c r="AE28" i="5"/>
  <c r="AD28" i="5"/>
  <c r="AB28" i="5"/>
  <c r="AA28" i="5"/>
  <c r="Y28" i="5"/>
  <c r="X28" i="5"/>
  <c r="V28" i="5"/>
  <c r="U28" i="5"/>
  <c r="S28" i="5"/>
  <c r="R28" i="5"/>
  <c r="P28" i="5"/>
  <c r="O28" i="5"/>
  <c r="M28" i="5"/>
  <c r="L28" i="5"/>
  <c r="J28" i="5"/>
  <c r="I28" i="5"/>
  <c r="G28" i="5"/>
  <c r="F28" i="5"/>
  <c r="D28" i="5"/>
  <c r="AW27" i="5"/>
  <c r="AV27" i="5"/>
  <c r="AT27" i="5"/>
  <c r="AS27" i="5"/>
  <c r="AQ27" i="5"/>
  <c r="AP27" i="5"/>
  <c r="AN27" i="5"/>
  <c r="AM27" i="5"/>
  <c r="AK27" i="5"/>
  <c r="AJ27" i="5"/>
  <c r="AH27" i="5"/>
  <c r="AG27" i="5"/>
  <c r="AE27" i="5"/>
  <c r="AD27" i="5"/>
  <c r="AB27" i="5"/>
  <c r="AA27" i="5"/>
  <c r="Y27" i="5"/>
  <c r="X27" i="5"/>
  <c r="V27" i="5"/>
  <c r="U27" i="5"/>
  <c r="S27" i="5"/>
  <c r="R27" i="5"/>
  <c r="P27" i="5"/>
  <c r="O27" i="5"/>
  <c r="M27" i="5"/>
  <c r="L27" i="5"/>
  <c r="J27" i="5"/>
  <c r="I27" i="5"/>
  <c r="G27" i="5"/>
  <c r="F27" i="5"/>
  <c r="D27" i="5"/>
  <c r="AW26" i="5"/>
  <c r="AV26" i="5"/>
  <c r="AT26" i="5"/>
  <c r="AS26" i="5"/>
  <c r="AQ26" i="5"/>
  <c r="AP26" i="5"/>
  <c r="AN26" i="5"/>
  <c r="AM26" i="5"/>
  <c r="AK26" i="5"/>
  <c r="AJ26" i="5"/>
  <c r="AH26" i="5"/>
  <c r="AG26" i="5"/>
  <c r="AE26" i="5"/>
  <c r="AD26" i="5"/>
  <c r="AB26" i="5"/>
  <c r="AA26" i="5"/>
  <c r="Y26" i="5"/>
  <c r="X26" i="5"/>
  <c r="V26" i="5"/>
  <c r="U26" i="5"/>
  <c r="S26" i="5"/>
  <c r="R26" i="5"/>
  <c r="P26" i="5"/>
  <c r="O26" i="5"/>
  <c r="M26" i="5"/>
  <c r="L26" i="5"/>
  <c r="J26" i="5"/>
  <c r="I26" i="5"/>
  <c r="G26" i="5"/>
  <c r="F26" i="5"/>
  <c r="D26" i="5"/>
  <c r="AW25" i="5"/>
  <c r="AV25" i="5"/>
  <c r="AT25" i="5"/>
  <c r="AS25" i="5"/>
  <c r="AQ25" i="5"/>
  <c r="AP25" i="5"/>
  <c r="AN25" i="5"/>
  <c r="AM25" i="5"/>
  <c r="AK25" i="5"/>
  <c r="AJ25" i="5"/>
  <c r="AH25" i="5"/>
  <c r="AG25" i="5"/>
  <c r="AE25" i="5"/>
  <c r="AD25" i="5"/>
  <c r="AB25" i="5"/>
  <c r="AA25" i="5"/>
  <c r="Y25" i="5"/>
  <c r="X25" i="5"/>
  <c r="V25" i="5"/>
  <c r="U25" i="5"/>
  <c r="S25" i="5"/>
  <c r="R25" i="5"/>
  <c r="P25" i="5"/>
  <c r="O25" i="5"/>
  <c r="M25" i="5"/>
  <c r="L25" i="5"/>
  <c r="J25" i="5"/>
  <c r="I25" i="5"/>
  <c r="G25" i="5"/>
  <c r="F25" i="5"/>
  <c r="D25" i="5"/>
  <c r="AW24" i="5"/>
  <c r="AV24" i="5"/>
  <c r="AT24" i="5"/>
  <c r="AS24" i="5"/>
  <c r="AQ24" i="5"/>
  <c r="AP24" i="5"/>
  <c r="AN24" i="5"/>
  <c r="AM24" i="5"/>
  <c r="AK24" i="5"/>
  <c r="AJ24" i="5"/>
  <c r="AH24" i="5"/>
  <c r="AG24" i="5"/>
  <c r="AE24" i="5"/>
  <c r="AD24" i="5"/>
  <c r="AB24" i="5"/>
  <c r="AA24" i="5"/>
  <c r="Y24" i="5"/>
  <c r="X24" i="5"/>
  <c r="V24" i="5"/>
  <c r="U24" i="5"/>
  <c r="S24" i="5"/>
  <c r="R24" i="5"/>
  <c r="P24" i="5"/>
  <c r="O24" i="5"/>
  <c r="M24" i="5"/>
  <c r="L24" i="5"/>
  <c r="J24" i="5"/>
  <c r="I24" i="5"/>
  <c r="G24" i="5"/>
  <c r="F24" i="5"/>
  <c r="D24" i="5"/>
  <c r="AW23" i="5"/>
  <c r="AV23" i="5"/>
  <c r="AT23" i="5"/>
  <c r="AS23" i="5"/>
  <c r="AQ23" i="5"/>
  <c r="AP23" i="5"/>
  <c r="AN23" i="5"/>
  <c r="AM23" i="5"/>
  <c r="AK23" i="5"/>
  <c r="AJ23" i="5"/>
  <c r="AH23" i="5"/>
  <c r="AG23" i="5"/>
  <c r="AE23" i="5"/>
  <c r="AD23" i="5"/>
  <c r="AB23" i="5"/>
  <c r="AA23" i="5"/>
  <c r="Y23" i="5"/>
  <c r="X23" i="5"/>
  <c r="V23" i="5"/>
  <c r="U23" i="5"/>
  <c r="S23" i="5"/>
  <c r="R23" i="5"/>
  <c r="P23" i="5"/>
  <c r="O23" i="5"/>
  <c r="M23" i="5"/>
  <c r="L23" i="5"/>
  <c r="J23" i="5"/>
  <c r="I23" i="5"/>
  <c r="G23" i="5"/>
  <c r="F23" i="5"/>
  <c r="D23" i="5"/>
  <c r="C28" i="5"/>
  <c r="C27" i="5"/>
  <c r="C26" i="5"/>
  <c r="E26" i="5" s="1"/>
  <c r="C25" i="5"/>
  <c r="C24" i="5"/>
  <c r="C23" i="5"/>
  <c r="AS16" i="5"/>
  <c r="AW21" i="5"/>
  <c r="AW20" i="5"/>
  <c r="AW19" i="5"/>
  <c r="AW18" i="5"/>
  <c r="AW17" i="5"/>
  <c r="AW16" i="5"/>
  <c r="AT21" i="5"/>
  <c r="AT20" i="5"/>
  <c r="AT19" i="5"/>
  <c r="AT18" i="5"/>
  <c r="AT17" i="5"/>
  <c r="AT16" i="5"/>
  <c r="AQ21" i="5"/>
  <c r="AQ20" i="5"/>
  <c r="AQ19" i="5"/>
  <c r="AQ18" i="5"/>
  <c r="AQ17" i="5"/>
  <c r="AQ16" i="5"/>
  <c r="AN21" i="5"/>
  <c r="AN20" i="5"/>
  <c r="AN19" i="5"/>
  <c r="AN18" i="5"/>
  <c r="AN17" i="5"/>
  <c r="AN16" i="5"/>
  <c r="AK21" i="5"/>
  <c r="AK20" i="5"/>
  <c r="AK19" i="5"/>
  <c r="AK18" i="5"/>
  <c r="AK17" i="5"/>
  <c r="AK16" i="5"/>
  <c r="AH21" i="5"/>
  <c r="AH20" i="5"/>
  <c r="AH19" i="5"/>
  <c r="AH18" i="5"/>
  <c r="AH17" i="5"/>
  <c r="AH16" i="5"/>
  <c r="AE21" i="5"/>
  <c r="AE20" i="5"/>
  <c r="AE19" i="5"/>
  <c r="AE18" i="5"/>
  <c r="AE17" i="5"/>
  <c r="AE16" i="5"/>
  <c r="AB21" i="5"/>
  <c r="AB20" i="5"/>
  <c r="AB19" i="5"/>
  <c r="AB18" i="5"/>
  <c r="AB17" i="5"/>
  <c r="AB16" i="5"/>
  <c r="Y21" i="5"/>
  <c r="Y20" i="5"/>
  <c r="Y19" i="5"/>
  <c r="Y18" i="5"/>
  <c r="Y17" i="5"/>
  <c r="Y16" i="5"/>
  <c r="V21" i="5"/>
  <c r="V20" i="5"/>
  <c r="V19" i="5"/>
  <c r="V18" i="5"/>
  <c r="V17" i="5"/>
  <c r="V16" i="5"/>
  <c r="S21" i="5"/>
  <c r="S20" i="5"/>
  <c r="S19" i="5"/>
  <c r="S18" i="5"/>
  <c r="S17" i="5"/>
  <c r="S16" i="5"/>
  <c r="P21" i="5"/>
  <c r="P20" i="5"/>
  <c r="P19" i="5"/>
  <c r="P18" i="5"/>
  <c r="P17" i="5"/>
  <c r="P16" i="5"/>
  <c r="M21" i="5"/>
  <c r="M20" i="5"/>
  <c r="M19" i="5"/>
  <c r="M18" i="5"/>
  <c r="M17" i="5"/>
  <c r="M16" i="5"/>
  <c r="J21" i="5"/>
  <c r="J20" i="5"/>
  <c r="J19" i="5"/>
  <c r="J18" i="5"/>
  <c r="J17" i="5"/>
  <c r="J16" i="5"/>
  <c r="G21" i="5"/>
  <c r="G20" i="5"/>
  <c r="G19" i="5"/>
  <c r="G18" i="5"/>
  <c r="G17" i="5"/>
  <c r="G16" i="5"/>
  <c r="D21" i="5"/>
  <c r="D20" i="5"/>
  <c r="D19" i="5"/>
  <c r="D18" i="5"/>
  <c r="D17" i="5"/>
  <c r="D16" i="5"/>
  <c r="AV21" i="5"/>
  <c r="AV20" i="5"/>
  <c r="AV19" i="5"/>
  <c r="AV18" i="5"/>
  <c r="AX18" i="5" s="1"/>
  <c r="AV17" i="5"/>
  <c r="AX17" i="5" s="1"/>
  <c r="AV16" i="5"/>
  <c r="AX16" i="5" s="1"/>
  <c r="AS21" i="5"/>
  <c r="AU21" i="5" s="1"/>
  <c r="AS20" i="5"/>
  <c r="AS19" i="5"/>
  <c r="AU19" i="5" s="1"/>
  <c r="AS18" i="5"/>
  <c r="AS17" i="5"/>
  <c r="AP21" i="5"/>
  <c r="AP20" i="5"/>
  <c r="AP19" i="5"/>
  <c r="AP18" i="5"/>
  <c r="AP17" i="5"/>
  <c r="AP16" i="5"/>
  <c r="AM21" i="5"/>
  <c r="AM20" i="5"/>
  <c r="AM19" i="5"/>
  <c r="AM18" i="5"/>
  <c r="AM17" i="5"/>
  <c r="AM16" i="5"/>
  <c r="AJ21" i="5"/>
  <c r="AJ20" i="5"/>
  <c r="AJ19" i="5"/>
  <c r="AJ18" i="5"/>
  <c r="AJ17" i="5"/>
  <c r="AJ16" i="5"/>
  <c r="AG21" i="5"/>
  <c r="AG20" i="5"/>
  <c r="AG19" i="5"/>
  <c r="AG18" i="5"/>
  <c r="AG17" i="5"/>
  <c r="AG16" i="5"/>
  <c r="AD21" i="5"/>
  <c r="AD20" i="5"/>
  <c r="AD19" i="5"/>
  <c r="AD18" i="5"/>
  <c r="AD17" i="5"/>
  <c r="AD16" i="5"/>
  <c r="AA21" i="5"/>
  <c r="AA20" i="5"/>
  <c r="AA19" i="5"/>
  <c r="AA18" i="5"/>
  <c r="AA17" i="5"/>
  <c r="AA16" i="5"/>
  <c r="X21" i="5"/>
  <c r="X20" i="5"/>
  <c r="X19" i="5"/>
  <c r="X18" i="5"/>
  <c r="X17" i="5"/>
  <c r="X16" i="5"/>
  <c r="U21" i="5"/>
  <c r="U20" i="5"/>
  <c r="U19" i="5"/>
  <c r="U18" i="5"/>
  <c r="U17" i="5"/>
  <c r="U16" i="5"/>
  <c r="R21" i="5"/>
  <c r="R20" i="5"/>
  <c r="R19" i="5"/>
  <c r="R18" i="5"/>
  <c r="R17" i="5"/>
  <c r="R16" i="5"/>
  <c r="O21" i="5"/>
  <c r="O20" i="5"/>
  <c r="O19" i="5"/>
  <c r="O18" i="5"/>
  <c r="O17" i="5"/>
  <c r="O16" i="5"/>
  <c r="L21" i="5"/>
  <c r="L20" i="5"/>
  <c r="L19" i="5"/>
  <c r="L18" i="5"/>
  <c r="L17" i="5"/>
  <c r="L16" i="5"/>
  <c r="I21" i="5"/>
  <c r="I20" i="5"/>
  <c r="I19" i="5"/>
  <c r="I18" i="5"/>
  <c r="I17" i="5"/>
  <c r="I16" i="5"/>
  <c r="F21" i="5"/>
  <c r="F20" i="5"/>
  <c r="F19" i="5"/>
  <c r="F18" i="5"/>
  <c r="F17" i="5"/>
  <c r="F16" i="5"/>
  <c r="C21" i="5"/>
  <c r="C20" i="5"/>
  <c r="C19" i="5"/>
  <c r="C18" i="5"/>
  <c r="C17" i="5"/>
  <c r="C16" i="5"/>
  <c r="AU18" i="5" l="1"/>
  <c r="E37" i="5"/>
  <c r="E46" i="5"/>
  <c r="AX21" i="5"/>
  <c r="AU20" i="5"/>
  <c r="AX20" i="5"/>
  <c r="AF42" i="5"/>
  <c r="AU17" i="5"/>
  <c r="AX19" i="5"/>
  <c r="N35" i="5"/>
  <c r="Z35" i="5"/>
  <c r="AC37" i="5"/>
  <c r="H39" i="5"/>
  <c r="T39" i="5"/>
  <c r="AF39" i="5"/>
  <c r="AR39" i="5"/>
  <c r="Q37" i="5"/>
  <c r="AO37" i="5"/>
  <c r="N16" i="5"/>
  <c r="T20" i="5"/>
  <c r="AL16" i="5"/>
  <c r="H20" i="5"/>
  <c r="Z16" i="5"/>
  <c r="E18" i="5"/>
  <c r="Q18" i="5"/>
  <c r="AC18" i="5"/>
  <c r="AR20" i="5"/>
  <c r="H24" i="5"/>
  <c r="T24" i="5"/>
  <c r="AF24" i="5"/>
  <c r="AR24" i="5"/>
  <c r="K26" i="5"/>
  <c r="W26" i="5"/>
  <c r="AI26" i="5"/>
  <c r="AU26" i="5"/>
  <c r="N28" i="5"/>
  <c r="Z28" i="5"/>
  <c r="AL28" i="5"/>
  <c r="AX28" i="5"/>
  <c r="K36" i="5"/>
  <c r="W36" i="5"/>
  <c r="AI36" i="5"/>
  <c r="AU36" i="5"/>
  <c r="N38" i="5"/>
  <c r="Z38" i="5"/>
  <c r="AL38" i="5"/>
  <c r="Q40" i="5"/>
  <c r="AC40" i="5"/>
  <c r="AO40" i="5"/>
  <c r="H43" i="5"/>
  <c r="T43" i="5"/>
  <c r="K45" i="5"/>
  <c r="W45" i="5"/>
  <c r="AI45" i="5"/>
  <c r="AU45" i="5"/>
  <c r="N47" i="5"/>
  <c r="Z47" i="5"/>
  <c r="AL47" i="5"/>
  <c r="AX47" i="5"/>
  <c r="E16" i="5"/>
  <c r="K20" i="5"/>
  <c r="Q16" i="5"/>
  <c r="T18" i="5"/>
  <c r="W20" i="5"/>
  <c r="AC16" i="5"/>
  <c r="AF18" i="5"/>
  <c r="AI20" i="5"/>
  <c r="AO16" i="5"/>
  <c r="AR18" i="5"/>
  <c r="AC28" i="5"/>
  <c r="N36" i="5"/>
  <c r="Z13" i="5"/>
  <c r="AC14" i="5"/>
  <c r="H18" i="5"/>
  <c r="AF14" i="5"/>
  <c r="Z11" i="5"/>
  <c r="E28" i="5"/>
  <c r="E40" i="5"/>
  <c r="K37" i="5"/>
  <c r="Z18" i="5"/>
  <c r="AU39" i="5"/>
  <c r="T35" i="5"/>
  <c r="W37" i="5"/>
  <c r="AI37" i="5"/>
  <c r="AU37" i="5"/>
  <c r="N39" i="5"/>
  <c r="Z39" i="5"/>
  <c r="AL39" i="5"/>
  <c r="AX39" i="5"/>
  <c r="K46" i="5"/>
  <c r="H17" i="5"/>
  <c r="K19" i="5"/>
  <c r="N21" i="5"/>
  <c r="T17" i="5"/>
  <c r="AR14" i="5"/>
  <c r="E20" i="5"/>
  <c r="K16" i="5"/>
  <c r="N18" i="5"/>
  <c r="Q20" i="5"/>
  <c r="W16" i="5"/>
  <c r="AC20" i="5"/>
  <c r="AI16" i="5"/>
  <c r="AL18" i="5"/>
  <c r="AO20" i="5"/>
  <c r="Z36" i="5"/>
  <c r="AL36" i="5"/>
  <c r="AX36" i="5"/>
  <c r="H40" i="5"/>
  <c r="T40" i="5"/>
  <c r="AF40" i="5"/>
  <c r="AR40" i="5"/>
  <c r="K43" i="5"/>
  <c r="W43" i="5"/>
  <c r="AI43" i="5"/>
  <c r="AU43" i="5"/>
  <c r="N45" i="5"/>
  <c r="Z45" i="5"/>
  <c r="AL45" i="5"/>
  <c r="AX45" i="5"/>
  <c r="Q47" i="5"/>
  <c r="AC47" i="5"/>
  <c r="AO47" i="5"/>
  <c r="E36" i="5"/>
  <c r="E45" i="5"/>
  <c r="Z10" i="5"/>
  <c r="N24" i="5"/>
  <c r="Z24" i="5"/>
  <c r="AL24" i="5"/>
  <c r="AX24" i="5"/>
  <c r="Q26" i="5"/>
  <c r="AC26" i="5"/>
  <c r="AO26" i="5"/>
  <c r="H28" i="5"/>
  <c r="T28" i="5"/>
  <c r="AF28" i="5"/>
  <c r="AR28" i="5"/>
  <c r="Q36" i="5"/>
  <c r="AC36" i="5"/>
  <c r="AO36" i="5"/>
  <c r="H38" i="5"/>
  <c r="T38" i="5"/>
  <c r="AF38" i="5"/>
  <c r="AR38" i="5"/>
  <c r="K40" i="5"/>
  <c r="W40" i="5"/>
  <c r="N43" i="5"/>
  <c r="Z43" i="5"/>
  <c r="AL43" i="5"/>
  <c r="AX43" i="5"/>
  <c r="Q45" i="5"/>
  <c r="AC45" i="5"/>
  <c r="AO45" i="5"/>
  <c r="H47" i="5"/>
  <c r="T47" i="5"/>
  <c r="AF47" i="5"/>
  <c r="AR47" i="5"/>
  <c r="Z14" i="5"/>
  <c r="AI14" i="5"/>
  <c r="K18" i="5"/>
  <c r="T16" i="5"/>
  <c r="Z20" i="5"/>
  <c r="AI18" i="5"/>
  <c r="AL20" i="5"/>
  <c r="W19" i="5"/>
  <c r="Z21" i="5"/>
  <c r="AF17" i="5"/>
  <c r="AI19" i="5"/>
  <c r="AL21" i="5"/>
  <c r="AR17" i="5"/>
  <c r="H23" i="5"/>
  <c r="T23" i="5"/>
  <c r="AF23" i="5"/>
  <c r="AR23" i="5"/>
  <c r="K25" i="5"/>
  <c r="W25" i="5"/>
  <c r="AI25" i="5"/>
  <c r="AU25" i="5"/>
  <c r="N27" i="5"/>
  <c r="Z27" i="5"/>
  <c r="AL27" i="5"/>
  <c r="AX27" i="5"/>
  <c r="E43" i="5"/>
  <c r="K35" i="5"/>
  <c r="W35" i="5"/>
  <c r="AI35" i="5"/>
  <c r="AU35" i="5"/>
  <c r="N37" i="5"/>
  <c r="Z37" i="5"/>
  <c r="AL37" i="5"/>
  <c r="AX37" i="5"/>
  <c r="Q39" i="5"/>
  <c r="AC39" i="5"/>
  <c r="AO39" i="5"/>
  <c r="H42" i="5"/>
  <c r="T42" i="5"/>
  <c r="AR42" i="5"/>
  <c r="K44" i="5"/>
  <c r="AU44" i="5"/>
  <c r="N46" i="5"/>
  <c r="Z46" i="5"/>
  <c r="AL46" i="5"/>
  <c r="AX46" i="5"/>
  <c r="E17" i="5"/>
  <c r="Q17" i="5"/>
  <c r="W21" i="5"/>
  <c r="AI21" i="5"/>
  <c r="E24" i="5"/>
  <c r="AO17" i="5"/>
  <c r="AO18" i="5"/>
  <c r="H19" i="5"/>
  <c r="K21" i="5"/>
  <c r="T19" i="5"/>
  <c r="AC17" i="5"/>
  <c r="AF19" i="5"/>
  <c r="AR19" i="5"/>
  <c r="AF20" i="5"/>
  <c r="E38" i="5"/>
  <c r="E47" i="5"/>
  <c r="H37" i="5"/>
  <c r="T37" i="5"/>
  <c r="AF37" i="5"/>
  <c r="AR37" i="5"/>
  <c r="K39" i="5"/>
  <c r="W39" i="5"/>
  <c r="AI39" i="5"/>
  <c r="AX42" i="5"/>
  <c r="E27" i="5"/>
  <c r="Q24" i="5"/>
  <c r="AC24" i="5"/>
  <c r="AO24" i="5"/>
  <c r="H26" i="5"/>
  <c r="T26" i="5"/>
  <c r="AF26" i="5"/>
  <c r="AR26" i="5"/>
  <c r="K28" i="5"/>
  <c r="AI28" i="5"/>
  <c r="AU28" i="5"/>
  <c r="E39" i="5"/>
  <c r="H36" i="5"/>
  <c r="T36" i="5"/>
  <c r="AF36" i="5"/>
  <c r="AR36" i="5"/>
  <c r="K38" i="5"/>
  <c r="W38" i="5"/>
  <c r="AI38" i="5"/>
  <c r="AU38" i="5"/>
  <c r="N40" i="5"/>
  <c r="Z40" i="5"/>
  <c r="AL40" i="5"/>
  <c r="AX40" i="5"/>
  <c r="Q43" i="5"/>
  <c r="AC43" i="5"/>
  <c r="AO43" i="5"/>
  <c r="H45" i="5"/>
  <c r="T45" i="5"/>
  <c r="AF45" i="5"/>
  <c r="AR45" i="5"/>
  <c r="K47" i="5"/>
  <c r="W47" i="5"/>
  <c r="AI47" i="5"/>
  <c r="AU47" i="5"/>
  <c r="AL14" i="5"/>
  <c r="H16" i="5"/>
  <c r="N20" i="5"/>
  <c r="W18" i="5"/>
  <c r="AF16" i="5"/>
  <c r="AR16" i="5"/>
  <c r="E21" i="5"/>
  <c r="K17" i="5"/>
  <c r="N19" i="5"/>
  <c r="Q21" i="5"/>
  <c r="W17" i="5"/>
  <c r="Z19" i="5"/>
  <c r="AC21" i="5"/>
  <c r="AI17" i="5"/>
  <c r="AL19" i="5"/>
  <c r="AO21" i="5"/>
  <c r="Q23" i="5"/>
  <c r="AC23" i="5"/>
  <c r="AO23" i="5"/>
  <c r="H25" i="5"/>
  <c r="T25" i="5"/>
  <c r="AF25" i="5"/>
  <c r="AR25" i="5"/>
  <c r="K27" i="5"/>
  <c r="W27" i="5"/>
  <c r="AI27" i="5"/>
  <c r="AU27" i="5"/>
  <c r="H35" i="5"/>
  <c r="AF35" i="5"/>
  <c r="AR35" i="5"/>
  <c r="Q42" i="5"/>
  <c r="AC42" i="5"/>
  <c r="AO42" i="5"/>
  <c r="H44" i="5"/>
  <c r="T44" i="5"/>
  <c r="AF44" i="5"/>
  <c r="AR44" i="5"/>
  <c r="W46" i="5"/>
  <c r="AI46" i="5"/>
  <c r="AU46" i="5"/>
  <c r="Z12" i="5"/>
  <c r="AO14" i="5"/>
  <c r="AX38" i="5"/>
  <c r="AF43" i="5"/>
  <c r="AR43" i="5"/>
  <c r="AU16" i="5"/>
  <c r="W44" i="5"/>
  <c r="AI44" i="5"/>
  <c r="E23" i="5"/>
  <c r="K24" i="5"/>
  <c r="W24" i="5"/>
  <c r="AI24" i="5"/>
  <c r="AU24" i="5"/>
  <c r="N26" i="5"/>
  <c r="Z26" i="5"/>
  <c r="AL26" i="5"/>
  <c r="AX26" i="5"/>
  <c r="Q28" i="5"/>
  <c r="AO28" i="5"/>
  <c r="E35" i="5"/>
  <c r="E44" i="5"/>
  <c r="Q38" i="5"/>
  <c r="AC38" i="5"/>
  <c r="AO38" i="5"/>
  <c r="AU14" i="5"/>
  <c r="K23" i="5"/>
  <c r="AI23" i="5"/>
  <c r="AU23" i="5"/>
  <c r="N25" i="5"/>
  <c r="Z25" i="5"/>
  <c r="AL25" i="5"/>
  <c r="AX25" i="5"/>
  <c r="Q27" i="5"/>
  <c r="AC27" i="5"/>
  <c r="AO27" i="5"/>
  <c r="AL35" i="5"/>
  <c r="AX35" i="5"/>
  <c r="K42" i="5"/>
  <c r="W42" i="5"/>
  <c r="AI42" i="5"/>
  <c r="AU42" i="5"/>
  <c r="N44" i="5"/>
  <c r="Z44" i="5"/>
  <c r="AL44" i="5"/>
  <c r="AX44" i="5"/>
  <c r="Q46" i="5"/>
  <c r="AC46" i="5"/>
  <c r="AO46" i="5"/>
  <c r="E25" i="5"/>
  <c r="AI40" i="5"/>
  <c r="AU40" i="5"/>
  <c r="E19" i="5"/>
  <c r="H21" i="5"/>
  <c r="N17" i="5"/>
  <c r="Q19" i="5"/>
  <c r="Z17" i="5"/>
  <c r="AC19" i="5"/>
  <c r="AF21" i="5"/>
  <c r="AL17" i="5"/>
  <c r="AO19" i="5"/>
  <c r="AR21" i="5"/>
  <c r="N23" i="5"/>
  <c r="Z23" i="5"/>
  <c r="AL23" i="5"/>
  <c r="AX23" i="5"/>
  <c r="Q25" i="5"/>
  <c r="AC25" i="5"/>
  <c r="AO25" i="5"/>
  <c r="H27" i="5"/>
  <c r="T27" i="5"/>
  <c r="AF27" i="5"/>
  <c r="AR27" i="5"/>
  <c r="Q35" i="5"/>
  <c r="AC35" i="5"/>
  <c r="AO35" i="5"/>
  <c r="N42" i="5"/>
  <c r="Z42" i="5"/>
  <c r="AL42" i="5"/>
  <c r="Q44" i="5"/>
  <c r="AC44" i="5"/>
  <c r="AO44" i="5"/>
  <c r="H46" i="5"/>
  <c r="T46" i="5"/>
  <c r="AF46" i="5"/>
  <c r="AR46" i="5"/>
  <c r="W23" i="5"/>
  <c r="W28" i="5"/>
  <c r="T21" i="5"/>
</calcChain>
</file>

<file path=xl/comments1.xml><?xml version="1.0" encoding="utf-8"?>
<comments xmlns="http://schemas.openxmlformats.org/spreadsheetml/2006/main">
  <authors>
    <author>Ana Rita Geraldo de Caguerelho</author>
    <author>João Ricardo Galhardo Almeida Costa</author>
  </authors>
  <commentList>
    <comment ref="Z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- 18M do montante foi para Non EU
- Não está a ser considerado o universo de adjudicados ainda</t>
        </r>
      </text>
    </comment>
    <comment ref="AF14" authorId="0" shapeId="0">
      <text>
        <r>
          <rPr>
            <sz val="9"/>
            <color indexed="81"/>
            <rFont val="Tahoma"/>
            <family val="2"/>
          </rPr>
          <t>Ajuste na fórmula que estava a considerar erradamente os "Sem dados" do EP score e não do EPC (transversal a todas as células desta linha)</t>
        </r>
      </text>
    </comment>
    <comment ref="T16" authorId="1" shapeId="0">
      <text>
        <r>
          <rPr>
            <sz val="9"/>
            <color indexed="81"/>
            <rFont val="Tahoma"/>
            <family val="2"/>
          </rPr>
          <t>Alteração/atualização de consumos associados aos bens</t>
        </r>
      </text>
    </comment>
    <comment ref="E17" authorId="1" shapeId="0">
      <text>
        <r>
          <rPr>
            <sz val="9"/>
            <color indexed="81"/>
            <rFont val="Tahoma"/>
            <family val="2"/>
          </rPr>
          <t xml:space="preserve">Inclusão de contratos anteriormente excluídos devido ao arredondamento do valor LTV. 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(+2.9M)</t>
        </r>
      </text>
    </comment>
    <comment ref="AI20" authorId="0" shapeId="0">
      <text>
        <r>
          <rPr>
            <b/>
            <sz val="9"/>
            <color indexed="81"/>
            <rFont val="Tahoma"/>
            <family val="2"/>
          </rPr>
          <t>3 casuisticas:</t>
        </r>
        <r>
          <rPr>
            <sz val="9"/>
            <color indexed="81"/>
            <rFont val="Tahoma"/>
            <family val="2"/>
          </rPr>
          <t xml:space="preserve">
- alteração de EPC associado aos bens (+82M no total)
- inclusão de contratos com dt_maturity sem qualidade de dados (ex.debt securities) (+2.9M no total)
- inclusão de contratos anteriormente excluidos devido ao facto do arredondamento da maturidade ser igual a 5 (+117M)</t>
        </r>
      </text>
    </comment>
    <comment ref="AL20" authorId="0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(+29M)</t>
        </r>
      </text>
    </comment>
    <comment ref="AX20" authorId="0" shapeId="0">
      <text>
        <r>
          <rPr>
            <sz val="9"/>
            <color indexed="81"/>
            <rFont val="Tahoma"/>
            <family val="2"/>
          </rPr>
          <t>Efeito do aumento de exposição associado aos casos de maturidade arredondado a 5 que saíam (+163M) + efeito da variação dos EPCs</t>
        </r>
      </text>
    </comment>
    <comment ref="Z23" authorId="0" shapeId="0">
      <text>
        <r>
          <rPr>
            <sz val="9"/>
            <color indexed="81"/>
            <rFont val="Tahoma"/>
            <family val="2"/>
          </rPr>
          <t>Correção na forma como estavamos a calcular as médias de ltv</t>
        </r>
      </text>
    </comment>
    <comment ref="E24" authorId="1" shapeId="0">
      <text>
        <r>
          <rPr>
            <sz val="9"/>
            <color indexed="81"/>
            <rFont val="Tahoma"/>
            <family val="2"/>
          </rPr>
          <t>Inclusão de contratos anteriormente excluídos devido ao arredondamento do valor LTV.</t>
        </r>
      </text>
    </comment>
    <comment ref="H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Q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</t>
        </r>
      </text>
    </comment>
    <comment ref="T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</t>
        </r>
      </text>
    </comment>
    <comment ref="E25" authorId="1" shapeId="0">
      <text>
        <r>
          <rPr>
            <sz val="9"/>
            <color indexed="81"/>
            <rFont val="Tahoma"/>
            <family val="2"/>
          </rPr>
          <t>Exclusão de contratos anteriormete incluídos devido ao arredondamento do valor LTV</t>
        </r>
      </text>
    </comment>
    <comment ref="T27" authorId="1" shapeId="0">
      <text>
        <r>
          <rPr>
            <sz val="9"/>
            <color indexed="81"/>
            <rFont val="Tahoma"/>
            <family val="2"/>
          </rPr>
          <t>Para garantias residenciais com consumo &lt;=500 tinhamos consumos, mas devido ao arrendondamento dos anos de maturidade não estávamos a considerar estes casos antes</t>
        </r>
      </text>
    </comment>
    <comment ref="W27" authorId="1" shapeId="0">
      <text>
        <r>
          <rPr>
            <sz val="9"/>
            <color indexed="81"/>
            <rFont val="Tahoma"/>
            <family val="2"/>
          </rPr>
          <t>Alteração/atualização de consumos associado aos bens. Antes não existiam consumos &gt;500 para garantias residenciais.</t>
        </r>
      </text>
    </comment>
    <comment ref="B29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</t>
        </r>
      </text>
    </comment>
  </commentList>
</comments>
</file>

<file path=xl/comments2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comments3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<sst xmlns="http://schemas.openxmlformats.org/spreadsheetml/2006/main" count="551" uniqueCount="182">
  <si>
    <t>Métrica</t>
  </si>
  <si>
    <t>Casuística</t>
  </si>
  <si>
    <t>Montante</t>
  </si>
  <si>
    <t>Previous_year_ep_score</t>
  </si>
  <si>
    <t>Previous_year_epc_label</t>
  </si>
  <si>
    <t>European_union</t>
  </si>
  <si>
    <t>EPC_label</t>
  </si>
  <si>
    <t>EP_score</t>
  </si>
  <si>
    <t>Atualização dos certificados tabela da property</t>
  </si>
  <si>
    <t>Alteração de marcação do país do colateral</t>
  </si>
  <si>
    <t>Antes era A agora é B</t>
  </si>
  <si>
    <t>Antes era A agora é C</t>
  </si>
  <si>
    <t>Antes era A agora é E</t>
  </si>
  <si>
    <t>Antes era A agora é D</t>
  </si>
  <si>
    <t>Antes era A agora é F</t>
  </si>
  <si>
    <t>Antes era A agora é G</t>
  </si>
  <si>
    <t>Antes era B agora é A</t>
  </si>
  <si>
    <t>Antes era C agora é A</t>
  </si>
  <si>
    <t>Antes era D agora é A</t>
  </si>
  <si>
    <t>Antes era F agora é A</t>
  </si>
  <si>
    <t>Antes era E agora é A</t>
  </si>
  <si>
    <t>Antes era G agora é A</t>
  </si>
  <si>
    <t>Antes era C agora é B</t>
  </si>
  <si>
    <t>Antes era D agora é B</t>
  </si>
  <si>
    <t>Antes era E agora é B</t>
  </si>
  <si>
    <t>Antes era F agora é B</t>
  </si>
  <si>
    <t>Antes era G agora é B</t>
  </si>
  <si>
    <t>A</t>
  </si>
  <si>
    <t>B</t>
  </si>
  <si>
    <t>Antes era B agora é C</t>
  </si>
  <si>
    <t>Antes era D agora é C</t>
  </si>
  <si>
    <t>Antes era E agora é C</t>
  </si>
  <si>
    <t>Antes era F agora é C</t>
  </si>
  <si>
    <t>Antes era G agora é C</t>
  </si>
  <si>
    <t>C</t>
  </si>
  <si>
    <t>Antes era B agora é D</t>
  </si>
  <si>
    <t>Antes era C agora é D</t>
  </si>
  <si>
    <t>Antes era E agora é D</t>
  </si>
  <si>
    <t>Antes era F agora é D</t>
  </si>
  <si>
    <t>Antes era G agora é D</t>
  </si>
  <si>
    <t>D</t>
  </si>
  <si>
    <t>E</t>
  </si>
  <si>
    <t>Antes era B agora é E</t>
  </si>
  <si>
    <t>Antes era C agora é E</t>
  </si>
  <si>
    <t>Antes era D agora é E</t>
  </si>
  <si>
    <t>Antes era F agora é E</t>
  </si>
  <si>
    <t>Antes era G agora é E</t>
  </si>
  <si>
    <t>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</si>
  <si>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</si>
  <si>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</si>
  <si>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</si>
  <si>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</si>
  <si>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</si>
  <si>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B agora é G</t>
  </si>
  <si>
    <t>Antes era C agora é G</t>
  </si>
  <si>
    <t>Antes era D agora é G</t>
  </si>
  <si>
    <t>Antes era F agora é G</t>
  </si>
  <si>
    <t>Antes era E agora é G</t>
  </si>
  <si>
    <t>G</t>
  </si>
  <si>
    <t>Sem dados</t>
  </si>
  <si>
    <t>Antes era 'Sem dados' agora é D</t>
  </si>
  <si>
    <t>Antes era A agora é Sem dados</t>
  </si>
  <si>
    <t>Antes era B agora é Sem dados</t>
  </si>
  <si>
    <t>Antes era C agora é Sem dados</t>
  </si>
  <si>
    <t>Antes era D agora é Sem dados</t>
  </si>
  <si>
    <t>Antes era F agora é Sem dados</t>
  </si>
  <si>
    <t>Antes era E agora é Sem dados</t>
  </si>
  <si>
    <t>Antes era G agora é Sem dados</t>
  </si>
  <si>
    <t>menor_100</t>
  </si>
  <si>
    <t>Antes era menor_200 agora é menor_100</t>
  </si>
  <si>
    <t>Antes era menor_200 agora é menor_300</t>
  </si>
  <si>
    <t>Antes era menor_200 agora é menor_400</t>
  </si>
  <si>
    <t>Antes era menor_200 agora é menor_500</t>
  </si>
  <si>
    <t>Antes era menor_200 agora é maior_500</t>
  </si>
  <si>
    <t>Antes era menor_100 agora é menor_300</t>
  </si>
  <si>
    <t>Antes era menor_100 agora é menor_400</t>
  </si>
  <si>
    <t>Antes era menor_100 agora é menor_500</t>
  </si>
  <si>
    <t>Antes era menor_100 agora é maior_500</t>
  </si>
  <si>
    <t>Antes era menor_100 agora é menor_200</t>
  </si>
  <si>
    <t>Antes era maior_500 agora é menor_100</t>
  </si>
  <si>
    <t>Antes era menor_500 agora é menor_100</t>
  </si>
  <si>
    <t>Antes era menor_400 agora é menor_100</t>
  </si>
  <si>
    <t>Antes era menor_300 agora é menor_100</t>
  </si>
  <si>
    <t>menor_200</t>
  </si>
  <si>
    <t>menor_300</t>
  </si>
  <si>
    <t>menor_400</t>
  </si>
  <si>
    <t>menor_500</t>
  </si>
  <si>
    <t>maior_500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</si>
  <si>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</si>
  <si>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</si>
  <si>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</si>
  <si>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</si>
  <si>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menor_400 agora é menor_300</t>
  </si>
  <si>
    <t>Antes era menor_500 agora é menor_300</t>
  </si>
  <si>
    <t>Antes era maior_500 agora é menor_300</t>
  </si>
  <si>
    <t>Antes era menor_300 agora é menor_400</t>
  </si>
  <si>
    <t>Antes era menor_500 agora é menor_400</t>
  </si>
  <si>
    <t>Antes era maior_500 agora é menor_400</t>
  </si>
  <si>
    <t>Antes era menor_300 agora é menor_500</t>
  </si>
  <si>
    <t>Antes era menor_400 agora é menor_500</t>
  </si>
  <si>
    <t>Antes era maior_500 agora é menor_500</t>
  </si>
  <si>
    <t>Antes era menor_500 agora é maior_500</t>
  </si>
  <si>
    <t>Antes era menor_300 agora é maior_500</t>
  </si>
  <si>
    <t>Antes era menor_400 agora é maior_500</t>
  </si>
  <si>
    <t>Antes era 'Sem dados' agora é menor_200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</si>
  <si>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</si>
  <si>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</si>
  <si>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</si>
  <si>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</si>
  <si>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</si>
  <si>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</si>
  <si>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NULL</t>
  </si>
  <si>
    <t xml:space="preserve">Of which Collateral obtained by taking possession: residential and commercial immovable properties </t>
  </si>
  <si>
    <t>Of which Loans collateralised by residential immovable property</t>
  </si>
  <si>
    <t>Of which Loans collateralised by commercial immovable property</t>
  </si>
  <si>
    <t>Total non-EU area</t>
  </si>
  <si>
    <t>Total EU area</t>
  </si>
  <si>
    <t>∆</t>
  </si>
  <si>
    <t>Without EPC label of collateral</t>
  </si>
  <si>
    <t>&gt; 500</t>
  </si>
  <si>
    <t>&gt; 400; &lt;= 500</t>
  </si>
  <si>
    <t>&gt; 300; &lt;= 400</t>
  </si>
  <si>
    <t>&gt; 200; &lt;= 300</t>
  </si>
  <si>
    <t>&gt; 100; &lt;= 200</t>
  </si>
  <si>
    <t>0; &lt;= 100</t>
  </si>
  <si>
    <t xml:space="preserve">Exposição </t>
  </si>
  <si>
    <t>Level of energy efficiency (EPC label of collateral)</t>
  </si>
  <si>
    <t>Level of energy efficiency (EP score in kWh/m² of collateral)</t>
  </si>
  <si>
    <t>Counterparty sector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</si>
  <si>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</si>
  <si>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</si>
  <si>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</si>
  <si>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</si>
  <si>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</si>
  <si>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</si>
  <si>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</si>
  <si>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</si>
  <si>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</si>
  <si>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</si>
  <si>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</si>
  <si>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</si>
  <si>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</si>
  <si>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</si>
  <si>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</si>
  <si>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</si>
  <si>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Template 2: Banking book - Climate change transition risk: Loans collateralised by immovable property - Energy efficiency of the collateral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</si>
  <si>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</si>
  <si>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</si>
  <si>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</si>
  <si>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</si>
  <si>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</si>
  <si>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</si>
  <si>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Commercial immovable property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</si>
  <si>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</si>
  <si>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</si>
  <si>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</si>
  <si>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</si>
  <si>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</si>
  <si>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</si>
  <si>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</si>
  <si>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Without EP score of collateral</t>
  </si>
  <si>
    <t>Of which Level of energy efficiency (EP score in kWh/m² and EPC label of collateral) estimated</t>
  </si>
  <si>
    <t>1-REAL</t>
  </si>
  <si>
    <t>7-SIN DATO</t>
  </si>
  <si>
    <t>EU-area</t>
  </si>
  <si>
    <t>SANTANDER</t>
  </si>
  <si>
    <t>Non EU-area</t>
  </si>
  <si>
    <t>q</t>
  </si>
  <si>
    <t>r</t>
  </si>
  <si>
    <t xml:space="preserve">Total gross carrying amount (EUR) - except averages </t>
  </si>
  <si>
    <t>Without EP score in kWh/m² of collateral</t>
  </si>
  <si>
    <t>Of which level of energy efficiency (EP score in kWh/m² of collateral) estimated [%]</t>
  </si>
  <si>
    <t>Of which level of energy efficiency (EPC label of collateral) estimated [%]</t>
  </si>
  <si>
    <t>Garantia Comercial</t>
  </si>
  <si>
    <t>Garantia Residencial</t>
  </si>
  <si>
    <t>Stock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</si>
  <si>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</si>
  <si>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</si>
  <si>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</si>
  <si>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</si>
  <si>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atualizações GLOVAL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</si>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</sst>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u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24">
    <xf numFmtId="0" fontId="0" fillId="0" borderId="0" xfId="0"/>
    <xf numFmtId="4" fontId="0" fillId="0" borderId="0" xfId="0" applyNumberFormat="1"/>
    <xf numFmtId="4" fontId="0" fillId="0" borderId="13" xfId="0" applyNumberFormat="1" applyBorder="1"/>
    <xf numFmtId="4" fontId="4" fillId="0" borderId="13" xfId="0" applyNumberFormat="1" applyFont="1" applyBorder="1"/>
    <xf numFmtId="0" fontId="4" fillId="0" borderId="13" xfId="0" applyFont="1" applyBorder="1" applyAlignment="1">
      <alignment wrapText="1"/>
    </xf>
    <xf numFmtId="17" fontId="6" fillId="2" borderId="13" xfId="0" applyNumberFormat="1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13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8" fillId="3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8" fillId="4" borderId="0" xfId="2" applyFont="1" applyFill="1" applyAlignment="1">
      <alignment horizontal="centerContinuous" vertical="center"/>
    </xf>
    <xf numFmtId="0" fontId="9" fillId="4" borderId="0" xfId="2" applyFont="1" applyFill="1" applyAlignment="1">
      <alignment horizontal="centerContinuous" vertical="center"/>
    </xf>
    <xf numFmtId="0" fontId="10" fillId="0" borderId="23" xfId="0" applyFont="1" applyFill="1" applyBorder="1" applyAlignment="1" applyProtection="1">
      <alignment horizontal="left" indent="1"/>
    </xf>
    <xf numFmtId="0" fontId="10" fillId="0" borderId="24" xfId="0" applyFont="1" applyFill="1" applyBorder="1" applyAlignment="1" applyProtection="1">
      <alignment horizontal="left" indent="1"/>
    </xf>
    <xf numFmtId="0" fontId="14" fillId="0" borderId="25" xfId="0" applyFont="1" applyBorder="1" applyAlignment="1"/>
    <xf numFmtId="0" fontId="14" fillId="0" borderId="26" xfId="0" applyFont="1" applyBorder="1" applyAlignment="1"/>
    <xf numFmtId="0" fontId="14" fillId="0" borderId="27" xfId="0" applyFont="1" applyBorder="1" applyAlignment="1"/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0" fillId="0" borderId="13" xfId="0" applyBorder="1" applyAlignment="1">
      <alignment horizontal="left" indent="1"/>
    </xf>
    <xf numFmtId="0" fontId="0" fillId="0" borderId="25" xfId="0" applyFont="1" applyBorder="1" applyAlignment="1">
      <alignment horizontal="left" wrapText="1" indent="1"/>
    </xf>
    <xf numFmtId="0" fontId="10" fillId="5" borderId="0" xfId="0" applyFont="1" applyFill="1" applyProtection="1"/>
    <xf numFmtId="0" fontId="3" fillId="7" borderId="0" xfId="0" applyFont="1" applyFill="1"/>
    <xf numFmtId="0" fontId="10" fillId="5" borderId="0" xfId="0" applyFont="1" applyFill="1" applyAlignment="1" applyProtection="1">
      <alignment vertical="center"/>
    </xf>
    <xf numFmtId="0" fontId="3" fillId="0" borderId="0" xfId="0" applyFont="1"/>
    <xf numFmtId="0" fontId="12" fillId="5" borderId="0" xfId="0" applyFont="1" applyFill="1" applyAlignment="1" applyProtection="1">
      <alignment horizontal="left"/>
    </xf>
    <xf numFmtId="0" fontId="10" fillId="5" borderId="1" xfId="0" applyFont="1" applyFill="1" applyBorder="1" applyAlignment="1" applyProtection="1">
      <alignment horizontal="center"/>
    </xf>
    <xf numFmtId="0" fontId="10" fillId="5" borderId="22" xfId="0" applyFont="1" applyFill="1" applyBorder="1" applyAlignment="1" applyProtection="1">
      <alignment vertical="center" wrapText="1"/>
    </xf>
    <xf numFmtId="0" fontId="11" fillId="5" borderId="0" xfId="0" applyFont="1" applyFill="1" applyAlignment="1" applyProtection="1">
      <alignment horizontal="center" vertical="center" wrapText="1"/>
    </xf>
    <xf numFmtId="0" fontId="10" fillId="5" borderId="20" xfId="0" applyFont="1" applyFill="1" applyBorder="1" applyAlignment="1" applyProtection="1">
      <alignment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0" fillId="5" borderId="14" xfId="0" applyFont="1" applyFill="1" applyBorder="1" applyAlignment="1" applyProtection="1">
      <alignment vertical="center" wrapText="1"/>
    </xf>
    <xf numFmtId="0" fontId="11" fillId="5" borderId="14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4" xfId="0" applyFont="1" applyFill="1" applyBorder="1" applyAlignment="1" applyProtection="1">
      <alignment horizontal="left" vertical="center" wrapText="1"/>
    </xf>
    <xf numFmtId="0" fontId="11" fillId="5" borderId="14" xfId="0" applyFont="1" applyFill="1" applyBorder="1" applyAlignment="1" applyProtection="1">
      <alignment vertical="center" wrapText="1"/>
    </xf>
    <xf numFmtId="0" fontId="10" fillId="5" borderId="1" xfId="0" applyFont="1" applyFill="1" applyBorder="1" applyAlignment="1" applyProtection="1">
      <alignment vertical="center" wrapText="1"/>
    </xf>
    <xf numFmtId="0" fontId="15" fillId="5" borderId="14" xfId="0" applyFont="1" applyFill="1" applyBorder="1" applyAlignment="1" applyProtection="1">
      <alignment vertical="center" wrapText="1"/>
    </xf>
    <xf numFmtId="3" fontId="11" fillId="2" borderId="1" xfId="0" applyNumberFormat="1" applyFont="1" applyFill="1" applyBorder="1" applyAlignment="1" applyProtection="1">
      <alignment horizontal="center" vertical="center"/>
    </xf>
    <xf numFmtId="3" fontId="11" fillId="8" borderId="14" xfId="0" applyNumberFormat="1" applyFont="1" applyFill="1" applyBorder="1" applyAlignment="1" applyProtection="1">
      <alignment horizontal="center" vertical="center" wrapText="1"/>
    </xf>
    <xf numFmtId="9" fontId="11" fillId="8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/>
    <xf numFmtId="0" fontId="10" fillId="5" borderId="1" xfId="0" applyFont="1" applyFill="1" applyBorder="1" applyAlignment="1" applyProtection="1">
      <alignment horizontal="left" indent="1"/>
    </xf>
    <xf numFmtId="0" fontId="16" fillId="7" borderId="0" xfId="0" applyFont="1" applyFill="1"/>
    <xf numFmtId="0" fontId="10" fillId="5" borderId="20" xfId="0" applyFont="1" applyFill="1" applyBorder="1" applyAlignment="1" applyProtection="1">
      <alignment horizontal="left" indent="1"/>
    </xf>
    <xf numFmtId="3" fontId="11" fillId="8" borderId="20" xfId="0" applyNumberFormat="1" applyFont="1" applyFill="1" applyBorder="1" applyAlignment="1" applyProtection="1">
      <alignment horizontal="center" vertical="center" wrapText="1"/>
    </xf>
    <xf numFmtId="9" fontId="11" fillId="8" borderId="20" xfId="0" applyNumberFormat="1" applyFont="1" applyFill="1" applyBorder="1" applyAlignment="1" applyProtection="1">
      <alignment horizontal="center" vertical="center" wrapText="1"/>
    </xf>
    <xf numFmtId="3" fontId="11" fillId="8" borderId="14" xfId="0" applyNumberFormat="1" applyFont="1" applyFill="1" applyBorder="1" applyAlignment="1">
      <alignment horizontal="center"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</xf>
    <xf numFmtId="10" fontId="11" fillId="6" borderId="1" xfId="0" applyNumberFormat="1" applyFont="1" applyFill="1" applyBorder="1" applyAlignment="1" applyProtection="1">
      <alignment horizontal="center" vertical="center" wrapText="1"/>
    </xf>
    <xf numFmtId="3" fontId="11" fillId="8" borderId="1" xfId="0" applyNumberFormat="1" applyFont="1" applyFill="1" applyBorder="1" applyAlignment="1" applyProtection="1">
      <alignment horizontal="center" vertical="center" wrapText="1"/>
    </xf>
    <xf numFmtId="2" fontId="11" fillId="8" borderId="1" xfId="0" applyNumberFormat="1" applyFont="1" applyFill="1" applyBorder="1" applyAlignment="1" applyProtection="1">
      <alignment horizontal="center" vertical="center" wrapText="1"/>
    </xf>
    <xf numFmtId="0" fontId="15" fillId="0" borderId="14" xfId="0" applyFont="1" applyFill="1" applyBorder="1" applyAlignment="1" applyProtection="1">
      <alignment vertical="center" wrapText="1"/>
    </xf>
    <xf numFmtId="0" fontId="11" fillId="8" borderId="14" xfId="0" applyFont="1" applyFill="1" applyBorder="1" applyAlignment="1" applyProtection="1">
      <alignment horizontal="center" vertical="center" wrapText="1"/>
      <protection locked="0"/>
    </xf>
    <xf numFmtId="10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left" indent="1"/>
    </xf>
    <xf numFmtId="0" fontId="17" fillId="5" borderId="0" xfId="0" applyFont="1" applyFill="1" applyProtection="1"/>
    <xf numFmtId="0" fontId="10" fillId="0" borderId="14" xfId="0" applyFont="1" applyFill="1" applyBorder="1" applyAlignment="1" applyProtection="1">
      <alignment horizontal="left" indent="1"/>
    </xf>
    <xf numFmtId="0" fontId="10" fillId="5" borderId="0" xfId="0" applyFont="1" applyFill="1" applyBorder="1" applyAlignment="1" applyProtection="1">
      <alignment horizontal="center"/>
    </xf>
    <xf numFmtId="0" fontId="10" fillId="5" borderId="0" xfId="0" applyFont="1" applyFill="1" applyBorder="1" applyAlignment="1" applyProtection="1">
      <alignment horizontal="left"/>
    </xf>
    <xf numFmtId="0" fontId="11" fillId="5" borderId="0" xfId="0" applyFont="1" applyFill="1" applyBorder="1" applyAlignment="1" applyProtection="1">
      <alignment horizontal="center" vertical="center" wrapText="1"/>
      <protection locked="0"/>
    </xf>
    <xf numFmtId="10" fontId="11" fillId="5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Border="1" applyAlignment="1" applyProtection="1">
      <alignment horizontal="left"/>
    </xf>
    <xf numFmtId="3" fontId="18" fillId="5" borderId="0" xfId="0" applyNumberFormat="1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Border="1" applyAlignment="1" applyProtection="1">
      <alignment horizontal="center" vertical="top"/>
    </xf>
    <xf numFmtId="0" fontId="11" fillId="5" borderId="22" xfId="0" applyFont="1" applyFill="1" applyBorder="1" applyAlignment="1" applyProtection="1">
      <alignment horizontal="center" vertical="center" wrapText="1"/>
    </xf>
    <xf numFmtId="0" fontId="10" fillId="5" borderId="18" xfId="0" applyFont="1" applyFill="1" applyBorder="1" applyAlignment="1" applyProtection="1">
      <alignment horizontal="center"/>
    </xf>
    <xf numFmtId="0" fontId="11" fillId="5" borderId="19" xfId="0" applyFont="1" applyFill="1" applyBorder="1" applyAlignment="1" applyProtection="1">
      <alignment horizontal="center" vertical="center" wrapText="1"/>
    </xf>
    <xf numFmtId="3" fontId="17" fillId="5" borderId="0" xfId="0" applyNumberFormat="1" applyFont="1" applyFill="1" applyProtection="1"/>
    <xf numFmtId="0" fontId="10" fillId="5" borderId="0" xfId="0" applyFont="1" applyFill="1" applyAlignment="1" applyProtection="1">
      <alignment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 vertical="center" wrapText="1"/>
      <protection locked="0"/>
    </xf>
    <xf numFmtId="4" fontId="0" fillId="0" borderId="13" xfId="0" applyNumberFormat="1" applyFont="1" applyBorder="1"/>
    <xf numFmtId="0" fontId="0" fillId="0" borderId="0" xfId="0" applyFont="1"/>
    <xf numFmtId="10" fontId="0" fillId="0" borderId="13" xfId="1" applyNumberFormat="1" applyFont="1" applyBorder="1"/>
    <xf numFmtId="4" fontId="0" fillId="9" borderId="13" xfId="0" applyNumberFormat="1" applyFill="1" applyBorder="1"/>
    <xf numFmtId="4" fontId="4" fillId="9" borderId="13" xfId="0" applyNumberFormat="1" applyFont="1" applyFill="1" applyBorder="1"/>
    <xf numFmtId="4" fontId="0" fillId="9" borderId="13" xfId="0" applyNumberFormat="1" applyFont="1" applyFill="1" applyBorder="1"/>
    <xf numFmtId="164" fontId="4" fillId="9" borderId="13" xfId="0" applyNumberFormat="1" applyFont="1" applyFill="1" applyBorder="1"/>
    <xf numFmtId="164" fontId="0" fillId="9" borderId="13" xfId="0" applyNumberFormat="1" applyFont="1" applyFill="1" applyBorder="1"/>
    <xf numFmtId="4" fontId="0" fillId="0" borderId="13" xfId="0" applyNumberFormat="1" applyFont="1" applyFill="1" applyBorder="1"/>
    <xf numFmtId="4" fontId="0" fillId="0" borderId="13" xfId="0" applyNumberFormat="1" applyFill="1" applyBorder="1"/>
    <xf numFmtId="4" fontId="0" fillId="10" borderId="13" xfId="0" applyNumberFormat="1" applyFill="1" applyBorder="1"/>
    <xf numFmtId="10" fontId="0" fillId="10" borderId="13" xfId="1" applyNumberFormat="1" applyFont="1" applyFill="1" applyBorder="1"/>
    <xf numFmtId="0" fontId="21" fillId="11" borderId="2" xfId="0" applyFont="1" applyFill="1" applyBorder="1" applyAlignment="1">
      <alignment horizontal="center"/>
    </xf>
    <xf numFmtId="0" fontId="21" fillId="11" borderId="3" xfId="0" applyFont="1" applyFill="1" applyBorder="1" applyAlignment="1">
      <alignment horizontal="center"/>
    </xf>
    <xf numFmtId="0" fontId="21" fillId="11" borderId="4" xfId="0" applyFont="1" applyFill="1" applyBorder="1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22" fillId="0" borderId="5" xfId="0" applyFont="1" applyBorder="1"/>
    <xf numFmtId="0" fontId="23" fillId="0" borderId="6" xfId="0" applyFont="1" applyBorder="1"/>
    <xf numFmtId="4" fontId="23" fillId="0" borderId="7" xfId="0" applyNumberFormat="1" applyFont="1" applyBorder="1"/>
    <xf numFmtId="0" fontId="23" fillId="0" borderId="6" xfId="0" applyFont="1" applyBorder="1" applyAlignment="1">
      <alignment horizontal="left" indent="1"/>
    </xf>
    <xf numFmtId="0" fontId="22" fillId="0" borderId="29" xfId="0" applyFont="1" applyBorder="1" applyAlignment="1">
      <alignment horizontal="left" vertical="center"/>
    </xf>
    <xf numFmtId="0" fontId="23" fillId="0" borderId="8" xfId="0" applyFont="1" applyBorder="1"/>
    <xf numFmtId="4" fontId="23" fillId="0" borderId="9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10" fontId="0" fillId="0" borderId="13" xfId="1" applyNumberFormat="1" applyFont="1" applyFill="1" applyBorder="1"/>
    <xf numFmtId="4" fontId="0" fillId="10" borderId="13" xfId="0" applyNumberFormat="1" applyFont="1" applyFill="1" applyBorder="1"/>
    <xf numFmtId="0" fontId="4" fillId="10" borderId="13" xfId="0" applyFont="1" applyFill="1" applyBorder="1" applyAlignment="1">
      <alignment wrapText="1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1" fillId="5" borderId="28" xfId="0" applyFont="1" applyFill="1" applyBorder="1" applyAlignment="1" applyProtection="1">
      <alignment horizontal="center" vertical="center" wrapText="1"/>
      <protection locked="0"/>
    </xf>
    <xf numFmtId="0" fontId="11" fillId="5" borderId="16" xfId="0" applyFont="1" applyFill="1" applyBorder="1" applyAlignment="1" applyProtection="1">
      <alignment horizontal="center" vertical="center" wrapText="1"/>
    </xf>
    <xf numFmtId="0" fontId="11" fillId="5" borderId="2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9" xfId="0" applyFont="1" applyFill="1" applyBorder="1" applyAlignment="1" applyProtection="1">
      <alignment horizontal="center" vertical="center" wrapText="1"/>
    </xf>
    <xf numFmtId="0" fontId="11" fillId="5" borderId="18" xfId="0" applyFont="1" applyFill="1" applyBorder="1" applyAlignment="1" applyProtection="1">
      <alignment horizontal="center" vertical="center" wrapText="1"/>
    </xf>
    <xf numFmtId="0" fontId="11" fillId="5" borderId="17" xfId="0" applyFont="1" applyFill="1" applyBorder="1" applyAlignment="1" applyProtection="1">
      <alignment horizontal="center" vertical="center" wrapText="1"/>
    </xf>
    <xf numFmtId="4" fontId="13" fillId="5" borderId="19" xfId="0" applyNumberFormat="1" applyFont="1" applyFill="1" applyBorder="1" applyAlignment="1" applyProtection="1">
      <alignment horizontal="left" vertical="center"/>
    </xf>
    <xf numFmtId="4" fontId="13" fillId="5" borderId="18" xfId="0" applyNumberFormat="1" applyFont="1" applyFill="1" applyBorder="1" applyAlignment="1" applyProtection="1">
      <alignment horizontal="left" vertical="center"/>
    </xf>
    <xf numFmtId="4" fontId="13" fillId="5" borderId="17" xfId="0" applyNumberFormat="1" applyFont="1" applyFill="1" applyBorder="1" applyAlignment="1" applyProtection="1">
      <alignment horizontal="left" vertical="center"/>
    </xf>
    <xf numFmtId="0" fontId="13" fillId="0" borderId="19" xfId="0" applyFont="1" applyFill="1" applyBorder="1" applyAlignment="1" applyProtection="1">
      <alignment horizontal="left" vertical="center"/>
    </xf>
    <xf numFmtId="0" fontId="13" fillId="0" borderId="18" xfId="0" applyFont="1" applyFill="1" applyBorder="1" applyAlignment="1" applyProtection="1">
      <alignment horizontal="left" vertical="center"/>
    </xf>
    <xf numFmtId="0" fontId="13" fillId="0" borderId="17" xfId="0" applyFont="1" applyFill="1" applyBorder="1" applyAlignment="1" applyProtection="1">
      <alignment horizontal="left" vertical="center"/>
    </xf>
    <xf numFmtId="0" fontId="13" fillId="5" borderId="19" xfId="0" applyFont="1" applyFill="1" applyBorder="1" applyAlignment="1" applyProtection="1">
      <alignment horizontal="left" vertical="center"/>
    </xf>
    <xf numFmtId="0" fontId="13" fillId="5" borderId="18" xfId="0" applyFont="1" applyFill="1" applyBorder="1" applyAlignment="1" applyProtection="1">
      <alignment horizontal="left" vertical="center"/>
    </xf>
    <xf numFmtId="0" fontId="13" fillId="5" borderId="17" xfId="0" applyFont="1" applyFill="1" applyBorder="1" applyAlignment="1" applyProtection="1">
      <alignment horizontal="left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1227</xdr:colOff>
      <xdr:row>3</xdr:row>
      <xdr:rowOff>87707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9080" y="91440"/>
          <a:ext cx="1479507" cy="33916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1479507</xdr:colOff>
      <xdr:row>3</xdr:row>
      <xdr:rowOff>87707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9080" y="91440"/>
          <a:ext cx="1479507" cy="33916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4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0" defaultRowHeight="14.4" zeroHeight="1" outlineLevelRow="1" x14ac:dyDescent="0.3"/>
  <cols>
    <col min="1" max="1" width="3.77734375" customWidth="1"/>
    <col min="2" max="2" width="21.5546875" bestFit="1" customWidth="1"/>
    <col min="3" max="3" width="40" bestFit="1" customWidth="1"/>
    <col min="4" max="4" width="21.5546875" customWidth="1"/>
    <col min="5" max="5" width="3.77734375" style="91" customWidth="1"/>
    <col min="6" max="6" width="3.6640625" hidden="1" customWidth="1"/>
    <col min="7" max="16384" width="8.88671875" hidden="1"/>
  </cols>
  <sheetData>
    <row r="1" spans="1:5" ht="7.5" customHeight="1" x14ac:dyDescent="0.3">
      <c r="A1" s="11"/>
      <c r="B1" s="11"/>
      <c r="C1" s="11"/>
      <c r="D1" s="11"/>
      <c r="E1" s="11"/>
    </row>
    <row r="2" spans="1:5" ht="7.5" customHeight="1" x14ac:dyDescent="0.3">
      <c r="A2" s="13"/>
      <c r="B2" s="13"/>
      <c r="C2" s="13"/>
      <c r="D2" s="13"/>
      <c r="E2" s="13"/>
    </row>
    <row r="3" spans="1:5" ht="12.75" customHeight="1" x14ac:dyDescent="0.3">
      <c r="A3" s="12"/>
      <c r="B3" s="12"/>
      <c r="C3" s="12"/>
      <c r="D3" s="12"/>
      <c r="E3" s="12"/>
    </row>
    <row r="4" spans="1:5" ht="7.5" customHeight="1" x14ac:dyDescent="0.3">
      <c r="A4" s="11"/>
      <c r="B4" s="11"/>
      <c r="C4" s="11"/>
      <c r="D4" s="11"/>
      <c r="E4" s="11"/>
    </row>
    <row r="5" spans="1:5" ht="7.5" customHeight="1" x14ac:dyDescent="0.3">
      <c r="A5" s="11"/>
      <c r="B5" s="11"/>
      <c r="C5" s="11"/>
      <c r="D5" s="11"/>
      <c r="E5" s="11"/>
    </row>
    <row r="6" spans="1:5" ht="3" customHeight="1" x14ac:dyDescent="0.3">
      <c r="A6" s="10"/>
      <c r="B6" s="10"/>
      <c r="C6" s="10"/>
      <c r="D6" s="10"/>
      <c r="E6" s="10"/>
    </row>
    <row r="7" spans="1:5" s="77" customFormat="1" x14ac:dyDescent="0.3">
      <c r="E7" s="91"/>
    </row>
    <row r="8" spans="1:5" s="77" customFormat="1" x14ac:dyDescent="0.3">
      <c r="B8" s="88" t="s">
        <v>0</v>
      </c>
      <c r="C8" s="89" t="s">
        <v>1</v>
      </c>
      <c r="D8" s="90" t="s">
        <v>2</v>
      </c>
      <c r="E8" s="91"/>
    </row>
    <row r="9" spans="1:5" s="77" customFormat="1" x14ac:dyDescent="0.3">
      <c r="B9" s="93" t="s">
        <v>6</v>
      </c>
      <c r="C9" s="94" t="s">
        <v>8</v>
      </c>
      <c r="D9" s="95">
        <v>336733286.351717</v>
      </c>
      <c r="E9" s="91"/>
    </row>
    <row r="10" spans="1:5" s="77" customFormat="1" hidden="1" outlineLevel="1" x14ac:dyDescent="0.3">
      <c r="B10" s="105" t="s">
        <v>27</v>
      </c>
      <c r="C10" s="96" t="s">
        <v>16</v>
      </c>
      <c r="D10" s="95">
        <v>8201154.9400000004</v>
      </c>
      <c r="E10" s="92"/>
    </row>
    <row r="11" spans="1:5" s="77" customFormat="1" hidden="1" outlineLevel="1" x14ac:dyDescent="0.3">
      <c r="B11" s="106"/>
      <c r="C11" s="96" t="s">
        <v>17</v>
      </c>
      <c r="D11" s="95">
        <v>27617019.5102446</v>
      </c>
      <c r="E11" s="92"/>
    </row>
    <row r="12" spans="1:5" s="77" customFormat="1" hidden="1" outlineLevel="1" x14ac:dyDescent="0.3">
      <c r="B12" s="106"/>
      <c r="C12" s="96" t="s">
        <v>18</v>
      </c>
      <c r="D12" s="95">
        <v>33051637.359999999</v>
      </c>
      <c r="E12" s="91"/>
    </row>
    <row r="13" spans="1:5" s="77" customFormat="1" hidden="1" outlineLevel="1" x14ac:dyDescent="0.3">
      <c r="B13" s="106"/>
      <c r="C13" s="96" t="s">
        <v>20</v>
      </c>
      <c r="D13" s="95">
        <v>15249717.960000001</v>
      </c>
      <c r="E13" s="91"/>
    </row>
    <row r="14" spans="1:5" s="77" customFormat="1" hidden="1" outlineLevel="1" x14ac:dyDescent="0.3">
      <c r="B14" s="106"/>
      <c r="C14" s="96" t="s">
        <v>19</v>
      </c>
      <c r="D14" s="95">
        <v>14576645.140000001</v>
      </c>
      <c r="E14" s="91"/>
    </row>
    <row r="15" spans="1:5" s="77" customFormat="1" hidden="1" outlineLevel="1" x14ac:dyDescent="0.3">
      <c r="B15" s="107"/>
      <c r="C15" s="96" t="s">
        <v>21</v>
      </c>
      <c r="D15" s="95">
        <v>130808.94</v>
      </c>
      <c r="E15" s="91"/>
    </row>
    <row r="16" spans="1:5" s="77" customFormat="1" hidden="1" outlineLevel="1" x14ac:dyDescent="0.3">
      <c r="B16" s="105" t="s">
        <v>28</v>
      </c>
      <c r="C16" s="96" t="s">
        <v>10</v>
      </c>
      <c r="D16" s="95">
        <v>7101374.6992175998</v>
      </c>
      <c r="E16" s="91" t="s">
        <v>180</v>
      </c>
    </row>
    <row r="17" spans="2:5" s="77" customFormat="1" hidden="1" outlineLevel="1" x14ac:dyDescent="0.3">
      <c r="B17" s="106"/>
      <c r="C17" s="96" t="s">
        <v>22</v>
      </c>
      <c r="D17" s="95">
        <v>43621693.310883299</v>
      </c>
      <c r="E17" s="91"/>
    </row>
    <row r="18" spans="2:5" s="77" customFormat="1" hidden="1" outlineLevel="1" x14ac:dyDescent="0.3">
      <c r="B18" s="106"/>
      <c r="C18" s="96" t="s">
        <v>23</v>
      </c>
      <c r="D18" s="95">
        <v>19951301.955625799</v>
      </c>
      <c r="E18" s="91"/>
    </row>
    <row r="19" spans="2:5" s="77" customFormat="1" hidden="1" outlineLevel="1" x14ac:dyDescent="0.3">
      <c r="B19" s="106"/>
      <c r="C19" s="96" t="s">
        <v>24</v>
      </c>
      <c r="D19" s="95">
        <v>10045172.51</v>
      </c>
      <c r="E19" s="91"/>
    </row>
    <row r="20" spans="2:5" s="77" customFormat="1" hidden="1" outlineLevel="1" x14ac:dyDescent="0.3">
      <c r="B20" s="106"/>
      <c r="C20" s="96" t="s">
        <v>25</v>
      </c>
      <c r="D20" s="95">
        <v>6835478.75</v>
      </c>
      <c r="E20" s="91"/>
    </row>
    <row r="21" spans="2:5" s="77" customFormat="1" hidden="1" outlineLevel="1" x14ac:dyDescent="0.3">
      <c r="B21" s="107"/>
      <c r="C21" s="96" t="s">
        <v>26</v>
      </c>
      <c r="D21" s="95">
        <v>433251.01</v>
      </c>
      <c r="E21" s="91"/>
    </row>
    <row r="22" spans="2:5" s="77" customFormat="1" hidden="1" outlineLevel="1" x14ac:dyDescent="0.3">
      <c r="B22" s="105" t="s">
        <v>34</v>
      </c>
      <c r="C22" s="96" t="s">
        <v>11</v>
      </c>
      <c r="D22" s="95">
        <v>3973022.5121983299</v>
      </c>
      <c r="E22" s="91" t="s">
        <v>180</v>
      </c>
    </row>
    <row r="23" spans="2:5" s="77" customFormat="1" hidden="1" outlineLevel="1" x14ac:dyDescent="0.3">
      <c r="B23" s="106"/>
      <c r="C23" s="96" t="s">
        <v>29</v>
      </c>
      <c r="D23" s="95">
        <v>7609426.8442382803</v>
      </c>
      <c r="E23" s="91" t="s">
        <v>180</v>
      </c>
    </row>
    <row r="24" spans="2:5" s="77" customFormat="1" hidden="1" outlineLevel="1" x14ac:dyDescent="0.3">
      <c r="B24" s="106"/>
      <c r="C24" s="96" t="s">
        <v>30</v>
      </c>
      <c r="D24" s="95">
        <v>27387868.630245298</v>
      </c>
      <c r="E24" s="91"/>
    </row>
    <row r="25" spans="2:5" s="77" customFormat="1" hidden="1" outlineLevel="1" x14ac:dyDescent="0.3">
      <c r="B25" s="106"/>
      <c r="C25" s="96" t="s">
        <v>31</v>
      </c>
      <c r="D25" s="95">
        <v>8798801.4669140596</v>
      </c>
      <c r="E25" s="91"/>
    </row>
    <row r="26" spans="2:5" s="77" customFormat="1" hidden="1" outlineLevel="1" x14ac:dyDescent="0.3">
      <c r="B26" s="106"/>
      <c r="C26" s="96" t="s">
        <v>32</v>
      </c>
      <c r="D26" s="95">
        <v>3136827.9534089998</v>
      </c>
      <c r="E26" s="91"/>
    </row>
    <row r="27" spans="2:5" s="77" customFormat="1" hidden="1" outlineLevel="1" x14ac:dyDescent="0.3">
      <c r="B27" s="107"/>
      <c r="C27" s="96" t="s">
        <v>33</v>
      </c>
      <c r="D27" s="95">
        <v>239684.33</v>
      </c>
      <c r="E27" s="91"/>
    </row>
    <row r="28" spans="2:5" s="77" customFormat="1" hidden="1" outlineLevel="1" x14ac:dyDescent="0.3">
      <c r="B28" s="105" t="s">
        <v>40</v>
      </c>
      <c r="C28" s="96" t="s">
        <v>13</v>
      </c>
      <c r="D28" s="95">
        <v>3401058.26</v>
      </c>
      <c r="E28" s="91" t="s">
        <v>180</v>
      </c>
    </row>
    <row r="29" spans="2:5" s="77" customFormat="1" hidden="1" outlineLevel="1" x14ac:dyDescent="0.3">
      <c r="B29" s="106"/>
      <c r="C29" s="96" t="s">
        <v>35</v>
      </c>
      <c r="D29" s="95">
        <v>3964789.3650983898</v>
      </c>
      <c r="E29" s="91" t="s">
        <v>180</v>
      </c>
    </row>
    <row r="30" spans="2:5" s="77" customFormat="1" hidden="1" outlineLevel="1" x14ac:dyDescent="0.3">
      <c r="B30" s="106"/>
      <c r="C30" s="96" t="s">
        <v>36</v>
      </c>
      <c r="D30" s="95">
        <v>29827746.356943801</v>
      </c>
      <c r="E30" s="91" t="s">
        <v>180</v>
      </c>
    </row>
    <row r="31" spans="2:5" s="77" customFormat="1" hidden="1" outlineLevel="1" x14ac:dyDescent="0.3">
      <c r="B31" s="106"/>
      <c r="C31" s="96" t="s">
        <v>37</v>
      </c>
      <c r="D31" s="95">
        <v>6667194.2088691201</v>
      </c>
      <c r="E31" s="91"/>
    </row>
    <row r="32" spans="2:5" s="77" customFormat="1" hidden="1" outlineLevel="1" x14ac:dyDescent="0.3">
      <c r="B32" s="106"/>
      <c r="C32" s="96" t="s">
        <v>38</v>
      </c>
      <c r="D32" s="95">
        <v>2844654.68</v>
      </c>
      <c r="E32" s="91"/>
    </row>
    <row r="33" spans="2:5" s="77" customFormat="1" hidden="1" outlineLevel="1" x14ac:dyDescent="0.3">
      <c r="B33" s="106"/>
      <c r="C33" s="96" t="s">
        <v>39</v>
      </c>
      <c r="D33" s="95">
        <v>105618.16</v>
      </c>
      <c r="E33" s="91"/>
    </row>
    <row r="34" spans="2:5" s="77" customFormat="1" hidden="1" outlineLevel="1" x14ac:dyDescent="0.3">
      <c r="B34" s="107"/>
      <c r="C34" s="96" t="s">
        <v>60</v>
      </c>
      <c r="D34" s="95">
        <v>33194.76</v>
      </c>
      <c r="E34" s="91"/>
    </row>
    <row r="35" spans="2:5" s="77" customFormat="1" hidden="1" outlineLevel="1" x14ac:dyDescent="0.3">
      <c r="B35" s="105" t="s">
        <v>41</v>
      </c>
      <c r="C35" s="96" t="s">
        <v>12</v>
      </c>
      <c r="D35" s="95">
        <v>1420013.4</v>
      </c>
      <c r="E35" s="91" t="s">
        <v>180</v>
      </c>
    </row>
    <row r="36" spans="2:5" s="77" customFormat="1" hidden="1" outlineLevel="1" x14ac:dyDescent="0.3">
      <c r="B36" s="106"/>
      <c r="C36" s="96" t="s">
        <v>42</v>
      </c>
      <c r="D36" s="95">
        <v>1869955.93</v>
      </c>
      <c r="E36" s="91" t="s">
        <v>180</v>
      </c>
    </row>
    <row r="37" spans="2:5" s="77" customFormat="1" hidden="1" outlineLevel="1" x14ac:dyDescent="0.3">
      <c r="B37" s="106"/>
      <c r="C37" s="96" t="s">
        <v>43</v>
      </c>
      <c r="D37" s="95">
        <v>14013342.215</v>
      </c>
      <c r="E37" s="91" t="s">
        <v>180</v>
      </c>
    </row>
    <row r="38" spans="2:5" s="77" customFormat="1" hidden="1" outlineLevel="1" x14ac:dyDescent="0.3">
      <c r="B38" s="106"/>
      <c r="C38" s="96" t="s">
        <v>44</v>
      </c>
      <c r="D38" s="95">
        <v>14850419.6471928</v>
      </c>
      <c r="E38" s="91" t="s">
        <v>180</v>
      </c>
    </row>
    <row r="39" spans="2:5" s="77" customFormat="1" hidden="1" outlineLevel="1" x14ac:dyDescent="0.3">
      <c r="B39" s="106"/>
      <c r="C39" s="96" t="s">
        <v>45</v>
      </c>
      <c r="D39" s="95">
        <v>3556949.45</v>
      </c>
      <c r="E39" s="91"/>
    </row>
    <row r="40" spans="2:5" s="77" customFormat="1" hidden="1" outlineLevel="1" x14ac:dyDescent="0.3">
      <c r="B40" s="107"/>
      <c r="C40" s="96" t="s">
        <v>46</v>
      </c>
      <c r="D40" s="95">
        <v>0</v>
      </c>
      <c r="E40" s="91"/>
    </row>
    <row r="41" spans="2:5" s="77" customFormat="1" hidden="1" outlineLevel="1" x14ac:dyDescent="0.3">
      <c r="B41" s="105" t="s">
        <v>47</v>
      </c>
      <c r="C41" s="96" t="s">
        <v>14</v>
      </c>
      <c r="D41" s="95">
        <v>623482.32999999996</v>
      </c>
      <c r="E41" s="91" t="s">
        <v>180</v>
      </c>
    </row>
    <row r="42" spans="2:5" s="77" customFormat="1" hidden="1" outlineLevel="1" x14ac:dyDescent="0.3">
      <c r="B42" s="106"/>
      <c r="C42" s="96" t="s">
        <v>48</v>
      </c>
      <c r="D42" s="95">
        <v>1344742.59</v>
      </c>
      <c r="E42" s="91" t="s">
        <v>180</v>
      </c>
    </row>
    <row r="43" spans="2:5" s="77" customFormat="1" hidden="1" outlineLevel="1" x14ac:dyDescent="0.3">
      <c r="B43" s="106"/>
      <c r="C43" s="96" t="s">
        <v>49</v>
      </c>
      <c r="D43" s="95">
        <v>3670791.1642539599</v>
      </c>
      <c r="E43" s="91" t="s">
        <v>180</v>
      </c>
    </row>
    <row r="44" spans="2:5" s="77" customFormat="1" hidden="1" outlineLevel="1" x14ac:dyDescent="0.3">
      <c r="B44" s="106"/>
      <c r="C44" s="96" t="s">
        <v>50</v>
      </c>
      <c r="D44" s="95">
        <v>5571150.1100000003</v>
      </c>
      <c r="E44" s="91" t="s">
        <v>180</v>
      </c>
    </row>
    <row r="45" spans="2:5" s="77" customFormat="1" hidden="1" outlineLevel="1" x14ac:dyDescent="0.3">
      <c r="B45" s="106"/>
      <c r="C45" s="96" t="s">
        <v>51</v>
      </c>
      <c r="D45" s="95">
        <v>3869773.6860223599</v>
      </c>
      <c r="E45" s="91" t="s">
        <v>180</v>
      </c>
    </row>
    <row r="46" spans="2:5" s="77" customFormat="1" hidden="1" outlineLevel="1" x14ac:dyDescent="0.3">
      <c r="B46" s="107"/>
      <c r="C46" s="96" t="s">
        <v>52</v>
      </c>
      <c r="D46" s="95">
        <v>0</v>
      </c>
      <c r="E46" s="91"/>
    </row>
    <row r="47" spans="2:5" s="77" customFormat="1" hidden="1" outlineLevel="1" x14ac:dyDescent="0.3">
      <c r="B47" s="105" t="s">
        <v>58</v>
      </c>
      <c r="C47" s="96" t="s">
        <v>15</v>
      </c>
      <c r="D47" s="95">
        <v>0</v>
      </c>
      <c r="E47" s="91"/>
    </row>
    <row r="48" spans="2:5" s="77" customFormat="1" hidden="1" outlineLevel="1" x14ac:dyDescent="0.3">
      <c r="B48" s="106"/>
      <c r="C48" s="96" t="s">
        <v>53</v>
      </c>
      <c r="D48" s="95">
        <v>0</v>
      </c>
      <c r="E48" s="91"/>
    </row>
    <row r="49" spans="2:5" s="77" customFormat="1" hidden="1" outlineLevel="1" x14ac:dyDescent="0.3">
      <c r="B49" s="106"/>
      <c r="C49" s="96" t="s">
        <v>54</v>
      </c>
      <c r="D49" s="95">
        <v>156136.76999999999</v>
      </c>
      <c r="E49" s="91" t="s">
        <v>180</v>
      </c>
    </row>
    <row r="50" spans="2:5" s="77" customFormat="1" hidden="1" outlineLevel="1" x14ac:dyDescent="0.3">
      <c r="B50" s="106"/>
      <c r="C50" s="96" t="s">
        <v>55</v>
      </c>
      <c r="D50" s="95">
        <v>104285.98</v>
      </c>
      <c r="E50" s="91" t="s">
        <v>180</v>
      </c>
    </row>
    <row r="51" spans="2:5" s="77" customFormat="1" hidden="1" outlineLevel="1" x14ac:dyDescent="0.3">
      <c r="B51" s="106"/>
      <c r="C51" s="96" t="s">
        <v>56</v>
      </c>
      <c r="D51" s="95">
        <v>0</v>
      </c>
      <c r="E51" s="91"/>
    </row>
    <row r="52" spans="2:5" s="77" customFormat="1" hidden="1" outlineLevel="1" x14ac:dyDescent="0.3">
      <c r="B52" s="107"/>
      <c r="C52" s="96" t="s">
        <v>57</v>
      </c>
      <c r="D52" s="95">
        <v>0</v>
      </c>
      <c r="E52" s="91"/>
    </row>
    <row r="53" spans="2:5" s="77" customFormat="1" hidden="1" outlineLevel="1" x14ac:dyDescent="0.3">
      <c r="B53" s="105" t="s">
        <v>59</v>
      </c>
      <c r="C53" s="96" t="s">
        <v>61</v>
      </c>
      <c r="D53" s="95">
        <v>0</v>
      </c>
      <c r="E53" s="91"/>
    </row>
    <row r="54" spans="2:5" s="77" customFormat="1" hidden="1" outlineLevel="1" x14ac:dyDescent="0.3">
      <c r="B54" s="106"/>
      <c r="C54" s="96" t="s">
        <v>62</v>
      </c>
      <c r="D54" s="95">
        <v>0</v>
      </c>
      <c r="E54" s="91"/>
    </row>
    <row r="55" spans="2:5" s="77" customFormat="1" hidden="1" outlineLevel="1" x14ac:dyDescent="0.3">
      <c r="B55" s="106"/>
      <c r="C55" s="96" t="s">
        <v>63</v>
      </c>
      <c r="D55" s="95">
        <v>16169.5653599875</v>
      </c>
      <c r="E55" s="91"/>
    </row>
    <row r="56" spans="2:5" s="77" customFormat="1" hidden="1" outlineLevel="1" x14ac:dyDescent="0.3">
      <c r="B56" s="106"/>
      <c r="C56" s="96" t="s">
        <v>64</v>
      </c>
      <c r="D56" s="95">
        <v>64785.59</v>
      </c>
      <c r="E56" s="91"/>
    </row>
    <row r="57" spans="2:5" s="77" customFormat="1" hidden="1" outlineLevel="1" x14ac:dyDescent="0.3">
      <c r="B57" s="106"/>
      <c r="C57" s="96" t="s">
        <v>66</v>
      </c>
      <c r="D57" s="95">
        <v>796144.31</v>
      </c>
      <c r="E57" s="91"/>
    </row>
    <row r="58" spans="2:5" s="77" customFormat="1" hidden="1" outlineLevel="1" x14ac:dyDescent="0.3">
      <c r="B58" s="106"/>
      <c r="C58" s="96" t="s">
        <v>65</v>
      </c>
      <c r="D58" s="95">
        <v>0</v>
      </c>
      <c r="E58" s="91"/>
    </row>
    <row r="59" spans="2:5" s="77" customFormat="1" hidden="1" outlineLevel="1" x14ac:dyDescent="0.3">
      <c r="B59" s="107"/>
      <c r="C59" s="96" t="s">
        <v>67</v>
      </c>
      <c r="D59" s="95">
        <v>0</v>
      </c>
      <c r="E59" s="91"/>
    </row>
    <row r="60" spans="2:5" s="77" customFormat="1" collapsed="1" x14ac:dyDescent="0.3">
      <c r="B60" s="93" t="s">
        <v>7</v>
      </c>
      <c r="C60" s="94" t="s">
        <v>8</v>
      </c>
      <c r="D60" s="95">
        <v>10025810874.629601</v>
      </c>
      <c r="E60" s="91"/>
    </row>
    <row r="61" spans="2:5" s="77" customFormat="1" hidden="1" outlineLevel="1" x14ac:dyDescent="0.3">
      <c r="B61" s="105" t="s">
        <v>68</v>
      </c>
      <c r="C61" s="96" t="s">
        <v>69</v>
      </c>
      <c r="D61" s="95">
        <v>175071799.08843899</v>
      </c>
      <c r="E61" s="91"/>
    </row>
    <row r="62" spans="2:5" s="77" customFormat="1" hidden="1" outlineLevel="1" x14ac:dyDescent="0.3">
      <c r="B62" s="106"/>
      <c r="C62" s="96" t="s">
        <v>82</v>
      </c>
      <c r="D62" s="95">
        <v>45201479.827824302</v>
      </c>
      <c r="E62" s="91"/>
    </row>
    <row r="63" spans="2:5" s="77" customFormat="1" hidden="1" outlineLevel="1" x14ac:dyDescent="0.3">
      <c r="B63" s="106"/>
      <c r="C63" s="96" t="s">
        <v>81</v>
      </c>
      <c r="D63" s="95">
        <v>1677257.17</v>
      </c>
      <c r="E63" s="91"/>
    </row>
    <row r="64" spans="2:5" s="77" customFormat="1" hidden="1" outlineLevel="1" x14ac:dyDescent="0.3">
      <c r="B64" s="106"/>
      <c r="C64" s="96" t="s">
        <v>80</v>
      </c>
      <c r="D64" s="95">
        <v>0</v>
      </c>
      <c r="E64" s="91"/>
    </row>
    <row r="65" spans="2:5" s="77" customFormat="1" hidden="1" outlineLevel="1" x14ac:dyDescent="0.3">
      <c r="B65" s="107"/>
      <c r="C65" s="96" t="s">
        <v>79</v>
      </c>
      <c r="D65" s="95">
        <v>0</v>
      </c>
      <c r="E65" s="91"/>
    </row>
    <row r="66" spans="2:5" s="77" customFormat="1" hidden="1" outlineLevel="1" x14ac:dyDescent="0.3">
      <c r="B66" s="105" t="s">
        <v>83</v>
      </c>
      <c r="C66" s="96" t="s">
        <v>78</v>
      </c>
      <c r="D66" s="95">
        <v>284336138.76024997</v>
      </c>
      <c r="E66" s="91"/>
    </row>
    <row r="67" spans="2:5" s="77" customFormat="1" hidden="1" outlineLevel="1" x14ac:dyDescent="0.3">
      <c r="B67" s="106"/>
      <c r="C67" s="96" t="s">
        <v>88</v>
      </c>
      <c r="D67" s="95">
        <v>19388611.531820402</v>
      </c>
      <c r="E67" s="91"/>
    </row>
    <row r="68" spans="2:5" s="77" customFormat="1" hidden="1" outlineLevel="1" x14ac:dyDescent="0.3">
      <c r="B68" s="106"/>
      <c r="C68" s="96" t="s">
        <v>89</v>
      </c>
      <c r="D68" s="95">
        <v>1030944.8</v>
      </c>
      <c r="E68" s="91"/>
    </row>
    <row r="69" spans="2:5" s="77" customFormat="1" hidden="1" outlineLevel="1" x14ac:dyDescent="0.3">
      <c r="B69" s="106"/>
      <c r="C69" s="96" t="s">
        <v>90</v>
      </c>
      <c r="D69" s="95">
        <v>0</v>
      </c>
      <c r="E69" s="91"/>
    </row>
    <row r="70" spans="2:5" s="77" customFormat="1" hidden="1" outlineLevel="1" x14ac:dyDescent="0.3">
      <c r="B70" s="106"/>
      <c r="C70" s="96" t="s">
        <v>91</v>
      </c>
      <c r="D70" s="95">
        <v>0</v>
      </c>
      <c r="E70" s="91"/>
    </row>
    <row r="71" spans="2:5" s="77" customFormat="1" hidden="1" outlineLevel="1" x14ac:dyDescent="0.3">
      <c r="B71" s="107"/>
      <c r="C71" s="96" t="s">
        <v>104</v>
      </c>
      <c r="D71" s="95">
        <v>33194.76</v>
      </c>
      <c r="E71" s="91"/>
    </row>
    <row r="72" spans="2:5" s="77" customFormat="1" hidden="1" outlineLevel="1" x14ac:dyDescent="0.3">
      <c r="B72" s="105" t="s">
        <v>84</v>
      </c>
      <c r="C72" s="96" t="s">
        <v>74</v>
      </c>
      <c r="D72" s="95">
        <v>72216538.133876696</v>
      </c>
      <c r="E72" s="91"/>
    </row>
    <row r="73" spans="2:5" s="77" customFormat="1" hidden="1" outlineLevel="1" x14ac:dyDescent="0.3">
      <c r="B73" s="106"/>
      <c r="C73" s="96" t="s">
        <v>70</v>
      </c>
      <c r="D73" s="95">
        <v>178089784.437462</v>
      </c>
      <c r="E73" s="91"/>
    </row>
    <row r="74" spans="2:5" s="77" customFormat="1" hidden="1" outlineLevel="1" x14ac:dyDescent="0.3">
      <c r="B74" s="106"/>
      <c r="C74" s="96" t="s">
        <v>92</v>
      </c>
      <c r="D74" s="95">
        <v>1396638.44</v>
      </c>
      <c r="E74" s="91"/>
    </row>
    <row r="75" spans="2:5" s="77" customFormat="1" hidden="1" outlineLevel="1" x14ac:dyDescent="0.3">
      <c r="B75" s="106"/>
      <c r="C75" s="96" t="s">
        <v>93</v>
      </c>
      <c r="D75" s="95">
        <v>0</v>
      </c>
      <c r="E75" s="91"/>
    </row>
    <row r="76" spans="2:5" s="77" customFormat="1" hidden="1" outlineLevel="1" x14ac:dyDescent="0.3">
      <c r="B76" s="107"/>
      <c r="C76" s="96" t="s">
        <v>94</v>
      </c>
      <c r="D76" s="95">
        <v>0</v>
      </c>
      <c r="E76" s="91"/>
    </row>
    <row r="77" spans="2:5" s="77" customFormat="1" hidden="1" outlineLevel="1" x14ac:dyDescent="0.3">
      <c r="B77" s="105" t="s">
        <v>85</v>
      </c>
      <c r="C77" s="96" t="s">
        <v>75</v>
      </c>
      <c r="D77" s="95">
        <v>20855659.158238199</v>
      </c>
      <c r="E77" s="91"/>
    </row>
    <row r="78" spans="2:5" s="77" customFormat="1" hidden="1" outlineLevel="1" x14ac:dyDescent="0.3">
      <c r="B78" s="106"/>
      <c r="C78" s="96" t="s">
        <v>71</v>
      </c>
      <c r="D78" s="95">
        <v>91731119.027228907</v>
      </c>
      <c r="E78" s="91"/>
    </row>
    <row r="79" spans="2:5" s="77" customFormat="1" hidden="1" outlineLevel="1" x14ac:dyDescent="0.3">
      <c r="B79" s="106"/>
      <c r="C79" s="96" t="s">
        <v>95</v>
      </c>
      <c r="D79" s="95">
        <v>26867352.336523999</v>
      </c>
      <c r="E79" s="91"/>
    </row>
    <row r="80" spans="2:5" s="77" customFormat="1" hidden="1" outlineLevel="1" x14ac:dyDescent="0.3">
      <c r="B80" s="106"/>
      <c r="C80" s="96" t="s">
        <v>96</v>
      </c>
      <c r="D80" s="95">
        <v>0</v>
      </c>
      <c r="E80" s="91"/>
    </row>
    <row r="81" spans="2:5" s="77" customFormat="1" hidden="1" outlineLevel="1" x14ac:dyDescent="0.3">
      <c r="B81" s="107"/>
      <c r="C81" s="96" t="s">
        <v>97</v>
      </c>
      <c r="D81" s="95">
        <v>0</v>
      </c>
      <c r="E81" s="91"/>
    </row>
    <row r="82" spans="2:5" s="77" customFormat="1" hidden="1" outlineLevel="1" x14ac:dyDescent="0.3">
      <c r="B82" s="105" t="s">
        <v>86</v>
      </c>
      <c r="C82" s="96" t="s">
        <v>76</v>
      </c>
      <c r="D82" s="95">
        <v>6595085.2800000003</v>
      </c>
      <c r="E82" s="91"/>
    </row>
    <row r="83" spans="2:5" s="77" customFormat="1" hidden="1" outlineLevel="1" x14ac:dyDescent="0.3">
      <c r="B83" s="106"/>
      <c r="C83" s="96" t="s">
        <v>72</v>
      </c>
      <c r="D83" s="95">
        <v>36776141.5214011</v>
      </c>
      <c r="E83" s="91"/>
    </row>
    <row r="84" spans="2:5" s="77" customFormat="1" hidden="1" outlineLevel="1" x14ac:dyDescent="0.3">
      <c r="B84" s="106"/>
      <c r="C84" s="96" t="s">
        <v>98</v>
      </c>
      <c r="D84" s="95">
        <v>28269489.170000002</v>
      </c>
      <c r="E84" s="91"/>
    </row>
    <row r="85" spans="2:5" s="77" customFormat="1" hidden="1" outlineLevel="1" x14ac:dyDescent="0.3">
      <c r="B85" s="106"/>
      <c r="C85" s="96" t="s">
        <v>99</v>
      </c>
      <c r="D85" s="95">
        <v>1672281.5</v>
      </c>
      <c r="E85" s="91"/>
    </row>
    <row r="86" spans="2:5" s="77" customFormat="1" hidden="1" outlineLevel="1" x14ac:dyDescent="0.3">
      <c r="B86" s="107"/>
      <c r="C86" s="96" t="s">
        <v>100</v>
      </c>
      <c r="D86" s="95">
        <v>0</v>
      </c>
      <c r="E86" s="91"/>
    </row>
    <row r="87" spans="2:5" s="77" customFormat="1" hidden="1" outlineLevel="1" x14ac:dyDescent="0.3">
      <c r="B87" s="105" t="s">
        <v>87</v>
      </c>
      <c r="C87" s="96" t="s">
        <v>77</v>
      </c>
      <c r="D87" s="95">
        <v>16787544.489392601</v>
      </c>
      <c r="E87" s="91"/>
    </row>
    <row r="88" spans="2:5" s="77" customFormat="1" hidden="1" outlineLevel="1" x14ac:dyDescent="0.3">
      <c r="B88" s="106"/>
      <c r="C88" s="96" t="s">
        <v>73</v>
      </c>
      <c r="D88" s="95">
        <v>24993614.663849</v>
      </c>
      <c r="E88" s="91"/>
    </row>
    <row r="89" spans="2:5" s="77" customFormat="1" hidden="1" outlineLevel="1" x14ac:dyDescent="0.3">
      <c r="B89" s="106"/>
      <c r="C89" s="96" t="s">
        <v>102</v>
      </c>
      <c r="D89" s="95">
        <v>35873198.444193199</v>
      </c>
      <c r="E89" s="91"/>
    </row>
    <row r="90" spans="2:5" s="77" customFormat="1" hidden="1" outlineLevel="1" x14ac:dyDescent="0.3">
      <c r="B90" s="106"/>
      <c r="C90" s="96" t="s">
        <v>103</v>
      </c>
      <c r="D90" s="95">
        <v>7892874.6399999997</v>
      </c>
      <c r="E90" s="91"/>
    </row>
    <row r="91" spans="2:5" s="77" customFormat="1" hidden="1" outlineLevel="1" x14ac:dyDescent="0.3">
      <c r="B91" s="107"/>
      <c r="C91" s="96" t="s">
        <v>101</v>
      </c>
      <c r="D91" s="95">
        <v>422252.98</v>
      </c>
      <c r="E91" s="91"/>
    </row>
    <row r="92" spans="2:5" s="77" customFormat="1" hidden="1" outlineLevel="1" x14ac:dyDescent="0.3">
      <c r="B92" s="105" t="s">
        <v>59</v>
      </c>
      <c r="C92" s="96" t="s">
        <v>105</v>
      </c>
      <c r="D92" s="95">
        <v>4807020905.1927404</v>
      </c>
      <c r="E92" s="91"/>
    </row>
    <row r="93" spans="2:5" s="77" customFormat="1" hidden="1" outlineLevel="1" x14ac:dyDescent="0.3">
      <c r="B93" s="106"/>
      <c r="C93" s="96" t="s">
        <v>106</v>
      </c>
      <c r="D93" s="95">
        <v>3399983784.6324902</v>
      </c>
      <c r="E93" s="91"/>
    </row>
    <row r="94" spans="2:5" s="77" customFormat="1" hidden="1" outlineLevel="1" x14ac:dyDescent="0.3">
      <c r="B94" s="106"/>
      <c r="C94" s="96" t="s">
        <v>107</v>
      </c>
      <c r="D94" s="95">
        <v>678367800.06131995</v>
      </c>
      <c r="E94" s="91"/>
    </row>
    <row r="95" spans="2:5" s="77" customFormat="1" hidden="1" outlineLevel="1" x14ac:dyDescent="0.3">
      <c r="B95" s="106"/>
      <c r="C95" s="96" t="s">
        <v>108</v>
      </c>
      <c r="D95" s="95">
        <v>63026569.502617903</v>
      </c>
      <c r="E95" s="91"/>
    </row>
    <row r="96" spans="2:5" s="77" customFormat="1" hidden="1" outlineLevel="1" x14ac:dyDescent="0.3">
      <c r="B96" s="106"/>
      <c r="C96" s="96" t="s">
        <v>109</v>
      </c>
      <c r="D96" s="95">
        <v>232815.08</v>
      </c>
      <c r="E96" s="91"/>
    </row>
    <row r="97" spans="1:5" s="77" customFormat="1" hidden="1" outlineLevel="1" x14ac:dyDescent="0.3">
      <c r="B97" s="107"/>
      <c r="C97" s="96" t="s">
        <v>110</v>
      </c>
      <c r="D97" s="95">
        <v>0</v>
      </c>
      <c r="E97" s="91"/>
    </row>
    <row r="98" spans="1:5" s="77" customFormat="1" collapsed="1" x14ac:dyDescent="0.3">
      <c r="B98" s="93" t="s">
        <v>3</v>
      </c>
      <c r="C98" s="94" t="s">
        <v>8</v>
      </c>
      <c r="D98" s="95">
        <v>21693058811.330601</v>
      </c>
      <c r="E98" s="91"/>
    </row>
    <row r="99" spans="1:5" s="77" customFormat="1" x14ac:dyDescent="0.3">
      <c r="B99" s="93" t="s">
        <v>4</v>
      </c>
      <c r="C99" s="94" t="s">
        <v>8</v>
      </c>
      <c r="D99" s="95">
        <v>9713790121.7951298</v>
      </c>
      <c r="E99" s="91"/>
    </row>
    <row r="100" spans="1:5" s="77" customFormat="1" x14ac:dyDescent="0.3">
      <c r="B100" s="97" t="s">
        <v>5</v>
      </c>
      <c r="C100" s="98" t="s">
        <v>9</v>
      </c>
      <c r="D100" s="99">
        <v>22179548.878999501</v>
      </c>
      <c r="E100" s="91"/>
    </row>
    <row r="101" spans="1:5" s="77" customFormat="1" x14ac:dyDescent="0.3">
      <c r="B101" s="100"/>
      <c r="C101" s="100"/>
      <c r="D101" s="101"/>
      <c r="E101" s="91"/>
    </row>
    <row r="102" spans="1:5" hidden="1" x14ac:dyDescent="0.3">
      <c r="A102" t="s">
        <v>181</v>
      </c>
    </row>
    <row r="103" spans="1:5" hidden="1" x14ac:dyDescent="0.3"/>
    <row r="104" spans="1:5" hidden="1" x14ac:dyDescent="0.3"/>
  </sheetData>
  <mergeCells count="15">
    <mergeCell ref="B72:B76"/>
    <mergeCell ref="B92:B97"/>
    <mergeCell ref="B87:B91"/>
    <mergeCell ref="B82:B86"/>
    <mergeCell ref="B77:B81"/>
    <mergeCell ref="B28:B34"/>
    <mergeCell ref="B22:B27"/>
    <mergeCell ref="B16:B21"/>
    <mergeCell ref="B10:B15"/>
    <mergeCell ref="B66:B71"/>
    <mergeCell ref="B61:B65"/>
    <mergeCell ref="B53:B59"/>
    <mergeCell ref="B47:B52"/>
    <mergeCell ref="B41:B46"/>
    <mergeCell ref="B35:B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48"/>
  <sheetViews>
    <sheetView showGridLines="0" zoomScaleNormal="100" workbookViewId="0">
      <pane xSplit="2" topLeftCell="C1" activePane="topRight" state="frozen"/>
      <selection pane="topRight" activeCell="C1" sqref="C1"/>
    </sheetView>
  </sheetViews>
  <sheetFormatPr defaultColWidth="9.109375" defaultRowHeight="14.4" x14ac:dyDescent="0.3"/>
  <cols>
    <col min="1" max="1" width="3.77734375" customWidth="1"/>
    <col min="2" max="2" width="90.88671875" customWidth="1"/>
    <col min="3" max="4" width="14.88671875" bestFit="1" customWidth="1"/>
    <col min="5" max="6" width="13.44140625" bestFit="1" customWidth="1"/>
    <col min="7" max="7" width="14.88671875" bestFit="1" customWidth="1"/>
    <col min="8" max="8" width="14.109375" bestFit="1" customWidth="1"/>
    <col min="9" max="9" width="13.44140625" bestFit="1" customWidth="1"/>
    <col min="10" max="10" width="14.88671875" bestFit="1" customWidth="1"/>
    <col min="11" max="11" width="14.109375" bestFit="1" customWidth="1"/>
    <col min="12" max="13" width="13.44140625" bestFit="1" customWidth="1"/>
    <col min="14" max="14" width="14.109375" bestFit="1" customWidth="1"/>
    <col min="15" max="18" width="12.33203125" bestFit="1" customWidth="1"/>
    <col min="19" max="19" width="9.88671875" bestFit="1" customWidth="1"/>
    <col min="20" max="20" width="12.33203125" bestFit="1" customWidth="1"/>
    <col min="21" max="21" width="13.5546875" customWidth="1"/>
    <col min="22" max="22" width="14.88671875" customWidth="1"/>
    <col min="23" max="23" width="12.33203125" bestFit="1" customWidth="1"/>
    <col min="24" max="25" width="16" bestFit="1" customWidth="1"/>
    <col min="26" max="26" width="15.5546875" bestFit="1" customWidth="1"/>
    <col min="27" max="28" width="13.44140625" bestFit="1" customWidth="1"/>
    <col min="29" max="29" width="12.33203125" bestFit="1" customWidth="1"/>
    <col min="30" max="31" width="14.88671875" bestFit="1" customWidth="1"/>
    <col min="32" max="32" width="12.33203125" bestFit="1" customWidth="1"/>
    <col min="33" max="34" width="14.88671875" bestFit="1" customWidth="1"/>
    <col min="35" max="35" width="14.109375" bestFit="1" customWidth="1"/>
    <col min="36" max="37" width="14.88671875" bestFit="1" customWidth="1"/>
    <col min="38" max="38" width="13.109375" bestFit="1" customWidth="1"/>
    <col min="39" max="40" width="14.88671875" bestFit="1" customWidth="1"/>
    <col min="41" max="41" width="13.109375" bestFit="1" customWidth="1"/>
    <col min="42" max="43" width="14.88671875" bestFit="1" customWidth="1"/>
    <col min="44" max="44" width="13.109375" bestFit="1" customWidth="1"/>
    <col min="45" max="46" width="12.33203125" bestFit="1" customWidth="1"/>
    <col min="47" max="47" width="10.5546875" bestFit="1" customWidth="1"/>
    <col min="48" max="49" width="14.88671875" bestFit="1" customWidth="1"/>
    <col min="50" max="50" width="13.44140625" bestFit="1" customWidth="1"/>
    <col min="51" max="51" width="3.77734375" customWidth="1"/>
    <col min="54" max="16384" width="0" hidden="1" customWidth="1"/>
  </cols>
  <sheetData>
    <row r="1" spans="1:51" ht="7.5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ht="7.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ht="12.7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ht="7.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7.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t="3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8" spans="1:51" x14ac:dyDescent="0.3">
      <c r="C8" s="9" t="s">
        <v>125</v>
      </c>
      <c r="D8" s="8"/>
      <c r="E8" s="8"/>
      <c r="F8" s="9" t="s">
        <v>124</v>
      </c>
      <c r="G8" s="8"/>
      <c r="H8" s="8"/>
      <c r="I8" s="9" t="s">
        <v>123</v>
      </c>
      <c r="J8" s="8"/>
      <c r="K8" s="8"/>
      <c r="L8" s="9" t="s">
        <v>122</v>
      </c>
      <c r="M8" s="8"/>
      <c r="N8" s="8"/>
      <c r="O8" s="9" t="s">
        <v>121</v>
      </c>
      <c r="P8" s="8"/>
      <c r="Q8" s="8"/>
      <c r="R8" s="9" t="s">
        <v>120</v>
      </c>
      <c r="S8" s="8"/>
      <c r="T8" s="8"/>
      <c r="U8" s="9" t="s">
        <v>119</v>
      </c>
      <c r="V8" s="8"/>
      <c r="W8" s="8"/>
      <c r="X8" s="9" t="s">
        <v>160</v>
      </c>
      <c r="Y8" s="8"/>
      <c r="Z8" s="8"/>
      <c r="AA8" s="9" t="s">
        <v>27</v>
      </c>
      <c r="AB8" s="8"/>
      <c r="AC8" s="8"/>
      <c r="AD8" s="9" t="s">
        <v>28</v>
      </c>
      <c r="AE8" s="8"/>
      <c r="AF8" s="8"/>
      <c r="AG8" s="9" t="s">
        <v>34</v>
      </c>
      <c r="AH8" s="8"/>
      <c r="AI8" s="8"/>
      <c r="AJ8" s="9" t="s">
        <v>40</v>
      </c>
      <c r="AK8" s="8"/>
      <c r="AL8" s="8"/>
      <c r="AM8" s="9" t="s">
        <v>41</v>
      </c>
      <c r="AN8" s="8"/>
      <c r="AO8" s="8"/>
      <c r="AP8" s="9" t="s">
        <v>47</v>
      </c>
      <c r="AQ8" s="8"/>
      <c r="AR8" s="8"/>
      <c r="AS8" s="9" t="s">
        <v>58</v>
      </c>
      <c r="AT8" s="8"/>
      <c r="AU8" s="8"/>
      <c r="AV8" s="9" t="s">
        <v>118</v>
      </c>
      <c r="AW8" s="8"/>
      <c r="AX8" s="8"/>
    </row>
    <row r="9" spans="1:51" x14ac:dyDescent="0.3">
      <c r="B9" s="7"/>
      <c r="C9" s="6">
        <v>45748</v>
      </c>
      <c r="D9" s="6">
        <v>45627</v>
      </c>
      <c r="E9" s="5" t="s">
        <v>117</v>
      </c>
      <c r="F9" s="6">
        <v>45748</v>
      </c>
      <c r="G9" s="6">
        <v>45627</v>
      </c>
      <c r="H9" s="5" t="s">
        <v>117</v>
      </c>
      <c r="I9" s="6">
        <v>45748</v>
      </c>
      <c r="J9" s="6">
        <v>45627</v>
      </c>
      <c r="K9" s="5" t="s">
        <v>117</v>
      </c>
      <c r="L9" s="6">
        <v>45748</v>
      </c>
      <c r="M9" s="6">
        <v>45627</v>
      </c>
      <c r="N9" s="5" t="s">
        <v>117</v>
      </c>
      <c r="O9" s="6">
        <v>45748</v>
      </c>
      <c r="P9" s="6">
        <v>45627</v>
      </c>
      <c r="Q9" s="5" t="s">
        <v>117</v>
      </c>
      <c r="R9" s="6">
        <v>45748</v>
      </c>
      <c r="S9" s="6">
        <v>45627</v>
      </c>
      <c r="T9" s="5" t="s">
        <v>117</v>
      </c>
      <c r="U9" s="6">
        <v>45748</v>
      </c>
      <c r="V9" s="6">
        <v>45627</v>
      </c>
      <c r="W9" s="5" t="s">
        <v>117</v>
      </c>
      <c r="X9" s="6">
        <v>45748</v>
      </c>
      <c r="Y9" s="6">
        <v>45627</v>
      </c>
      <c r="Z9" s="5" t="s">
        <v>117</v>
      </c>
      <c r="AA9" s="6">
        <v>45748</v>
      </c>
      <c r="AB9" s="6">
        <v>45627</v>
      </c>
      <c r="AC9" s="5" t="s">
        <v>117</v>
      </c>
      <c r="AD9" s="6">
        <v>45748</v>
      </c>
      <c r="AE9" s="6">
        <v>45627</v>
      </c>
      <c r="AF9" s="5" t="s">
        <v>117</v>
      </c>
      <c r="AG9" s="6">
        <v>45748</v>
      </c>
      <c r="AH9" s="6">
        <v>45627</v>
      </c>
      <c r="AI9" s="5" t="s">
        <v>117</v>
      </c>
      <c r="AJ9" s="6">
        <v>45748</v>
      </c>
      <c r="AK9" s="6">
        <v>45627</v>
      </c>
      <c r="AL9" s="5" t="s">
        <v>117</v>
      </c>
      <c r="AM9" s="6">
        <v>45748</v>
      </c>
      <c r="AN9" s="6">
        <v>45627</v>
      </c>
      <c r="AO9" s="5" t="s">
        <v>117</v>
      </c>
      <c r="AP9" s="6">
        <v>45748</v>
      </c>
      <c r="AQ9" s="6">
        <v>45627</v>
      </c>
      <c r="AR9" s="5" t="s">
        <v>117</v>
      </c>
      <c r="AS9" s="6">
        <v>45748</v>
      </c>
      <c r="AT9" s="6">
        <v>45627</v>
      </c>
      <c r="AU9" s="5" t="s">
        <v>117</v>
      </c>
      <c r="AV9" s="6">
        <v>45748</v>
      </c>
      <c r="AW9" s="6">
        <v>45627</v>
      </c>
      <c r="AX9" s="5" t="s">
        <v>117</v>
      </c>
    </row>
    <row r="10" spans="1:51" s="7" customFormat="1" x14ac:dyDescent="0.3">
      <c r="A10"/>
      <c r="B10" s="4" t="s">
        <v>116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3">
        <f>+Paralelo!K8</f>
        <v>26833996951</v>
      </c>
      <c r="Y10" s="3">
        <f>+'Dez24'!K8</f>
        <v>26904628045</v>
      </c>
      <c r="Z10" s="76">
        <f>+X10-Y10</f>
        <v>-70631094</v>
      </c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</row>
    <row r="11" spans="1:51" s="77" customFormat="1" x14ac:dyDescent="0.3">
      <c r="A11"/>
      <c r="B11" s="23" t="s">
        <v>114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76">
        <f>+Paralelo!K9</f>
        <v>3564429222</v>
      </c>
      <c r="Y11" s="76">
        <f>+'Dez24'!K9</f>
        <v>3564429222</v>
      </c>
      <c r="Z11" s="76">
        <f>+X11-Y11</f>
        <v>0</v>
      </c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</row>
    <row r="12" spans="1:51" s="77" customFormat="1" x14ac:dyDescent="0.3">
      <c r="A12"/>
      <c r="B12" s="23" t="s">
        <v>113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76">
        <f>+Paralelo!K10</f>
        <v>23269567729</v>
      </c>
      <c r="Y12" s="76">
        <f>+'Dez24'!K10</f>
        <v>23291747256</v>
      </c>
      <c r="Z12" s="76">
        <f>+X12-Y12</f>
        <v>-22179527</v>
      </c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</row>
    <row r="13" spans="1:51" s="77" customFormat="1" x14ac:dyDescent="0.3">
      <c r="A13"/>
      <c r="B13" s="23" t="s">
        <v>112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76">
        <f>+Paralelo!K11</f>
        <v>0</v>
      </c>
      <c r="Y13" s="76">
        <f>+'Dez24'!K11</f>
        <v>48451567</v>
      </c>
      <c r="Z13" s="76">
        <f>+X13-Y13</f>
        <v>-48451567</v>
      </c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</row>
    <row r="14" spans="1:51" s="77" customFormat="1" x14ac:dyDescent="0.3">
      <c r="A14"/>
      <c r="B14" s="23" t="s">
        <v>161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76">
        <f>+Paralelo!K12</f>
        <v>17628362545</v>
      </c>
      <c r="Y14" s="76">
        <f>+'Dez24'!K12</f>
        <v>26640639426</v>
      </c>
      <c r="Z14" s="103">
        <f>+X14-Y14</f>
        <v>-9012276881</v>
      </c>
      <c r="AA14" s="84">
        <f>+Paralelo!M12</f>
        <v>912719513</v>
      </c>
      <c r="AB14" s="84">
        <f>+'Dez24'!M12</f>
        <v>909357093</v>
      </c>
      <c r="AC14" s="84">
        <f>+AA14-AB14</f>
        <v>3362420</v>
      </c>
      <c r="AD14" s="84">
        <f>+Paralelo!N12</f>
        <v>1493358008</v>
      </c>
      <c r="AE14" s="84">
        <f>+'Dez24'!N12</f>
        <v>1469962966</v>
      </c>
      <c r="AF14" s="84">
        <f>+AD14-AE14</f>
        <v>23395042</v>
      </c>
      <c r="AG14" s="84">
        <f>+Paralelo!O12</f>
        <v>4770592268</v>
      </c>
      <c r="AH14" s="84">
        <f>+'Dez24'!O12</f>
        <v>4878396765</v>
      </c>
      <c r="AI14" s="84">
        <f>+AG14-AH14</f>
        <v>-107804497</v>
      </c>
      <c r="AJ14" s="84">
        <f>+Paralelo!P12</f>
        <v>3804989795</v>
      </c>
      <c r="AK14" s="84">
        <f>+'Dez24'!P12</f>
        <v>3891419413</v>
      </c>
      <c r="AL14" s="84">
        <f>+AJ14-AK14</f>
        <v>-86429618</v>
      </c>
      <c r="AM14" s="84">
        <f>+Paralelo!Q12</f>
        <v>1672617824</v>
      </c>
      <c r="AN14" s="84">
        <f>+'Dez24'!Q12</f>
        <v>1696602496</v>
      </c>
      <c r="AO14" s="84">
        <f>+AM14-AN14</f>
        <v>-23984672</v>
      </c>
      <c r="AP14" s="84">
        <f>+Paralelo!R12</f>
        <v>1033539249</v>
      </c>
      <c r="AQ14" s="84">
        <f>+'Dez24'!R12</f>
        <v>1057337985</v>
      </c>
      <c r="AR14" s="84">
        <f>+AP14-AQ14</f>
        <v>-23798736</v>
      </c>
      <c r="AS14" s="84">
        <f>+Paralelo!S12</f>
        <v>61456770</v>
      </c>
      <c r="AT14" s="84">
        <f>+'Dez24'!S12</f>
        <v>62105713</v>
      </c>
      <c r="AU14" s="84">
        <f>+AS14-AT14</f>
        <v>-648943</v>
      </c>
      <c r="AV14" s="81"/>
      <c r="AW14" s="81"/>
      <c r="AX14" s="81"/>
    </row>
    <row r="15" spans="1:51" x14ac:dyDescent="0.3">
      <c r="B15" s="19" t="s">
        <v>152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1"/>
    </row>
    <row r="16" spans="1:51" x14ac:dyDescent="0.3">
      <c r="B16" s="22" t="s">
        <v>146</v>
      </c>
      <c r="C16" s="78">
        <f>+Paralelo!$D$14</f>
        <v>0.45543762286830464</v>
      </c>
      <c r="D16" s="78">
        <f>+'Dez24'!$D$14</f>
        <v>0.46997456718185687</v>
      </c>
      <c r="E16" s="78">
        <f t="shared" ref="E16:E21" si="0">+C16-D16</f>
        <v>-1.4536944313552236E-2</v>
      </c>
      <c r="F16" s="78">
        <f>+Paralelo!$E$14</f>
        <v>0.38192858490150267</v>
      </c>
      <c r="G16" s="78">
        <f>+'Dez24'!$E$14</f>
        <v>0.40328706329790287</v>
      </c>
      <c r="H16" s="78">
        <f t="shared" ref="H16:H21" si="1">+F16-G16</f>
        <v>-2.1358478396400205E-2</v>
      </c>
      <c r="I16" s="78">
        <f>+Paralelo!$F$14</f>
        <v>0.44969859219682007</v>
      </c>
      <c r="J16" s="78">
        <f>+'Dez24'!$F$14</f>
        <v>0.46534076866174567</v>
      </c>
      <c r="K16" s="78">
        <f t="shared" ref="K16:K21" si="2">+I16-J16</f>
        <v>-1.5642176464925606E-2</v>
      </c>
      <c r="L16" s="78">
        <f>+Paralelo!$G$14</f>
        <v>0.42864349816471564</v>
      </c>
      <c r="M16" s="78">
        <f>+'Dez24'!$G$14</f>
        <v>0.44767855434498632</v>
      </c>
      <c r="N16" s="78">
        <f t="shared" ref="N16:N21" si="3">+L16-M16</f>
        <v>-1.9035056180270682E-2</v>
      </c>
      <c r="O16" s="78">
        <f>+Paralelo!$H$14</f>
        <v>0.41724981859068877</v>
      </c>
      <c r="P16" s="78">
        <f>+'Dez24'!$H$14</f>
        <v>0.40152228873517071</v>
      </c>
      <c r="Q16" s="78">
        <f t="shared" ref="Q16:Q21" si="4">+O16-P16</f>
        <v>1.5727529855518063E-2</v>
      </c>
      <c r="R16" s="87">
        <f>+Paralelo!$I$14</f>
        <v>0.58404534010807541</v>
      </c>
      <c r="S16" s="87">
        <f>+'Dez24'!$I$14</f>
        <v>0</v>
      </c>
      <c r="T16" s="87">
        <f t="shared" ref="T16:T21" si="5">+R16-S16</f>
        <v>0.58404534010807541</v>
      </c>
      <c r="U16" s="78">
        <f>+Paralelo!$J$14</f>
        <v>0.65668062448195919</v>
      </c>
      <c r="V16" s="78">
        <f>+'Dez24'!$J$14</f>
        <v>0.61601420693721964</v>
      </c>
      <c r="W16" s="78">
        <f t="shared" ref="W16:W21" si="6">+U16-V16</f>
        <v>4.0666417544739542E-2</v>
      </c>
      <c r="X16" s="78">
        <f>+Paralelo!$K$14</f>
        <v>0.68649150721942487</v>
      </c>
      <c r="Y16" s="78">
        <f>+'Dez24'!$K$14</f>
        <v>0.92138852681316541</v>
      </c>
      <c r="Z16" s="78">
        <f t="shared" ref="Z16:Z21" si="7">+X16-Y16</f>
        <v>-0.23489701959374054</v>
      </c>
      <c r="AA16" s="78">
        <f>+Paralelo!$M$14</f>
        <v>0.43265102380198422</v>
      </c>
      <c r="AB16" s="78">
        <f>+'Dez24'!$M$14</f>
        <v>0.45207885954443522</v>
      </c>
      <c r="AC16" s="78">
        <f t="shared" ref="AC16:AC21" si="8">+AA16-AB16</f>
        <v>-1.9427835742450994E-2</v>
      </c>
      <c r="AD16" s="78">
        <f>+Paralelo!$N$14</f>
        <v>0.43230476370806303</v>
      </c>
      <c r="AE16" s="78">
        <f>+'Dez24'!$N$14</f>
        <v>0.45168510886739244</v>
      </c>
      <c r="AF16" s="78">
        <f t="shared" ref="AF16:AF21" si="9">+AD16-AE16</f>
        <v>-1.9380345159329404E-2</v>
      </c>
      <c r="AG16" s="78">
        <f>+Paralelo!$O$14</f>
        <v>0.4262086804368444</v>
      </c>
      <c r="AH16" s="78">
        <f>+'Dez24'!$O$14</f>
        <v>0.4331383797580155</v>
      </c>
      <c r="AI16" s="78">
        <f t="shared" ref="AI16:AI21" si="10">+AG16-AH16</f>
        <v>-6.9296993211711011E-3</v>
      </c>
      <c r="AJ16" s="78">
        <f>+Paralelo!$P$14</f>
        <v>0.42359258042492914</v>
      </c>
      <c r="AK16" s="78">
        <f>+'Dez24'!$P$14</f>
        <v>0.43993453416423273</v>
      </c>
      <c r="AL16" s="78">
        <f t="shared" ref="AL16:AL21" si="11">+AJ16-AK16</f>
        <v>-1.6341953739303583E-2</v>
      </c>
      <c r="AM16" s="78">
        <f>+Paralelo!$Q$14</f>
        <v>0.43230476370806303</v>
      </c>
      <c r="AN16" s="78">
        <f>+'Dez24'!$Q$14</f>
        <v>0.4346120290826076</v>
      </c>
      <c r="AO16" s="78">
        <f t="shared" ref="AO16:AO21" si="12">+AM16-AN16</f>
        <v>-2.3072653745445648E-3</v>
      </c>
      <c r="AP16" s="78">
        <f>+Paralelo!$R$14</f>
        <v>0.44550016785424046</v>
      </c>
      <c r="AQ16" s="78">
        <f>+'Dez24'!$R$14</f>
        <v>0.4566126854388578</v>
      </c>
      <c r="AR16" s="78">
        <f t="shared" ref="AR16:AR21" si="13">+AP16-AQ16</f>
        <v>-1.1112517584617343E-2</v>
      </c>
      <c r="AS16" s="78">
        <f>+Paralelo!$S$14</f>
        <v>0.39862965906698467</v>
      </c>
      <c r="AT16" s="78">
        <f>+'Dez24'!$S$14</f>
        <v>0.39797724861549827</v>
      </c>
      <c r="AU16" s="78">
        <f t="shared" ref="AU16:AU21" si="14">+AS16-AT16</f>
        <v>6.5241045148639598E-4</v>
      </c>
      <c r="AV16" s="78">
        <f>+Paralelo!$T$14</f>
        <v>0.45395553883237821</v>
      </c>
      <c r="AW16" s="78">
        <f>+'Dez24'!$T$14</f>
        <v>0.47123285019509348</v>
      </c>
      <c r="AX16" s="78">
        <f t="shared" ref="AX16:AX21" si="15">+AV16-AW16</f>
        <v>-1.7277311362715264E-2</v>
      </c>
    </row>
    <row r="17" spans="2:50" x14ac:dyDescent="0.3">
      <c r="B17" s="22" t="s">
        <v>147</v>
      </c>
      <c r="C17" s="2">
        <f>+Paralelo!$D$15</f>
        <v>277438276</v>
      </c>
      <c r="D17" s="2">
        <f>+'Dez24'!$D$15</f>
        <v>275118888</v>
      </c>
      <c r="E17" s="86">
        <f t="shared" si="0"/>
        <v>2319388</v>
      </c>
      <c r="F17" s="2">
        <f>+Paralelo!$E$15</f>
        <v>45561405</v>
      </c>
      <c r="G17" s="2">
        <f>+'Dez24'!$E$15</f>
        <v>51322505</v>
      </c>
      <c r="H17" s="2">
        <f t="shared" si="1"/>
        <v>-5761100</v>
      </c>
      <c r="I17" s="2">
        <f>+Paralelo!$F$15</f>
        <v>50866219</v>
      </c>
      <c r="J17" s="2">
        <f>+'Dez24'!$F$15</f>
        <v>55866006</v>
      </c>
      <c r="K17" s="2">
        <f t="shared" si="2"/>
        <v>-4999787</v>
      </c>
      <c r="L17" s="2">
        <f>+Paralelo!$G$15</f>
        <v>16936161</v>
      </c>
      <c r="M17" s="2">
        <f>+'Dez24'!$G$15</f>
        <v>17076962</v>
      </c>
      <c r="N17" s="2">
        <f t="shared" si="3"/>
        <v>-140801</v>
      </c>
      <c r="O17" s="2">
        <f>+Paralelo!$H$15</f>
        <v>0</v>
      </c>
      <c r="P17" s="2">
        <f>+'Dez24'!$H$15</f>
        <v>0</v>
      </c>
      <c r="Q17" s="2">
        <f t="shared" si="4"/>
        <v>0</v>
      </c>
      <c r="R17" s="2">
        <f>+Paralelo!$I$15</f>
        <v>0</v>
      </c>
      <c r="S17" s="2">
        <f>+'Dez24'!$I$15</f>
        <v>0</v>
      </c>
      <c r="T17" s="2">
        <f t="shared" si="5"/>
        <v>0</v>
      </c>
      <c r="U17" s="2">
        <f>+Paralelo!$J$15</f>
        <v>6137138</v>
      </c>
      <c r="V17" s="2">
        <f>+'Dez24'!$J$15</f>
        <v>0</v>
      </c>
      <c r="W17" s="2">
        <f t="shared" si="6"/>
        <v>6137138</v>
      </c>
      <c r="X17" s="2">
        <f>+Paralelo!$K$15</f>
        <v>157937353</v>
      </c>
      <c r="Y17" s="2">
        <f>+'Dez24'!$K$15</f>
        <v>150853414</v>
      </c>
      <c r="Z17" s="2">
        <f t="shared" si="7"/>
        <v>7083939</v>
      </c>
      <c r="AA17" s="2">
        <f>+Paralelo!$M$15</f>
        <v>5510927</v>
      </c>
      <c r="AB17" s="2">
        <f>+'Dez24'!$M$15</f>
        <v>5510926</v>
      </c>
      <c r="AC17" s="2">
        <f t="shared" si="8"/>
        <v>1</v>
      </c>
      <c r="AD17" s="2">
        <f>+Paralelo!$N$15</f>
        <v>23806369</v>
      </c>
      <c r="AE17" s="2">
        <f>+'Dez24'!$N$15</f>
        <v>23806368</v>
      </c>
      <c r="AF17" s="2">
        <f t="shared" si="9"/>
        <v>1</v>
      </c>
      <c r="AG17" s="2">
        <f>+Paralelo!$O$15</f>
        <v>40609871</v>
      </c>
      <c r="AH17" s="2">
        <f>+'Dez24'!$O$15</f>
        <v>38671716</v>
      </c>
      <c r="AI17" s="2">
        <f t="shared" si="10"/>
        <v>1938155</v>
      </c>
      <c r="AJ17" s="2">
        <f>+Paralelo!$P$15</f>
        <v>33268865</v>
      </c>
      <c r="AK17" s="2">
        <f>+'Dez24'!$P$15</f>
        <v>32887631</v>
      </c>
      <c r="AL17" s="2">
        <f t="shared" si="11"/>
        <v>381234</v>
      </c>
      <c r="AM17" s="2">
        <f>+Paralelo!$Q$15</f>
        <v>9085878</v>
      </c>
      <c r="AN17" s="2">
        <f>+'Dez24'!$Q$15</f>
        <v>9882022</v>
      </c>
      <c r="AO17" s="2">
        <f t="shared" si="12"/>
        <v>-796144</v>
      </c>
      <c r="AP17" s="2">
        <f>+Paralelo!$R$15</f>
        <v>13406658</v>
      </c>
      <c r="AQ17" s="2">
        <f>+'Dez24'!$R$15</f>
        <v>13406659</v>
      </c>
      <c r="AR17" s="2">
        <f t="shared" si="13"/>
        <v>-1</v>
      </c>
      <c r="AS17" s="2">
        <f>+Paralelo!$S$15</f>
        <v>100151</v>
      </c>
      <c r="AT17" s="2">
        <f>+'Dez24'!$S$15</f>
        <v>100151</v>
      </c>
      <c r="AU17" s="2">
        <f t="shared" si="14"/>
        <v>0</v>
      </c>
      <c r="AV17" s="2">
        <f>+Paralelo!$T$15</f>
        <v>247077170</v>
      </c>
      <c r="AW17" s="2">
        <f>+'Dez24'!$T$15</f>
        <v>245553926</v>
      </c>
      <c r="AX17" s="2">
        <f t="shared" si="15"/>
        <v>1523244</v>
      </c>
    </row>
    <row r="18" spans="2:50" ht="15" customHeight="1" x14ac:dyDescent="0.3">
      <c r="B18" s="22" t="s">
        <v>148</v>
      </c>
      <c r="C18" s="2">
        <f>+Paralelo!$D$16</f>
        <v>112936651</v>
      </c>
      <c r="D18" s="2">
        <f>+'Dez24'!$D$16</f>
        <v>112936650</v>
      </c>
      <c r="E18" s="2">
        <f t="shared" si="0"/>
        <v>1</v>
      </c>
      <c r="F18" s="2">
        <f>+Paralelo!$E$16</f>
        <v>15834570</v>
      </c>
      <c r="G18" s="2">
        <f>+'Dez24'!$E$16</f>
        <v>16023049</v>
      </c>
      <c r="H18" s="2">
        <f t="shared" si="1"/>
        <v>-188479</v>
      </c>
      <c r="I18" s="2">
        <f>+Paralelo!$F$16</f>
        <v>51110836</v>
      </c>
      <c r="J18" s="2">
        <f>+'Dez24'!$F$16</f>
        <v>51110836</v>
      </c>
      <c r="K18" s="2">
        <f t="shared" si="2"/>
        <v>0</v>
      </c>
      <c r="L18" s="2">
        <f>+Paralelo!$G$16</f>
        <v>751176</v>
      </c>
      <c r="M18" s="2">
        <f>+'Dez24'!$G$16</f>
        <v>751176</v>
      </c>
      <c r="N18" s="2">
        <f t="shared" si="3"/>
        <v>0</v>
      </c>
      <c r="O18" s="2">
        <f>+Paralelo!$H$16</f>
        <v>0</v>
      </c>
      <c r="P18" s="2">
        <f>+'Dez24'!$H$16</f>
        <v>0</v>
      </c>
      <c r="Q18" s="2">
        <f t="shared" si="4"/>
        <v>0</v>
      </c>
      <c r="R18" s="2">
        <f>+Paralelo!$I$16</f>
        <v>0</v>
      </c>
      <c r="S18" s="2">
        <f>+'Dez24'!$I$16</f>
        <v>0</v>
      </c>
      <c r="T18" s="2">
        <f t="shared" si="5"/>
        <v>0</v>
      </c>
      <c r="U18" s="2">
        <f>+Paralelo!$J$16</f>
        <v>0</v>
      </c>
      <c r="V18" s="2">
        <f>+'Dez24'!$J$16</f>
        <v>0</v>
      </c>
      <c r="W18" s="2">
        <f t="shared" si="6"/>
        <v>0</v>
      </c>
      <c r="X18" s="2">
        <f>+Paralelo!$K$16</f>
        <v>45240069</v>
      </c>
      <c r="Y18" s="2">
        <f>+'Dez24'!$K$16</f>
        <v>45051589</v>
      </c>
      <c r="Z18" s="2">
        <f t="shared" si="7"/>
        <v>188480</v>
      </c>
      <c r="AA18" s="2">
        <f>+Paralelo!$M$16</f>
        <v>1516403</v>
      </c>
      <c r="AB18" s="2">
        <f>+'Dez24'!$M$16</f>
        <v>1516403</v>
      </c>
      <c r="AC18" s="2">
        <f t="shared" si="8"/>
        <v>0</v>
      </c>
      <c r="AD18" s="2">
        <f>+Paralelo!$N$16</f>
        <v>1993693</v>
      </c>
      <c r="AE18" s="2">
        <f>+'Dez24'!$N$16</f>
        <v>1993693</v>
      </c>
      <c r="AF18" s="2">
        <f t="shared" si="9"/>
        <v>0</v>
      </c>
      <c r="AG18" s="2">
        <f>+Paralelo!$O$16</f>
        <v>51888935</v>
      </c>
      <c r="AH18" s="2">
        <f>+'Dez24'!$O$16</f>
        <v>51888934</v>
      </c>
      <c r="AI18" s="2">
        <f t="shared" si="10"/>
        <v>1</v>
      </c>
      <c r="AJ18" s="2">
        <f>+Paralelo!$P$16</f>
        <v>9962786</v>
      </c>
      <c r="AK18" s="2">
        <f>+'Dez24'!$P$16</f>
        <v>9962787</v>
      </c>
      <c r="AL18" s="2">
        <f t="shared" si="11"/>
        <v>-1</v>
      </c>
      <c r="AM18" s="2">
        <f>+Paralelo!$Q$16</f>
        <v>1939744</v>
      </c>
      <c r="AN18" s="2">
        <f>+'Dez24'!$Q$16</f>
        <v>1939744</v>
      </c>
      <c r="AO18" s="2">
        <f t="shared" si="12"/>
        <v>0</v>
      </c>
      <c r="AP18" s="2">
        <f>+Paralelo!$R$16</f>
        <v>583500</v>
      </c>
      <c r="AQ18" s="2">
        <f>+'Dez24'!$R$16</f>
        <v>583500</v>
      </c>
      <c r="AR18" s="2">
        <f t="shared" si="13"/>
        <v>0</v>
      </c>
      <c r="AS18" s="2">
        <f>+Paralelo!$S$16</f>
        <v>0</v>
      </c>
      <c r="AT18" s="2">
        <f>+'Dez24'!$S$16</f>
        <v>0</v>
      </c>
      <c r="AU18" s="2">
        <f t="shared" si="14"/>
        <v>0</v>
      </c>
      <c r="AV18" s="2">
        <f>+Paralelo!$T$16</f>
        <v>112164532</v>
      </c>
      <c r="AW18" s="2">
        <f>+'Dez24'!$T$16</f>
        <v>112164532</v>
      </c>
      <c r="AX18" s="2">
        <f t="shared" si="15"/>
        <v>0</v>
      </c>
    </row>
    <row r="19" spans="2:50" ht="15" customHeight="1" x14ac:dyDescent="0.3">
      <c r="B19" s="22" t="s">
        <v>149</v>
      </c>
      <c r="C19" s="2">
        <f>+Paralelo!$D$17</f>
        <v>7.5421303467251173</v>
      </c>
      <c r="D19" s="2">
        <f>+'Dez24'!$D$17</f>
        <v>7.6255903640816189</v>
      </c>
      <c r="E19" s="2">
        <f t="shared" si="0"/>
        <v>-8.3460017356501659E-2</v>
      </c>
      <c r="F19" s="2">
        <f>+Paralelo!$E$17</f>
        <v>8.4231814169568775</v>
      </c>
      <c r="G19" s="2">
        <f>+'Dez24'!$E$17</f>
        <v>8.5248241902446686</v>
      </c>
      <c r="H19" s="2">
        <f t="shared" si="1"/>
        <v>-0.10164277328779114</v>
      </c>
      <c r="I19" s="2">
        <f>+Paralelo!$F$17</f>
        <v>7.3165359811797188</v>
      </c>
      <c r="J19" s="2">
        <f>+'Dez24'!$F$17</f>
        <v>7.4335822672009941</v>
      </c>
      <c r="K19" s="2">
        <f t="shared" si="2"/>
        <v>-0.11704628602127531</v>
      </c>
      <c r="L19" s="2">
        <f>+Paralelo!$G$17</f>
        <v>8.1143234229226699</v>
      </c>
      <c r="M19" s="2">
        <f>+'Dez24'!$G$17</f>
        <v>8.0975236589892443</v>
      </c>
      <c r="N19" s="2">
        <f t="shared" si="3"/>
        <v>1.6799763933425638E-2</v>
      </c>
      <c r="O19" s="2">
        <f>+Paralelo!$H$17</f>
        <v>6.808662782073319</v>
      </c>
      <c r="P19" s="2">
        <f>+'Dez24'!$H$17</f>
        <v>7.100952959333954</v>
      </c>
      <c r="Q19" s="2">
        <f t="shared" si="4"/>
        <v>-0.292290177260635</v>
      </c>
      <c r="R19" s="85">
        <f>+Paralelo!$I$17</f>
        <v>16.060534879755778</v>
      </c>
      <c r="S19" s="85">
        <f>+'Dez24'!$I$17</f>
        <v>0</v>
      </c>
      <c r="T19" s="85">
        <f t="shared" si="5"/>
        <v>16.060534879755778</v>
      </c>
      <c r="U19" s="85">
        <f>+Paralelo!$J$17</f>
        <v>14.005842752373059</v>
      </c>
      <c r="V19" s="2">
        <f>+'Dez24'!$J$17</f>
        <v>13.433570115620329</v>
      </c>
      <c r="W19" s="2">
        <f t="shared" si="6"/>
        <v>0.57227263675273043</v>
      </c>
      <c r="X19" s="2">
        <f>+Paralelo!$K$17</f>
        <v>5.4342255329879743</v>
      </c>
      <c r="Y19" s="2">
        <f>+'Dez24'!$K$17</f>
        <v>3.4342192942338605</v>
      </c>
      <c r="Z19" s="2">
        <f t="shared" si="7"/>
        <v>2.0000062387541138</v>
      </c>
      <c r="AA19" s="2">
        <f>+Paralelo!$M$17</f>
        <v>8.9118190236135053</v>
      </c>
      <c r="AB19" s="2">
        <f>+'Dez24'!$M$17</f>
        <v>8.8913270880597892</v>
      </c>
      <c r="AC19" s="2">
        <f t="shared" si="8"/>
        <v>2.049193555371609E-2</v>
      </c>
      <c r="AD19" s="2">
        <f>+Paralelo!$N$17</f>
        <v>8.2793786834608536</v>
      </c>
      <c r="AE19" s="2">
        <f>+'Dez24'!$N$17</f>
        <v>8.2613012148722245</v>
      </c>
      <c r="AF19" s="2">
        <f t="shared" si="9"/>
        <v>1.8077468588629131E-2</v>
      </c>
      <c r="AG19" s="2">
        <f>+Paralelo!$O$17</f>
        <v>7.6479248868499781</v>
      </c>
      <c r="AH19" s="2">
        <f>+'Dez24'!$O$17</f>
        <v>7.8487831240410104</v>
      </c>
      <c r="AI19" s="2">
        <f t="shared" si="10"/>
        <v>-0.20085823719103235</v>
      </c>
      <c r="AJ19" s="2">
        <f>+Paralelo!$P$17</f>
        <v>7.1858982971118222</v>
      </c>
      <c r="AK19" s="2">
        <f>+'Dez24'!$P$17</f>
        <v>7.2437994383838191</v>
      </c>
      <c r="AL19" s="2">
        <f t="shared" si="11"/>
        <v>-5.790114127199697E-2</v>
      </c>
      <c r="AM19" s="2">
        <f>+Paralelo!$Q$17</f>
        <v>7.5200787789365728</v>
      </c>
      <c r="AN19" s="2">
        <f>+'Dez24'!$Q$17</f>
        <v>7.5716358150992624</v>
      </c>
      <c r="AO19" s="2">
        <f t="shared" si="12"/>
        <v>-5.1557036162689585E-2</v>
      </c>
      <c r="AP19" s="2">
        <f>+Paralelo!$R$17</f>
        <v>9.0296118358707584</v>
      </c>
      <c r="AQ19" s="2">
        <f>+'Dez24'!$R$17</f>
        <v>8.8052861920804464</v>
      </c>
      <c r="AR19" s="2">
        <f t="shared" si="13"/>
        <v>0.22432564379031206</v>
      </c>
      <c r="AS19" s="2">
        <f>+Paralelo!$S$17</f>
        <v>8.1850140141508003</v>
      </c>
      <c r="AT19" s="2">
        <f>+'Dez24'!$S$17</f>
        <v>8.1605415585792684</v>
      </c>
      <c r="AU19" s="2">
        <f t="shared" si="14"/>
        <v>2.4472455571531881E-2</v>
      </c>
      <c r="AV19" s="2">
        <f>+Paralelo!$T$17</f>
        <v>7.418047184456344</v>
      </c>
      <c r="AW19" s="2">
        <f>+'Dez24'!$T$17</f>
        <v>7.5023073387462569</v>
      </c>
      <c r="AX19" s="2">
        <f t="shared" si="15"/>
        <v>-8.4260154289912848E-2</v>
      </c>
    </row>
    <row r="20" spans="2:50" ht="15" customHeight="1" x14ac:dyDescent="0.3">
      <c r="B20" s="22" t="s">
        <v>150</v>
      </c>
      <c r="C20" s="2">
        <f>+Paralelo!$D$18</f>
        <v>1390218741</v>
      </c>
      <c r="D20" s="2">
        <f>+'Dez24'!$D$18</f>
        <v>1183222362</v>
      </c>
      <c r="E20" s="85">
        <f t="shared" si="0"/>
        <v>206996379</v>
      </c>
      <c r="F20" s="2">
        <f>+Paralelo!$E$18</f>
        <v>458047307</v>
      </c>
      <c r="G20" s="2">
        <f>+'Dez24'!$E$18</f>
        <v>413468115</v>
      </c>
      <c r="H20" s="2">
        <f t="shared" si="1"/>
        <v>44579192</v>
      </c>
      <c r="I20" s="2">
        <f>+Paralelo!$F$18</f>
        <v>595574069</v>
      </c>
      <c r="J20" s="2">
        <f>+'Dez24'!$F$18</f>
        <v>541877528</v>
      </c>
      <c r="K20" s="2">
        <f t="shared" si="2"/>
        <v>53696541</v>
      </c>
      <c r="L20" s="2">
        <f>+Paralelo!$G$18</f>
        <v>61131967</v>
      </c>
      <c r="M20" s="2">
        <f>+'Dez24'!$G$18</f>
        <v>45380592</v>
      </c>
      <c r="N20" s="2">
        <f t="shared" si="3"/>
        <v>15751375</v>
      </c>
      <c r="O20" s="2">
        <f>+Paralelo!$H$18</f>
        <v>2869003</v>
      </c>
      <c r="P20" s="2">
        <f>+'Dez24'!$H$18</f>
        <v>2349194</v>
      </c>
      <c r="Q20" s="2">
        <f t="shared" si="4"/>
        <v>519809</v>
      </c>
      <c r="R20" s="85">
        <f>+Paralelo!$I$18</f>
        <v>10</v>
      </c>
      <c r="S20" s="85">
        <f>+'Dez24'!$I$18</f>
        <v>0</v>
      </c>
      <c r="T20" s="85">
        <f t="shared" si="5"/>
        <v>10</v>
      </c>
      <c r="U20" s="85">
        <f>+Paralelo!$J$18</f>
        <v>1185682</v>
      </c>
      <c r="V20" s="2">
        <f>+'Dez24'!$J$18</f>
        <v>0</v>
      </c>
      <c r="W20" s="2">
        <f t="shared" si="6"/>
        <v>1185682</v>
      </c>
      <c r="X20" s="2">
        <f>+Paralelo!$K$18</f>
        <v>271410703</v>
      </c>
      <c r="Y20" s="2">
        <f>+'Dez24'!$K$18</f>
        <v>180146933</v>
      </c>
      <c r="Z20" s="2">
        <f t="shared" si="7"/>
        <v>91263770</v>
      </c>
      <c r="AA20" s="2">
        <f>+Paralelo!$M$18</f>
        <v>156270700</v>
      </c>
      <c r="AB20" s="2">
        <f>+'Dez24'!$M$18</f>
        <v>151485056</v>
      </c>
      <c r="AC20" s="86">
        <f t="shared" si="8"/>
        <v>4785644</v>
      </c>
      <c r="AD20" s="2">
        <f>+Paralelo!$N$18</f>
        <v>121921206</v>
      </c>
      <c r="AE20" s="2">
        <f>+'Dez24'!$N$18</f>
        <v>107327488</v>
      </c>
      <c r="AF20" s="85">
        <f t="shared" si="9"/>
        <v>14593718</v>
      </c>
      <c r="AG20" s="2">
        <f>+Paralelo!$O$18</f>
        <v>523364849</v>
      </c>
      <c r="AH20" s="2">
        <f>+'Dez24'!$O$18</f>
        <v>397018770</v>
      </c>
      <c r="AI20" s="86">
        <f t="shared" si="10"/>
        <v>126346079</v>
      </c>
      <c r="AJ20" s="2">
        <f>+Paralelo!$P$18</f>
        <v>253308997</v>
      </c>
      <c r="AK20" s="2">
        <f>+'Dez24'!$P$18</f>
        <v>216481708</v>
      </c>
      <c r="AL20" s="86">
        <f t="shared" si="11"/>
        <v>36827289</v>
      </c>
      <c r="AM20" s="2">
        <f>+Paralelo!$Q$18</f>
        <v>110767765</v>
      </c>
      <c r="AN20" s="2">
        <f>+'Dez24'!$Q$18</f>
        <v>94764387</v>
      </c>
      <c r="AO20" s="2">
        <f t="shared" si="12"/>
        <v>16003378</v>
      </c>
      <c r="AP20" s="2">
        <f>+Paralelo!$R$18</f>
        <v>38248745</v>
      </c>
      <c r="AQ20" s="2">
        <f>+'Dez24'!$R$18</f>
        <v>34331087</v>
      </c>
      <c r="AR20" s="2">
        <f t="shared" si="13"/>
        <v>3917658</v>
      </c>
      <c r="AS20" s="2">
        <f>+Paralelo!$S$18</f>
        <v>1865995</v>
      </c>
      <c r="AT20" s="2">
        <f>+'Dez24'!$S$18</f>
        <v>1666932</v>
      </c>
      <c r="AU20" s="2">
        <f t="shared" si="14"/>
        <v>199063</v>
      </c>
      <c r="AV20" s="2">
        <f>+Paralelo!$T$18</f>
        <v>1235387933</v>
      </c>
      <c r="AW20" s="2">
        <f>+'Dez24'!$T$18</f>
        <v>1043767893</v>
      </c>
      <c r="AX20" s="86">
        <f t="shared" si="15"/>
        <v>191620040</v>
      </c>
    </row>
    <row r="21" spans="2:50" ht="15" customHeight="1" x14ac:dyDescent="0.3">
      <c r="B21" s="22" t="s">
        <v>151</v>
      </c>
      <c r="C21" s="78">
        <f>+Paralelo!$D$19</f>
        <v>4.8694172749652632E-2</v>
      </c>
      <c r="D21" s="78">
        <f>+'Dez24'!$D$19</f>
        <v>4.7536663004654159E-2</v>
      </c>
      <c r="E21" s="78">
        <f t="shared" si="0"/>
        <v>1.1575097449984736E-3</v>
      </c>
      <c r="F21" s="78">
        <f>+Paralelo!$E$19</f>
        <v>4.8607544929873341E-2</v>
      </c>
      <c r="G21" s="78">
        <f>+'Dez24'!$E$19</f>
        <v>4.8279995949298757E-2</v>
      </c>
      <c r="H21" s="78">
        <f t="shared" si="1"/>
        <v>3.2754898057458376E-4</v>
      </c>
      <c r="I21" s="78">
        <f>+Paralelo!$F$19</f>
        <v>4.8492773208152547E-2</v>
      </c>
      <c r="J21" s="78">
        <f>+'Dez24'!$F$19</f>
        <v>4.7475722561351158E-2</v>
      </c>
      <c r="K21" s="78">
        <f t="shared" si="2"/>
        <v>1.0170506468013887E-3</v>
      </c>
      <c r="L21" s="78">
        <f>+Paralelo!$G$19</f>
        <v>4.4613620319338507E-2</v>
      </c>
      <c r="M21" s="78">
        <f>+'Dez24'!$G$19</f>
        <v>4.4981418998305753E-2</v>
      </c>
      <c r="N21" s="78">
        <f t="shared" si="3"/>
        <v>-3.6779867896724605E-4</v>
      </c>
      <c r="O21" s="78">
        <f>+Paralelo!$H$19</f>
        <v>0.05</v>
      </c>
      <c r="P21" s="78">
        <f>+'Dez24'!$H$19</f>
        <v>5.000000000000001E-2</v>
      </c>
      <c r="Q21" s="78">
        <f t="shared" si="4"/>
        <v>0</v>
      </c>
      <c r="R21" s="102">
        <f>+Paralelo!$I$19</f>
        <v>4.2224241702999286E-2</v>
      </c>
      <c r="S21" s="102">
        <f>+'Dez24'!$I$19</f>
        <v>0</v>
      </c>
      <c r="T21" s="102">
        <f t="shared" si="5"/>
        <v>4.2224241702999286E-2</v>
      </c>
      <c r="U21" s="102">
        <f>+Paralelo!$J$19</f>
        <v>4.1089406483890464E-2</v>
      </c>
      <c r="V21" s="78">
        <f>+'Dez24'!$J$19</f>
        <v>0.03</v>
      </c>
      <c r="W21" s="78">
        <f t="shared" si="6"/>
        <v>1.1089406483890465E-2</v>
      </c>
      <c r="X21" s="78">
        <f>+Paralelo!$K$19</f>
        <v>5.3510580363319342E-2</v>
      </c>
      <c r="Y21" s="78">
        <f>+'Dez24'!$K$19</f>
        <v>4.5699596471821945E-2</v>
      </c>
      <c r="Z21" s="78">
        <f t="shared" si="7"/>
        <v>7.8109838914973972E-3</v>
      </c>
      <c r="AA21" s="78">
        <f>+Paralelo!$M$19</f>
        <v>5.5090035139976345E-2</v>
      </c>
      <c r="AB21" s="78">
        <f>+'Dez24'!$M$19</f>
        <v>5.23699915550489E-2</v>
      </c>
      <c r="AC21" s="78">
        <f t="shared" si="8"/>
        <v>2.7200435849274451E-3</v>
      </c>
      <c r="AD21" s="78">
        <f>+Paralelo!$N$19</f>
        <v>4.7188344768776279E-2</v>
      </c>
      <c r="AE21" s="78">
        <f>+'Dez24'!$N$19</f>
        <v>4.8858355195485072E-2</v>
      </c>
      <c r="AF21" s="78">
        <f t="shared" si="9"/>
        <v>-1.6700104267087929E-3</v>
      </c>
      <c r="AG21" s="78">
        <f>+Paralelo!$O$19</f>
        <v>4.8707856807268801E-2</v>
      </c>
      <c r="AH21" s="78">
        <f>+'Dez24'!$O$19</f>
        <v>4.6243474641542354E-2</v>
      </c>
      <c r="AI21" s="78">
        <f t="shared" si="10"/>
        <v>2.4643821657264475E-3</v>
      </c>
      <c r="AJ21" s="78">
        <f>+Paralelo!$P$19</f>
        <v>4.8751539649234357E-2</v>
      </c>
      <c r="AK21" s="78">
        <f>+'Dez24'!$P$19</f>
        <v>4.7540025672310089E-2</v>
      </c>
      <c r="AL21" s="78">
        <f t="shared" si="11"/>
        <v>1.211513976924268E-3</v>
      </c>
      <c r="AM21" s="78">
        <f>+Paralelo!$Q$19</f>
        <v>4.9233857399972977E-2</v>
      </c>
      <c r="AN21" s="78">
        <f>+'Dez24'!$Q$19</f>
        <v>4.9106102729418684E-2</v>
      </c>
      <c r="AO21" s="78">
        <f t="shared" si="12"/>
        <v>1.277546705542934E-4</v>
      </c>
      <c r="AP21" s="78">
        <f>+Paralelo!$R$19</f>
        <v>4.4064113782434217E-2</v>
      </c>
      <c r="AQ21" s="78">
        <f>+'Dez24'!$R$19</f>
        <v>4.4522593555814255E-2</v>
      </c>
      <c r="AR21" s="78">
        <f t="shared" si="13"/>
        <v>-4.5847977338003831E-4</v>
      </c>
      <c r="AS21" s="78">
        <f>+Paralelo!$S$19</f>
        <v>4.9075319240298398E-2</v>
      </c>
      <c r="AT21" s="78">
        <f>+'Dez24'!$S$19</f>
        <v>4.9075319847312664E-2</v>
      </c>
      <c r="AU21" s="78">
        <f t="shared" si="14"/>
        <v>-6.0701426524145674E-10</v>
      </c>
      <c r="AV21" s="78">
        <f>+Paralelo!$T$19</f>
        <v>4.8294501478216699E-2</v>
      </c>
      <c r="AW21" s="78">
        <f>+'Dez24'!$T$19</f>
        <v>4.7031286991740036E-2</v>
      </c>
      <c r="AX21" s="78">
        <f t="shared" si="15"/>
        <v>1.2632144864766631E-3</v>
      </c>
    </row>
    <row r="22" spans="2:50" ht="15" customHeight="1" x14ac:dyDescent="0.3">
      <c r="B22" s="16" t="s">
        <v>153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8"/>
    </row>
    <row r="23" spans="2:50" ht="15" customHeight="1" x14ac:dyDescent="0.3">
      <c r="B23" s="22" t="s">
        <v>154</v>
      </c>
      <c r="C23" s="78">
        <f>+Paralelo!$D$21</f>
        <v>0.59149761385367594</v>
      </c>
      <c r="D23" s="78">
        <f>+'Dez24'!$D$21</f>
        <v>0.59642081070795272</v>
      </c>
      <c r="E23" s="78">
        <f t="shared" ref="E23:E28" si="16">+C23-D23</f>
        <v>-4.923196854276779E-3</v>
      </c>
      <c r="F23" s="78">
        <f>+Paralelo!$E$21</f>
        <v>0.53590103735522232</v>
      </c>
      <c r="G23" s="78">
        <f>+'Dez24'!$E$21</f>
        <v>0.58900890854122001</v>
      </c>
      <c r="H23" s="78">
        <f t="shared" ref="H23:H28" si="17">+F23-G23</f>
        <v>-5.310787118599769E-2</v>
      </c>
      <c r="I23" s="78">
        <f>+Paralelo!$F$21</f>
        <v>0.53987481695078454</v>
      </c>
      <c r="J23" s="78">
        <f>+'Dez24'!$F$21</f>
        <v>0.60452200309285264</v>
      </c>
      <c r="K23" s="78">
        <f t="shared" ref="K23:K28" si="18">+I23-J23</f>
        <v>-6.4647186142068103E-2</v>
      </c>
      <c r="L23" s="78">
        <f>+Paralelo!$G$21</f>
        <v>0.55633898603191123</v>
      </c>
      <c r="M23" s="78">
        <f>+'Dez24'!$G$21</f>
        <v>0.59615718591199496</v>
      </c>
      <c r="N23" s="78">
        <f t="shared" ref="N23:N28" si="19">+L23-M23</f>
        <v>-3.9818199880083727E-2</v>
      </c>
      <c r="O23" s="78">
        <f>+Paralelo!$H$21</f>
        <v>0.60189162832227805</v>
      </c>
      <c r="P23" s="78">
        <f>+'Dez24'!$H$21</f>
        <v>0.59307509446256734</v>
      </c>
      <c r="Q23" s="78">
        <f t="shared" ref="Q23:Q28" si="20">+O23-P23</f>
        <v>8.8165338597107068E-3</v>
      </c>
      <c r="R23" s="78">
        <f>+Paralelo!$I$21</f>
        <v>0.66231878327859706</v>
      </c>
      <c r="S23" s="78">
        <f>+'Dez24'!$I$21</f>
        <v>0.63729207347011241</v>
      </c>
      <c r="T23" s="78">
        <f t="shared" ref="T23:T28" si="21">+R23-S23</f>
        <v>2.5026709808484648E-2</v>
      </c>
      <c r="U23" s="78">
        <f>+Paralelo!$J$21</f>
        <v>0.65618755294078834</v>
      </c>
      <c r="V23" s="78">
        <f>+'Dez24'!$J$21</f>
        <v>0</v>
      </c>
      <c r="W23" s="78">
        <f t="shared" ref="W23:W28" si="22">+U23-V23</f>
        <v>0.65618755294078834</v>
      </c>
      <c r="X23" s="78">
        <f>+Paralelo!$K$21</f>
        <v>0.67370954936826433</v>
      </c>
      <c r="Y23" s="78">
        <f>+'Dez24'!$K$21</f>
        <v>1.19</v>
      </c>
      <c r="Z23" s="87">
        <f t="shared" ref="Z23:Z33" si="23">+X23-Y23</f>
        <v>-0.51629045063173562</v>
      </c>
      <c r="AA23" s="78">
        <f>+Paralelo!$M$21</f>
        <v>0.59386126540953843</v>
      </c>
      <c r="AB23" s="78">
        <f>+'Dez24'!$M$21</f>
        <v>0.5987777789093105</v>
      </c>
      <c r="AC23" s="78">
        <f t="shared" ref="AC23:AC28" si="24">+AA23-AB23</f>
        <v>-4.9165134997720683E-3</v>
      </c>
      <c r="AD23" s="78">
        <f>+Paralelo!$N$21</f>
        <v>0.58770996405200093</v>
      </c>
      <c r="AE23" s="78">
        <f>+'Dez24'!$N$21</f>
        <v>0.59205062138274589</v>
      </c>
      <c r="AF23" s="78">
        <f t="shared" ref="AF23:AF28" si="25">+AD23-AE23</f>
        <v>-4.340657330744957E-3</v>
      </c>
      <c r="AG23" s="78">
        <f>+Paralelo!$O$21</f>
        <v>0.58674820758393942</v>
      </c>
      <c r="AH23" s="78">
        <f>+'Dez24'!$O$21</f>
        <v>0.59137571286131996</v>
      </c>
      <c r="AI23" s="78">
        <f t="shared" ref="AI23:AI28" si="26">+AG23-AH23</f>
        <v>-4.6275052773805392E-3</v>
      </c>
      <c r="AJ23" s="78">
        <f>+Paralelo!$P$21</f>
        <v>0.59150376039931152</v>
      </c>
      <c r="AK23" s="78">
        <f>+'Dez24'!$P$21</f>
        <v>0.59633043229564842</v>
      </c>
      <c r="AL23" s="78">
        <f t="shared" ref="AL23:AL28" si="27">+AJ23-AK23</f>
        <v>-4.8266718963368982E-3</v>
      </c>
      <c r="AM23" s="78">
        <f>+Paralelo!$Q$21</f>
        <v>0.60208841755049791</v>
      </c>
      <c r="AN23" s="78">
        <f>+'Dez24'!$Q$21</f>
        <v>0.60648428149698608</v>
      </c>
      <c r="AO23" s="78">
        <f t="shared" ref="AO23:AO28" si="28">+AM23-AN23</f>
        <v>-4.3958639464881655E-3</v>
      </c>
      <c r="AP23" s="78">
        <f>+Paralelo!$R$21</f>
        <v>0.58331324881431845</v>
      </c>
      <c r="AQ23" s="78">
        <f>+'Dez24'!$R$21</f>
        <v>0.58844538059960017</v>
      </c>
      <c r="AR23" s="78">
        <f t="shared" ref="AR23:AR28" si="29">+AP23-AQ23</f>
        <v>-5.1321317852817128E-3</v>
      </c>
      <c r="AS23" s="78">
        <f>+Paralelo!$S$21</f>
        <v>0.50906697940994361</v>
      </c>
      <c r="AT23" s="78">
        <f>+'Dez24'!$S$21</f>
        <v>0.51775781213145666</v>
      </c>
      <c r="AU23" s="78">
        <f t="shared" ref="AU23:AU28" si="30">+AS23-AT23</f>
        <v>-8.6908327215130532E-3</v>
      </c>
      <c r="AV23" s="78">
        <f>+Paralelo!$T$21</f>
        <v>0.52311622650656531</v>
      </c>
      <c r="AW23" s="78">
        <f>+'Dez24'!$T$21</f>
        <v>0.53053654232007741</v>
      </c>
      <c r="AX23" s="78">
        <f t="shared" ref="AX23:AX28" si="31">+AV23-AW23</f>
        <v>-7.4203158135121017E-3</v>
      </c>
    </row>
    <row r="24" spans="2:50" ht="15" customHeight="1" x14ac:dyDescent="0.3">
      <c r="B24" s="22" t="s">
        <v>155</v>
      </c>
      <c r="C24" s="2">
        <f>+Paralelo!$D$22</f>
        <v>2903026477</v>
      </c>
      <c r="D24" s="2">
        <f>+'Dez24'!$D$22</f>
        <v>2642244925</v>
      </c>
      <c r="E24" s="86">
        <f t="shared" si="16"/>
        <v>260781552</v>
      </c>
      <c r="F24" s="2">
        <f>+Paralelo!$E$22</f>
        <v>457743389</v>
      </c>
      <c r="G24" s="2">
        <f>+'Dez24'!$E$22</f>
        <v>1269208423</v>
      </c>
      <c r="H24" s="86">
        <f t="shared" si="17"/>
        <v>-811465034</v>
      </c>
      <c r="I24" s="2">
        <f>+Paralelo!$F$22</f>
        <v>335746347</v>
      </c>
      <c r="J24" s="2">
        <f>+'Dez24'!$F$22</f>
        <v>1093983475</v>
      </c>
      <c r="K24" s="86">
        <f t="shared" si="18"/>
        <v>-758237128</v>
      </c>
      <c r="L24" s="2">
        <f>+Paralelo!$G$22</f>
        <v>152349621</v>
      </c>
      <c r="M24" s="2">
        <f>+'Dez24'!$G$22</f>
        <v>256692714</v>
      </c>
      <c r="N24" s="86">
        <f t="shared" si="19"/>
        <v>-104343093</v>
      </c>
      <c r="O24" s="2">
        <f>+Paralelo!$H$22</f>
        <v>35238417</v>
      </c>
      <c r="P24" s="2">
        <f>+'Dez24'!$H$22</f>
        <v>21607301</v>
      </c>
      <c r="Q24" s="86">
        <f t="shared" si="20"/>
        <v>13631116</v>
      </c>
      <c r="R24" s="2">
        <f>+Paralelo!$I$22</f>
        <v>11739632</v>
      </c>
      <c r="S24" s="2">
        <f>+'Dez24'!$I$22</f>
        <v>177470</v>
      </c>
      <c r="T24" s="86">
        <f t="shared" si="21"/>
        <v>11562162</v>
      </c>
      <c r="U24" s="2">
        <f>+Paralelo!$J$22</f>
        <v>13963158</v>
      </c>
      <c r="V24" s="2">
        <f>+'Dez24'!$J$22</f>
        <v>0</v>
      </c>
      <c r="W24" s="2">
        <f t="shared" si="22"/>
        <v>13963158</v>
      </c>
      <c r="X24" s="2">
        <f>+Paralelo!$K$22</f>
        <v>1896245913</v>
      </c>
      <c r="Y24" s="2">
        <f>+'Dez24'!$K$22</f>
        <v>575543</v>
      </c>
      <c r="Z24" s="2">
        <f t="shared" si="23"/>
        <v>1895670370</v>
      </c>
      <c r="AA24" s="2">
        <f>+Paralelo!$M$22</f>
        <v>273288008</v>
      </c>
      <c r="AB24" s="2">
        <f>+'Dez24'!$M$22</f>
        <v>239160777</v>
      </c>
      <c r="AC24" s="2">
        <f t="shared" si="24"/>
        <v>34127231</v>
      </c>
      <c r="AD24" s="2">
        <f>+Paralelo!$N$22</f>
        <v>297990927</v>
      </c>
      <c r="AE24" s="2">
        <f>+'Dez24'!$N$22</f>
        <v>265770981</v>
      </c>
      <c r="AF24" s="2">
        <f t="shared" si="25"/>
        <v>32219946</v>
      </c>
      <c r="AG24" s="2">
        <f>+Paralelo!$O$22</f>
        <v>820913205</v>
      </c>
      <c r="AH24" s="2">
        <f>+'Dez24'!$O$22</f>
        <v>753333577</v>
      </c>
      <c r="AI24" s="2">
        <f t="shared" si="26"/>
        <v>67579628</v>
      </c>
      <c r="AJ24" s="2">
        <f>+Paralelo!$P$22</f>
        <v>865581085</v>
      </c>
      <c r="AK24" s="2">
        <f>+'Dez24'!$P$22</f>
        <v>790830773</v>
      </c>
      <c r="AL24" s="2">
        <f t="shared" si="27"/>
        <v>74750312</v>
      </c>
      <c r="AM24" s="2">
        <f>+Paralelo!$Q$22</f>
        <v>445111127</v>
      </c>
      <c r="AN24" s="2">
        <f>+'Dez24'!$Q$22</f>
        <v>409065725</v>
      </c>
      <c r="AO24" s="2">
        <f t="shared" si="28"/>
        <v>36045402</v>
      </c>
      <c r="AP24" s="2">
        <f>+Paralelo!$R$22</f>
        <v>197438763</v>
      </c>
      <c r="AQ24" s="2">
        <f>+'Dez24'!$R$22</f>
        <v>181520054</v>
      </c>
      <c r="AR24" s="2">
        <f t="shared" si="29"/>
        <v>15918709</v>
      </c>
      <c r="AS24" s="2">
        <f>+Paralelo!$S$22</f>
        <v>2241514</v>
      </c>
      <c r="AT24" s="2">
        <f>+'Dez24'!$S$22</f>
        <v>2112079</v>
      </c>
      <c r="AU24" s="2">
        <f t="shared" si="30"/>
        <v>129435</v>
      </c>
      <c r="AV24" s="2">
        <f>+Paralelo!$T$22</f>
        <v>558661121</v>
      </c>
      <c r="AW24" s="2">
        <f>+'Dez24'!$T$22</f>
        <v>525759048</v>
      </c>
      <c r="AX24" s="2">
        <f t="shared" si="31"/>
        <v>32902073</v>
      </c>
    </row>
    <row r="25" spans="2:50" ht="15" customHeight="1" x14ac:dyDescent="0.3">
      <c r="B25" s="22" t="s">
        <v>156</v>
      </c>
      <c r="C25" s="2">
        <f>+Paralelo!$D$23</f>
        <v>166880464</v>
      </c>
      <c r="D25" s="2">
        <f>+'Dez24'!$D$23</f>
        <v>173597963</v>
      </c>
      <c r="E25" s="86">
        <f t="shared" si="16"/>
        <v>-6717499</v>
      </c>
      <c r="F25" s="2">
        <f>+Paralelo!$E$23</f>
        <v>62045513</v>
      </c>
      <c r="G25" s="2">
        <f>+'Dez24'!$E$23</f>
        <v>63882179</v>
      </c>
      <c r="H25" s="2">
        <f t="shared" si="17"/>
        <v>-1836666</v>
      </c>
      <c r="I25" s="2">
        <f>+Paralelo!$F$23</f>
        <v>37344300</v>
      </c>
      <c r="J25" s="2">
        <f>+'Dez24'!$F$23</f>
        <v>45861794</v>
      </c>
      <c r="K25" s="2">
        <f t="shared" si="18"/>
        <v>-8517494</v>
      </c>
      <c r="L25" s="2">
        <f>+Paralelo!$G$23</f>
        <v>22985207</v>
      </c>
      <c r="M25" s="2">
        <f>+'Dez24'!$G$23</f>
        <v>27512482</v>
      </c>
      <c r="N25" s="2">
        <f t="shared" si="19"/>
        <v>-4527275</v>
      </c>
      <c r="O25" s="2">
        <f>+Paralelo!$H$23</f>
        <v>555330</v>
      </c>
      <c r="P25" s="2">
        <f>+'Dez24'!$H$23</f>
        <v>1205374</v>
      </c>
      <c r="Q25" s="2">
        <f t="shared" si="20"/>
        <v>-650044</v>
      </c>
      <c r="R25" s="2">
        <f>+Paralelo!$I$23</f>
        <v>123162</v>
      </c>
      <c r="S25" s="2">
        <f>+'Dez24'!$I$23</f>
        <v>0</v>
      </c>
      <c r="T25" s="2">
        <f t="shared" si="21"/>
        <v>123162</v>
      </c>
      <c r="U25" s="2">
        <f>+Paralelo!$J$23</f>
        <v>374294</v>
      </c>
      <c r="V25" s="2">
        <f>+'Dez24'!$J$23</f>
        <v>0</v>
      </c>
      <c r="W25" s="2">
        <f t="shared" si="22"/>
        <v>374294</v>
      </c>
      <c r="X25" s="2">
        <f>+Paralelo!$K$23</f>
        <v>43452658</v>
      </c>
      <c r="Y25" s="2">
        <f>+'Dez24'!$K$23</f>
        <v>35136135</v>
      </c>
      <c r="Z25" s="2">
        <f t="shared" si="23"/>
        <v>8316523</v>
      </c>
      <c r="AA25" s="2">
        <f>+Paralelo!$M$23</f>
        <v>18693699</v>
      </c>
      <c r="AB25" s="2">
        <f>+'Dez24'!$M$23</f>
        <v>17446381</v>
      </c>
      <c r="AC25" s="2">
        <f t="shared" si="24"/>
        <v>1247318</v>
      </c>
      <c r="AD25" s="2">
        <f>+Paralelo!$N$23</f>
        <v>14544457</v>
      </c>
      <c r="AE25" s="2">
        <f>+'Dez24'!$N$23</f>
        <v>14474462</v>
      </c>
      <c r="AF25" s="2">
        <f t="shared" si="25"/>
        <v>69995</v>
      </c>
      <c r="AG25" s="2">
        <f>+Paralelo!$O$23</f>
        <v>23234457</v>
      </c>
      <c r="AH25" s="2">
        <f>+'Dez24'!$O$23</f>
        <v>24938011</v>
      </c>
      <c r="AI25" s="2">
        <f t="shared" si="26"/>
        <v>-1703554</v>
      </c>
      <c r="AJ25" s="2">
        <f>+Paralelo!$P$23</f>
        <v>36184016</v>
      </c>
      <c r="AK25" s="2">
        <f>+'Dez24'!$P$23</f>
        <v>37757787</v>
      </c>
      <c r="AL25" s="2">
        <f t="shared" si="27"/>
        <v>-1573771</v>
      </c>
      <c r="AM25" s="2">
        <f>+Paralelo!$Q$23</f>
        <v>20987922</v>
      </c>
      <c r="AN25" s="2">
        <f>+'Dez24'!$Q$23</f>
        <v>22348533</v>
      </c>
      <c r="AO25" s="2">
        <f t="shared" si="28"/>
        <v>-1360611</v>
      </c>
      <c r="AP25" s="2">
        <f>+Paralelo!$R$23</f>
        <v>19734204</v>
      </c>
      <c r="AQ25" s="2">
        <f>+'Dez24'!$R$23</f>
        <v>21322546</v>
      </c>
      <c r="AR25" s="2">
        <f t="shared" si="29"/>
        <v>-1588342</v>
      </c>
      <c r="AS25" s="2">
        <f>+Paralelo!$S$23</f>
        <v>43300</v>
      </c>
      <c r="AT25" s="2">
        <f>+'Dez24'!$S$23</f>
        <v>174109</v>
      </c>
      <c r="AU25" s="2">
        <f t="shared" si="30"/>
        <v>-130809</v>
      </c>
      <c r="AV25" s="2">
        <f>+Paralelo!$T$23</f>
        <v>138789125</v>
      </c>
      <c r="AW25" s="2">
        <f>+'Dez24'!$T$23</f>
        <v>147381314</v>
      </c>
      <c r="AX25" s="2">
        <f t="shared" si="31"/>
        <v>-8592189</v>
      </c>
    </row>
    <row r="26" spans="2:50" ht="15" customHeight="1" x14ac:dyDescent="0.3">
      <c r="B26" s="22" t="s">
        <v>157</v>
      </c>
      <c r="C26" s="2">
        <f>+Paralelo!$D$24</f>
        <v>27.012235903576549</v>
      </c>
      <c r="D26" s="2">
        <f>+'Dez24'!$D$24</f>
        <v>27.366577263222261</v>
      </c>
      <c r="E26" s="2">
        <f t="shared" si="16"/>
        <v>-0.35434135964571212</v>
      </c>
      <c r="F26" s="2">
        <f>+Paralelo!$E$24</f>
        <v>24.418805027208634</v>
      </c>
      <c r="G26" s="2">
        <f>+'Dez24'!$E$24</f>
        <v>27.317603917830176</v>
      </c>
      <c r="H26" s="2">
        <f t="shared" si="17"/>
        <v>-2.8987988906215421</v>
      </c>
      <c r="I26" s="2">
        <f>+Paralelo!$F$24</f>
        <v>24.089589744654887</v>
      </c>
      <c r="J26" s="2">
        <f>+'Dez24'!$F$24</f>
        <v>27.535313590685888</v>
      </c>
      <c r="K26" s="2">
        <f t="shared" si="18"/>
        <v>-3.4457238460310009</v>
      </c>
      <c r="L26" s="2">
        <f>+Paralelo!$G$24</f>
        <v>24.69055310617501</v>
      </c>
      <c r="M26" s="2">
        <f>+'Dez24'!$G$24</f>
        <v>26.994035234122567</v>
      </c>
      <c r="N26" s="2">
        <f t="shared" si="19"/>
        <v>-2.3034821279475572</v>
      </c>
      <c r="O26" s="2">
        <f>+Paralelo!$H$24</f>
        <v>27.545500045359756</v>
      </c>
      <c r="P26" s="2">
        <f>+'Dez24'!$H$24</f>
        <v>26.929072615223873</v>
      </c>
      <c r="Q26" s="2">
        <f t="shared" si="20"/>
        <v>0.6164274301358823</v>
      </c>
      <c r="R26" s="2">
        <f>+Paralelo!$I$24</f>
        <v>30.974280293873115</v>
      </c>
      <c r="S26" s="2">
        <f>+'Dez24'!$I$24</f>
        <v>28.464579898958217</v>
      </c>
      <c r="T26" s="2">
        <f t="shared" si="21"/>
        <v>2.5097003949148977</v>
      </c>
      <c r="U26" s="2">
        <f>+Paralelo!$J$24</f>
        <v>30.86586009646085</v>
      </c>
      <c r="V26" s="2">
        <f>+'Dez24'!$J$24</f>
        <v>0</v>
      </c>
      <c r="W26" s="2">
        <f t="shared" si="22"/>
        <v>30.86586009646085</v>
      </c>
      <c r="X26" s="2">
        <f>+Paralelo!$K$24</f>
        <v>31.24319700685588</v>
      </c>
      <c r="Y26" s="2">
        <f>+'Dez24'!$K$24</f>
        <v>29.379292411793447</v>
      </c>
      <c r="Z26" s="2">
        <f t="shared" si="23"/>
        <v>1.8639045950624329</v>
      </c>
      <c r="AA26" s="2">
        <f>+Paralelo!$M$24</f>
        <v>28.93134276142327</v>
      </c>
      <c r="AB26" s="2">
        <f>+'Dez24'!$M$24</f>
        <v>29.016112460956975</v>
      </c>
      <c r="AC26" s="2">
        <f t="shared" si="24"/>
        <v>-8.4769699533705278E-2</v>
      </c>
      <c r="AD26" s="2">
        <f>+Paralelo!$N$24</f>
        <v>27.462671159334512</v>
      </c>
      <c r="AE26" s="2">
        <f>+'Dez24'!$N$24</f>
        <v>27.784625101239225</v>
      </c>
      <c r="AF26" s="2">
        <f t="shared" si="25"/>
        <v>-0.32195394190471305</v>
      </c>
      <c r="AG26" s="2">
        <f>+Paralelo!$O$24</f>
        <v>26.380028682176228</v>
      </c>
      <c r="AH26" s="2">
        <f>+'Dez24'!$O$24</f>
        <v>26.810736590971363</v>
      </c>
      <c r="AI26" s="2">
        <f t="shared" si="26"/>
        <v>-0.4307079087951351</v>
      </c>
      <c r="AJ26" s="2">
        <f>+Paralelo!$P$24</f>
        <v>26.849404884676062</v>
      </c>
      <c r="AK26" s="2">
        <f>+'Dez24'!$P$24</f>
        <v>27.205923451154117</v>
      </c>
      <c r="AL26" s="2">
        <f t="shared" si="27"/>
        <v>-0.35651856647805502</v>
      </c>
      <c r="AM26" s="2">
        <f>+Paralelo!$Q$24</f>
        <v>27.115961040932667</v>
      </c>
      <c r="AN26" s="2">
        <f>+'Dez24'!$Q$24</f>
        <v>27.507256778376725</v>
      </c>
      <c r="AO26" s="2">
        <f t="shared" si="28"/>
        <v>-0.39129573744405732</v>
      </c>
      <c r="AP26" s="2">
        <f>+Paralelo!$R$24</f>
        <v>26.602831517755636</v>
      </c>
      <c r="AQ26" s="2">
        <f>+'Dez24'!$R$24</f>
        <v>27.074317970857248</v>
      </c>
      <c r="AR26" s="2">
        <f t="shared" si="29"/>
        <v>-0.47148645310161186</v>
      </c>
      <c r="AS26" s="2">
        <f>+Paralelo!$S$24</f>
        <v>22.239706590680033</v>
      </c>
      <c r="AT26" s="2">
        <f>+'Dez24'!$S$24</f>
        <v>23.12117868018818</v>
      </c>
      <c r="AU26" s="2">
        <f t="shared" si="30"/>
        <v>-0.88147208950814715</v>
      </c>
      <c r="AV26" s="2">
        <f>+Paralelo!$T$24</f>
        <v>23.021301229228833</v>
      </c>
      <c r="AW26" s="2">
        <f>+'Dez24'!$T$24</f>
        <v>23.755874339652841</v>
      </c>
      <c r="AX26" s="2">
        <f t="shared" si="31"/>
        <v>-0.73457311042400875</v>
      </c>
    </row>
    <row r="27" spans="2:50" ht="15" customHeight="1" x14ac:dyDescent="0.3">
      <c r="B27" s="22" t="s">
        <v>158</v>
      </c>
      <c r="C27" s="2">
        <f>+Paralelo!$D$25</f>
        <v>208148076</v>
      </c>
      <c r="D27" s="2">
        <f>+'Dez24'!$D$25</f>
        <v>157552749</v>
      </c>
      <c r="E27" s="2">
        <f t="shared" si="16"/>
        <v>50595327</v>
      </c>
      <c r="F27" s="2">
        <f>+Paralelo!$E$25</f>
        <v>102491286</v>
      </c>
      <c r="G27" s="2">
        <f>+'Dez24'!$E$25</f>
        <v>83988083</v>
      </c>
      <c r="H27" s="2">
        <f t="shared" si="17"/>
        <v>18503203</v>
      </c>
      <c r="I27" s="2">
        <f>+Paralelo!$F$25</f>
        <v>70270905</v>
      </c>
      <c r="J27" s="2">
        <f>+'Dez24'!$F$25</f>
        <v>53946461</v>
      </c>
      <c r="K27" s="2">
        <f t="shared" si="18"/>
        <v>16324444</v>
      </c>
      <c r="L27" s="2">
        <f>+Paralelo!$G$25</f>
        <v>24492586</v>
      </c>
      <c r="M27" s="2">
        <f>+'Dez24'!$G$25</f>
        <v>17940362</v>
      </c>
      <c r="N27" s="2">
        <f t="shared" si="19"/>
        <v>6552224</v>
      </c>
      <c r="O27" s="2">
        <f>+Paralelo!$H$25</f>
        <v>2142109</v>
      </c>
      <c r="P27" s="2">
        <f>+'Dez24'!$H$25</f>
        <v>1527615</v>
      </c>
      <c r="Q27" s="2">
        <f t="shared" si="20"/>
        <v>614494</v>
      </c>
      <c r="R27" s="86">
        <f>+Paralelo!$I$25</f>
        <v>52750</v>
      </c>
      <c r="S27" s="86">
        <f>+'Dez24'!$I$25</f>
        <v>0</v>
      </c>
      <c r="T27" s="86">
        <f t="shared" si="21"/>
        <v>52750</v>
      </c>
      <c r="U27" s="86">
        <f>+Paralelo!$J$25</f>
        <v>35919</v>
      </c>
      <c r="V27" s="86">
        <f>+'Dez24'!$J$25</f>
        <v>0</v>
      </c>
      <c r="W27" s="86">
        <f t="shared" si="22"/>
        <v>35919</v>
      </c>
      <c r="X27" s="2">
        <f>+Paralelo!$K$25</f>
        <v>8662521</v>
      </c>
      <c r="Y27" s="2">
        <f>+'Dez24'!$K$25</f>
        <v>150227</v>
      </c>
      <c r="Z27" s="2">
        <f t="shared" si="23"/>
        <v>8512294</v>
      </c>
      <c r="AA27" s="2">
        <f>+Paralelo!$M$25</f>
        <v>11396671</v>
      </c>
      <c r="AB27" s="2">
        <f>+'Dez24'!$M$25</f>
        <v>9029183</v>
      </c>
      <c r="AC27" s="2">
        <f t="shared" si="24"/>
        <v>2367488</v>
      </c>
      <c r="AD27" s="2">
        <f>+Paralelo!$N$25</f>
        <v>18821034</v>
      </c>
      <c r="AE27" s="2">
        <f>+'Dez24'!$N$25</f>
        <v>14260766</v>
      </c>
      <c r="AF27" s="2">
        <f t="shared" si="25"/>
        <v>4560268</v>
      </c>
      <c r="AG27" s="2">
        <f>+Paralelo!$O$25</f>
        <v>66538762</v>
      </c>
      <c r="AH27" s="2">
        <f>+'Dez24'!$O$25</f>
        <v>51655711</v>
      </c>
      <c r="AI27" s="2">
        <f t="shared" si="26"/>
        <v>14883051</v>
      </c>
      <c r="AJ27" s="2">
        <f>+Paralelo!$P$25</f>
        <v>62086336</v>
      </c>
      <c r="AK27" s="2">
        <f>+'Dez24'!$P$25</f>
        <v>46673044</v>
      </c>
      <c r="AL27" s="2">
        <f t="shared" si="27"/>
        <v>15413292</v>
      </c>
      <c r="AM27" s="2">
        <f>+Paralelo!$Q$25</f>
        <v>30200816</v>
      </c>
      <c r="AN27" s="2">
        <f>+'Dez24'!$Q$25</f>
        <v>21776715</v>
      </c>
      <c r="AO27" s="2">
        <f t="shared" si="28"/>
        <v>8424101</v>
      </c>
      <c r="AP27" s="2">
        <f>+Paralelo!$R$25</f>
        <v>17874367</v>
      </c>
      <c r="AQ27" s="2">
        <f>+'Dez24'!$R$25</f>
        <v>13286953</v>
      </c>
      <c r="AR27" s="2">
        <f t="shared" si="29"/>
        <v>4587414</v>
      </c>
      <c r="AS27" s="2">
        <f>+Paralelo!$S$25</f>
        <v>968632</v>
      </c>
      <c r="AT27" s="2">
        <f>+'Dez24'!$S$25</f>
        <v>694768</v>
      </c>
      <c r="AU27" s="2">
        <f t="shared" si="30"/>
        <v>273864</v>
      </c>
      <c r="AV27" s="2">
        <f>+Paralelo!$T$25</f>
        <v>189061201</v>
      </c>
      <c r="AW27" s="2">
        <f>+'Dez24'!$T$25</f>
        <v>143990169</v>
      </c>
      <c r="AX27" s="2">
        <f t="shared" si="31"/>
        <v>45071032</v>
      </c>
    </row>
    <row r="28" spans="2:50" ht="15" customHeight="1" x14ac:dyDescent="0.3">
      <c r="B28" s="22" t="s">
        <v>159</v>
      </c>
      <c r="C28" s="78">
        <f>+Paralelo!$D$26</f>
        <v>3.0209595687443875E-2</v>
      </c>
      <c r="D28" s="78">
        <f>+'Dez24'!$D$26</f>
        <v>3.159075459100822E-2</v>
      </c>
      <c r="E28" s="78">
        <f t="shared" si="16"/>
        <v>-1.3811589035643453E-3</v>
      </c>
      <c r="F28" s="78">
        <f>+Paralelo!$E$26</f>
        <v>3.0204836842769384E-2</v>
      </c>
      <c r="G28" s="78">
        <f>+'Dez24'!$E$26</f>
        <v>3.1615664149385388E-2</v>
      </c>
      <c r="H28" s="78">
        <f t="shared" si="17"/>
        <v>-1.4108273066160033E-3</v>
      </c>
      <c r="I28" s="78">
        <f>+Paralelo!$F$26</f>
        <v>3.016286868081363E-2</v>
      </c>
      <c r="J28" s="78">
        <f>+'Dez24'!$F$26</f>
        <v>3.1588492761494377E-2</v>
      </c>
      <c r="K28" s="78">
        <f t="shared" si="18"/>
        <v>-1.4256240806807471E-3</v>
      </c>
      <c r="L28" s="78">
        <f>+Paralelo!$G$26</f>
        <v>3.0189148928693968E-2</v>
      </c>
      <c r="M28" s="78">
        <f>+'Dez24'!$G$26</f>
        <v>3.1488838097884775E-2</v>
      </c>
      <c r="N28" s="78">
        <f t="shared" si="19"/>
        <v>-1.2996891691908069E-3</v>
      </c>
      <c r="O28" s="78">
        <f>+Paralelo!$H$26</f>
        <v>3.0192223412247438E-2</v>
      </c>
      <c r="P28" s="78">
        <f>+'Dez24'!$H$26</f>
        <v>3.1479723057410577E-2</v>
      </c>
      <c r="Q28" s="78">
        <f t="shared" si="20"/>
        <v>-1.2874996451631392E-3</v>
      </c>
      <c r="R28" s="78">
        <f>+Paralelo!$I$26</f>
        <v>3.0048662685388031E-2</v>
      </c>
      <c r="S28" s="78">
        <f>+'Dez24'!$I$26</f>
        <v>3.2649728272862034E-2</v>
      </c>
      <c r="T28" s="78">
        <f t="shared" si="21"/>
        <v>-2.6010655874740031E-3</v>
      </c>
      <c r="U28" s="78">
        <f>+Paralelo!$J$26</f>
        <v>3.0238929501249727E-2</v>
      </c>
      <c r="V28" s="78">
        <f>+'Dez24'!$J$26</f>
        <v>0</v>
      </c>
      <c r="W28" s="78">
        <f t="shared" si="22"/>
        <v>3.0238929501249727E-2</v>
      </c>
      <c r="X28" s="78">
        <f>+Paralelo!$K$26</f>
        <v>3.0236442142480825E-2</v>
      </c>
      <c r="Y28" s="78">
        <f>+'Dez24'!$K$26</f>
        <v>3.3100973242535338E-2</v>
      </c>
      <c r="Z28" s="78">
        <f t="shared" si="23"/>
        <v>-2.8645311000545133E-3</v>
      </c>
      <c r="AA28" s="78">
        <f>+Paralelo!$M$26</f>
        <v>3.0185616245208477E-2</v>
      </c>
      <c r="AB28" s="78">
        <f>+'Dez24'!$M$26</f>
        <v>3.1632927053338505E-2</v>
      </c>
      <c r="AC28" s="78">
        <f t="shared" si="24"/>
        <v>-1.4473108081300284E-3</v>
      </c>
      <c r="AD28" s="78">
        <f>+Paralelo!$N$26</f>
        <v>3.0169771991255565E-2</v>
      </c>
      <c r="AE28" s="78">
        <f>+'Dez24'!$N$26</f>
        <v>3.1666316320020003E-2</v>
      </c>
      <c r="AF28" s="78">
        <f t="shared" si="25"/>
        <v>-1.4965443287644382E-3</v>
      </c>
      <c r="AG28" s="78">
        <f>+Paralelo!$O$26</f>
        <v>3.0242346705429614E-2</v>
      </c>
      <c r="AH28" s="78">
        <f>+'Dez24'!$O$26</f>
        <v>3.1571742694646618E-2</v>
      </c>
      <c r="AI28" s="78">
        <f t="shared" si="26"/>
        <v>-1.329395989217004E-3</v>
      </c>
      <c r="AJ28" s="78">
        <f>+Paralelo!$P$26</f>
        <v>3.0190767251582019E-2</v>
      </c>
      <c r="AK28" s="78">
        <f>+'Dez24'!$P$26</f>
        <v>3.1577348910106398E-2</v>
      </c>
      <c r="AL28" s="78">
        <f t="shared" si="27"/>
        <v>-1.3865816585243787E-3</v>
      </c>
      <c r="AM28" s="78">
        <f>+Paralelo!$Q$26</f>
        <v>3.0195164270111083E-2</v>
      </c>
      <c r="AN28" s="78">
        <f>+'Dez24'!$Q$26</f>
        <v>3.1547149851390545E-2</v>
      </c>
      <c r="AO28" s="78">
        <f t="shared" si="28"/>
        <v>-1.3519855812794621E-3</v>
      </c>
      <c r="AP28" s="78">
        <f>+Paralelo!$R$26</f>
        <v>3.0275266433235686E-2</v>
      </c>
      <c r="AQ28" s="78">
        <f>+'Dez24'!$R$26</f>
        <v>3.1609936658023599E-2</v>
      </c>
      <c r="AR28" s="78">
        <f t="shared" si="29"/>
        <v>-1.3346702247879136E-3</v>
      </c>
      <c r="AS28" s="78">
        <f>+Paralelo!$S$26</f>
        <v>3.0183924621457466E-2</v>
      </c>
      <c r="AT28" s="78">
        <f>+'Dez24'!$S$26</f>
        <v>3.0183920261993992E-2</v>
      </c>
      <c r="AU28" s="78">
        <f t="shared" si="30"/>
        <v>4.3594634742405436E-9</v>
      </c>
      <c r="AV28" s="78">
        <f>+Paralelo!$T$26</f>
        <v>3.025771528905765E-2</v>
      </c>
      <c r="AW28" s="78">
        <f>+'Dez24'!$T$26</f>
        <v>3.1695991290690742E-2</v>
      </c>
      <c r="AX28" s="78">
        <f t="shared" si="31"/>
        <v>-1.4382760016330917E-3</v>
      </c>
    </row>
    <row r="29" spans="2:50" ht="15" customHeight="1" x14ac:dyDescent="0.3">
      <c r="B29" s="104" t="s">
        <v>115</v>
      </c>
      <c r="C29" s="80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3">
        <f>+Paralelo!K27</f>
        <v>22179545</v>
      </c>
      <c r="Y29" s="3">
        <f>+'Dez24'!K27</f>
        <v>0</v>
      </c>
      <c r="Z29" s="3">
        <f t="shared" si="23"/>
        <v>22179545</v>
      </c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</row>
    <row r="30" spans="2:50" ht="15" customHeight="1" x14ac:dyDescent="0.3">
      <c r="B30" s="23" t="s">
        <v>114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6">
        <f>+Paralelo!K28</f>
        <v>0</v>
      </c>
      <c r="Y30" s="76">
        <f>+'Dez24'!K28</f>
        <v>0</v>
      </c>
      <c r="Z30" s="2">
        <f t="shared" si="23"/>
        <v>0</v>
      </c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2:50" ht="15" customHeight="1" x14ac:dyDescent="0.3">
      <c r="B31" s="23" t="s">
        <v>113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6">
        <f>+Paralelo!K29</f>
        <v>22179545</v>
      </c>
      <c r="Y31" s="76">
        <f>+'Dez24'!K29</f>
        <v>0</v>
      </c>
      <c r="Z31" s="2">
        <f t="shared" si="23"/>
        <v>22179545</v>
      </c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</row>
    <row r="32" spans="2:50" ht="15" customHeight="1" x14ac:dyDescent="0.3">
      <c r="B32" s="23" t="s">
        <v>112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6">
        <f>+Paralelo!K30</f>
        <v>0</v>
      </c>
      <c r="Y32" s="76">
        <f>+'Dez24'!K30</f>
        <v>0</v>
      </c>
      <c r="Z32" s="2">
        <f t="shared" si="23"/>
        <v>0</v>
      </c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</row>
    <row r="33" spans="2:50" ht="15" customHeight="1" x14ac:dyDescent="0.3">
      <c r="B33" s="23" t="s">
        <v>161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6">
        <f>+Paralelo!K31</f>
        <v>18383467</v>
      </c>
      <c r="Y33" s="76">
        <f>+'Dez24'!K31</f>
        <v>0</v>
      </c>
      <c r="Z33" s="2">
        <f t="shared" si="23"/>
        <v>18383467</v>
      </c>
      <c r="AA33" s="85">
        <f>+Paralelo!$M$31</f>
        <v>327837</v>
      </c>
      <c r="AB33" s="85">
        <f>+'Dez24'!$M$31</f>
        <v>0</v>
      </c>
      <c r="AC33" s="85">
        <f>+AA33-AB33</f>
        <v>327837</v>
      </c>
      <c r="AD33" s="85">
        <f>+Paralelo!$N$31</f>
        <v>129287</v>
      </c>
      <c r="AE33" s="85">
        <f>+'Dez24'!$N$31</f>
        <v>0</v>
      </c>
      <c r="AF33" s="85">
        <f>+AD33-AE33</f>
        <v>129287</v>
      </c>
      <c r="AG33" s="85">
        <f>+Paralelo!$O$31</f>
        <v>285851</v>
      </c>
      <c r="AH33" s="85">
        <f>+'Dez24'!$O$31</f>
        <v>0</v>
      </c>
      <c r="AI33" s="85">
        <f>+AG33-AH33</f>
        <v>285851</v>
      </c>
      <c r="AJ33" s="85">
        <f>+Paralelo!$P$31</f>
        <v>725757</v>
      </c>
      <c r="AK33" s="85">
        <f>+'Dez24'!$P$31</f>
        <v>0</v>
      </c>
      <c r="AL33" s="85">
        <f>+AJ33-AK33</f>
        <v>725757</v>
      </c>
      <c r="AM33" s="85">
        <f>+Paralelo!$Q$31</f>
        <v>514126</v>
      </c>
      <c r="AN33" s="85">
        <f>+'Dez24'!$Q$31</f>
        <v>0</v>
      </c>
      <c r="AO33" s="85">
        <f>+AM33-AN33</f>
        <v>514126</v>
      </c>
      <c r="AP33" s="85">
        <f>+Paralelo!$R$31</f>
        <v>363749</v>
      </c>
      <c r="AQ33" s="85">
        <f>+'Dez24'!$R$31</f>
        <v>0</v>
      </c>
      <c r="AR33" s="85">
        <f>+AP33-AQ33</f>
        <v>363749</v>
      </c>
      <c r="AS33" s="85">
        <f>+Paralelo!$S$31</f>
        <v>0</v>
      </c>
      <c r="AT33" s="85">
        <f>+'Dez24'!$S$31</f>
        <v>0</v>
      </c>
      <c r="AU33" s="85">
        <f>+AS33-AT33</f>
        <v>0</v>
      </c>
      <c r="AV33" s="79"/>
      <c r="AW33" s="79"/>
      <c r="AX33" s="79"/>
    </row>
    <row r="34" spans="2:50" ht="15" customHeight="1" x14ac:dyDescent="0.3">
      <c r="B34" s="19" t="s">
        <v>152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1"/>
    </row>
    <row r="35" spans="2:50" ht="15" customHeight="1" x14ac:dyDescent="0.3">
      <c r="B35" s="22" t="s">
        <v>146</v>
      </c>
      <c r="C35" s="78">
        <f>+Paralelo!$D$33</f>
        <v>0</v>
      </c>
      <c r="D35" s="78">
        <f>+'Dez24'!$D$33</f>
        <v>0</v>
      </c>
      <c r="E35" s="78">
        <f t="shared" ref="E35:E40" si="32">+C35-D35</f>
        <v>0</v>
      </c>
      <c r="F35" s="78">
        <f>+Paralelo!$E$33</f>
        <v>0</v>
      </c>
      <c r="G35" s="78">
        <f>+'Dez24'!$E$33</f>
        <v>0</v>
      </c>
      <c r="H35" s="78">
        <f t="shared" ref="H35:H40" si="33">+F35-G35</f>
        <v>0</v>
      </c>
      <c r="I35" s="78">
        <f>+Paralelo!$F$33</f>
        <v>0</v>
      </c>
      <c r="J35" s="78">
        <f>+'Dez24'!$F$33</f>
        <v>0</v>
      </c>
      <c r="K35" s="78">
        <f t="shared" ref="K35:K40" si="34">+I35-J35</f>
        <v>0</v>
      </c>
      <c r="L35" s="78">
        <f>+Paralelo!$G$33</f>
        <v>0</v>
      </c>
      <c r="M35" s="78">
        <f>+'Dez24'!$G$33</f>
        <v>0</v>
      </c>
      <c r="N35" s="78">
        <f t="shared" ref="N35:N40" si="35">+L35-M35</f>
        <v>0</v>
      </c>
      <c r="O35" s="78">
        <f>+Paralelo!$H$33</f>
        <v>0</v>
      </c>
      <c r="P35" s="78">
        <f>+'Dez24'!$H$33</f>
        <v>0</v>
      </c>
      <c r="Q35" s="78">
        <f t="shared" ref="Q35:Q40" si="36">+O35-P35</f>
        <v>0</v>
      </c>
      <c r="R35" s="78">
        <f>+Paralelo!$I$33</f>
        <v>0</v>
      </c>
      <c r="S35" s="78">
        <f>+'Dez24'!$I$33</f>
        <v>0</v>
      </c>
      <c r="T35" s="78">
        <f t="shared" ref="T35:T40" si="37">+R35-S35</f>
        <v>0</v>
      </c>
      <c r="U35" s="78">
        <f>+Paralelo!$J$33</f>
        <v>0</v>
      </c>
      <c r="V35" s="78">
        <f>+'Dez24'!$J$33</f>
        <v>0</v>
      </c>
      <c r="W35" s="78">
        <f t="shared" ref="W35:W40" si="38">+U35-V35</f>
        <v>0</v>
      </c>
      <c r="X35" s="78">
        <f>+Paralelo!$K$33</f>
        <v>0</v>
      </c>
      <c r="Y35" s="78">
        <f>+'Dez24'!$K$33</f>
        <v>0</v>
      </c>
      <c r="Z35" s="78">
        <f t="shared" ref="Z35:Z40" si="39">+X35-Y35</f>
        <v>0</v>
      </c>
      <c r="AA35" s="78">
        <f>+Paralelo!$M$33</f>
        <v>0</v>
      </c>
      <c r="AB35" s="78">
        <f>+'Dez24'!$M$33</f>
        <v>0</v>
      </c>
      <c r="AC35" s="78">
        <f t="shared" ref="AC35:AC40" si="40">+AA35-AB35</f>
        <v>0</v>
      </c>
      <c r="AD35" s="78">
        <f>+Paralelo!$N$33</f>
        <v>0</v>
      </c>
      <c r="AE35" s="78">
        <f>+'Dez24'!$N$33</f>
        <v>0</v>
      </c>
      <c r="AF35" s="78">
        <f t="shared" ref="AF35:AF40" si="41">+AD35-AE35</f>
        <v>0</v>
      </c>
      <c r="AG35" s="78">
        <f>+Paralelo!$O$33</f>
        <v>0</v>
      </c>
      <c r="AH35" s="78">
        <f>+'Dez24'!$O$33</f>
        <v>0</v>
      </c>
      <c r="AI35" s="78">
        <f t="shared" ref="AI35:AI40" si="42">+AG35-AH35</f>
        <v>0</v>
      </c>
      <c r="AJ35" s="78">
        <f>+Paralelo!$P$33</f>
        <v>0</v>
      </c>
      <c r="AK35" s="78">
        <f>+'Dez24'!$P$33</f>
        <v>0</v>
      </c>
      <c r="AL35" s="78">
        <f t="shared" ref="AL35:AL40" si="43">+AJ35-AK35</f>
        <v>0</v>
      </c>
      <c r="AM35" s="78">
        <f>+Paralelo!$Q$33</f>
        <v>0</v>
      </c>
      <c r="AN35" s="78">
        <f>+'Dez24'!$Q$33</f>
        <v>0</v>
      </c>
      <c r="AO35" s="78">
        <f t="shared" ref="AO35:AO40" si="44">+AM35-AN35</f>
        <v>0</v>
      </c>
      <c r="AP35" s="78">
        <f>+Paralelo!$R$33</f>
        <v>0</v>
      </c>
      <c r="AQ35" s="78">
        <f>+'Dez24'!$R$33</f>
        <v>0</v>
      </c>
      <c r="AR35" s="78">
        <f t="shared" ref="AR35:AR40" si="45">+AP35-AQ35</f>
        <v>0</v>
      </c>
      <c r="AS35" s="78">
        <f>+Paralelo!$S$33</f>
        <v>0</v>
      </c>
      <c r="AT35" s="78">
        <f>+'Dez24'!$S$33</f>
        <v>0</v>
      </c>
      <c r="AU35" s="78">
        <f t="shared" ref="AU35:AU40" si="46">+AS35-AT35</f>
        <v>0</v>
      </c>
      <c r="AV35" s="78">
        <f>+Paralelo!$T$33</f>
        <v>0</v>
      </c>
      <c r="AW35" s="78">
        <f>+'Dez24'!$T$33</f>
        <v>0</v>
      </c>
      <c r="AX35" s="78">
        <f t="shared" ref="AX35:AX40" si="47">+AV35-AW35</f>
        <v>0</v>
      </c>
    </row>
    <row r="36" spans="2:50" ht="15" customHeight="1" x14ac:dyDescent="0.3">
      <c r="B36" s="22" t="s">
        <v>147</v>
      </c>
      <c r="C36" s="2">
        <f>+Paralelo!$D$34</f>
        <v>0</v>
      </c>
      <c r="D36" s="2">
        <f>+'Dez24'!$D$34</f>
        <v>0</v>
      </c>
      <c r="E36" s="2">
        <f t="shared" si="32"/>
        <v>0</v>
      </c>
      <c r="F36" s="2">
        <f>+Paralelo!$E$34</f>
        <v>0</v>
      </c>
      <c r="G36" s="2">
        <f>+'Dez24'!$E$34</f>
        <v>0</v>
      </c>
      <c r="H36" s="2">
        <f t="shared" si="33"/>
        <v>0</v>
      </c>
      <c r="I36" s="2">
        <f>+Paralelo!$F$34</f>
        <v>0</v>
      </c>
      <c r="J36" s="2">
        <f>+'Dez24'!$F$34</f>
        <v>0</v>
      </c>
      <c r="K36" s="2">
        <f t="shared" si="34"/>
        <v>0</v>
      </c>
      <c r="L36" s="2">
        <f>+Paralelo!$G$34</f>
        <v>0</v>
      </c>
      <c r="M36" s="2">
        <f>+'Dez24'!$G$34</f>
        <v>0</v>
      </c>
      <c r="N36" s="2">
        <f t="shared" si="35"/>
        <v>0</v>
      </c>
      <c r="O36" s="2">
        <f>+Paralelo!$H$34</f>
        <v>0</v>
      </c>
      <c r="P36" s="2">
        <f>+'Dez24'!$H$34</f>
        <v>0</v>
      </c>
      <c r="Q36" s="2">
        <f t="shared" si="36"/>
        <v>0</v>
      </c>
      <c r="R36" s="2">
        <f>+Paralelo!$I$34</f>
        <v>0</v>
      </c>
      <c r="S36" s="2">
        <f>+'Dez24'!$I$34</f>
        <v>0</v>
      </c>
      <c r="T36" s="2">
        <f t="shared" si="37"/>
        <v>0</v>
      </c>
      <c r="U36" s="2">
        <f>+Paralelo!$J$34</f>
        <v>0</v>
      </c>
      <c r="V36" s="2">
        <f>+'Dez24'!$J$34</f>
        <v>0</v>
      </c>
      <c r="W36" s="2">
        <f t="shared" si="38"/>
        <v>0</v>
      </c>
      <c r="X36" s="2">
        <f>+Paralelo!$K$34</f>
        <v>0</v>
      </c>
      <c r="Y36" s="2">
        <f>+'Dez24'!$K$34</f>
        <v>0</v>
      </c>
      <c r="Z36" s="2">
        <f t="shared" si="39"/>
        <v>0</v>
      </c>
      <c r="AA36" s="2">
        <f>+Paralelo!$M$34</f>
        <v>0</v>
      </c>
      <c r="AB36" s="2">
        <f>+'Dez24'!$M$34</f>
        <v>0</v>
      </c>
      <c r="AC36" s="2">
        <f t="shared" si="40"/>
        <v>0</v>
      </c>
      <c r="AD36" s="2">
        <f>+Paralelo!$N$34</f>
        <v>0</v>
      </c>
      <c r="AE36" s="2">
        <f>+'Dez24'!$N$34</f>
        <v>0</v>
      </c>
      <c r="AF36" s="2">
        <f t="shared" si="41"/>
        <v>0</v>
      </c>
      <c r="AG36" s="2">
        <f>+Paralelo!$O$34</f>
        <v>0</v>
      </c>
      <c r="AH36" s="2">
        <f>+'Dez24'!$O$34</f>
        <v>0</v>
      </c>
      <c r="AI36" s="2">
        <f t="shared" si="42"/>
        <v>0</v>
      </c>
      <c r="AJ36" s="2">
        <f>+Paralelo!$P$34</f>
        <v>0</v>
      </c>
      <c r="AK36" s="2">
        <f>+'Dez24'!$P$34</f>
        <v>0</v>
      </c>
      <c r="AL36" s="2">
        <f t="shared" si="43"/>
        <v>0</v>
      </c>
      <c r="AM36" s="2">
        <f>+Paralelo!$Q$34</f>
        <v>0</v>
      </c>
      <c r="AN36" s="2">
        <f>+'Dez24'!$Q$34</f>
        <v>0</v>
      </c>
      <c r="AO36" s="2">
        <f t="shared" si="44"/>
        <v>0</v>
      </c>
      <c r="AP36" s="2">
        <f>+Paralelo!$R$34</f>
        <v>0</v>
      </c>
      <c r="AQ36" s="2">
        <f>+'Dez24'!$R$34</f>
        <v>0</v>
      </c>
      <c r="AR36" s="2">
        <f t="shared" si="45"/>
        <v>0</v>
      </c>
      <c r="AS36" s="2">
        <f>+Paralelo!$S$34</f>
        <v>0</v>
      </c>
      <c r="AT36" s="2">
        <f>+'Dez24'!$S$34</f>
        <v>0</v>
      </c>
      <c r="AU36" s="2">
        <f t="shared" si="46"/>
        <v>0</v>
      </c>
      <c r="AV36" s="2">
        <f>+Paralelo!$T$34</f>
        <v>0</v>
      </c>
      <c r="AW36" s="2">
        <f>+'Dez24'!$T$34</f>
        <v>0</v>
      </c>
      <c r="AX36" s="2">
        <f t="shared" si="47"/>
        <v>0</v>
      </c>
    </row>
    <row r="37" spans="2:50" ht="15" customHeight="1" x14ac:dyDescent="0.3">
      <c r="B37" s="22" t="s">
        <v>148</v>
      </c>
      <c r="C37" s="2">
        <f>+Paralelo!$D$35</f>
        <v>0</v>
      </c>
      <c r="D37" s="2">
        <f>+'Dez24'!$D$35</f>
        <v>0</v>
      </c>
      <c r="E37" s="2">
        <f t="shared" si="32"/>
        <v>0</v>
      </c>
      <c r="F37" s="2">
        <f>+Paralelo!$E$35</f>
        <v>0</v>
      </c>
      <c r="G37" s="2">
        <f>+'Dez24'!$E$35</f>
        <v>0</v>
      </c>
      <c r="H37" s="2">
        <f t="shared" si="33"/>
        <v>0</v>
      </c>
      <c r="I37" s="2">
        <f>+Paralelo!$F$35</f>
        <v>0</v>
      </c>
      <c r="J37" s="2">
        <f>+'Dez24'!$F$35</f>
        <v>0</v>
      </c>
      <c r="K37" s="2">
        <f t="shared" si="34"/>
        <v>0</v>
      </c>
      <c r="L37" s="2">
        <f>+Paralelo!$G$35</f>
        <v>0</v>
      </c>
      <c r="M37" s="2">
        <f>+'Dez24'!$G$35</f>
        <v>0</v>
      </c>
      <c r="N37" s="2">
        <f t="shared" si="35"/>
        <v>0</v>
      </c>
      <c r="O37" s="2">
        <f>+Paralelo!$H$35</f>
        <v>0</v>
      </c>
      <c r="P37" s="2">
        <f>+'Dez24'!$H$35</f>
        <v>0</v>
      </c>
      <c r="Q37" s="2">
        <f t="shared" si="36"/>
        <v>0</v>
      </c>
      <c r="R37" s="2">
        <f>+Paralelo!$I$35</f>
        <v>0</v>
      </c>
      <c r="S37" s="2">
        <f>+'Dez24'!$I$35</f>
        <v>0</v>
      </c>
      <c r="T37" s="2">
        <f t="shared" si="37"/>
        <v>0</v>
      </c>
      <c r="U37" s="2">
        <f>+Paralelo!$J$35</f>
        <v>0</v>
      </c>
      <c r="V37" s="2">
        <f>+'Dez24'!$J$35</f>
        <v>0</v>
      </c>
      <c r="W37" s="2">
        <f t="shared" si="38"/>
        <v>0</v>
      </c>
      <c r="X37" s="2">
        <f>+Paralelo!$K$35</f>
        <v>0</v>
      </c>
      <c r="Y37" s="2">
        <f>+'Dez24'!$K$35</f>
        <v>0</v>
      </c>
      <c r="Z37" s="2">
        <f t="shared" si="39"/>
        <v>0</v>
      </c>
      <c r="AA37" s="2">
        <f>+Paralelo!$M$35</f>
        <v>0</v>
      </c>
      <c r="AB37" s="2">
        <f>+'Dez24'!$M$35</f>
        <v>0</v>
      </c>
      <c r="AC37" s="2">
        <f t="shared" si="40"/>
        <v>0</v>
      </c>
      <c r="AD37" s="2">
        <f>+Paralelo!$N$35</f>
        <v>0</v>
      </c>
      <c r="AE37" s="2">
        <f>+'Dez24'!$N$35</f>
        <v>0</v>
      </c>
      <c r="AF37" s="2">
        <f t="shared" si="41"/>
        <v>0</v>
      </c>
      <c r="AG37" s="2">
        <f>+Paralelo!$O$35</f>
        <v>0</v>
      </c>
      <c r="AH37" s="2">
        <f>+'Dez24'!$O$35</f>
        <v>0</v>
      </c>
      <c r="AI37" s="2">
        <f t="shared" si="42"/>
        <v>0</v>
      </c>
      <c r="AJ37" s="2">
        <f>+Paralelo!$P$35</f>
        <v>0</v>
      </c>
      <c r="AK37" s="2">
        <f>+'Dez24'!$P$35</f>
        <v>0</v>
      </c>
      <c r="AL37" s="2">
        <f t="shared" si="43"/>
        <v>0</v>
      </c>
      <c r="AM37" s="2">
        <f>+Paralelo!$Q$35</f>
        <v>0</v>
      </c>
      <c r="AN37" s="2">
        <f>+'Dez24'!$Q$35</f>
        <v>0</v>
      </c>
      <c r="AO37" s="2">
        <f t="shared" si="44"/>
        <v>0</v>
      </c>
      <c r="AP37" s="2">
        <f>+Paralelo!$R$35</f>
        <v>0</v>
      </c>
      <c r="AQ37" s="2">
        <f>+'Dez24'!$R$35</f>
        <v>0</v>
      </c>
      <c r="AR37" s="2">
        <f t="shared" si="45"/>
        <v>0</v>
      </c>
      <c r="AS37" s="2">
        <f>+Paralelo!$S$35</f>
        <v>0</v>
      </c>
      <c r="AT37" s="2">
        <f>+'Dez24'!$S$35</f>
        <v>0</v>
      </c>
      <c r="AU37" s="2">
        <f t="shared" si="46"/>
        <v>0</v>
      </c>
      <c r="AV37" s="2">
        <f>+Paralelo!$T$35</f>
        <v>0</v>
      </c>
      <c r="AW37" s="2">
        <f>+'Dez24'!$T$35</f>
        <v>0</v>
      </c>
      <c r="AX37" s="2">
        <f t="shared" si="47"/>
        <v>0</v>
      </c>
    </row>
    <row r="38" spans="2:50" ht="15" customHeight="1" x14ac:dyDescent="0.3">
      <c r="B38" s="22" t="s">
        <v>149</v>
      </c>
      <c r="C38" s="2">
        <f>+Paralelo!$D$36</f>
        <v>0</v>
      </c>
      <c r="D38" s="2">
        <f>+'Dez24'!$D$36</f>
        <v>0</v>
      </c>
      <c r="E38" s="2">
        <f t="shared" si="32"/>
        <v>0</v>
      </c>
      <c r="F38" s="2">
        <f>+Paralelo!$E$36</f>
        <v>0</v>
      </c>
      <c r="G38" s="2">
        <f>+'Dez24'!$E$36</f>
        <v>0</v>
      </c>
      <c r="H38" s="2">
        <f t="shared" si="33"/>
        <v>0</v>
      </c>
      <c r="I38" s="2">
        <f>+Paralelo!$F$36</f>
        <v>0</v>
      </c>
      <c r="J38" s="2">
        <f>+'Dez24'!$F$36</f>
        <v>0</v>
      </c>
      <c r="K38" s="2">
        <f t="shared" si="34"/>
        <v>0</v>
      </c>
      <c r="L38" s="2">
        <f>+Paralelo!$G$36</f>
        <v>0</v>
      </c>
      <c r="M38" s="2">
        <f>+'Dez24'!$G$36</f>
        <v>0</v>
      </c>
      <c r="N38" s="2">
        <f t="shared" si="35"/>
        <v>0</v>
      </c>
      <c r="O38" s="2">
        <f>+Paralelo!$H$36</f>
        <v>0</v>
      </c>
      <c r="P38" s="2">
        <f>+'Dez24'!$H$36</f>
        <v>0</v>
      </c>
      <c r="Q38" s="2">
        <f t="shared" si="36"/>
        <v>0</v>
      </c>
      <c r="R38" s="2">
        <f>+Paralelo!$I$36</f>
        <v>0</v>
      </c>
      <c r="S38" s="2">
        <f>+'Dez24'!$I$36</f>
        <v>0</v>
      </c>
      <c r="T38" s="2">
        <f t="shared" si="37"/>
        <v>0</v>
      </c>
      <c r="U38" s="2">
        <f>+Paralelo!$J$36</f>
        <v>0</v>
      </c>
      <c r="V38" s="2">
        <f>+'Dez24'!$J$36</f>
        <v>0</v>
      </c>
      <c r="W38" s="2">
        <f t="shared" si="38"/>
        <v>0</v>
      </c>
      <c r="X38" s="2">
        <f>+Paralelo!$K$36</f>
        <v>0</v>
      </c>
      <c r="Y38" s="2">
        <f>+'Dez24'!$K$36</f>
        <v>0</v>
      </c>
      <c r="Z38" s="2">
        <f t="shared" si="39"/>
        <v>0</v>
      </c>
      <c r="AA38" s="2">
        <f>+Paralelo!$M$36</f>
        <v>0</v>
      </c>
      <c r="AB38" s="2">
        <f>+'Dez24'!$M$36</f>
        <v>0</v>
      </c>
      <c r="AC38" s="2">
        <f t="shared" si="40"/>
        <v>0</v>
      </c>
      <c r="AD38" s="2">
        <f>+Paralelo!$N$36</f>
        <v>0</v>
      </c>
      <c r="AE38" s="2">
        <f>+'Dez24'!$N$36</f>
        <v>0</v>
      </c>
      <c r="AF38" s="2">
        <f t="shared" si="41"/>
        <v>0</v>
      </c>
      <c r="AG38" s="2">
        <f>+Paralelo!$O$36</f>
        <v>0</v>
      </c>
      <c r="AH38" s="2">
        <f>+'Dez24'!$O$36</f>
        <v>0</v>
      </c>
      <c r="AI38" s="2">
        <f t="shared" si="42"/>
        <v>0</v>
      </c>
      <c r="AJ38" s="2">
        <f>+Paralelo!$P$36</f>
        <v>0</v>
      </c>
      <c r="AK38" s="2">
        <f>+'Dez24'!$P$36</f>
        <v>0</v>
      </c>
      <c r="AL38" s="2">
        <f t="shared" si="43"/>
        <v>0</v>
      </c>
      <c r="AM38" s="2">
        <f>+Paralelo!$Q$36</f>
        <v>0</v>
      </c>
      <c r="AN38" s="2">
        <f>+'Dez24'!$Q$36</f>
        <v>0</v>
      </c>
      <c r="AO38" s="2">
        <f t="shared" si="44"/>
        <v>0</v>
      </c>
      <c r="AP38" s="2">
        <f>+Paralelo!$R$36</f>
        <v>0</v>
      </c>
      <c r="AQ38" s="2">
        <f>+'Dez24'!$R$36</f>
        <v>0</v>
      </c>
      <c r="AR38" s="2">
        <f t="shared" si="45"/>
        <v>0</v>
      </c>
      <c r="AS38" s="2">
        <f>+Paralelo!$S$36</f>
        <v>0</v>
      </c>
      <c r="AT38" s="2">
        <f>+'Dez24'!$S$36</f>
        <v>0</v>
      </c>
      <c r="AU38" s="2">
        <f t="shared" si="46"/>
        <v>0</v>
      </c>
      <c r="AV38" s="2">
        <f>+Paralelo!$T$36</f>
        <v>0</v>
      </c>
      <c r="AW38" s="2">
        <f>+'Dez24'!$T$36</f>
        <v>0</v>
      </c>
      <c r="AX38" s="2">
        <f t="shared" si="47"/>
        <v>0</v>
      </c>
    </row>
    <row r="39" spans="2:50" ht="15" customHeight="1" x14ac:dyDescent="0.3">
      <c r="B39" s="22" t="s">
        <v>150</v>
      </c>
      <c r="C39" s="2">
        <f>+Paralelo!$D$37</f>
        <v>0</v>
      </c>
      <c r="D39" s="2">
        <f>+'Dez24'!$D$37</f>
        <v>0</v>
      </c>
      <c r="E39" s="2">
        <f t="shared" si="32"/>
        <v>0</v>
      </c>
      <c r="F39" s="2">
        <f>+Paralelo!$E$37</f>
        <v>0</v>
      </c>
      <c r="G39" s="2">
        <f>+'Dez24'!$E$37</f>
        <v>0</v>
      </c>
      <c r="H39" s="2">
        <f t="shared" si="33"/>
        <v>0</v>
      </c>
      <c r="I39" s="2">
        <f>+Paralelo!$F$37</f>
        <v>0</v>
      </c>
      <c r="J39" s="2">
        <f>+'Dez24'!$F$37</f>
        <v>0</v>
      </c>
      <c r="K39" s="2">
        <f t="shared" si="34"/>
        <v>0</v>
      </c>
      <c r="L39" s="2">
        <f>+Paralelo!$G$37</f>
        <v>0</v>
      </c>
      <c r="M39" s="2">
        <f>+'Dez24'!$G$37</f>
        <v>0</v>
      </c>
      <c r="N39" s="2">
        <f t="shared" si="35"/>
        <v>0</v>
      </c>
      <c r="O39" s="2">
        <f>+Paralelo!$H$37</f>
        <v>0</v>
      </c>
      <c r="P39" s="2">
        <f>+'Dez24'!$H$37</f>
        <v>0</v>
      </c>
      <c r="Q39" s="2">
        <f t="shared" si="36"/>
        <v>0</v>
      </c>
      <c r="R39" s="2">
        <f>+Paralelo!$I$37</f>
        <v>0</v>
      </c>
      <c r="S39" s="2">
        <f>+'Dez24'!$I$37</f>
        <v>0</v>
      </c>
      <c r="T39" s="2">
        <f t="shared" si="37"/>
        <v>0</v>
      </c>
      <c r="U39" s="2">
        <f>+Paralelo!$J$37</f>
        <v>0</v>
      </c>
      <c r="V39" s="2">
        <f>+'Dez24'!$J$37</f>
        <v>0</v>
      </c>
      <c r="W39" s="2">
        <f t="shared" si="38"/>
        <v>0</v>
      </c>
      <c r="X39" s="2">
        <f>+Paralelo!$K$37</f>
        <v>0</v>
      </c>
      <c r="Y39" s="2">
        <f>+'Dez24'!$K$37</f>
        <v>0</v>
      </c>
      <c r="Z39" s="2">
        <f t="shared" si="39"/>
        <v>0</v>
      </c>
      <c r="AA39" s="2">
        <f>+Paralelo!$M$37</f>
        <v>0</v>
      </c>
      <c r="AB39" s="2">
        <f>+'Dez24'!$M$37</f>
        <v>0</v>
      </c>
      <c r="AC39" s="2">
        <f t="shared" si="40"/>
        <v>0</v>
      </c>
      <c r="AD39" s="2">
        <f>+Paralelo!$N$37</f>
        <v>0</v>
      </c>
      <c r="AE39" s="2">
        <f>+'Dez24'!$N$37</f>
        <v>0</v>
      </c>
      <c r="AF39" s="2">
        <f t="shared" si="41"/>
        <v>0</v>
      </c>
      <c r="AG39" s="2">
        <f>+Paralelo!$O$37</f>
        <v>0</v>
      </c>
      <c r="AH39" s="2">
        <f>+'Dez24'!$O$37</f>
        <v>0</v>
      </c>
      <c r="AI39" s="2">
        <f t="shared" si="42"/>
        <v>0</v>
      </c>
      <c r="AJ39" s="2">
        <f>+Paralelo!$P$37</f>
        <v>0</v>
      </c>
      <c r="AK39" s="2">
        <f>+'Dez24'!$P$37</f>
        <v>0</v>
      </c>
      <c r="AL39" s="2">
        <f t="shared" si="43"/>
        <v>0</v>
      </c>
      <c r="AM39" s="2">
        <f>+Paralelo!$Q$37</f>
        <v>0</v>
      </c>
      <c r="AN39" s="2">
        <f>+'Dez24'!$Q$37</f>
        <v>0</v>
      </c>
      <c r="AO39" s="2">
        <f t="shared" si="44"/>
        <v>0</v>
      </c>
      <c r="AP39" s="2">
        <f>+Paralelo!$R$37</f>
        <v>0</v>
      </c>
      <c r="AQ39" s="2">
        <f>+'Dez24'!$R$37</f>
        <v>0</v>
      </c>
      <c r="AR39" s="2">
        <f t="shared" si="45"/>
        <v>0</v>
      </c>
      <c r="AS39" s="2">
        <f>+Paralelo!$S$37</f>
        <v>0</v>
      </c>
      <c r="AT39" s="2">
        <f>+'Dez24'!$S$37</f>
        <v>0</v>
      </c>
      <c r="AU39" s="2">
        <f t="shared" si="46"/>
        <v>0</v>
      </c>
      <c r="AV39" s="2">
        <f>+Paralelo!$T$37</f>
        <v>0</v>
      </c>
      <c r="AW39" s="2">
        <f>+'Dez24'!$T$37</f>
        <v>0</v>
      </c>
      <c r="AX39" s="2">
        <f t="shared" si="47"/>
        <v>0</v>
      </c>
    </row>
    <row r="40" spans="2:50" ht="15" customHeight="1" x14ac:dyDescent="0.3">
      <c r="B40" s="22" t="s">
        <v>151</v>
      </c>
      <c r="C40" s="78">
        <f>+Paralelo!$D$38</f>
        <v>0</v>
      </c>
      <c r="D40" s="78">
        <f>+'Dez24'!$D$38</f>
        <v>0</v>
      </c>
      <c r="E40" s="78">
        <f t="shared" si="32"/>
        <v>0</v>
      </c>
      <c r="F40" s="78">
        <f>+Paralelo!$E$38</f>
        <v>0</v>
      </c>
      <c r="G40" s="78">
        <f>+'Dez24'!$E$38</f>
        <v>0</v>
      </c>
      <c r="H40" s="78">
        <f t="shared" si="33"/>
        <v>0</v>
      </c>
      <c r="I40" s="78">
        <f>+Paralelo!$F$38</f>
        <v>0</v>
      </c>
      <c r="J40" s="78">
        <f>+'Dez24'!$F$38</f>
        <v>0</v>
      </c>
      <c r="K40" s="78">
        <f t="shared" si="34"/>
        <v>0</v>
      </c>
      <c r="L40" s="78">
        <f>+Paralelo!$G$38</f>
        <v>0</v>
      </c>
      <c r="M40" s="78">
        <f>+'Dez24'!$G$38</f>
        <v>0</v>
      </c>
      <c r="N40" s="78">
        <f t="shared" si="35"/>
        <v>0</v>
      </c>
      <c r="O40" s="78">
        <f>+Paralelo!$H$38</f>
        <v>0</v>
      </c>
      <c r="P40" s="78">
        <f>+'Dez24'!$H$38</f>
        <v>0</v>
      </c>
      <c r="Q40" s="78">
        <f t="shared" si="36"/>
        <v>0</v>
      </c>
      <c r="R40" s="78">
        <f>+Paralelo!$I$38</f>
        <v>0</v>
      </c>
      <c r="S40" s="78">
        <f>+'Dez24'!$I$38</f>
        <v>0</v>
      </c>
      <c r="T40" s="78">
        <f t="shared" si="37"/>
        <v>0</v>
      </c>
      <c r="U40" s="78">
        <f>+Paralelo!$J$38</f>
        <v>0</v>
      </c>
      <c r="V40" s="78">
        <f>+'Dez24'!$J$38</f>
        <v>0</v>
      </c>
      <c r="W40" s="78">
        <f t="shared" si="38"/>
        <v>0</v>
      </c>
      <c r="X40" s="78">
        <f>+Paralelo!$K$38</f>
        <v>0</v>
      </c>
      <c r="Y40" s="78">
        <f>+'Dez24'!$K$38</f>
        <v>0</v>
      </c>
      <c r="Z40" s="78">
        <f t="shared" si="39"/>
        <v>0</v>
      </c>
      <c r="AA40" s="78">
        <f>+Paralelo!$M$38</f>
        <v>0</v>
      </c>
      <c r="AB40" s="78">
        <f>+'Dez24'!$M$38</f>
        <v>0</v>
      </c>
      <c r="AC40" s="78">
        <f t="shared" si="40"/>
        <v>0</v>
      </c>
      <c r="AD40" s="78">
        <f>+Paralelo!$N$38</f>
        <v>0</v>
      </c>
      <c r="AE40" s="78">
        <f>+'Dez24'!$N$38</f>
        <v>0</v>
      </c>
      <c r="AF40" s="78">
        <f t="shared" si="41"/>
        <v>0</v>
      </c>
      <c r="AG40" s="78">
        <f>+Paralelo!$O$38</f>
        <v>0</v>
      </c>
      <c r="AH40" s="78">
        <f>+'Dez24'!$O$38</f>
        <v>0</v>
      </c>
      <c r="AI40" s="78">
        <f t="shared" si="42"/>
        <v>0</v>
      </c>
      <c r="AJ40" s="78">
        <f>+Paralelo!$P$38</f>
        <v>0</v>
      </c>
      <c r="AK40" s="78">
        <f>+'Dez24'!$P$38</f>
        <v>0</v>
      </c>
      <c r="AL40" s="78">
        <f t="shared" si="43"/>
        <v>0</v>
      </c>
      <c r="AM40" s="78">
        <f>+Paralelo!$Q$38</f>
        <v>0</v>
      </c>
      <c r="AN40" s="78">
        <f>+'Dez24'!$Q$38</f>
        <v>0</v>
      </c>
      <c r="AO40" s="78">
        <f t="shared" si="44"/>
        <v>0</v>
      </c>
      <c r="AP40" s="78">
        <f>+Paralelo!$R$38</f>
        <v>0</v>
      </c>
      <c r="AQ40" s="78">
        <f>+'Dez24'!$R$38</f>
        <v>0</v>
      </c>
      <c r="AR40" s="78">
        <f t="shared" si="45"/>
        <v>0</v>
      </c>
      <c r="AS40" s="78">
        <f>+Paralelo!$S$38</f>
        <v>0</v>
      </c>
      <c r="AT40" s="78">
        <f>+'Dez24'!$S$38</f>
        <v>0</v>
      </c>
      <c r="AU40" s="78">
        <f t="shared" si="46"/>
        <v>0</v>
      </c>
      <c r="AV40" s="78">
        <f>+Paralelo!$T$38</f>
        <v>0</v>
      </c>
      <c r="AW40" s="78">
        <f>+'Dez24'!$T$38</f>
        <v>0</v>
      </c>
      <c r="AX40" s="78">
        <f t="shared" si="47"/>
        <v>0</v>
      </c>
    </row>
    <row r="41" spans="2:50" ht="15" customHeight="1" x14ac:dyDescent="0.3">
      <c r="B41" s="16" t="s">
        <v>153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8"/>
    </row>
    <row r="42" spans="2:50" ht="15" customHeight="1" x14ac:dyDescent="0.3">
      <c r="B42" s="22" t="s">
        <v>154</v>
      </c>
      <c r="C42" s="78">
        <f>+Paralelo!$D$40</f>
        <v>0.68794186535386559</v>
      </c>
      <c r="D42" s="78">
        <f>+'Dez24'!$D$40</f>
        <v>0</v>
      </c>
      <c r="E42" s="78">
        <f t="shared" ref="E42:E47" si="48">+C42-D42</f>
        <v>0.68794186535386559</v>
      </c>
      <c r="F42" s="78">
        <f>+Paralelo!$E$40</f>
        <v>0.63314263977189045</v>
      </c>
      <c r="G42" s="78">
        <f>+'Dez24'!$E$40</f>
        <v>0</v>
      </c>
      <c r="H42" s="78">
        <f t="shared" ref="H42:H47" si="49">+F42-G42</f>
        <v>0.63314263977189045</v>
      </c>
      <c r="I42" s="78">
        <f>+Paralelo!$F$40</f>
        <v>0.66684164173019955</v>
      </c>
      <c r="J42" s="78">
        <f>+'Dez24'!$F$40</f>
        <v>0</v>
      </c>
      <c r="K42" s="78">
        <f t="shared" ref="K42:K47" si="50">+I42-J42</f>
        <v>0.66684164173019955</v>
      </c>
      <c r="L42" s="78">
        <f>+Paralelo!$G$40</f>
        <v>0.63087478371288808</v>
      </c>
      <c r="M42" s="78">
        <f>+'Dez24'!$G$40</f>
        <v>0</v>
      </c>
      <c r="N42" s="78">
        <f t="shared" ref="N42:N47" si="51">+L42-M42</f>
        <v>0.63087478371288808</v>
      </c>
      <c r="O42" s="78">
        <f>+Paralelo!$H$40</f>
        <v>0.64688965985368418</v>
      </c>
      <c r="P42" s="78">
        <f>+'Dez24'!$H$40</f>
        <v>0</v>
      </c>
      <c r="Q42" s="78">
        <f t="shared" ref="Q42:Q47" si="52">+O42-P42</f>
        <v>0.64688965985368418</v>
      </c>
      <c r="R42" s="78">
        <f>+Paralelo!$I$40</f>
        <v>0.67460337828272909</v>
      </c>
      <c r="S42" s="78">
        <f>+'Dez24'!$I$40</f>
        <v>0</v>
      </c>
      <c r="T42" s="78">
        <f t="shared" ref="T42:T47" si="53">+R42-S42</f>
        <v>0.67460337828272909</v>
      </c>
      <c r="U42" s="78">
        <f>+Paralelo!$J$40</f>
        <v>0.79924912985966901</v>
      </c>
      <c r="V42" s="78">
        <f>+'Dez24'!$J$40</f>
        <v>0</v>
      </c>
      <c r="W42" s="78">
        <f t="shared" ref="W42:W47" si="54">+U42-V42</f>
        <v>0.79924912985966901</v>
      </c>
      <c r="X42" s="78">
        <f>+Paralelo!$K$40</f>
        <v>0.90942529631899027</v>
      </c>
      <c r="Y42" s="78">
        <f>+'Dez24'!$K$40</f>
        <v>0</v>
      </c>
      <c r="Z42" s="78">
        <f t="shared" ref="Z42:Z47" si="55">+X42-Y42</f>
        <v>0.90942529631899027</v>
      </c>
      <c r="AA42" s="78">
        <f>+Paralelo!$M$40</f>
        <v>0.60421090512380127</v>
      </c>
      <c r="AB42" s="78">
        <f>+'Dez24'!$M$40</f>
        <v>0</v>
      </c>
      <c r="AC42" s="78">
        <f t="shared" ref="AC42:AC47" si="56">+AA42-AB42</f>
        <v>0.60421090512380127</v>
      </c>
      <c r="AD42" s="78">
        <f>+Paralelo!$N$40</f>
        <v>0.64865362287596118</v>
      </c>
      <c r="AE42" s="78">
        <f>+'Dez24'!$N$40</f>
        <v>0</v>
      </c>
      <c r="AF42" s="78">
        <f t="shared" ref="AF42:AF47" si="57">+AD42-AE42</f>
        <v>0.64865362287596118</v>
      </c>
      <c r="AG42" s="78">
        <f>+Paralelo!$O$40</f>
        <v>0.71208030876275641</v>
      </c>
      <c r="AH42" s="78">
        <f>+'Dez24'!$O$40</f>
        <v>0</v>
      </c>
      <c r="AI42" s="78">
        <f t="shared" ref="AI42:AI47" si="58">+AG42-AH42</f>
        <v>0.71208030876275641</v>
      </c>
      <c r="AJ42" s="78">
        <f>+Paralelo!$P$40</f>
        <v>0.68036321877107486</v>
      </c>
      <c r="AK42" s="78">
        <f>+'Dez24'!$P$40</f>
        <v>0</v>
      </c>
      <c r="AL42" s="78">
        <f t="shared" ref="AL42:AL47" si="59">+AJ42-AK42</f>
        <v>0.68036321877107486</v>
      </c>
      <c r="AM42" s="78">
        <f>+Paralelo!$Q$40</f>
        <v>0.64478617162730278</v>
      </c>
      <c r="AN42" s="78">
        <f>+'Dez24'!$Q$40</f>
        <v>0</v>
      </c>
      <c r="AO42" s="78">
        <f t="shared" ref="AO42:AO47" si="60">+AM42-AN42</f>
        <v>0.64478617162730278</v>
      </c>
      <c r="AP42" s="78">
        <f>+Paralelo!$R$40</f>
        <v>0.5753306371902901</v>
      </c>
      <c r="AQ42" s="78">
        <f>+'Dez24'!$R$40</f>
        <v>0</v>
      </c>
      <c r="AR42" s="78">
        <f t="shared" ref="AR42:AR47" si="61">+AP42-AQ42</f>
        <v>0.5753306371902901</v>
      </c>
      <c r="AS42" s="78">
        <f>+Paralelo!$S$40</f>
        <v>0</v>
      </c>
      <c r="AT42" s="78">
        <f>+'Dez24'!$S$40</f>
        <v>0</v>
      </c>
      <c r="AU42" s="78">
        <f t="shared" ref="AU42:AU47" si="62">+AS42-AT42</f>
        <v>0</v>
      </c>
      <c r="AV42" s="78">
        <f>+Paralelo!$T$40</f>
        <v>0.66245149164361739</v>
      </c>
      <c r="AW42" s="78">
        <f>+'Dez24'!$T$40</f>
        <v>0</v>
      </c>
      <c r="AX42" s="78">
        <f t="shared" ref="AX42:AX47" si="63">+AV42-AW42</f>
        <v>0.66245149164361739</v>
      </c>
    </row>
    <row r="43" spans="2:50" ht="15" customHeight="1" x14ac:dyDescent="0.3">
      <c r="B43" s="22" t="s">
        <v>155</v>
      </c>
      <c r="C43" s="2">
        <f>+Paralelo!$D$41</f>
        <v>3442772</v>
      </c>
      <c r="D43" s="2">
        <f>+'Dez24'!$D$41</f>
        <v>0</v>
      </c>
      <c r="E43" s="2">
        <f t="shared" si="48"/>
        <v>3442772</v>
      </c>
      <c r="F43" s="2">
        <f>+Paralelo!$E$41</f>
        <v>382575</v>
      </c>
      <c r="G43" s="2">
        <f>+'Dez24'!$E$41</f>
        <v>0</v>
      </c>
      <c r="H43" s="2">
        <f t="shared" si="49"/>
        <v>382575</v>
      </c>
      <c r="I43" s="2">
        <f>+Paralelo!$F$41</f>
        <v>1361812</v>
      </c>
      <c r="J43" s="2">
        <f>+'Dez24'!$F$41</f>
        <v>0</v>
      </c>
      <c r="K43" s="2">
        <f t="shared" si="50"/>
        <v>1361812</v>
      </c>
      <c r="L43" s="2">
        <f>+Paralelo!$G$41</f>
        <v>890429</v>
      </c>
      <c r="M43" s="2">
        <f>+'Dez24'!$G$41</f>
        <v>0</v>
      </c>
      <c r="N43" s="2">
        <f t="shared" si="51"/>
        <v>890429</v>
      </c>
      <c r="O43" s="2">
        <f>+Paralelo!$H$41</f>
        <v>122439</v>
      </c>
      <c r="P43" s="2">
        <f>+'Dez24'!$H$41</f>
        <v>0</v>
      </c>
      <c r="Q43" s="2">
        <f t="shared" si="52"/>
        <v>122439</v>
      </c>
      <c r="R43" s="2">
        <f>+Paralelo!$I$41</f>
        <v>0</v>
      </c>
      <c r="S43" s="2">
        <f>+'Dez24'!$I$41</f>
        <v>0</v>
      </c>
      <c r="T43" s="2">
        <f t="shared" si="53"/>
        <v>0</v>
      </c>
      <c r="U43" s="2">
        <f>+Paralelo!$J$41</f>
        <v>103313</v>
      </c>
      <c r="V43" s="2">
        <f>+'Dez24'!$J$41</f>
        <v>0</v>
      </c>
      <c r="W43" s="2">
        <f t="shared" si="54"/>
        <v>103313</v>
      </c>
      <c r="X43" s="2">
        <f>+Paralelo!$K$41</f>
        <v>582204</v>
      </c>
      <c r="Y43" s="2">
        <f>+'Dez24'!$K$41</f>
        <v>0</v>
      </c>
      <c r="Z43" s="2">
        <f t="shared" si="55"/>
        <v>582204</v>
      </c>
      <c r="AA43" s="2">
        <f>+Paralelo!$M$41</f>
        <v>209267</v>
      </c>
      <c r="AB43" s="2">
        <f>+'Dez24'!$M$41</f>
        <v>0</v>
      </c>
      <c r="AC43" s="2">
        <f t="shared" si="56"/>
        <v>209267</v>
      </c>
      <c r="AD43" s="2">
        <f>+Paralelo!$N$41</f>
        <v>0</v>
      </c>
      <c r="AE43" s="2">
        <f>+'Dez24'!$N$41</f>
        <v>0</v>
      </c>
      <c r="AF43" s="2">
        <f t="shared" si="57"/>
        <v>0</v>
      </c>
      <c r="AG43" s="2">
        <f>+Paralelo!$O$41</f>
        <v>1289551</v>
      </c>
      <c r="AH43" s="2">
        <f>+'Dez24'!$O$41</f>
        <v>0</v>
      </c>
      <c r="AI43" s="2">
        <f t="shared" si="58"/>
        <v>1289551</v>
      </c>
      <c r="AJ43" s="2">
        <f>+Paralelo!$P$41</f>
        <v>925506</v>
      </c>
      <c r="AK43" s="2">
        <f>+'Dez24'!$P$41</f>
        <v>0</v>
      </c>
      <c r="AL43" s="2">
        <f t="shared" si="59"/>
        <v>925506</v>
      </c>
      <c r="AM43" s="2">
        <f>+Paralelo!$Q$41</f>
        <v>1018448</v>
      </c>
      <c r="AN43" s="2">
        <f>+'Dez24'!$Q$41</f>
        <v>0</v>
      </c>
      <c r="AO43" s="2">
        <f t="shared" si="60"/>
        <v>1018448</v>
      </c>
      <c r="AP43" s="2">
        <f>+Paralelo!$R$41</f>
        <v>0</v>
      </c>
      <c r="AQ43" s="2">
        <f>+'Dez24'!$R$41</f>
        <v>0</v>
      </c>
      <c r="AR43" s="2">
        <f t="shared" si="61"/>
        <v>0</v>
      </c>
      <c r="AS43" s="2">
        <f>+Paralelo!$S$41</f>
        <v>0</v>
      </c>
      <c r="AT43" s="2">
        <f>+'Dez24'!$S$41</f>
        <v>0</v>
      </c>
      <c r="AU43" s="2">
        <f t="shared" si="62"/>
        <v>0</v>
      </c>
      <c r="AV43" s="2">
        <f>+Paralelo!$T$41</f>
        <v>0</v>
      </c>
      <c r="AW43" s="2">
        <f>+'Dez24'!$T$41</f>
        <v>0</v>
      </c>
      <c r="AX43" s="2">
        <f t="shared" si="63"/>
        <v>0</v>
      </c>
    </row>
    <row r="44" spans="2:50" ht="15" customHeight="1" x14ac:dyDescent="0.3">
      <c r="B44" s="22" t="s">
        <v>156</v>
      </c>
      <c r="C44" s="2">
        <f>+Paralelo!$D$42</f>
        <v>1671560</v>
      </c>
      <c r="D44" s="2">
        <f>+'Dez24'!$D$42</f>
        <v>0</v>
      </c>
      <c r="E44" s="2">
        <f t="shared" si="48"/>
        <v>1671560</v>
      </c>
      <c r="F44" s="2">
        <f>+Paralelo!$E$42</f>
        <v>0</v>
      </c>
      <c r="G44" s="2">
        <f>+'Dez24'!$E$42</f>
        <v>0</v>
      </c>
      <c r="H44" s="2">
        <f t="shared" si="49"/>
        <v>0</v>
      </c>
      <c r="I44" s="2">
        <f>+Paralelo!$F$42</f>
        <v>0</v>
      </c>
      <c r="J44" s="2">
        <f>+'Dez24'!$F$42</f>
        <v>0</v>
      </c>
      <c r="K44" s="2">
        <f t="shared" si="50"/>
        <v>0</v>
      </c>
      <c r="L44" s="2">
        <f>+Paralelo!$G$42</f>
        <v>0</v>
      </c>
      <c r="M44" s="2">
        <f>+'Dez24'!$G$42</f>
        <v>0</v>
      </c>
      <c r="N44" s="2">
        <f t="shared" si="51"/>
        <v>0</v>
      </c>
      <c r="O44" s="2">
        <f>+Paralelo!$H$42</f>
        <v>0</v>
      </c>
      <c r="P44" s="2">
        <f>+'Dez24'!$H$42</f>
        <v>0</v>
      </c>
      <c r="Q44" s="2">
        <f t="shared" si="52"/>
        <v>0</v>
      </c>
      <c r="R44" s="2">
        <f>+Paralelo!$I$42</f>
        <v>0</v>
      </c>
      <c r="S44" s="2">
        <f>+'Dez24'!$I$42</f>
        <v>0</v>
      </c>
      <c r="T44" s="2">
        <f t="shared" si="53"/>
        <v>0</v>
      </c>
      <c r="U44" s="2">
        <f>+Paralelo!$J$42</f>
        <v>0</v>
      </c>
      <c r="V44" s="2">
        <f>+'Dez24'!$J$42</f>
        <v>0</v>
      </c>
      <c r="W44" s="2">
        <f t="shared" si="54"/>
        <v>0</v>
      </c>
      <c r="X44" s="2">
        <f>+Paralelo!$K$42</f>
        <v>1671560</v>
      </c>
      <c r="Y44" s="2">
        <f>+'Dez24'!$K$42</f>
        <v>0</v>
      </c>
      <c r="Z44" s="2">
        <f t="shared" si="55"/>
        <v>1671560</v>
      </c>
      <c r="AA44" s="2">
        <f>+Paralelo!$M$42</f>
        <v>0</v>
      </c>
      <c r="AB44" s="2">
        <f>+'Dez24'!$M$42</f>
        <v>0</v>
      </c>
      <c r="AC44" s="2">
        <f t="shared" si="56"/>
        <v>0</v>
      </c>
      <c r="AD44" s="2">
        <f>+Paralelo!$N$42</f>
        <v>0</v>
      </c>
      <c r="AE44" s="2">
        <f>+'Dez24'!$N$42</f>
        <v>0</v>
      </c>
      <c r="AF44" s="2">
        <f t="shared" si="57"/>
        <v>0</v>
      </c>
      <c r="AG44" s="2">
        <f>+Paralelo!$O$42</f>
        <v>0</v>
      </c>
      <c r="AH44" s="2">
        <f>+'Dez24'!$O$42</f>
        <v>0</v>
      </c>
      <c r="AI44" s="2">
        <f t="shared" si="58"/>
        <v>0</v>
      </c>
      <c r="AJ44" s="2">
        <f>+Paralelo!$P$42</f>
        <v>0</v>
      </c>
      <c r="AK44" s="2">
        <f>+'Dez24'!$P$42</f>
        <v>0</v>
      </c>
      <c r="AL44" s="2">
        <f t="shared" si="59"/>
        <v>0</v>
      </c>
      <c r="AM44" s="2">
        <f>+Paralelo!$Q$42</f>
        <v>0</v>
      </c>
      <c r="AN44" s="2">
        <f>+'Dez24'!$Q$42</f>
        <v>0</v>
      </c>
      <c r="AO44" s="2">
        <f t="shared" si="60"/>
        <v>0</v>
      </c>
      <c r="AP44" s="2">
        <f>+Paralelo!$R$42</f>
        <v>0</v>
      </c>
      <c r="AQ44" s="2">
        <f>+'Dez24'!$R$42</f>
        <v>0</v>
      </c>
      <c r="AR44" s="2">
        <f t="shared" si="61"/>
        <v>0</v>
      </c>
      <c r="AS44" s="2">
        <f>+Paralelo!$S$42</f>
        <v>0</v>
      </c>
      <c r="AT44" s="2">
        <f>+'Dez24'!$S$42</f>
        <v>0</v>
      </c>
      <c r="AU44" s="2">
        <f t="shared" si="62"/>
        <v>0</v>
      </c>
      <c r="AV44" s="2">
        <f>+Paralelo!$T$42</f>
        <v>1671560</v>
      </c>
      <c r="AW44" s="2">
        <f>+'Dez24'!$T$42</f>
        <v>0</v>
      </c>
      <c r="AX44" s="2">
        <f t="shared" si="63"/>
        <v>1671560</v>
      </c>
    </row>
    <row r="45" spans="2:50" ht="15" customHeight="1" x14ac:dyDescent="0.3">
      <c r="B45" s="22" t="s">
        <v>157</v>
      </c>
      <c r="C45" s="2">
        <f>+Paralelo!$D$43</f>
        <v>28.932398658313325</v>
      </c>
      <c r="D45" s="2">
        <f>+'Dez24'!$D$43</f>
        <v>0</v>
      </c>
      <c r="E45" s="2">
        <f t="shared" si="48"/>
        <v>28.932398658313325</v>
      </c>
      <c r="F45" s="2">
        <f>+Paralelo!$E$43</f>
        <v>26.843538889768574</v>
      </c>
      <c r="G45" s="2">
        <f>+'Dez24'!$E$43</f>
        <v>0</v>
      </c>
      <c r="H45" s="2">
        <f t="shared" si="49"/>
        <v>26.843538889768574</v>
      </c>
      <c r="I45" s="2">
        <f>+Paralelo!$F$43</f>
        <v>30.690953733874686</v>
      </c>
      <c r="J45" s="2">
        <f>+'Dez24'!$F$43</f>
        <v>0</v>
      </c>
      <c r="K45" s="2">
        <f t="shared" si="50"/>
        <v>30.690953733874686</v>
      </c>
      <c r="L45" s="2">
        <f>+Paralelo!$G$43</f>
        <v>31.69623369011234</v>
      </c>
      <c r="M45" s="2">
        <f>+'Dez24'!$G$43</f>
        <v>0</v>
      </c>
      <c r="N45" s="2">
        <f t="shared" si="51"/>
        <v>31.69623369011234</v>
      </c>
      <c r="O45" s="2">
        <f>+Paralelo!$H$43</f>
        <v>29.063306454611219</v>
      </c>
      <c r="P45" s="2">
        <f>+'Dez24'!$H$43</f>
        <v>0</v>
      </c>
      <c r="Q45" s="2">
        <f t="shared" si="52"/>
        <v>29.063306454611219</v>
      </c>
      <c r="R45" s="2">
        <f>+Paralelo!$I$43</f>
        <v>33.996707567115855</v>
      </c>
      <c r="S45" s="2">
        <f>+'Dez24'!$I$43</f>
        <v>0</v>
      </c>
      <c r="T45" s="2">
        <f t="shared" si="53"/>
        <v>33.996707567115855</v>
      </c>
      <c r="U45" s="2">
        <f>+Paralelo!$J$43</f>
        <v>32.903645352231329</v>
      </c>
      <c r="V45" s="2">
        <f>+'Dez24'!$J$43</f>
        <v>0</v>
      </c>
      <c r="W45" s="2">
        <f t="shared" si="54"/>
        <v>32.903645352231329</v>
      </c>
      <c r="X45" s="2">
        <f>+Paralelo!$K$43</f>
        <v>30.798622947157565</v>
      </c>
      <c r="Y45" s="2">
        <f>+'Dez24'!$K$43</f>
        <v>0</v>
      </c>
      <c r="Z45" s="2">
        <f t="shared" si="55"/>
        <v>30.798622947157565</v>
      </c>
      <c r="AA45" s="2">
        <f>+Paralelo!$M$43</f>
        <v>29.745327249541134</v>
      </c>
      <c r="AB45" s="2">
        <f>+'Dez24'!$M$43</f>
        <v>0</v>
      </c>
      <c r="AC45" s="2">
        <f t="shared" si="56"/>
        <v>29.745327249541134</v>
      </c>
      <c r="AD45" s="2">
        <f>+Paralelo!$N$43</f>
        <v>27.140883454007085</v>
      </c>
      <c r="AE45" s="2">
        <f>+'Dez24'!$N$43</f>
        <v>0</v>
      </c>
      <c r="AF45" s="2">
        <f t="shared" si="57"/>
        <v>27.140883454007085</v>
      </c>
      <c r="AG45" s="2">
        <f>+Paralelo!$O$43</f>
        <v>28.273427870216338</v>
      </c>
      <c r="AH45" s="2">
        <f>+'Dez24'!$O$43</f>
        <v>0</v>
      </c>
      <c r="AI45" s="2">
        <f t="shared" si="58"/>
        <v>28.273427870216338</v>
      </c>
      <c r="AJ45" s="2">
        <f>+Paralelo!$P$43</f>
        <v>31.77103065031719</v>
      </c>
      <c r="AK45" s="2">
        <f>+'Dez24'!$P$43</f>
        <v>0</v>
      </c>
      <c r="AL45" s="2">
        <f t="shared" si="59"/>
        <v>31.77103065031719</v>
      </c>
      <c r="AM45" s="2">
        <f>+Paralelo!$Q$43</f>
        <v>33.271776985358429</v>
      </c>
      <c r="AN45" s="2">
        <f>+'Dez24'!$Q$43</f>
        <v>0</v>
      </c>
      <c r="AO45" s="2">
        <f t="shared" si="60"/>
        <v>33.271776985358429</v>
      </c>
      <c r="AP45" s="2">
        <f>+Paralelo!$R$43</f>
        <v>24.71185222887939</v>
      </c>
      <c r="AQ45" s="2">
        <f>+'Dez24'!$R$43</f>
        <v>0</v>
      </c>
      <c r="AR45" s="2">
        <f t="shared" si="61"/>
        <v>24.71185222887939</v>
      </c>
      <c r="AS45" s="2">
        <f>+Paralelo!$S$43</f>
        <v>0</v>
      </c>
      <c r="AT45" s="2">
        <f>+'Dez24'!$S$43</f>
        <v>0</v>
      </c>
      <c r="AU45" s="2">
        <f t="shared" si="62"/>
        <v>0</v>
      </c>
      <c r="AV45" s="2">
        <f>+Paralelo!$T$43</f>
        <v>21.992526921313932</v>
      </c>
      <c r="AW45" s="2">
        <f>+'Dez24'!$T$43</f>
        <v>0</v>
      </c>
      <c r="AX45" s="2">
        <f t="shared" si="63"/>
        <v>21.992526921313932</v>
      </c>
    </row>
    <row r="46" spans="2:50" ht="15" customHeight="1" x14ac:dyDescent="0.3">
      <c r="B46" s="22" t="s">
        <v>158</v>
      </c>
      <c r="C46" s="2">
        <f>+Paralelo!$D$44</f>
        <v>234502</v>
      </c>
      <c r="D46" s="2">
        <f>+'Dez24'!$D$44</f>
        <v>0</v>
      </c>
      <c r="E46" s="2">
        <f t="shared" si="48"/>
        <v>234502</v>
      </c>
      <c r="F46" s="2">
        <f>+Paralelo!$E$44</f>
        <v>101484</v>
      </c>
      <c r="G46" s="2">
        <f>+'Dez24'!$E$44</f>
        <v>0</v>
      </c>
      <c r="H46" s="2">
        <f t="shared" si="49"/>
        <v>101484</v>
      </c>
      <c r="I46" s="2">
        <f>+Paralelo!$F$44</f>
        <v>53941</v>
      </c>
      <c r="J46" s="2">
        <f>+'Dez24'!$F$44</f>
        <v>0</v>
      </c>
      <c r="K46" s="2">
        <f t="shared" si="50"/>
        <v>53941</v>
      </c>
      <c r="L46" s="2">
        <f>+Paralelo!$G$44</f>
        <v>79077</v>
      </c>
      <c r="M46" s="2">
        <f>+'Dez24'!$G$44</f>
        <v>0</v>
      </c>
      <c r="N46" s="2">
        <f t="shared" si="51"/>
        <v>79077</v>
      </c>
      <c r="O46" s="2">
        <f>+Paralelo!$H$44</f>
        <v>0</v>
      </c>
      <c r="P46" s="2">
        <f>+'Dez24'!$H$44</f>
        <v>0</v>
      </c>
      <c r="Q46" s="2">
        <f t="shared" si="52"/>
        <v>0</v>
      </c>
      <c r="R46" s="2">
        <f>+Paralelo!$I$44</f>
        <v>0</v>
      </c>
      <c r="S46" s="2">
        <f>+'Dez24'!$I$44</f>
        <v>0</v>
      </c>
      <c r="T46" s="2">
        <f t="shared" si="53"/>
        <v>0</v>
      </c>
      <c r="U46" s="2">
        <f>+Paralelo!$J$44</f>
        <v>0</v>
      </c>
      <c r="V46" s="2">
        <f>+'Dez24'!$J$44</f>
        <v>0</v>
      </c>
      <c r="W46" s="2">
        <f t="shared" si="54"/>
        <v>0</v>
      </c>
      <c r="X46" s="2">
        <f>+Paralelo!$K$44</f>
        <v>0</v>
      </c>
      <c r="Y46" s="2">
        <f>+'Dez24'!$K$44</f>
        <v>0</v>
      </c>
      <c r="Z46" s="2">
        <f t="shared" si="55"/>
        <v>0</v>
      </c>
      <c r="AA46" s="2">
        <f>+Paralelo!$M$44</f>
        <v>17292</v>
      </c>
      <c r="AB46" s="2">
        <f>+'Dez24'!$M$44</f>
        <v>0</v>
      </c>
      <c r="AC46" s="2">
        <f t="shared" si="56"/>
        <v>17292</v>
      </c>
      <c r="AD46" s="2">
        <f>+Paralelo!$N$44</f>
        <v>8149</v>
      </c>
      <c r="AE46" s="2">
        <f>+'Dez24'!$N$44</f>
        <v>0</v>
      </c>
      <c r="AF46" s="2">
        <f t="shared" si="57"/>
        <v>8149</v>
      </c>
      <c r="AG46" s="2">
        <f>+Paralelo!$O$44</f>
        <v>76043</v>
      </c>
      <c r="AH46" s="2">
        <f>+'Dez24'!$O$44</f>
        <v>0</v>
      </c>
      <c r="AI46" s="2">
        <f t="shared" si="58"/>
        <v>76043</v>
      </c>
      <c r="AJ46" s="2">
        <f>+Paralelo!$P$44</f>
        <v>14649</v>
      </c>
      <c r="AK46" s="2">
        <f>+'Dez24'!$P$44</f>
        <v>0</v>
      </c>
      <c r="AL46" s="2">
        <f t="shared" si="59"/>
        <v>14649</v>
      </c>
      <c r="AM46" s="2">
        <f>+Paralelo!$Q$44</f>
        <v>75423</v>
      </c>
      <c r="AN46" s="2">
        <f>+'Dez24'!$Q$44</f>
        <v>0</v>
      </c>
      <c r="AO46" s="2">
        <f t="shared" si="60"/>
        <v>75423</v>
      </c>
      <c r="AP46" s="2">
        <f>+Paralelo!$R$44</f>
        <v>42946</v>
      </c>
      <c r="AQ46" s="2">
        <f>+'Dez24'!$R$44</f>
        <v>0</v>
      </c>
      <c r="AR46" s="2">
        <f t="shared" si="61"/>
        <v>42946</v>
      </c>
      <c r="AS46" s="2">
        <f>+Paralelo!$S$44</f>
        <v>0</v>
      </c>
      <c r="AT46" s="2">
        <f>+'Dez24'!$S$44</f>
        <v>0</v>
      </c>
      <c r="AU46" s="2">
        <f t="shared" si="62"/>
        <v>0</v>
      </c>
      <c r="AV46" s="2">
        <f>+Paralelo!$T$44</f>
        <v>234502</v>
      </c>
      <c r="AW46" s="2">
        <f>+'Dez24'!$T$44</f>
        <v>0</v>
      </c>
      <c r="AX46" s="2">
        <f t="shared" si="63"/>
        <v>234502</v>
      </c>
    </row>
    <row r="47" spans="2:50" ht="15" customHeight="1" x14ac:dyDescent="0.3">
      <c r="B47" s="22" t="s">
        <v>159</v>
      </c>
      <c r="C47" s="78">
        <f>+Paralelo!$D$45</f>
        <v>3.003957524568461E-2</v>
      </c>
      <c r="D47" s="78">
        <f>+'Dez24'!$D$45</f>
        <v>0</v>
      </c>
      <c r="E47" s="78">
        <f t="shared" si="48"/>
        <v>3.003957524568461E-2</v>
      </c>
      <c r="F47" s="78">
        <f>+Paralelo!$E$45</f>
        <v>3.0000000000000002E-2</v>
      </c>
      <c r="G47" s="78">
        <f>+'Dez24'!$E$45</f>
        <v>0</v>
      </c>
      <c r="H47" s="78">
        <f t="shared" si="49"/>
        <v>3.0000000000000002E-2</v>
      </c>
      <c r="I47" s="78">
        <f>+Paralelo!$F$45</f>
        <v>3.0000000000000002E-2</v>
      </c>
      <c r="J47" s="78">
        <f>+'Dez24'!$F$45</f>
        <v>0</v>
      </c>
      <c r="K47" s="78">
        <f t="shared" si="50"/>
        <v>3.0000000000000002E-2</v>
      </c>
      <c r="L47" s="78">
        <f>+Paralelo!$G$45</f>
        <v>0.03</v>
      </c>
      <c r="M47" s="78">
        <f>+'Dez24'!$G$45</f>
        <v>0</v>
      </c>
      <c r="N47" s="78">
        <f t="shared" si="51"/>
        <v>0.03</v>
      </c>
      <c r="O47" s="78">
        <f>+Paralelo!$H$45</f>
        <v>3.0877798525282239E-2</v>
      </c>
      <c r="P47" s="78">
        <f>+'Dez24'!$H$45</f>
        <v>0</v>
      </c>
      <c r="Q47" s="78">
        <f t="shared" si="52"/>
        <v>3.0877798525282239E-2</v>
      </c>
      <c r="R47" s="78">
        <f>+Paralelo!$I$45</f>
        <v>0.03</v>
      </c>
      <c r="S47" s="78">
        <f>+'Dez24'!$I$45</f>
        <v>0</v>
      </c>
      <c r="T47" s="78">
        <f t="shared" si="53"/>
        <v>0.03</v>
      </c>
      <c r="U47" s="78">
        <f>+Paralelo!$J$45</f>
        <v>2.9999999999999995E-2</v>
      </c>
      <c r="V47" s="78">
        <f>+'Dez24'!$J$45</f>
        <v>0</v>
      </c>
      <c r="W47" s="78">
        <f t="shared" si="54"/>
        <v>2.9999999999999995E-2</v>
      </c>
      <c r="X47" s="78">
        <f>+Paralelo!$K$45</f>
        <v>3.0009933637651028E-2</v>
      </c>
      <c r="Y47" s="78">
        <f>+'Dez24'!$K$45</f>
        <v>0</v>
      </c>
      <c r="Z47" s="78">
        <f t="shared" si="55"/>
        <v>3.0009933637651028E-2</v>
      </c>
      <c r="AA47" s="78">
        <f>+Paralelo!$M$45</f>
        <v>0.03</v>
      </c>
      <c r="AB47" s="78">
        <f>+'Dez24'!$M$45</f>
        <v>0</v>
      </c>
      <c r="AC47" s="78">
        <f t="shared" si="56"/>
        <v>0.03</v>
      </c>
      <c r="AD47" s="78">
        <f>+Paralelo!$N$45</f>
        <v>3.0000000000000002E-2</v>
      </c>
      <c r="AE47" s="78">
        <f>+'Dez24'!$N$45</f>
        <v>0</v>
      </c>
      <c r="AF47" s="78">
        <f t="shared" si="57"/>
        <v>3.0000000000000002E-2</v>
      </c>
      <c r="AG47" s="78">
        <f>+Paralelo!$O$45</f>
        <v>2.9999999999999995E-2</v>
      </c>
      <c r="AH47" s="78">
        <f>+'Dez24'!$O$45</f>
        <v>0</v>
      </c>
      <c r="AI47" s="78">
        <f t="shared" si="58"/>
        <v>2.9999999999999995E-2</v>
      </c>
      <c r="AJ47" s="78">
        <f>+Paralelo!$P$45</f>
        <v>3.0000000000000002E-2</v>
      </c>
      <c r="AK47" s="78">
        <f>+'Dez24'!$P$45</f>
        <v>0</v>
      </c>
      <c r="AL47" s="78">
        <f t="shared" si="59"/>
        <v>3.0000000000000002E-2</v>
      </c>
      <c r="AM47" s="78">
        <f>+Paralelo!$Q$45</f>
        <v>2.9999999999999992E-2</v>
      </c>
      <c r="AN47" s="78">
        <f>+'Dez24'!$Q$45</f>
        <v>0</v>
      </c>
      <c r="AO47" s="78">
        <f t="shared" si="60"/>
        <v>2.9999999999999992E-2</v>
      </c>
      <c r="AP47" s="78">
        <f>+Paralelo!$R$45</f>
        <v>3.0596546145245596E-2</v>
      </c>
      <c r="AQ47" s="78">
        <f>+'Dez24'!$R$45</f>
        <v>0</v>
      </c>
      <c r="AR47" s="78">
        <f t="shared" si="61"/>
        <v>3.0596546145245596E-2</v>
      </c>
      <c r="AS47" s="78">
        <f>+Paralelo!$S$45</f>
        <v>0</v>
      </c>
      <c r="AT47" s="78">
        <f>+'Dez24'!$S$45</f>
        <v>0</v>
      </c>
      <c r="AU47" s="78">
        <f t="shared" si="62"/>
        <v>0</v>
      </c>
      <c r="AV47" s="78">
        <f>+Paralelo!$T$45</f>
        <v>3.069774006869188E-2</v>
      </c>
      <c r="AW47" s="78">
        <f>+'Dez24'!$T$45</f>
        <v>0</v>
      </c>
      <c r="AX47" s="78">
        <f t="shared" si="63"/>
        <v>3.069774006869188E-2</v>
      </c>
    </row>
    <row r="48" spans="2:50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 tint="-4.9989318521683403E-2"/>
    <pageSetUpPr autoPageBreaks="0"/>
  </sheetPr>
  <dimension ref="A1:Z85"/>
  <sheetViews>
    <sheetView zoomScale="90" zoomScaleNormal="90" workbookViewId="0"/>
  </sheetViews>
  <sheetFormatPr defaultColWidth="0" defaultRowHeight="14.4" customHeight="1" zeroHeight="1" x14ac:dyDescent="0.3"/>
  <cols>
    <col min="1" max="1" width="9.33203125" style="59" customWidth="1"/>
    <col min="2" max="2" width="3" style="59" bestFit="1" customWidth="1"/>
    <col min="3" max="3" width="126.21875" style="59" bestFit="1" customWidth="1"/>
    <col min="4" max="4" width="18.5546875" style="59" customWidth="1"/>
    <col min="5" max="5" width="15.88671875" style="59" bestFit="1" customWidth="1"/>
    <col min="6" max="6" width="14.88671875" style="59" bestFit="1" customWidth="1"/>
    <col min="7" max="10" width="14.6640625" style="59" bestFit="1" customWidth="1"/>
    <col min="11" max="11" width="15" style="59" bestFit="1" customWidth="1"/>
    <col min="12" max="12" width="23.44140625" style="59" customWidth="1"/>
    <col min="13" max="13" width="16" style="59" bestFit="1" customWidth="1"/>
    <col min="14" max="14" width="14.5546875" style="59" bestFit="1" customWidth="1"/>
    <col min="15" max="20" width="14.44140625" style="59" bestFit="1" customWidth="1"/>
    <col min="21" max="21" width="27.44140625" style="59" bestFit="1" customWidth="1"/>
    <col min="22" max="22" width="8.5546875" style="59" customWidth="1"/>
    <col min="23" max="16384" width="8.5546875" style="59" hidden="1"/>
  </cols>
  <sheetData>
    <row r="1" spans="1:26" s="24" customFormat="1" x14ac:dyDescent="0.3">
      <c r="D1" s="25"/>
      <c r="E1" s="26"/>
      <c r="M1" s="27" t="s">
        <v>162</v>
      </c>
      <c r="N1" s="27" t="s">
        <v>162</v>
      </c>
      <c r="O1" s="27" t="s">
        <v>162</v>
      </c>
      <c r="P1" s="27" t="s">
        <v>162</v>
      </c>
      <c r="Q1" s="27" t="s">
        <v>162</v>
      </c>
      <c r="R1" s="27" t="s">
        <v>162</v>
      </c>
      <c r="S1" s="27" t="s">
        <v>162</v>
      </c>
      <c r="T1" s="25" t="s">
        <v>59</v>
      </c>
      <c r="U1" s="27" t="s">
        <v>163</v>
      </c>
    </row>
    <row r="2" spans="1:26" s="24" customFormat="1" x14ac:dyDescent="0.3">
      <c r="C2" s="28" t="s">
        <v>145</v>
      </c>
      <c r="D2" s="25" t="s">
        <v>164</v>
      </c>
      <c r="E2" s="26"/>
      <c r="F2" s="26"/>
      <c r="G2" s="26"/>
      <c r="H2" s="26"/>
      <c r="I2" s="26"/>
      <c r="J2" s="26"/>
      <c r="K2" s="26"/>
      <c r="L2" s="26"/>
      <c r="M2" s="25" t="s">
        <v>165</v>
      </c>
      <c r="N2" s="25" t="s">
        <v>165</v>
      </c>
      <c r="O2" s="25" t="s">
        <v>165</v>
      </c>
      <c r="P2" s="25" t="s">
        <v>165</v>
      </c>
      <c r="Q2" s="25" t="s">
        <v>165</v>
      </c>
      <c r="R2" s="25" t="s">
        <v>165</v>
      </c>
      <c r="S2" s="25" t="s">
        <v>165</v>
      </c>
      <c r="V2" s="26"/>
      <c r="W2" s="26"/>
      <c r="X2" s="26"/>
      <c r="Y2" s="26"/>
      <c r="Z2" s="26"/>
    </row>
    <row r="3" spans="1:26" s="24" customFormat="1" x14ac:dyDescent="0.3">
      <c r="C3" s="28"/>
      <c r="D3" s="25" t="s">
        <v>166</v>
      </c>
      <c r="E3" s="25" t="s">
        <v>68</v>
      </c>
      <c r="F3" s="25" t="s">
        <v>83</v>
      </c>
      <c r="G3" s="25" t="s">
        <v>84</v>
      </c>
      <c r="H3" s="25" t="s">
        <v>85</v>
      </c>
      <c r="I3" s="25" t="s">
        <v>86</v>
      </c>
      <c r="J3" s="25" t="s">
        <v>87</v>
      </c>
      <c r="K3" s="26"/>
      <c r="L3" s="26"/>
      <c r="M3" s="25" t="s">
        <v>111</v>
      </c>
      <c r="N3" s="25" t="s">
        <v>111</v>
      </c>
      <c r="O3" s="25" t="s">
        <v>111</v>
      </c>
      <c r="P3" s="25" t="s">
        <v>111</v>
      </c>
      <c r="Q3" s="25" t="s">
        <v>111</v>
      </c>
      <c r="R3" s="25" t="s">
        <v>111</v>
      </c>
      <c r="S3" s="25" t="s">
        <v>111</v>
      </c>
      <c r="T3" s="26"/>
      <c r="U3" s="26"/>
      <c r="V3" s="26"/>
      <c r="W3" s="26"/>
      <c r="X3" s="26"/>
      <c r="Y3" s="26"/>
      <c r="Z3" s="26"/>
    </row>
    <row r="4" spans="1:26" s="24" customFormat="1" ht="13.8" x14ac:dyDescent="0.3">
      <c r="D4" s="29" t="s">
        <v>144</v>
      </c>
      <c r="E4" s="29" t="s">
        <v>143</v>
      </c>
      <c r="F4" s="29" t="s">
        <v>142</v>
      </c>
      <c r="G4" s="29" t="s">
        <v>141</v>
      </c>
      <c r="H4" s="29" t="s">
        <v>140</v>
      </c>
      <c r="I4" s="29" t="s">
        <v>139</v>
      </c>
      <c r="J4" s="29" t="s">
        <v>138</v>
      </c>
      <c r="K4" s="29" t="s">
        <v>137</v>
      </c>
      <c r="L4" s="29" t="s">
        <v>136</v>
      </c>
      <c r="M4" s="29" t="s">
        <v>135</v>
      </c>
      <c r="N4" s="29" t="s">
        <v>134</v>
      </c>
      <c r="O4" s="29" t="s">
        <v>133</v>
      </c>
      <c r="P4" s="29" t="s">
        <v>132</v>
      </c>
      <c r="Q4" s="29" t="s">
        <v>131</v>
      </c>
      <c r="R4" s="29" t="s">
        <v>130</v>
      </c>
      <c r="S4" s="29" t="s">
        <v>129</v>
      </c>
      <c r="T4" s="29" t="s">
        <v>167</v>
      </c>
      <c r="U4" s="29" t="s">
        <v>168</v>
      </c>
    </row>
    <row r="5" spans="1:26" s="24" customFormat="1" ht="24" customHeight="1" x14ac:dyDescent="0.3">
      <c r="C5" s="30" t="s">
        <v>128</v>
      </c>
      <c r="D5" s="109" t="s">
        <v>169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1"/>
      <c r="V5" s="31"/>
    </row>
    <row r="6" spans="1:26" s="24" customFormat="1" ht="28.5" customHeight="1" x14ac:dyDescent="0.3">
      <c r="C6" s="32"/>
      <c r="D6" s="33"/>
      <c r="E6" s="112" t="s">
        <v>127</v>
      </c>
      <c r="F6" s="113"/>
      <c r="G6" s="113"/>
      <c r="H6" s="113"/>
      <c r="I6" s="113"/>
      <c r="J6" s="113"/>
      <c r="K6" s="109" t="s">
        <v>170</v>
      </c>
      <c r="L6" s="114"/>
      <c r="M6" s="112" t="s">
        <v>126</v>
      </c>
      <c r="N6" s="113"/>
      <c r="O6" s="113"/>
      <c r="P6" s="113"/>
      <c r="Q6" s="113"/>
      <c r="R6" s="113"/>
      <c r="S6" s="114"/>
      <c r="T6" s="109" t="s">
        <v>118</v>
      </c>
      <c r="U6" s="111"/>
      <c r="V6" s="31"/>
    </row>
    <row r="7" spans="1:26" s="24" customFormat="1" ht="60" customHeight="1" x14ac:dyDescent="0.3">
      <c r="C7" s="34"/>
      <c r="D7" s="35"/>
      <c r="E7" s="36" t="s">
        <v>124</v>
      </c>
      <c r="F7" s="36" t="s">
        <v>123</v>
      </c>
      <c r="G7" s="36" t="s">
        <v>122</v>
      </c>
      <c r="H7" s="36" t="s">
        <v>121</v>
      </c>
      <c r="I7" s="36" t="s">
        <v>120</v>
      </c>
      <c r="J7" s="36" t="s">
        <v>119</v>
      </c>
      <c r="K7" s="35"/>
      <c r="L7" s="37" t="s">
        <v>171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172</v>
      </c>
      <c r="V7" s="31"/>
    </row>
    <row r="8" spans="1:26" s="24" customFormat="1" ht="13.8" x14ac:dyDescent="0.3">
      <c r="B8" s="29">
        <v>1</v>
      </c>
      <c r="C8" s="40" t="s">
        <v>116</v>
      </c>
      <c r="D8" s="41">
        <v>26904628052</v>
      </c>
      <c r="E8" s="41">
        <v>13857398217</v>
      </c>
      <c r="F8" s="41">
        <v>10225191670</v>
      </c>
      <c r="G8" s="41">
        <v>2367207611</v>
      </c>
      <c r="H8" s="41">
        <v>188210984</v>
      </c>
      <c r="I8" s="41">
        <v>1110820</v>
      </c>
      <c r="J8" s="41">
        <v>1520131</v>
      </c>
      <c r="K8" s="42">
        <v>26833996951</v>
      </c>
      <c r="L8" s="43">
        <v>0.65694136349460452</v>
      </c>
      <c r="M8" s="41">
        <v>1671450621</v>
      </c>
      <c r="N8" s="41">
        <v>1784964004</v>
      </c>
      <c r="O8" s="41">
        <v>3299985281</v>
      </c>
      <c r="P8" s="41">
        <v>3275367846</v>
      </c>
      <c r="Q8" s="41">
        <v>1823456758</v>
      </c>
      <c r="R8" s="41">
        <v>817219326</v>
      </c>
      <c r="S8" s="41">
        <v>2979175</v>
      </c>
      <c r="T8" s="41">
        <v>14229205041</v>
      </c>
      <c r="U8" s="43">
        <v>0.96628417437111547</v>
      </c>
      <c r="V8" s="31"/>
    </row>
    <row r="9" spans="1:26" s="24" customFormat="1" ht="13.8" x14ac:dyDescent="0.3">
      <c r="A9" s="44" t="s">
        <v>173</v>
      </c>
      <c r="B9" s="29">
        <v>2</v>
      </c>
      <c r="C9" s="45" t="s">
        <v>114</v>
      </c>
      <c r="D9" s="41">
        <v>3564429225</v>
      </c>
      <c r="E9" s="41">
        <v>1309576605</v>
      </c>
      <c r="F9" s="41">
        <v>1805186626</v>
      </c>
      <c r="G9" s="41">
        <v>215606343</v>
      </c>
      <c r="H9" s="41">
        <v>9019911</v>
      </c>
      <c r="I9" s="41">
        <v>10</v>
      </c>
      <c r="J9" s="41">
        <v>1520131</v>
      </c>
      <c r="K9" s="42">
        <v>3564429222</v>
      </c>
      <c r="L9" s="43">
        <v>0.87828640941379865</v>
      </c>
      <c r="M9" s="41">
        <v>76726507</v>
      </c>
      <c r="N9" s="41">
        <v>162195592</v>
      </c>
      <c r="O9" s="41">
        <v>106266201</v>
      </c>
      <c r="P9" s="41">
        <v>75884761</v>
      </c>
      <c r="Q9" s="41">
        <v>35911971</v>
      </c>
      <c r="R9" s="41">
        <v>33117264</v>
      </c>
      <c r="S9" s="41">
        <v>712814</v>
      </c>
      <c r="T9" s="41">
        <v>3073614115</v>
      </c>
      <c r="U9" s="43">
        <v>0.92698917020687877</v>
      </c>
      <c r="V9" s="31"/>
    </row>
    <row r="10" spans="1:26" s="24" customFormat="1" ht="13.8" x14ac:dyDescent="0.3">
      <c r="A10" s="44" t="s">
        <v>174</v>
      </c>
      <c r="B10" s="29">
        <v>3</v>
      </c>
      <c r="C10" s="45" t="s">
        <v>113</v>
      </c>
      <c r="D10" s="41">
        <v>23291747260</v>
      </c>
      <c r="E10" s="41">
        <v>12529955185</v>
      </c>
      <c r="F10" s="41">
        <v>8394660368</v>
      </c>
      <c r="G10" s="41">
        <v>2149729104</v>
      </c>
      <c r="H10" s="41">
        <v>178979591</v>
      </c>
      <c r="I10" s="41">
        <v>1110810</v>
      </c>
      <c r="J10" s="41">
        <v>0</v>
      </c>
      <c r="K10" s="42">
        <v>23269567729</v>
      </c>
      <c r="L10" s="43">
        <v>0.62303575944524159</v>
      </c>
      <c r="M10" s="41">
        <v>1594724114</v>
      </c>
      <c r="N10" s="41">
        <v>1622641829</v>
      </c>
      <c r="O10" s="41">
        <v>3193277712</v>
      </c>
      <c r="P10" s="41">
        <v>3199195678</v>
      </c>
      <c r="Q10" s="41">
        <v>1787281853</v>
      </c>
      <c r="R10" s="41">
        <v>783445089</v>
      </c>
      <c r="S10" s="41">
        <v>2266361</v>
      </c>
      <c r="T10" s="41">
        <v>11108914624</v>
      </c>
      <c r="U10" s="43">
        <v>0.98121634884571063</v>
      </c>
      <c r="V10" s="31"/>
    </row>
    <row r="11" spans="1:26" s="24" customFormat="1" ht="13.8" x14ac:dyDescent="0.3">
      <c r="A11" s="46" t="s">
        <v>175</v>
      </c>
      <c r="B11" s="29">
        <v>4</v>
      </c>
      <c r="C11" s="45" t="s">
        <v>112</v>
      </c>
      <c r="D11" s="41">
        <v>48451567</v>
      </c>
      <c r="E11" s="41">
        <v>17866427</v>
      </c>
      <c r="F11" s="41">
        <v>25344676</v>
      </c>
      <c r="G11" s="41">
        <v>1872164</v>
      </c>
      <c r="H11" s="41">
        <v>211482</v>
      </c>
      <c r="I11" s="41">
        <v>0</v>
      </c>
      <c r="J11" s="41">
        <v>0</v>
      </c>
      <c r="K11" s="42">
        <v>0</v>
      </c>
      <c r="L11" s="43">
        <v>0</v>
      </c>
      <c r="M11" s="41">
        <v>0</v>
      </c>
      <c r="N11" s="41">
        <v>126583</v>
      </c>
      <c r="O11" s="41">
        <v>441368</v>
      </c>
      <c r="P11" s="41">
        <v>287407</v>
      </c>
      <c r="Q11" s="41">
        <v>262934</v>
      </c>
      <c r="R11" s="41">
        <v>656973</v>
      </c>
      <c r="S11" s="41">
        <v>0</v>
      </c>
      <c r="T11" s="41">
        <v>46676302</v>
      </c>
      <c r="U11" s="43">
        <v>0</v>
      </c>
      <c r="V11" s="31"/>
    </row>
    <row r="12" spans="1:26" s="24" customFormat="1" ht="13.8" x14ac:dyDescent="0.3">
      <c r="A12" s="46" t="s">
        <v>59</v>
      </c>
      <c r="B12" s="29">
        <v>5</v>
      </c>
      <c r="C12" s="47" t="s">
        <v>161</v>
      </c>
      <c r="D12" s="41">
        <v>26640639433</v>
      </c>
      <c r="E12" s="41">
        <v>13857398217</v>
      </c>
      <c r="F12" s="41">
        <v>10225191670</v>
      </c>
      <c r="G12" s="41">
        <v>2367207611</v>
      </c>
      <c r="H12" s="41">
        <v>188210984</v>
      </c>
      <c r="I12" s="41">
        <v>1110820</v>
      </c>
      <c r="J12" s="41">
        <v>1520131</v>
      </c>
      <c r="K12" s="48">
        <v>17628362545</v>
      </c>
      <c r="L12" s="49">
        <v>1</v>
      </c>
      <c r="M12" s="50">
        <v>912719513</v>
      </c>
      <c r="N12" s="50">
        <v>1493358008</v>
      </c>
      <c r="O12" s="50">
        <v>4770592268</v>
      </c>
      <c r="P12" s="50">
        <v>3804989795</v>
      </c>
      <c r="Q12" s="50">
        <v>1672617824</v>
      </c>
      <c r="R12" s="50">
        <v>1033539249</v>
      </c>
      <c r="S12" s="50">
        <v>61456770</v>
      </c>
      <c r="T12" s="41">
        <v>13965712418</v>
      </c>
      <c r="U12" s="49">
        <v>0.98450211600225723</v>
      </c>
      <c r="V12" s="31"/>
    </row>
    <row r="13" spans="1:26" s="24" customFormat="1" ht="15.75" customHeight="1" x14ac:dyDescent="0.3">
      <c r="B13" s="29"/>
      <c r="C13" s="115" t="s">
        <v>152</v>
      </c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7"/>
      <c r="V13" s="31"/>
    </row>
    <row r="14" spans="1:26" s="24" customFormat="1" ht="13.8" x14ac:dyDescent="0.3">
      <c r="B14" s="29">
        <v>6</v>
      </c>
      <c r="C14" s="14" t="s">
        <v>146</v>
      </c>
      <c r="D14" s="51">
        <v>0.45543762286830464</v>
      </c>
      <c r="E14" s="51">
        <v>0.38192858490150267</v>
      </c>
      <c r="F14" s="51">
        <v>0.44969859219682007</v>
      </c>
      <c r="G14" s="51">
        <v>0.42864349816471564</v>
      </c>
      <c r="H14" s="51">
        <v>0.41724981859068877</v>
      </c>
      <c r="I14" s="51">
        <v>0.58404534010807541</v>
      </c>
      <c r="J14" s="51">
        <v>0.65668062448195919</v>
      </c>
      <c r="K14" s="51">
        <v>0.68649150721942487</v>
      </c>
      <c r="L14" s="52"/>
      <c r="M14" s="51">
        <v>0.43265102380198422</v>
      </c>
      <c r="N14" s="51">
        <v>0.43230476370806303</v>
      </c>
      <c r="O14" s="51">
        <v>0.4262086804368444</v>
      </c>
      <c r="P14" s="51">
        <v>0.42359258042492914</v>
      </c>
      <c r="Q14" s="51">
        <v>0.43230476370806303</v>
      </c>
      <c r="R14" s="51">
        <v>0.44550016785424046</v>
      </c>
      <c r="S14" s="51">
        <v>0.39862965906698467</v>
      </c>
      <c r="T14" s="51">
        <v>0.45395553883237821</v>
      </c>
      <c r="U14" s="52"/>
      <c r="V14" s="31"/>
    </row>
    <row r="15" spans="1:26" s="24" customFormat="1" ht="13.8" x14ac:dyDescent="0.3">
      <c r="B15" s="29">
        <v>7</v>
      </c>
      <c r="C15" s="14" t="s">
        <v>147</v>
      </c>
      <c r="D15" s="53">
        <v>277438276</v>
      </c>
      <c r="E15" s="53">
        <v>45561405</v>
      </c>
      <c r="F15" s="53">
        <v>50866219</v>
      </c>
      <c r="G15" s="53">
        <v>16936161</v>
      </c>
      <c r="H15" s="53">
        <v>0</v>
      </c>
      <c r="I15" s="53">
        <v>0</v>
      </c>
      <c r="J15" s="53">
        <v>6137138</v>
      </c>
      <c r="K15" s="53">
        <v>157937353</v>
      </c>
      <c r="L15" s="52"/>
      <c r="M15" s="53">
        <v>5510927</v>
      </c>
      <c r="N15" s="53">
        <v>23806369</v>
      </c>
      <c r="O15" s="53">
        <v>40609871</v>
      </c>
      <c r="P15" s="53">
        <v>33268865</v>
      </c>
      <c r="Q15" s="53">
        <v>9085878</v>
      </c>
      <c r="R15" s="53">
        <v>13406658</v>
      </c>
      <c r="S15" s="53">
        <v>100151</v>
      </c>
      <c r="T15" s="53">
        <v>247077170</v>
      </c>
      <c r="U15" s="52"/>
      <c r="V15" s="31"/>
    </row>
    <row r="16" spans="1:26" s="24" customFormat="1" ht="13.8" x14ac:dyDescent="0.3">
      <c r="B16" s="29">
        <v>8</v>
      </c>
      <c r="C16" s="14" t="s">
        <v>148</v>
      </c>
      <c r="D16" s="53">
        <v>112936651</v>
      </c>
      <c r="E16" s="53">
        <v>15834570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45240069</v>
      </c>
      <c r="L16" s="52"/>
      <c r="M16" s="53">
        <v>1516403</v>
      </c>
      <c r="N16" s="53">
        <v>1993693</v>
      </c>
      <c r="O16" s="53">
        <v>51888935</v>
      </c>
      <c r="P16" s="53">
        <v>9962786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.8" x14ac:dyDescent="0.3">
      <c r="B17" s="29">
        <v>9</v>
      </c>
      <c r="C17" s="14" t="s">
        <v>149</v>
      </c>
      <c r="D17" s="54">
        <v>7.5421303467251173</v>
      </c>
      <c r="E17" s="54">
        <v>8.4231814169568775</v>
      </c>
      <c r="F17" s="54">
        <v>7.3165359811797188</v>
      </c>
      <c r="G17" s="54">
        <v>8.1143234229226699</v>
      </c>
      <c r="H17" s="54">
        <v>6.808662782073319</v>
      </c>
      <c r="I17" s="54">
        <v>16.060534879755778</v>
      </c>
      <c r="J17" s="54">
        <v>14.005842752373059</v>
      </c>
      <c r="K17" s="54">
        <v>5.4342255329879743</v>
      </c>
      <c r="L17" s="52"/>
      <c r="M17" s="54">
        <v>8.9118190236135053</v>
      </c>
      <c r="N17" s="54">
        <v>8.2793786834608536</v>
      </c>
      <c r="O17" s="54">
        <v>7.6479248868499781</v>
      </c>
      <c r="P17" s="54">
        <v>7.1858982971118222</v>
      </c>
      <c r="Q17" s="54">
        <v>7.5200787789365728</v>
      </c>
      <c r="R17" s="54">
        <v>9.0296118358707584</v>
      </c>
      <c r="S17" s="54">
        <v>8.1850140141508003</v>
      </c>
      <c r="T17" s="54">
        <v>7.418047184456344</v>
      </c>
      <c r="U17" s="52"/>
      <c r="V17" s="31"/>
    </row>
    <row r="18" spans="2:22" s="24" customFormat="1" ht="13.8" x14ac:dyDescent="0.3">
      <c r="B18" s="29">
        <v>10</v>
      </c>
      <c r="C18" s="14" t="s">
        <v>150</v>
      </c>
      <c r="D18" s="53">
        <v>1390218741</v>
      </c>
      <c r="E18" s="53">
        <v>458047307</v>
      </c>
      <c r="F18" s="53">
        <v>595574069</v>
      </c>
      <c r="G18" s="53">
        <v>61131967</v>
      </c>
      <c r="H18" s="53">
        <v>2869003</v>
      </c>
      <c r="I18" s="53">
        <v>10</v>
      </c>
      <c r="J18" s="53">
        <v>1185682</v>
      </c>
      <c r="K18" s="53">
        <v>271410703</v>
      </c>
      <c r="L18" s="52"/>
      <c r="M18" s="53">
        <v>156270700</v>
      </c>
      <c r="N18" s="53">
        <v>121921206</v>
      </c>
      <c r="O18" s="53">
        <v>523364849</v>
      </c>
      <c r="P18" s="53">
        <v>253308997</v>
      </c>
      <c r="Q18" s="53">
        <v>110767765</v>
      </c>
      <c r="R18" s="53">
        <v>38248745</v>
      </c>
      <c r="S18" s="53">
        <v>1865995</v>
      </c>
      <c r="T18" s="53">
        <v>1235387933</v>
      </c>
      <c r="U18" s="52"/>
      <c r="V18" s="31"/>
    </row>
    <row r="19" spans="2:22" s="24" customFormat="1" ht="13.8" x14ac:dyDescent="0.3">
      <c r="B19" s="29">
        <v>11</v>
      </c>
      <c r="C19" s="15" t="s">
        <v>151</v>
      </c>
      <c r="D19" s="51">
        <v>4.8694172749652632E-2</v>
      </c>
      <c r="E19" s="51">
        <v>4.8607544929873341E-2</v>
      </c>
      <c r="F19" s="51">
        <v>4.8492773208152547E-2</v>
      </c>
      <c r="G19" s="51">
        <v>4.4613620319338507E-2</v>
      </c>
      <c r="H19" s="51">
        <v>0.05</v>
      </c>
      <c r="I19" s="51">
        <v>4.2224241702999286E-2</v>
      </c>
      <c r="J19" s="51">
        <v>4.1089406483890464E-2</v>
      </c>
      <c r="K19" s="51">
        <v>5.3510580363319342E-2</v>
      </c>
      <c r="L19" s="52"/>
      <c r="M19" s="51">
        <v>5.5090035139976345E-2</v>
      </c>
      <c r="N19" s="51">
        <v>4.7188344768776279E-2</v>
      </c>
      <c r="O19" s="51">
        <v>4.8707856807268801E-2</v>
      </c>
      <c r="P19" s="51">
        <v>4.8751539649234357E-2</v>
      </c>
      <c r="Q19" s="51">
        <v>4.9233857399972977E-2</v>
      </c>
      <c r="R19" s="51">
        <v>4.4064113782434217E-2</v>
      </c>
      <c r="S19" s="51">
        <v>4.9075319240298398E-2</v>
      </c>
      <c r="T19" s="51">
        <v>4.8294501478216699E-2</v>
      </c>
      <c r="U19" s="52"/>
      <c r="V19" s="31"/>
    </row>
    <row r="20" spans="2:22" s="24" customFormat="1" ht="15.75" customHeight="1" x14ac:dyDescent="0.3">
      <c r="B20" s="29"/>
      <c r="C20" s="118" t="s">
        <v>153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20"/>
      <c r="V20" s="31"/>
    </row>
    <row r="21" spans="2:22" s="24" customFormat="1" ht="13.8" x14ac:dyDescent="0.3">
      <c r="B21" s="29">
        <v>12</v>
      </c>
      <c r="C21" s="14" t="s">
        <v>154</v>
      </c>
      <c r="D21" s="51">
        <v>0.59149761385367594</v>
      </c>
      <c r="E21" s="51">
        <v>0.53590103735522232</v>
      </c>
      <c r="F21" s="51">
        <v>0.53987481695078454</v>
      </c>
      <c r="G21" s="51">
        <v>0.55633898603191123</v>
      </c>
      <c r="H21" s="51">
        <v>0.60189162832227805</v>
      </c>
      <c r="I21" s="51">
        <v>0.66231878327859706</v>
      </c>
      <c r="J21" s="51">
        <v>0.65618755294078834</v>
      </c>
      <c r="K21" s="51">
        <v>0.67370954936826433</v>
      </c>
      <c r="L21" s="52"/>
      <c r="M21" s="51">
        <v>0.59386126540953843</v>
      </c>
      <c r="N21" s="51">
        <v>0.58770996405200093</v>
      </c>
      <c r="O21" s="51">
        <v>0.58674820758393942</v>
      </c>
      <c r="P21" s="51">
        <v>0.59150376039931152</v>
      </c>
      <c r="Q21" s="51">
        <v>0.60208841755049791</v>
      </c>
      <c r="R21" s="51">
        <v>0.58331324881431845</v>
      </c>
      <c r="S21" s="51">
        <v>0.50906697940994361</v>
      </c>
      <c r="T21" s="51">
        <v>0.52311622650656531</v>
      </c>
      <c r="U21" s="52"/>
      <c r="V21" s="31"/>
    </row>
    <row r="22" spans="2:22" s="24" customFormat="1" ht="13.8" x14ac:dyDescent="0.3">
      <c r="B22" s="29">
        <v>13</v>
      </c>
      <c r="C22" s="14" t="s">
        <v>155</v>
      </c>
      <c r="D22" s="53">
        <v>2903026477</v>
      </c>
      <c r="E22" s="53">
        <v>457743389</v>
      </c>
      <c r="F22" s="53">
        <v>335746347</v>
      </c>
      <c r="G22" s="53">
        <v>152349621</v>
      </c>
      <c r="H22" s="53">
        <v>35238417</v>
      </c>
      <c r="I22" s="53">
        <v>11739632</v>
      </c>
      <c r="J22" s="53">
        <v>13963158</v>
      </c>
      <c r="K22" s="53">
        <v>1896245913</v>
      </c>
      <c r="L22" s="52"/>
      <c r="M22" s="53">
        <v>273288008</v>
      </c>
      <c r="N22" s="53">
        <v>297990927</v>
      </c>
      <c r="O22" s="53">
        <v>820913205</v>
      </c>
      <c r="P22" s="53">
        <v>865581085</v>
      </c>
      <c r="Q22" s="53">
        <v>445111127</v>
      </c>
      <c r="R22" s="53">
        <v>197438763</v>
      </c>
      <c r="S22" s="53">
        <v>2241514</v>
      </c>
      <c r="T22" s="53">
        <v>558661121</v>
      </c>
      <c r="U22" s="52"/>
      <c r="V22" s="31"/>
    </row>
    <row r="23" spans="2:22" s="24" customFormat="1" ht="13.8" x14ac:dyDescent="0.3">
      <c r="B23" s="29">
        <v>14</v>
      </c>
      <c r="C23" s="14" t="s">
        <v>156</v>
      </c>
      <c r="D23" s="53">
        <v>166880464</v>
      </c>
      <c r="E23" s="53">
        <v>62045513</v>
      </c>
      <c r="F23" s="53">
        <v>37344300</v>
      </c>
      <c r="G23" s="53">
        <v>22985207</v>
      </c>
      <c r="H23" s="53">
        <v>555330</v>
      </c>
      <c r="I23" s="53">
        <v>123162</v>
      </c>
      <c r="J23" s="53">
        <v>374294</v>
      </c>
      <c r="K23" s="53">
        <v>43452658</v>
      </c>
      <c r="L23" s="52"/>
      <c r="M23" s="53">
        <v>18693699</v>
      </c>
      <c r="N23" s="53">
        <v>14544457</v>
      </c>
      <c r="O23" s="53">
        <v>23234457</v>
      </c>
      <c r="P23" s="53">
        <v>36184016</v>
      </c>
      <c r="Q23" s="53">
        <v>20987922</v>
      </c>
      <c r="R23" s="53">
        <v>19734204</v>
      </c>
      <c r="S23" s="53">
        <v>43300</v>
      </c>
      <c r="T23" s="53">
        <v>138789125</v>
      </c>
      <c r="U23" s="52"/>
      <c r="V23" s="31"/>
    </row>
    <row r="24" spans="2:22" s="24" customFormat="1" ht="13.8" x14ac:dyDescent="0.3">
      <c r="B24" s="29">
        <v>15</v>
      </c>
      <c r="C24" s="14" t="s">
        <v>157</v>
      </c>
      <c r="D24" s="54">
        <v>27.012235903576549</v>
      </c>
      <c r="E24" s="54">
        <v>24.418805027208634</v>
      </c>
      <c r="F24" s="54">
        <v>24.089589744654887</v>
      </c>
      <c r="G24" s="54">
        <v>24.69055310617501</v>
      </c>
      <c r="H24" s="54">
        <v>27.545500045359756</v>
      </c>
      <c r="I24" s="54">
        <v>30.974280293873115</v>
      </c>
      <c r="J24" s="54">
        <v>30.86586009646085</v>
      </c>
      <c r="K24" s="54">
        <v>31.24319700685588</v>
      </c>
      <c r="L24" s="52"/>
      <c r="M24" s="54">
        <v>28.93134276142327</v>
      </c>
      <c r="N24" s="54">
        <v>27.462671159334512</v>
      </c>
      <c r="O24" s="54">
        <v>26.380028682176228</v>
      </c>
      <c r="P24" s="54">
        <v>26.849404884676062</v>
      </c>
      <c r="Q24" s="54">
        <v>27.115961040932667</v>
      </c>
      <c r="R24" s="54">
        <v>26.602831517755636</v>
      </c>
      <c r="S24" s="54">
        <v>22.239706590680033</v>
      </c>
      <c r="T24" s="54">
        <v>23.021301229228833</v>
      </c>
      <c r="U24" s="52"/>
      <c r="V24" s="31"/>
    </row>
    <row r="25" spans="2:22" s="24" customFormat="1" ht="13.8" x14ac:dyDescent="0.3">
      <c r="B25" s="29">
        <v>16</v>
      </c>
      <c r="C25" s="14" t="s">
        <v>158</v>
      </c>
      <c r="D25" s="53">
        <v>208148076</v>
      </c>
      <c r="E25" s="53">
        <v>102491286</v>
      </c>
      <c r="F25" s="53">
        <v>70270905</v>
      </c>
      <c r="G25" s="53">
        <v>24492586</v>
      </c>
      <c r="H25" s="53">
        <v>2142109</v>
      </c>
      <c r="I25" s="53">
        <v>52750</v>
      </c>
      <c r="J25" s="53">
        <v>35919</v>
      </c>
      <c r="K25" s="53">
        <v>8662521</v>
      </c>
      <c r="L25" s="52"/>
      <c r="M25" s="53">
        <v>11396671</v>
      </c>
      <c r="N25" s="53">
        <v>18821034</v>
      </c>
      <c r="O25" s="53">
        <v>66538762</v>
      </c>
      <c r="P25" s="53">
        <v>62086336</v>
      </c>
      <c r="Q25" s="53">
        <v>30200816</v>
      </c>
      <c r="R25" s="53">
        <v>17874367</v>
      </c>
      <c r="S25" s="53">
        <v>968632</v>
      </c>
      <c r="T25" s="53">
        <v>189061201</v>
      </c>
      <c r="U25" s="52"/>
      <c r="V25" s="31"/>
    </row>
    <row r="26" spans="2:22" s="24" customFormat="1" ht="13.8" x14ac:dyDescent="0.3">
      <c r="B26" s="29">
        <v>17</v>
      </c>
      <c r="C26" s="14" t="s">
        <v>159</v>
      </c>
      <c r="D26" s="51">
        <v>3.0209595687443875E-2</v>
      </c>
      <c r="E26" s="51">
        <v>3.0204836842769384E-2</v>
      </c>
      <c r="F26" s="51">
        <v>3.016286868081363E-2</v>
      </c>
      <c r="G26" s="51">
        <v>3.0189148928693968E-2</v>
      </c>
      <c r="H26" s="51">
        <v>3.0192223412247438E-2</v>
      </c>
      <c r="I26" s="51">
        <v>3.0048662685388031E-2</v>
      </c>
      <c r="J26" s="51">
        <v>3.0238929501249727E-2</v>
      </c>
      <c r="K26" s="51">
        <v>3.0236442142480825E-2</v>
      </c>
      <c r="L26" s="52"/>
      <c r="M26" s="51">
        <v>3.0185616245208477E-2</v>
      </c>
      <c r="N26" s="51">
        <v>3.0169771991255565E-2</v>
      </c>
      <c r="O26" s="51">
        <v>3.0242346705429614E-2</v>
      </c>
      <c r="P26" s="51">
        <v>3.0190767251582019E-2</v>
      </c>
      <c r="Q26" s="51">
        <v>3.0195164270111083E-2</v>
      </c>
      <c r="R26" s="51">
        <v>3.0275266433235686E-2</v>
      </c>
      <c r="S26" s="51">
        <v>3.0183924621457466E-2</v>
      </c>
      <c r="T26" s="51">
        <v>3.025771528905765E-2</v>
      </c>
      <c r="U26" s="52"/>
      <c r="V26" s="31"/>
    </row>
    <row r="27" spans="2:22" s="24" customFormat="1" ht="13.8" x14ac:dyDescent="0.3">
      <c r="B27" s="29">
        <v>18</v>
      </c>
      <c r="C27" s="55" t="s">
        <v>115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56">
        <v>22179545</v>
      </c>
      <c r="L27" s="57">
        <v>0.82884779647192941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57">
        <v>0</v>
      </c>
    </row>
    <row r="28" spans="2:22" x14ac:dyDescent="0.3">
      <c r="B28" s="29">
        <v>19</v>
      </c>
      <c r="C28" s="58" t="s">
        <v>114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56">
        <v>0</v>
      </c>
      <c r="L28" s="57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57">
        <v>0</v>
      </c>
    </row>
    <row r="29" spans="2:22" x14ac:dyDescent="0.3">
      <c r="B29" s="29">
        <v>20</v>
      </c>
      <c r="C29" s="58" t="s">
        <v>113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56">
        <v>22179545</v>
      </c>
      <c r="L29" s="57">
        <v>0.82884779647192941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57">
        <v>0</v>
      </c>
    </row>
    <row r="30" spans="2:22" s="24" customFormat="1" ht="13.8" x14ac:dyDescent="0.3">
      <c r="B30" s="29">
        <v>21</v>
      </c>
      <c r="C30" s="58" t="s">
        <v>112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56">
        <v>0</v>
      </c>
      <c r="L30" s="57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57">
        <v>0</v>
      </c>
      <c r="V30" s="31"/>
    </row>
    <row r="31" spans="2:22" s="24" customFormat="1" ht="13.8" x14ac:dyDescent="0.3">
      <c r="B31" s="29">
        <v>22</v>
      </c>
      <c r="C31" s="60" t="s">
        <v>161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56">
        <v>18383467</v>
      </c>
      <c r="L31" s="57">
        <v>1</v>
      </c>
      <c r="M31" s="56">
        <v>327837</v>
      </c>
      <c r="N31" s="56">
        <v>129287</v>
      </c>
      <c r="O31" s="56">
        <v>285851</v>
      </c>
      <c r="P31" s="56">
        <v>725757</v>
      </c>
      <c r="Q31" s="56">
        <v>514126</v>
      </c>
      <c r="R31" s="56">
        <v>363749</v>
      </c>
      <c r="S31" s="56">
        <v>0</v>
      </c>
      <c r="T31" s="41">
        <v>0</v>
      </c>
      <c r="U31" s="57">
        <v>0</v>
      </c>
      <c r="V31" s="31"/>
    </row>
    <row r="32" spans="2:22" s="24" customFormat="1" ht="13.8" x14ac:dyDescent="0.3">
      <c r="B32" s="29"/>
      <c r="C32" s="121" t="s">
        <v>152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3"/>
      <c r="V32" s="31"/>
    </row>
    <row r="33" spans="2:22" s="24" customFormat="1" ht="13.8" x14ac:dyDescent="0.3">
      <c r="B33" s="29">
        <v>23</v>
      </c>
      <c r="C33" s="14" t="s">
        <v>146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2"/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2"/>
      <c r="V33" s="31"/>
    </row>
    <row r="34" spans="2:22" s="24" customFormat="1" ht="13.8" x14ac:dyDescent="0.3">
      <c r="B34" s="29">
        <v>24</v>
      </c>
      <c r="C34" s="14" t="s">
        <v>147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2"/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2"/>
      <c r="V34" s="31"/>
    </row>
    <row r="35" spans="2:22" s="24" customFormat="1" ht="13.8" x14ac:dyDescent="0.3">
      <c r="B35" s="29">
        <v>25</v>
      </c>
      <c r="C35" s="14" t="s">
        <v>148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2"/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2"/>
      <c r="V35" s="31"/>
    </row>
    <row r="36" spans="2:22" s="24" customFormat="1" ht="13.8" x14ac:dyDescent="0.3">
      <c r="B36" s="29">
        <v>26</v>
      </c>
      <c r="C36" s="14" t="s">
        <v>149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2"/>
      <c r="M36" s="54">
        <v>0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>
        <v>0</v>
      </c>
      <c r="T36" s="54">
        <v>0</v>
      </c>
      <c r="U36" s="52"/>
      <c r="V36" s="31"/>
    </row>
    <row r="37" spans="2:22" s="24" customFormat="1" ht="13.8" x14ac:dyDescent="0.3">
      <c r="B37" s="29">
        <v>27</v>
      </c>
      <c r="C37" s="14" t="s">
        <v>150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2"/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2"/>
      <c r="V37" s="31"/>
    </row>
    <row r="38" spans="2:22" s="24" customFormat="1" ht="13.8" x14ac:dyDescent="0.3">
      <c r="B38" s="29">
        <v>28</v>
      </c>
      <c r="C38" s="15" t="s">
        <v>151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2"/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2"/>
      <c r="V38" s="31"/>
    </row>
    <row r="39" spans="2:22" s="24" customFormat="1" ht="15.75" customHeight="1" x14ac:dyDescent="0.3">
      <c r="B39" s="29"/>
      <c r="C39" s="118" t="s">
        <v>153</v>
      </c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20"/>
      <c r="V39" s="31"/>
    </row>
    <row r="40" spans="2:22" s="24" customFormat="1" ht="13.8" x14ac:dyDescent="0.3">
      <c r="B40" s="29">
        <v>29</v>
      </c>
      <c r="C40" s="14" t="s">
        <v>154</v>
      </c>
      <c r="D40" s="51">
        <v>0.68794186535386559</v>
      </c>
      <c r="E40" s="51">
        <v>0.63314263977189045</v>
      </c>
      <c r="F40" s="51">
        <v>0.66684164173019955</v>
      </c>
      <c r="G40" s="51">
        <v>0.63087478371288808</v>
      </c>
      <c r="H40" s="51">
        <v>0.64688965985368418</v>
      </c>
      <c r="I40" s="51">
        <v>0.67460337828272909</v>
      </c>
      <c r="J40" s="51">
        <v>0.79924912985966901</v>
      </c>
      <c r="K40" s="51">
        <v>0.90942529631899027</v>
      </c>
      <c r="L40" s="52"/>
      <c r="M40" s="51">
        <v>0.60421090512380127</v>
      </c>
      <c r="N40" s="51">
        <v>0.64865362287596118</v>
      </c>
      <c r="O40" s="51">
        <v>0.71208030876275641</v>
      </c>
      <c r="P40" s="51">
        <v>0.68036321877107486</v>
      </c>
      <c r="Q40" s="51">
        <v>0.64478617162730278</v>
      </c>
      <c r="R40" s="51">
        <v>0.5753306371902901</v>
      </c>
      <c r="S40" s="51">
        <v>0</v>
      </c>
      <c r="T40" s="51">
        <v>0.66245149164361739</v>
      </c>
      <c r="U40" s="52"/>
      <c r="V40" s="31"/>
    </row>
    <row r="41" spans="2:22" s="24" customFormat="1" ht="13.8" x14ac:dyDescent="0.3">
      <c r="B41" s="29">
        <v>30</v>
      </c>
      <c r="C41" s="14" t="s">
        <v>155</v>
      </c>
      <c r="D41" s="53">
        <v>3442772</v>
      </c>
      <c r="E41" s="53">
        <v>382575</v>
      </c>
      <c r="F41" s="53">
        <v>1361812</v>
      </c>
      <c r="G41" s="53">
        <v>890429</v>
      </c>
      <c r="H41" s="53">
        <v>122439</v>
      </c>
      <c r="I41" s="53">
        <v>0</v>
      </c>
      <c r="J41" s="53">
        <v>103313</v>
      </c>
      <c r="K41" s="53">
        <v>582204</v>
      </c>
      <c r="L41" s="52"/>
      <c r="M41" s="53">
        <v>209267</v>
      </c>
      <c r="N41" s="53">
        <v>0</v>
      </c>
      <c r="O41" s="53">
        <v>1289551</v>
      </c>
      <c r="P41" s="53">
        <v>925506</v>
      </c>
      <c r="Q41" s="53">
        <v>1018448</v>
      </c>
      <c r="R41" s="53">
        <v>0</v>
      </c>
      <c r="S41" s="53">
        <v>0</v>
      </c>
      <c r="T41" s="53">
        <v>0</v>
      </c>
      <c r="U41" s="52"/>
      <c r="V41" s="31"/>
    </row>
    <row r="42" spans="2:22" s="24" customFormat="1" ht="13.8" x14ac:dyDescent="0.3">
      <c r="B42" s="29">
        <v>31</v>
      </c>
      <c r="C42" s="14" t="s">
        <v>156</v>
      </c>
      <c r="D42" s="53">
        <v>1671560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1671560</v>
      </c>
      <c r="L42" s="52"/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1671560</v>
      </c>
      <c r="U42" s="52"/>
      <c r="V42" s="31"/>
    </row>
    <row r="43" spans="2:22" s="24" customFormat="1" ht="13.8" x14ac:dyDescent="0.3">
      <c r="B43" s="29">
        <v>32</v>
      </c>
      <c r="C43" s="14" t="s">
        <v>157</v>
      </c>
      <c r="D43" s="54">
        <v>28.932398658313325</v>
      </c>
      <c r="E43" s="54">
        <v>26.843538889768574</v>
      </c>
      <c r="F43" s="54">
        <v>30.690953733874686</v>
      </c>
      <c r="G43" s="54">
        <v>31.69623369011234</v>
      </c>
      <c r="H43" s="54">
        <v>29.063306454611219</v>
      </c>
      <c r="I43" s="54">
        <v>33.996707567115855</v>
      </c>
      <c r="J43" s="54">
        <v>32.903645352231329</v>
      </c>
      <c r="K43" s="54">
        <v>30.798622947157565</v>
      </c>
      <c r="L43" s="52"/>
      <c r="M43" s="54">
        <v>29.745327249541134</v>
      </c>
      <c r="N43" s="54">
        <v>27.140883454007085</v>
      </c>
      <c r="O43" s="54">
        <v>28.273427870216338</v>
      </c>
      <c r="P43" s="54">
        <v>31.77103065031719</v>
      </c>
      <c r="Q43" s="54">
        <v>33.271776985358429</v>
      </c>
      <c r="R43" s="54">
        <v>24.71185222887939</v>
      </c>
      <c r="S43" s="54">
        <v>0</v>
      </c>
      <c r="T43" s="54">
        <v>21.992526921313932</v>
      </c>
      <c r="U43" s="52"/>
      <c r="V43" s="31"/>
    </row>
    <row r="44" spans="2:22" s="24" customFormat="1" ht="13.8" x14ac:dyDescent="0.3">
      <c r="B44" s="29">
        <v>33</v>
      </c>
      <c r="C44" s="14" t="s">
        <v>158</v>
      </c>
      <c r="D44" s="53">
        <v>234502</v>
      </c>
      <c r="E44" s="53">
        <v>101484</v>
      </c>
      <c r="F44" s="53">
        <v>53941</v>
      </c>
      <c r="G44" s="53">
        <v>79077</v>
      </c>
      <c r="H44" s="53">
        <v>0</v>
      </c>
      <c r="I44" s="53">
        <v>0</v>
      </c>
      <c r="J44" s="53">
        <v>0</v>
      </c>
      <c r="K44" s="53">
        <v>0</v>
      </c>
      <c r="L44" s="52"/>
      <c r="M44" s="53">
        <v>17292</v>
      </c>
      <c r="N44" s="53">
        <v>8149</v>
      </c>
      <c r="O44" s="53">
        <v>76043</v>
      </c>
      <c r="P44" s="53">
        <v>14649</v>
      </c>
      <c r="Q44" s="53">
        <v>75423</v>
      </c>
      <c r="R44" s="53">
        <v>42946</v>
      </c>
      <c r="S44" s="53">
        <v>0</v>
      </c>
      <c r="T44" s="53">
        <v>234502</v>
      </c>
      <c r="U44" s="52"/>
      <c r="V44" s="31"/>
    </row>
    <row r="45" spans="2:22" s="24" customFormat="1" ht="13.8" x14ac:dyDescent="0.3">
      <c r="B45" s="29">
        <v>34</v>
      </c>
      <c r="C45" s="14" t="s">
        <v>159</v>
      </c>
      <c r="D45" s="51">
        <v>3.003957524568461E-2</v>
      </c>
      <c r="E45" s="51">
        <v>3.0000000000000002E-2</v>
      </c>
      <c r="F45" s="51">
        <v>3.0000000000000002E-2</v>
      </c>
      <c r="G45" s="51">
        <v>0.03</v>
      </c>
      <c r="H45" s="51">
        <v>3.0877798525282239E-2</v>
      </c>
      <c r="I45" s="51">
        <v>0.03</v>
      </c>
      <c r="J45" s="51">
        <v>2.9999999999999995E-2</v>
      </c>
      <c r="K45" s="51">
        <v>3.0009933637651028E-2</v>
      </c>
      <c r="L45" s="52"/>
      <c r="M45" s="51">
        <v>0.03</v>
      </c>
      <c r="N45" s="51">
        <v>3.0000000000000002E-2</v>
      </c>
      <c r="O45" s="51">
        <v>2.9999999999999995E-2</v>
      </c>
      <c r="P45" s="51">
        <v>3.0000000000000002E-2</v>
      </c>
      <c r="Q45" s="51">
        <v>2.9999999999999992E-2</v>
      </c>
      <c r="R45" s="51">
        <v>3.0596546145245596E-2</v>
      </c>
      <c r="S45" s="51">
        <v>0</v>
      </c>
      <c r="T45" s="51">
        <v>3.069774006869188E-2</v>
      </c>
      <c r="U45" s="52"/>
      <c r="V45" s="31"/>
    </row>
    <row r="46" spans="2:22" s="24" customFormat="1" ht="13.8" x14ac:dyDescent="0.3">
      <c r="B46" s="61"/>
      <c r="C46" s="62"/>
      <c r="D46" s="63"/>
      <c r="K46" s="63"/>
      <c r="L46" s="64"/>
      <c r="M46" s="65" t="b">
        <v>1</v>
      </c>
      <c r="N46" s="65" t="b">
        <v>1</v>
      </c>
      <c r="O46" s="65" t="b">
        <v>1</v>
      </c>
      <c r="P46" s="65" t="b">
        <v>1</v>
      </c>
      <c r="Q46" s="65" t="b">
        <v>1</v>
      </c>
      <c r="R46" s="65" t="b">
        <v>1</v>
      </c>
      <c r="S46" s="65" t="b">
        <v>1</v>
      </c>
      <c r="T46" s="65"/>
      <c r="U46" s="64"/>
      <c r="V46" s="31"/>
    </row>
    <row r="47" spans="2:22" s="24" customFormat="1" ht="13.8" x14ac:dyDescent="0.3">
      <c r="B47" s="66" t="s">
        <v>176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>
        <v>69491637</v>
      </c>
      <c r="N47" s="67">
        <v>140067267</v>
      </c>
      <c r="O47" s="67">
        <v>93711750</v>
      </c>
      <c r="P47" s="67">
        <v>72419548</v>
      </c>
      <c r="Q47" s="67">
        <v>34336892</v>
      </c>
      <c r="R47" s="67">
        <v>32149814</v>
      </c>
      <c r="S47" s="67">
        <v>601401</v>
      </c>
      <c r="T47" s="65"/>
      <c r="U47" s="64"/>
      <c r="V47" s="31"/>
    </row>
    <row r="48" spans="2:22" s="24" customFormat="1" ht="13.8" x14ac:dyDescent="0.3">
      <c r="B48" s="68"/>
      <c r="C48" s="62"/>
      <c r="D48" s="63"/>
      <c r="E48" s="108" t="s">
        <v>177</v>
      </c>
      <c r="F48" s="108"/>
      <c r="G48" s="108"/>
      <c r="H48" s="108"/>
      <c r="I48" s="108"/>
      <c r="J48" s="108"/>
      <c r="K48" s="63"/>
      <c r="L48" s="63"/>
      <c r="M48" s="108" t="s">
        <v>177</v>
      </c>
      <c r="N48" s="108"/>
      <c r="O48" s="108"/>
      <c r="P48" s="108"/>
      <c r="Q48" s="108"/>
      <c r="R48" s="108"/>
      <c r="S48" s="108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124</v>
      </c>
      <c r="F49" s="69" t="s">
        <v>123</v>
      </c>
      <c r="G49" s="69" t="s">
        <v>122</v>
      </c>
      <c r="H49" s="69" t="s">
        <v>121</v>
      </c>
      <c r="I49" s="69" t="s">
        <v>120</v>
      </c>
      <c r="J49" s="69" t="s">
        <v>119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.8" x14ac:dyDescent="0.3">
      <c r="B50" s="29">
        <v>35</v>
      </c>
      <c r="C50" s="62"/>
      <c r="D50" s="63" t="s">
        <v>178</v>
      </c>
      <c r="E50" s="53">
        <v>221931685</v>
      </c>
      <c r="F50" s="53">
        <v>349405871</v>
      </c>
      <c r="G50" s="53">
        <v>50017770</v>
      </c>
      <c r="H50" s="53">
        <v>1390020</v>
      </c>
      <c r="I50" s="53">
        <v>277299</v>
      </c>
      <c r="J50" s="53">
        <v>2994190</v>
      </c>
      <c r="K50" s="63"/>
      <c r="L50" s="63" t="s">
        <v>178</v>
      </c>
      <c r="M50" s="53">
        <v>25848058</v>
      </c>
      <c r="N50" s="53">
        <v>38059135</v>
      </c>
      <c r="O50" s="53">
        <v>12850303</v>
      </c>
      <c r="P50" s="53">
        <v>12878889</v>
      </c>
      <c r="Q50" s="53">
        <v>4701965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.8" x14ac:dyDescent="0.3">
      <c r="B52" s="29">
        <v>36</v>
      </c>
      <c r="C52" s="62"/>
      <c r="D52" s="71" t="s">
        <v>124</v>
      </c>
      <c r="E52" s="53">
        <v>799860131</v>
      </c>
      <c r="F52" s="53">
        <v>32855943</v>
      </c>
      <c r="G52" s="53">
        <v>3671325</v>
      </c>
      <c r="H52" s="53">
        <v>355162</v>
      </c>
      <c r="I52" s="53">
        <v>0</v>
      </c>
      <c r="J52" s="53">
        <v>7293701</v>
      </c>
      <c r="K52" s="63"/>
      <c r="L52" s="71" t="s">
        <v>27</v>
      </c>
      <c r="M52" s="53">
        <v>5519151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.8" x14ac:dyDescent="0.3">
      <c r="B53" s="29">
        <v>37</v>
      </c>
      <c r="C53" s="62"/>
      <c r="D53" s="71" t="s">
        <v>123</v>
      </c>
      <c r="E53" s="53">
        <v>36155617</v>
      </c>
      <c r="F53" s="53">
        <v>973946587</v>
      </c>
      <c r="G53" s="53">
        <v>9233628</v>
      </c>
      <c r="H53" s="53">
        <v>989012</v>
      </c>
      <c r="I53" s="53">
        <v>291416</v>
      </c>
      <c r="J53" s="53">
        <v>2248523</v>
      </c>
      <c r="K53" s="63"/>
      <c r="L53" s="71" t="s">
        <v>28</v>
      </c>
      <c r="M53" s="53">
        <v>443819</v>
      </c>
      <c r="N53" s="53">
        <v>61470172</v>
      </c>
      <c r="O53" s="53">
        <v>34288236</v>
      </c>
      <c r="P53" s="53">
        <v>389258</v>
      </c>
      <c r="Q53" s="53">
        <v>617098</v>
      </c>
      <c r="R53" s="53">
        <v>344182</v>
      </c>
      <c r="S53" s="53">
        <v>0</v>
      </c>
      <c r="T53" s="65"/>
      <c r="U53" s="64"/>
      <c r="V53" s="31"/>
    </row>
    <row r="54" spans="2:22" s="24" customFormat="1" ht="13.8" x14ac:dyDescent="0.3">
      <c r="B54" s="29">
        <v>38</v>
      </c>
      <c r="C54" s="62"/>
      <c r="D54" s="71" t="s">
        <v>122</v>
      </c>
      <c r="E54" s="53">
        <v>6577776</v>
      </c>
      <c r="F54" s="53">
        <v>3963918</v>
      </c>
      <c r="G54" s="53">
        <v>110588885</v>
      </c>
      <c r="H54" s="53">
        <v>683802</v>
      </c>
      <c r="I54" s="53">
        <v>4844716</v>
      </c>
      <c r="J54" s="53">
        <v>569008</v>
      </c>
      <c r="K54" s="63"/>
      <c r="L54" s="71" t="s">
        <v>34</v>
      </c>
      <c r="M54" s="53">
        <v>30500467</v>
      </c>
      <c r="N54" s="53">
        <v>35651948</v>
      </c>
      <c r="O54" s="53">
        <v>41059758</v>
      </c>
      <c r="P54" s="53">
        <v>3524889</v>
      </c>
      <c r="Q54" s="53">
        <v>3068557</v>
      </c>
      <c r="R54" s="53">
        <v>7754392</v>
      </c>
      <c r="S54" s="53">
        <v>0</v>
      </c>
      <c r="T54" s="65"/>
      <c r="U54" s="64"/>
      <c r="V54" s="31"/>
    </row>
    <row r="55" spans="2:22" s="24" customFormat="1" ht="13.8" x14ac:dyDescent="0.3">
      <c r="B55" s="29">
        <v>39</v>
      </c>
      <c r="C55" s="62"/>
      <c r="D55" s="71" t="s">
        <v>121</v>
      </c>
      <c r="E55" s="53">
        <v>38585</v>
      </c>
      <c r="F55" s="53">
        <v>7980</v>
      </c>
      <c r="G55" s="53">
        <v>226708</v>
      </c>
      <c r="H55" s="53">
        <v>4510692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1327912</v>
      </c>
      <c r="O55" s="53">
        <v>510017</v>
      </c>
      <c r="P55" s="53">
        <v>53604754</v>
      </c>
      <c r="Q55" s="53">
        <v>658127</v>
      </c>
      <c r="R55" s="53">
        <v>1158340</v>
      </c>
      <c r="S55" s="53">
        <v>0</v>
      </c>
      <c r="T55" s="65"/>
      <c r="U55" s="64"/>
      <c r="V55" s="31"/>
    </row>
    <row r="56" spans="2:22" s="24" customFormat="1" ht="13.8" x14ac:dyDescent="0.3">
      <c r="B56" s="29">
        <v>40</v>
      </c>
      <c r="C56" s="62"/>
      <c r="D56" s="71" t="s">
        <v>120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342002</v>
      </c>
      <c r="N56" s="53">
        <v>0</v>
      </c>
      <c r="O56" s="53">
        <v>1628227</v>
      </c>
      <c r="P56" s="53">
        <v>1431701</v>
      </c>
      <c r="Q56" s="53">
        <v>25227096</v>
      </c>
      <c r="R56" s="53">
        <v>1419505</v>
      </c>
      <c r="S56" s="53">
        <v>0</v>
      </c>
      <c r="T56" s="65"/>
      <c r="U56" s="64"/>
      <c r="V56" s="31"/>
    </row>
    <row r="57" spans="2:22" s="24" customFormat="1" ht="13.8" x14ac:dyDescent="0.3">
      <c r="B57" s="29">
        <v>41</v>
      </c>
      <c r="C57" s="62"/>
      <c r="D57" s="71" t="s">
        <v>119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207783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10475369</v>
      </c>
      <c r="S57" s="53">
        <v>0</v>
      </c>
      <c r="T57" s="65"/>
      <c r="U57" s="64"/>
      <c r="V57" s="31"/>
    </row>
    <row r="58" spans="2:22" s="24" customFormat="1" x14ac:dyDescent="0.3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x14ac:dyDescent="0.3">
      <c r="M59" s="59" t="b">
        <v>0</v>
      </c>
      <c r="N59" s="59" t="b">
        <v>0</v>
      </c>
      <c r="O59" s="59" t="b">
        <v>0</v>
      </c>
      <c r="P59" s="59" t="b">
        <v>0</v>
      </c>
      <c r="Q59" s="59" t="b">
        <v>0</v>
      </c>
      <c r="R59" s="59" t="b">
        <v>0</v>
      </c>
      <c r="S59" s="59" t="b">
        <v>1</v>
      </c>
    </row>
    <row r="60" spans="2:22" s="24" customFormat="1" ht="13.8" x14ac:dyDescent="0.3">
      <c r="B60" s="66" t="s">
        <v>179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>
        <v>1668950547</v>
      </c>
      <c r="N60" s="67">
        <v>1658971507</v>
      </c>
      <c r="O60" s="67">
        <v>3210808626</v>
      </c>
      <c r="P60" s="67">
        <v>3212190147</v>
      </c>
      <c r="Q60" s="67">
        <v>1794921685</v>
      </c>
      <c r="R60" s="67">
        <v>787225831</v>
      </c>
      <c r="S60" s="67">
        <v>2266359</v>
      </c>
      <c r="T60" s="65"/>
      <c r="U60" s="64"/>
      <c r="V60" s="31"/>
    </row>
    <row r="61" spans="2:22" s="24" customFormat="1" ht="13.8" x14ac:dyDescent="0.3">
      <c r="B61" s="68"/>
      <c r="C61" s="62"/>
      <c r="D61" s="63"/>
      <c r="E61" s="108" t="s">
        <v>177</v>
      </c>
      <c r="F61" s="108"/>
      <c r="G61" s="108"/>
      <c r="H61" s="108"/>
      <c r="I61" s="108"/>
      <c r="J61" s="108"/>
      <c r="K61" s="63"/>
      <c r="L61" s="63"/>
      <c r="M61" s="108" t="s">
        <v>177</v>
      </c>
      <c r="N61" s="108"/>
      <c r="O61" s="108"/>
      <c r="P61" s="108"/>
      <c r="Q61" s="108"/>
      <c r="R61" s="108"/>
      <c r="S61" s="108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124</v>
      </c>
      <c r="F62" s="69" t="s">
        <v>123</v>
      </c>
      <c r="G62" s="69" t="s">
        <v>122</v>
      </c>
      <c r="H62" s="69" t="s">
        <v>121</v>
      </c>
      <c r="I62" s="69" t="s">
        <v>120</v>
      </c>
      <c r="J62" s="69" t="s">
        <v>119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178</v>
      </c>
      <c r="E63" s="53">
        <v>1054842473</v>
      </c>
      <c r="F63" s="53">
        <v>804037504</v>
      </c>
      <c r="G63" s="53">
        <v>296876027</v>
      </c>
      <c r="H63" s="53">
        <v>70208993</v>
      </c>
      <c r="I63" s="53">
        <v>22406963</v>
      </c>
      <c r="J63" s="53">
        <v>23682478</v>
      </c>
      <c r="K63" s="63"/>
      <c r="L63" s="63" t="s">
        <v>178</v>
      </c>
      <c r="M63" s="53">
        <v>423337833</v>
      </c>
      <c r="N63" s="53">
        <v>321220423</v>
      </c>
      <c r="O63" s="53">
        <v>795093775</v>
      </c>
      <c r="P63" s="53">
        <v>804826933</v>
      </c>
      <c r="Q63" s="53">
        <v>444115666</v>
      </c>
      <c r="R63" s="53">
        <v>187649734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.8" x14ac:dyDescent="0.3">
      <c r="B65" s="29">
        <v>44</v>
      </c>
      <c r="C65" s="62"/>
      <c r="D65" s="71" t="s">
        <v>124</v>
      </c>
      <c r="E65" s="53">
        <v>6210895184</v>
      </c>
      <c r="F65" s="53">
        <v>405261187</v>
      </c>
      <c r="G65" s="53">
        <v>92366919</v>
      </c>
      <c r="H65" s="53">
        <v>21510938</v>
      </c>
      <c r="I65" s="53">
        <v>6185713</v>
      </c>
      <c r="J65" s="53">
        <v>8102601</v>
      </c>
      <c r="K65" s="63"/>
      <c r="L65" s="71" t="s">
        <v>27</v>
      </c>
      <c r="M65" s="53">
        <v>897877692</v>
      </c>
      <c r="N65" s="53">
        <v>31184108</v>
      </c>
      <c r="O65" s="53">
        <v>18514073</v>
      </c>
      <c r="P65" s="53">
        <v>19760806</v>
      </c>
      <c r="Q65" s="53">
        <v>11715646</v>
      </c>
      <c r="R65" s="53">
        <v>10012127</v>
      </c>
      <c r="S65" s="53">
        <v>0</v>
      </c>
      <c r="T65" s="65"/>
      <c r="U65" s="64"/>
      <c r="V65" s="31"/>
    </row>
    <row r="66" spans="2:22" s="24" customFormat="1" ht="13.8" x14ac:dyDescent="0.3">
      <c r="B66" s="29">
        <v>45</v>
      </c>
      <c r="C66" s="62"/>
      <c r="D66" s="71" t="s">
        <v>123</v>
      </c>
      <c r="E66" s="53">
        <v>281302334</v>
      </c>
      <c r="F66" s="53">
        <v>3616583579</v>
      </c>
      <c r="G66" s="53">
        <v>273001351</v>
      </c>
      <c r="H66" s="53">
        <v>62125785</v>
      </c>
      <c r="I66" s="53">
        <v>27084442</v>
      </c>
      <c r="J66" s="53">
        <v>18476982</v>
      </c>
      <c r="K66" s="63"/>
      <c r="L66" s="71" t="s">
        <v>28</v>
      </c>
      <c r="M66" s="53">
        <v>61585941</v>
      </c>
      <c r="N66" s="53">
        <v>1012159671</v>
      </c>
      <c r="O66" s="53">
        <v>70044113</v>
      </c>
      <c r="P66" s="53">
        <v>56973282</v>
      </c>
      <c r="Q66" s="53">
        <v>29609367</v>
      </c>
      <c r="R66" s="53">
        <v>18988314</v>
      </c>
      <c r="S66" s="53">
        <v>0</v>
      </c>
      <c r="T66" s="65"/>
      <c r="U66" s="64"/>
      <c r="V66" s="31"/>
    </row>
    <row r="67" spans="2:22" s="24" customFormat="1" ht="13.8" x14ac:dyDescent="0.3">
      <c r="B67" s="29">
        <v>46</v>
      </c>
      <c r="C67" s="62"/>
      <c r="D67" s="71" t="s">
        <v>122</v>
      </c>
      <c r="E67" s="53">
        <v>78473034</v>
      </c>
      <c r="F67" s="53">
        <v>56441979</v>
      </c>
      <c r="G67" s="53">
        <v>901608786</v>
      </c>
      <c r="H67" s="53">
        <v>17419445</v>
      </c>
      <c r="I67" s="53">
        <v>11921913</v>
      </c>
      <c r="J67" s="53">
        <v>20181341</v>
      </c>
      <c r="K67" s="63"/>
      <c r="L67" s="71" t="s">
        <v>34</v>
      </c>
      <c r="M67" s="53">
        <v>115354381</v>
      </c>
      <c r="N67" s="53">
        <v>130184323</v>
      </c>
      <c r="O67" s="53">
        <v>2056176252</v>
      </c>
      <c r="P67" s="53">
        <v>209683728</v>
      </c>
      <c r="Q67" s="53">
        <v>85918537</v>
      </c>
      <c r="R67" s="53">
        <v>41948295</v>
      </c>
      <c r="S67" s="53">
        <v>588576</v>
      </c>
      <c r="T67" s="65"/>
      <c r="U67" s="64"/>
      <c r="V67" s="31"/>
    </row>
    <row r="68" spans="2:22" s="24" customFormat="1" ht="13.8" x14ac:dyDescent="0.3">
      <c r="B68" s="29">
        <v>47</v>
      </c>
      <c r="C68" s="62"/>
      <c r="D68" s="71" t="s">
        <v>121</v>
      </c>
      <c r="E68" s="53">
        <v>3338966</v>
      </c>
      <c r="F68" s="53">
        <v>2249716</v>
      </c>
      <c r="G68" s="53">
        <v>3897727</v>
      </c>
      <c r="H68" s="53">
        <v>68589030</v>
      </c>
      <c r="I68" s="53">
        <v>484511</v>
      </c>
      <c r="J68" s="53">
        <v>3436882</v>
      </c>
      <c r="K68" s="63"/>
      <c r="L68" s="71" t="s">
        <v>40</v>
      </c>
      <c r="M68" s="53">
        <v>92896476</v>
      </c>
      <c r="N68" s="53">
        <v>92217236</v>
      </c>
      <c r="O68" s="53">
        <v>175519757</v>
      </c>
      <c r="P68" s="53">
        <v>1991843747</v>
      </c>
      <c r="Q68" s="53">
        <v>91264919</v>
      </c>
      <c r="R68" s="53">
        <v>50171390</v>
      </c>
      <c r="S68" s="53">
        <v>230427</v>
      </c>
      <c r="T68" s="65"/>
      <c r="U68" s="64"/>
      <c r="V68" s="31"/>
    </row>
    <row r="69" spans="2:22" s="24" customFormat="1" ht="13.8" x14ac:dyDescent="0.3">
      <c r="B69" s="29">
        <v>48</v>
      </c>
      <c r="C69" s="62"/>
      <c r="D69" s="71" t="s">
        <v>120</v>
      </c>
      <c r="E69" s="53">
        <v>0</v>
      </c>
      <c r="F69" s="53">
        <v>0</v>
      </c>
      <c r="G69" s="53">
        <v>0</v>
      </c>
      <c r="H69" s="53">
        <v>70161</v>
      </c>
      <c r="I69" s="53">
        <v>221919</v>
      </c>
      <c r="J69" s="53">
        <v>150906</v>
      </c>
      <c r="K69" s="63"/>
      <c r="L69" s="71" t="s">
        <v>41</v>
      </c>
      <c r="M69" s="53">
        <v>44043808</v>
      </c>
      <c r="N69" s="53">
        <v>39541031</v>
      </c>
      <c r="O69" s="53">
        <v>65133145</v>
      </c>
      <c r="P69" s="53">
        <v>89571378</v>
      </c>
      <c r="Q69" s="53">
        <v>1098270364</v>
      </c>
      <c r="R69" s="53">
        <v>28758739</v>
      </c>
      <c r="S69" s="53">
        <v>138566</v>
      </c>
      <c r="T69" s="65"/>
      <c r="U69" s="64"/>
      <c r="V69" s="31"/>
    </row>
    <row r="70" spans="2:22" s="24" customFormat="1" ht="13.8" x14ac:dyDescent="0.3">
      <c r="B70" s="29">
        <v>49</v>
      </c>
      <c r="C70" s="62"/>
      <c r="D70" s="71" t="s">
        <v>119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32690700</v>
      </c>
      <c r="N70" s="53">
        <v>30297454</v>
      </c>
      <c r="O70" s="53">
        <v>27559163</v>
      </c>
      <c r="P70" s="53">
        <v>35727862</v>
      </c>
      <c r="Q70" s="53">
        <v>32108699</v>
      </c>
      <c r="R70" s="53">
        <v>449154664</v>
      </c>
      <c r="S70" s="53">
        <v>266561</v>
      </c>
      <c r="T70" s="65"/>
      <c r="U70" s="64"/>
      <c r="V70" s="31"/>
    </row>
    <row r="71" spans="2:22" s="24" customFormat="1" x14ac:dyDescent="0.3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1163715</v>
      </c>
      <c r="N71" s="53">
        <v>2167260</v>
      </c>
      <c r="O71" s="53">
        <v>2768348</v>
      </c>
      <c r="P71" s="53">
        <v>3802411</v>
      </c>
      <c r="Q71" s="53">
        <v>1918487</v>
      </c>
      <c r="R71" s="53">
        <v>542568</v>
      </c>
      <c r="S71" s="53">
        <v>950928</v>
      </c>
      <c r="T71" s="65"/>
      <c r="U71" s="64"/>
      <c r="V71" s="31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33:K33 D40:K40 D14:K14 D21:K21 M14:T14 M33:T33 M21:T21 M40:T40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27:K31 K8:K12 K46:K57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 tint="-4.9989318521683403E-2"/>
    <pageSetUpPr autoPageBreaks="0"/>
  </sheetPr>
  <dimension ref="A1:Z85"/>
  <sheetViews>
    <sheetView tabSelected="1" zoomScale="90" zoomScaleNormal="90" workbookViewId="0"/>
  </sheetViews>
  <sheetFormatPr defaultColWidth="0" defaultRowHeight="14.4" customHeight="1" zeroHeight="1" x14ac:dyDescent="0.3"/>
  <cols>
    <col min="1" max="1" width="9.33203125" style="59" customWidth="1"/>
    <col min="2" max="2" width="3" style="59" bestFit="1" customWidth="1"/>
    <col min="3" max="3" width="126.21875" style="59" bestFit="1" customWidth="1"/>
    <col min="4" max="4" width="18.5546875" style="59" customWidth="1"/>
    <col min="5" max="5" width="15.88671875" style="59" bestFit="1" customWidth="1"/>
    <col min="6" max="6" width="14.88671875" style="59" bestFit="1" customWidth="1"/>
    <col min="7" max="10" width="14.6640625" style="59" bestFit="1" customWidth="1"/>
    <col min="11" max="11" width="15" style="59" bestFit="1" customWidth="1"/>
    <col min="12" max="12" width="23.44140625" style="59" customWidth="1"/>
    <col min="13" max="13" width="16" style="59" bestFit="1" customWidth="1"/>
    <col min="14" max="14" width="14.5546875" style="59" bestFit="1" customWidth="1"/>
    <col min="15" max="20" width="14.44140625" style="59" bestFit="1" customWidth="1"/>
    <col min="21" max="21" width="27.44140625" style="59" bestFit="1" customWidth="1"/>
    <col min="22" max="22" width="8.5546875" style="59" customWidth="1"/>
    <col min="23" max="16384" width="8.5546875" style="59" hidden="1"/>
  </cols>
  <sheetData>
    <row r="1" spans="1:26" s="24" customFormat="1" x14ac:dyDescent="0.3">
      <c r="D1" s="26"/>
      <c r="E1" s="26"/>
      <c r="M1" s="27" t="s">
        <v>162</v>
      </c>
      <c r="N1" s="27" t="s">
        <v>162</v>
      </c>
      <c r="O1" s="27" t="s">
        <v>162</v>
      </c>
      <c r="P1" s="27" t="s">
        <v>162</v>
      </c>
      <c r="Q1" s="27" t="s">
        <v>162</v>
      </c>
      <c r="R1" s="27" t="s">
        <v>162</v>
      </c>
      <c r="S1" s="27" t="s">
        <v>162</v>
      </c>
      <c r="T1" s="25" t="s">
        <v>59</v>
      </c>
      <c r="U1" s="27" t="s">
        <v>163</v>
      </c>
    </row>
    <row r="2" spans="1:26" s="24" customFormat="1" x14ac:dyDescent="0.3">
      <c r="C2" s="28" t="s">
        <v>145</v>
      </c>
      <c r="D2" s="73"/>
      <c r="E2" s="26"/>
      <c r="F2" s="26"/>
      <c r="G2" s="26"/>
      <c r="H2" s="26"/>
      <c r="I2" s="26"/>
      <c r="J2" s="26"/>
      <c r="K2" s="26"/>
      <c r="L2" s="26"/>
      <c r="M2" s="25" t="s">
        <v>165</v>
      </c>
      <c r="N2" s="25" t="s">
        <v>165</v>
      </c>
      <c r="O2" s="25" t="s">
        <v>165</v>
      </c>
      <c r="P2" s="25" t="s">
        <v>165</v>
      </c>
      <c r="Q2" s="25" t="s">
        <v>165</v>
      </c>
      <c r="R2" s="25" t="s">
        <v>165</v>
      </c>
      <c r="S2" s="25" t="s">
        <v>165</v>
      </c>
      <c r="V2" s="26"/>
      <c r="W2" s="26"/>
      <c r="X2" s="26"/>
      <c r="Y2" s="26"/>
      <c r="Z2" s="26"/>
    </row>
    <row r="3" spans="1:26" s="24" customFormat="1" x14ac:dyDescent="0.3">
      <c r="C3" s="28"/>
      <c r="D3" s="73"/>
      <c r="E3" s="25" t="s">
        <v>68</v>
      </c>
      <c r="F3" s="25" t="s">
        <v>83</v>
      </c>
      <c r="G3" s="25" t="s">
        <v>84</v>
      </c>
      <c r="H3" s="25" t="s">
        <v>85</v>
      </c>
      <c r="I3" s="25" t="s">
        <v>86</v>
      </c>
      <c r="J3" s="25" t="s">
        <v>87</v>
      </c>
      <c r="K3" s="26"/>
      <c r="L3" s="26"/>
      <c r="M3" s="25" t="s">
        <v>111</v>
      </c>
      <c r="N3" s="25" t="s">
        <v>111</v>
      </c>
      <c r="O3" s="25" t="s">
        <v>111</v>
      </c>
      <c r="P3" s="25" t="s">
        <v>111</v>
      </c>
      <c r="Q3" s="25" t="s">
        <v>111</v>
      </c>
      <c r="R3" s="25" t="s">
        <v>111</v>
      </c>
      <c r="S3" s="25" t="s">
        <v>111</v>
      </c>
      <c r="T3" s="26"/>
      <c r="U3" s="26"/>
      <c r="V3" s="26"/>
      <c r="W3" s="26"/>
      <c r="X3" s="26"/>
      <c r="Y3" s="26"/>
      <c r="Z3" s="26"/>
    </row>
    <row r="4" spans="1:26" s="24" customFormat="1" ht="13.8" x14ac:dyDescent="0.3">
      <c r="D4" s="29" t="s">
        <v>144</v>
      </c>
      <c r="E4" s="29" t="s">
        <v>143</v>
      </c>
      <c r="F4" s="29" t="s">
        <v>142</v>
      </c>
      <c r="G4" s="29" t="s">
        <v>141</v>
      </c>
      <c r="H4" s="29" t="s">
        <v>140</v>
      </c>
      <c r="I4" s="29" t="s">
        <v>139</v>
      </c>
      <c r="J4" s="29" t="s">
        <v>138</v>
      </c>
      <c r="K4" s="29" t="s">
        <v>137</v>
      </c>
      <c r="L4" s="29" t="s">
        <v>136</v>
      </c>
      <c r="M4" s="29" t="s">
        <v>135</v>
      </c>
      <c r="N4" s="29" t="s">
        <v>134</v>
      </c>
      <c r="O4" s="29" t="s">
        <v>133</v>
      </c>
      <c r="P4" s="29" t="s">
        <v>132</v>
      </c>
      <c r="Q4" s="29" t="s">
        <v>131</v>
      </c>
      <c r="R4" s="29" t="s">
        <v>130</v>
      </c>
      <c r="S4" s="29" t="s">
        <v>129</v>
      </c>
      <c r="T4" s="29" t="s">
        <v>167</v>
      </c>
      <c r="U4" s="29" t="s">
        <v>168</v>
      </c>
    </row>
    <row r="5" spans="1:26" s="24" customFormat="1" ht="24" customHeight="1" x14ac:dyDescent="0.3">
      <c r="C5" s="30" t="s">
        <v>128</v>
      </c>
      <c r="D5" s="109" t="s">
        <v>169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1"/>
      <c r="V5" s="31"/>
    </row>
    <row r="6" spans="1:26" s="24" customFormat="1" ht="28.5" customHeight="1" x14ac:dyDescent="0.3">
      <c r="C6" s="32"/>
      <c r="D6" s="33"/>
      <c r="E6" s="112" t="s">
        <v>127</v>
      </c>
      <c r="F6" s="113"/>
      <c r="G6" s="113"/>
      <c r="H6" s="113"/>
      <c r="I6" s="113"/>
      <c r="J6" s="113"/>
      <c r="K6" s="109" t="s">
        <v>170</v>
      </c>
      <c r="L6" s="114"/>
      <c r="M6" s="112" t="s">
        <v>126</v>
      </c>
      <c r="N6" s="113"/>
      <c r="O6" s="113"/>
      <c r="P6" s="113"/>
      <c r="Q6" s="113"/>
      <c r="R6" s="113"/>
      <c r="S6" s="114"/>
      <c r="T6" s="109" t="s">
        <v>118</v>
      </c>
      <c r="U6" s="111"/>
      <c r="V6" s="31"/>
    </row>
    <row r="7" spans="1:26" s="24" customFormat="1" ht="60" customHeight="1" x14ac:dyDescent="0.3">
      <c r="C7" s="34"/>
      <c r="D7" s="35"/>
      <c r="E7" s="36" t="s">
        <v>124</v>
      </c>
      <c r="F7" s="36" t="s">
        <v>123</v>
      </c>
      <c r="G7" s="36" t="s">
        <v>122</v>
      </c>
      <c r="H7" s="36" t="s">
        <v>121</v>
      </c>
      <c r="I7" s="36" t="s">
        <v>120</v>
      </c>
      <c r="J7" s="36" t="s">
        <v>119</v>
      </c>
      <c r="K7" s="35"/>
      <c r="L7" s="37" t="s">
        <v>171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172</v>
      </c>
      <c r="V7" s="31"/>
    </row>
    <row r="8" spans="1:26" s="24" customFormat="1" ht="13.8" x14ac:dyDescent="0.3">
      <c r="B8" s="29">
        <v>1</v>
      </c>
      <c r="C8" s="40" t="s">
        <v>116</v>
      </c>
      <c r="D8" s="41">
        <v>26904628052</v>
      </c>
      <c r="E8" s="41">
        <v>13857398217</v>
      </c>
      <c r="F8" s="41">
        <v>10225191670</v>
      </c>
      <c r="G8" s="41">
        <v>2367207611</v>
      </c>
      <c r="H8" s="41">
        <v>188210984</v>
      </c>
      <c r="I8" s="41">
        <v>1110820</v>
      </c>
      <c r="J8" s="41">
        <v>1520131</v>
      </c>
      <c r="K8" s="42">
        <v>26904628045</v>
      </c>
      <c r="L8" s="43">
        <v>0.99018798481132764</v>
      </c>
      <c r="M8" s="41">
        <v>1671450621</v>
      </c>
      <c r="N8" s="41">
        <v>1784964004</v>
      </c>
      <c r="O8" s="41">
        <v>3299985281</v>
      </c>
      <c r="P8" s="41">
        <v>3275367846</v>
      </c>
      <c r="Q8" s="41">
        <v>1823456758</v>
      </c>
      <c r="R8" s="41">
        <v>817219326</v>
      </c>
      <c r="S8" s="41">
        <v>2979175</v>
      </c>
      <c r="T8" s="41">
        <v>14229205041</v>
      </c>
      <c r="U8" s="43">
        <v>0.98145782628089784</v>
      </c>
      <c r="V8" s="31"/>
    </row>
    <row r="9" spans="1:26" s="24" customFormat="1" ht="13.8" x14ac:dyDescent="0.3">
      <c r="A9" s="44" t="s">
        <v>173</v>
      </c>
      <c r="B9" s="29">
        <v>2</v>
      </c>
      <c r="C9" s="45" t="s">
        <v>114</v>
      </c>
      <c r="D9" s="41">
        <v>3564429225</v>
      </c>
      <c r="E9" s="41">
        <v>1309576605</v>
      </c>
      <c r="F9" s="41">
        <v>1805186626</v>
      </c>
      <c r="G9" s="41">
        <v>215606343</v>
      </c>
      <c r="H9" s="41">
        <v>9019911</v>
      </c>
      <c r="I9" s="41">
        <v>10</v>
      </c>
      <c r="J9" s="41">
        <v>1520131</v>
      </c>
      <c r="K9" s="42">
        <v>3564429222</v>
      </c>
      <c r="L9" s="43">
        <v>0.93729161556035456</v>
      </c>
      <c r="M9" s="41">
        <v>76726507</v>
      </c>
      <c r="N9" s="41">
        <v>162195592</v>
      </c>
      <c r="O9" s="41">
        <v>106266201</v>
      </c>
      <c r="P9" s="41">
        <v>75884761</v>
      </c>
      <c r="Q9" s="41">
        <v>35911971</v>
      </c>
      <c r="R9" s="41">
        <v>33117264</v>
      </c>
      <c r="S9" s="41">
        <v>712814</v>
      </c>
      <c r="T9" s="41">
        <v>3073614115</v>
      </c>
      <c r="U9" s="43">
        <v>0.92727750662059094</v>
      </c>
      <c r="V9" s="31"/>
    </row>
    <row r="10" spans="1:26" s="24" customFormat="1" ht="13.8" x14ac:dyDescent="0.3">
      <c r="A10" s="44" t="s">
        <v>174</v>
      </c>
      <c r="B10" s="29">
        <v>3</v>
      </c>
      <c r="C10" s="45" t="s">
        <v>113</v>
      </c>
      <c r="D10" s="41">
        <v>23291747260</v>
      </c>
      <c r="E10" s="41">
        <v>12529955185</v>
      </c>
      <c r="F10" s="41">
        <v>8394660368</v>
      </c>
      <c r="G10" s="41">
        <v>2149729104</v>
      </c>
      <c r="H10" s="41">
        <v>178979591</v>
      </c>
      <c r="I10" s="41">
        <v>1110810</v>
      </c>
      <c r="J10" s="41">
        <v>0</v>
      </c>
      <c r="K10" s="42">
        <v>23291747256</v>
      </c>
      <c r="L10" s="43">
        <v>0.99839805049179264</v>
      </c>
      <c r="M10" s="41">
        <v>1594724114</v>
      </c>
      <c r="N10" s="41">
        <v>1622641829</v>
      </c>
      <c r="O10" s="41">
        <v>3193277712</v>
      </c>
      <c r="P10" s="41">
        <v>3199195678</v>
      </c>
      <c r="Q10" s="41">
        <v>1787281853</v>
      </c>
      <c r="R10" s="41">
        <v>783445089</v>
      </c>
      <c r="S10" s="41">
        <v>2266361</v>
      </c>
      <c r="T10" s="41">
        <v>11108914624</v>
      </c>
      <c r="U10" s="43">
        <v>0.99666212813033139</v>
      </c>
      <c r="V10" s="31"/>
    </row>
    <row r="11" spans="1:26" s="24" customFormat="1" ht="13.8" x14ac:dyDescent="0.3">
      <c r="A11" s="46" t="s">
        <v>175</v>
      </c>
      <c r="B11" s="29">
        <v>4</v>
      </c>
      <c r="C11" s="45" t="s">
        <v>112</v>
      </c>
      <c r="D11" s="41">
        <v>48451567</v>
      </c>
      <c r="E11" s="41">
        <v>17866427</v>
      </c>
      <c r="F11" s="41">
        <v>25344676</v>
      </c>
      <c r="G11" s="41">
        <v>1872164</v>
      </c>
      <c r="H11" s="41">
        <v>211482</v>
      </c>
      <c r="I11" s="41">
        <v>0</v>
      </c>
      <c r="J11" s="41">
        <v>0</v>
      </c>
      <c r="K11" s="42">
        <v>48451567</v>
      </c>
      <c r="L11" s="43">
        <v>0.9348459049838368</v>
      </c>
      <c r="M11" s="41">
        <v>0</v>
      </c>
      <c r="N11" s="41">
        <v>126583</v>
      </c>
      <c r="O11" s="41">
        <v>441368</v>
      </c>
      <c r="P11" s="41">
        <v>287407</v>
      </c>
      <c r="Q11" s="41">
        <v>262934</v>
      </c>
      <c r="R11" s="41">
        <v>656973</v>
      </c>
      <c r="S11" s="41">
        <v>0</v>
      </c>
      <c r="T11" s="41">
        <v>46676302</v>
      </c>
      <c r="U11" s="43">
        <v>0.93059912929691813</v>
      </c>
      <c r="V11" s="31"/>
    </row>
    <row r="12" spans="1:26" s="24" customFormat="1" ht="13.8" x14ac:dyDescent="0.3">
      <c r="A12" s="46" t="s">
        <v>59</v>
      </c>
      <c r="B12" s="29">
        <v>5</v>
      </c>
      <c r="C12" s="47" t="s">
        <v>161</v>
      </c>
      <c r="D12" s="41">
        <v>26640639433</v>
      </c>
      <c r="E12" s="41">
        <v>13857398217</v>
      </c>
      <c r="F12" s="41">
        <v>10225191670</v>
      </c>
      <c r="G12" s="41">
        <v>2367207611</v>
      </c>
      <c r="H12" s="41">
        <v>188210984</v>
      </c>
      <c r="I12" s="41">
        <v>1110820</v>
      </c>
      <c r="J12" s="41">
        <v>1520131</v>
      </c>
      <c r="K12" s="48">
        <v>26640639426</v>
      </c>
      <c r="L12" s="49">
        <v>0.99999999999913536</v>
      </c>
      <c r="M12" s="50">
        <v>909357093</v>
      </c>
      <c r="N12" s="50">
        <v>1469962966</v>
      </c>
      <c r="O12" s="50">
        <v>4878396765</v>
      </c>
      <c r="P12" s="50">
        <v>3891419413</v>
      </c>
      <c r="Q12" s="50">
        <v>1696602496</v>
      </c>
      <c r="R12" s="50">
        <v>1057337985</v>
      </c>
      <c r="S12" s="50">
        <v>62105713</v>
      </c>
      <c r="T12" s="41">
        <v>13965712418</v>
      </c>
      <c r="U12" s="49">
        <v>0.99997509838778453</v>
      </c>
      <c r="V12" s="31"/>
    </row>
    <row r="13" spans="1:26" s="24" customFormat="1" ht="15.75" customHeight="1" x14ac:dyDescent="0.3">
      <c r="B13" s="29"/>
      <c r="C13" s="115" t="s">
        <v>152</v>
      </c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7"/>
      <c r="V13" s="31"/>
    </row>
    <row r="14" spans="1:26" s="24" customFormat="1" ht="13.8" x14ac:dyDescent="0.3">
      <c r="B14" s="29">
        <v>6</v>
      </c>
      <c r="C14" s="14" t="s">
        <v>146</v>
      </c>
      <c r="D14" s="51">
        <v>0.46997456718185687</v>
      </c>
      <c r="E14" s="51">
        <v>0.40328706329790287</v>
      </c>
      <c r="F14" s="51">
        <v>0.46534076866174567</v>
      </c>
      <c r="G14" s="51">
        <v>0.44767855434498632</v>
      </c>
      <c r="H14" s="51">
        <v>0.40152228873517071</v>
      </c>
      <c r="I14" s="51">
        <v>0</v>
      </c>
      <c r="J14" s="51">
        <v>0.61601420693721964</v>
      </c>
      <c r="K14" s="51">
        <v>0.92138852681316541</v>
      </c>
      <c r="L14" s="52"/>
      <c r="M14" s="51">
        <v>0.45207885954443522</v>
      </c>
      <c r="N14" s="51">
        <v>0.45168510886739244</v>
      </c>
      <c r="O14" s="51">
        <v>0.4331383797580155</v>
      </c>
      <c r="P14" s="51">
        <v>0.43993453416423273</v>
      </c>
      <c r="Q14" s="51">
        <v>0.4346120290826076</v>
      </c>
      <c r="R14" s="51">
        <v>0.4566126854388578</v>
      </c>
      <c r="S14" s="51">
        <v>0.39797724861549827</v>
      </c>
      <c r="T14" s="51">
        <v>0.47123285019509348</v>
      </c>
      <c r="U14" s="52"/>
      <c r="V14" s="31"/>
    </row>
    <row r="15" spans="1:26" s="24" customFormat="1" ht="13.8" x14ac:dyDescent="0.3">
      <c r="B15" s="29">
        <v>7</v>
      </c>
      <c r="C15" s="14" t="s">
        <v>147</v>
      </c>
      <c r="D15" s="53">
        <v>275118888</v>
      </c>
      <c r="E15" s="53">
        <v>51322505</v>
      </c>
      <c r="F15" s="53">
        <v>55866006</v>
      </c>
      <c r="G15" s="53">
        <v>17076962</v>
      </c>
      <c r="H15" s="53">
        <v>0</v>
      </c>
      <c r="I15" s="53">
        <v>0</v>
      </c>
      <c r="J15" s="53">
        <v>0</v>
      </c>
      <c r="K15" s="53">
        <v>150853414</v>
      </c>
      <c r="L15" s="52"/>
      <c r="M15" s="53">
        <v>5510926</v>
      </c>
      <c r="N15" s="53">
        <v>23806368</v>
      </c>
      <c r="O15" s="53">
        <v>38671716</v>
      </c>
      <c r="P15" s="53">
        <v>32887631</v>
      </c>
      <c r="Q15" s="53">
        <v>9882022</v>
      </c>
      <c r="R15" s="53">
        <v>13406659</v>
      </c>
      <c r="S15" s="53">
        <v>100151</v>
      </c>
      <c r="T15" s="53">
        <v>245553926</v>
      </c>
      <c r="U15" s="52"/>
      <c r="V15" s="31"/>
    </row>
    <row r="16" spans="1:26" s="24" customFormat="1" ht="13.8" x14ac:dyDescent="0.3">
      <c r="B16" s="29">
        <v>8</v>
      </c>
      <c r="C16" s="14" t="s">
        <v>148</v>
      </c>
      <c r="D16" s="53">
        <v>112936650</v>
      </c>
      <c r="E16" s="53">
        <v>16023049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45051589</v>
      </c>
      <c r="L16" s="52"/>
      <c r="M16" s="53">
        <v>1516403</v>
      </c>
      <c r="N16" s="53">
        <v>1993693</v>
      </c>
      <c r="O16" s="53">
        <v>51888934</v>
      </c>
      <c r="P16" s="53">
        <v>9962787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.8" x14ac:dyDescent="0.3">
      <c r="B17" s="29">
        <v>9</v>
      </c>
      <c r="C17" s="14" t="s">
        <v>149</v>
      </c>
      <c r="D17" s="54">
        <v>7.6255903640816189</v>
      </c>
      <c r="E17" s="54">
        <v>8.5248241902446686</v>
      </c>
      <c r="F17" s="54">
        <v>7.4335822672009941</v>
      </c>
      <c r="G17" s="54">
        <v>8.0975236589892443</v>
      </c>
      <c r="H17" s="54">
        <v>7.100952959333954</v>
      </c>
      <c r="I17" s="54">
        <v>0</v>
      </c>
      <c r="J17" s="54">
        <v>13.433570115620329</v>
      </c>
      <c r="K17" s="54">
        <v>3.4342192942338605</v>
      </c>
      <c r="L17" s="52"/>
      <c r="M17" s="54">
        <v>8.8913270880597892</v>
      </c>
      <c r="N17" s="54">
        <v>8.2613012148722245</v>
      </c>
      <c r="O17" s="54">
        <v>7.8487831240410104</v>
      </c>
      <c r="P17" s="54">
        <v>7.2437994383838191</v>
      </c>
      <c r="Q17" s="54">
        <v>7.5716358150992624</v>
      </c>
      <c r="R17" s="54">
        <v>8.8052861920804464</v>
      </c>
      <c r="S17" s="54">
        <v>8.1605415585792684</v>
      </c>
      <c r="T17" s="54">
        <v>7.5023073387462569</v>
      </c>
      <c r="U17" s="52"/>
      <c r="V17" s="31"/>
    </row>
    <row r="18" spans="2:22" s="24" customFormat="1" ht="13.8" x14ac:dyDescent="0.3">
      <c r="B18" s="29">
        <v>10</v>
      </c>
      <c r="C18" s="14" t="s">
        <v>150</v>
      </c>
      <c r="D18" s="53">
        <v>1183222362</v>
      </c>
      <c r="E18" s="53">
        <v>413468115</v>
      </c>
      <c r="F18" s="53">
        <v>541877528</v>
      </c>
      <c r="G18" s="53">
        <v>45380592</v>
      </c>
      <c r="H18" s="53">
        <v>2349194</v>
      </c>
      <c r="I18" s="53">
        <v>0</v>
      </c>
      <c r="J18" s="53">
        <v>0</v>
      </c>
      <c r="K18" s="53">
        <v>180146933</v>
      </c>
      <c r="L18" s="52"/>
      <c r="M18" s="53">
        <v>151485056</v>
      </c>
      <c r="N18" s="53">
        <v>107327488</v>
      </c>
      <c r="O18" s="53">
        <v>397018770</v>
      </c>
      <c r="P18" s="53">
        <v>216481708</v>
      </c>
      <c r="Q18" s="53">
        <v>94764387</v>
      </c>
      <c r="R18" s="53">
        <v>34331087</v>
      </c>
      <c r="S18" s="53">
        <v>1666932</v>
      </c>
      <c r="T18" s="53">
        <v>1043767893</v>
      </c>
      <c r="U18" s="52"/>
      <c r="V18" s="31"/>
    </row>
    <row r="19" spans="2:22" s="24" customFormat="1" ht="13.8" x14ac:dyDescent="0.3">
      <c r="B19" s="29">
        <v>11</v>
      </c>
      <c r="C19" s="15" t="s">
        <v>151</v>
      </c>
      <c r="D19" s="51">
        <v>4.7536663004654159E-2</v>
      </c>
      <c r="E19" s="51">
        <v>4.8279995949298757E-2</v>
      </c>
      <c r="F19" s="51">
        <v>4.7475722561351158E-2</v>
      </c>
      <c r="G19" s="51">
        <v>4.4981418998305753E-2</v>
      </c>
      <c r="H19" s="51">
        <v>5.000000000000001E-2</v>
      </c>
      <c r="I19" s="51">
        <v>0</v>
      </c>
      <c r="J19" s="51">
        <v>0.03</v>
      </c>
      <c r="K19" s="51">
        <v>4.5699596471821945E-2</v>
      </c>
      <c r="L19" s="52"/>
      <c r="M19" s="51">
        <v>5.23699915550489E-2</v>
      </c>
      <c r="N19" s="51">
        <v>4.8858355195485072E-2</v>
      </c>
      <c r="O19" s="51">
        <v>4.6243474641542354E-2</v>
      </c>
      <c r="P19" s="51">
        <v>4.7540025672310089E-2</v>
      </c>
      <c r="Q19" s="51">
        <v>4.9106102729418684E-2</v>
      </c>
      <c r="R19" s="51">
        <v>4.4522593555814255E-2</v>
      </c>
      <c r="S19" s="51">
        <v>4.9075319847312664E-2</v>
      </c>
      <c r="T19" s="51">
        <v>4.7031286991740036E-2</v>
      </c>
      <c r="U19" s="52"/>
      <c r="V19" s="31"/>
    </row>
    <row r="20" spans="2:22" s="24" customFormat="1" ht="15.75" customHeight="1" x14ac:dyDescent="0.3">
      <c r="B20" s="29"/>
      <c r="C20" s="118" t="s">
        <v>153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20"/>
      <c r="V20" s="31"/>
    </row>
    <row r="21" spans="2:22" s="24" customFormat="1" ht="13.8" x14ac:dyDescent="0.3">
      <c r="B21" s="29">
        <v>12</v>
      </c>
      <c r="C21" s="14" t="s">
        <v>154</v>
      </c>
      <c r="D21" s="51">
        <v>0.59642081070795272</v>
      </c>
      <c r="E21" s="51">
        <v>0.58900890854122001</v>
      </c>
      <c r="F21" s="51">
        <v>0.60452200309285264</v>
      </c>
      <c r="G21" s="51">
        <v>0.59615718591199496</v>
      </c>
      <c r="H21" s="51">
        <v>0.59307509446256734</v>
      </c>
      <c r="I21" s="51">
        <v>0.63729207347011241</v>
      </c>
      <c r="J21" s="51">
        <v>0</v>
      </c>
      <c r="K21" s="51">
        <v>1.19</v>
      </c>
      <c r="L21" s="52"/>
      <c r="M21" s="51">
        <v>0.5987777789093105</v>
      </c>
      <c r="N21" s="51">
        <v>0.59205062138274589</v>
      </c>
      <c r="O21" s="51">
        <v>0.59137571286131996</v>
      </c>
      <c r="P21" s="51">
        <v>0.59633043229564842</v>
      </c>
      <c r="Q21" s="51">
        <v>0.60648428149698608</v>
      </c>
      <c r="R21" s="51">
        <v>0.58844538059960017</v>
      </c>
      <c r="S21" s="51">
        <v>0.51775781213145666</v>
      </c>
      <c r="T21" s="51">
        <v>0.53053654232007741</v>
      </c>
      <c r="U21" s="52"/>
      <c r="V21" s="31"/>
    </row>
    <row r="22" spans="2:22" s="24" customFormat="1" ht="13.8" x14ac:dyDescent="0.3">
      <c r="B22" s="29">
        <v>13</v>
      </c>
      <c r="C22" s="14" t="s">
        <v>155</v>
      </c>
      <c r="D22" s="53">
        <v>2642244925</v>
      </c>
      <c r="E22" s="53">
        <v>1269208423</v>
      </c>
      <c r="F22" s="53">
        <v>1093983475</v>
      </c>
      <c r="G22" s="53">
        <v>256692714</v>
      </c>
      <c r="H22" s="53">
        <v>21607301</v>
      </c>
      <c r="I22" s="53">
        <v>177470</v>
      </c>
      <c r="J22" s="53">
        <v>0</v>
      </c>
      <c r="K22" s="53">
        <v>575543</v>
      </c>
      <c r="L22" s="52"/>
      <c r="M22" s="53">
        <v>239160777</v>
      </c>
      <c r="N22" s="53">
        <v>265770981</v>
      </c>
      <c r="O22" s="53">
        <v>753333577</v>
      </c>
      <c r="P22" s="53">
        <v>790830773</v>
      </c>
      <c r="Q22" s="53">
        <v>409065725</v>
      </c>
      <c r="R22" s="53">
        <v>181520054</v>
      </c>
      <c r="S22" s="53">
        <v>2112079</v>
      </c>
      <c r="T22" s="53">
        <v>525759048</v>
      </c>
      <c r="U22" s="52"/>
      <c r="V22" s="31"/>
    </row>
    <row r="23" spans="2:22" s="24" customFormat="1" ht="13.8" x14ac:dyDescent="0.3">
      <c r="B23" s="29">
        <v>14</v>
      </c>
      <c r="C23" s="14" t="s">
        <v>156</v>
      </c>
      <c r="D23" s="53">
        <v>173597963</v>
      </c>
      <c r="E23" s="53">
        <v>63882179</v>
      </c>
      <c r="F23" s="53">
        <v>45861794</v>
      </c>
      <c r="G23" s="53">
        <v>27512482</v>
      </c>
      <c r="H23" s="53">
        <v>1205374</v>
      </c>
      <c r="I23" s="53">
        <v>0</v>
      </c>
      <c r="J23" s="53">
        <v>0</v>
      </c>
      <c r="K23" s="53">
        <v>35136135</v>
      </c>
      <c r="L23" s="52"/>
      <c r="M23" s="53">
        <v>17446381</v>
      </c>
      <c r="N23" s="53">
        <v>14474462</v>
      </c>
      <c r="O23" s="53">
        <v>24938011</v>
      </c>
      <c r="P23" s="53">
        <v>37757787</v>
      </c>
      <c r="Q23" s="53">
        <v>22348533</v>
      </c>
      <c r="R23" s="53">
        <v>21322546</v>
      </c>
      <c r="S23" s="53">
        <v>174109</v>
      </c>
      <c r="T23" s="53">
        <v>147381314</v>
      </c>
      <c r="U23" s="52"/>
      <c r="V23" s="31"/>
    </row>
    <row r="24" spans="2:22" s="24" customFormat="1" ht="13.8" x14ac:dyDescent="0.3">
      <c r="B24" s="29">
        <v>15</v>
      </c>
      <c r="C24" s="14" t="s">
        <v>157</v>
      </c>
      <c r="D24" s="54">
        <v>27.366577263222261</v>
      </c>
      <c r="E24" s="54">
        <v>27.317603917830176</v>
      </c>
      <c r="F24" s="54">
        <v>27.535313590685888</v>
      </c>
      <c r="G24" s="54">
        <v>26.994035234122567</v>
      </c>
      <c r="H24" s="54">
        <v>26.929072615223873</v>
      </c>
      <c r="I24" s="54">
        <v>28.464579898958217</v>
      </c>
      <c r="J24" s="54">
        <v>0</v>
      </c>
      <c r="K24" s="54">
        <v>29.379292411793447</v>
      </c>
      <c r="L24" s="52"/>
      <c r="M24" s="54">
        <v>29.016112460956975</v>
      </c>
      <c r="N24" s="54">
        <v>27.784625101239225</v>
      </c>
      <c r="O24" s="54">
        <v>26.810736590971363</v>
      </c>
      <c r="P24" s="54">
        <v>27.205923451154117</v>
      </c>
      <c r="Q24" s="54">
        <v>27.507256778376725</v>
      </c>
      <c r="R24" s="54">
        <v>27.074317970857248</v>
      </c>
      <c r="S24" s="54">
        <v>23.12117868018818</v>
      </c>
      <c r="T24" s="54">
        <v>23.755874339652841</v>
      </c>
      <c r="U24" s="52"/>
      <c r="V24" s="31"/>
    </row>
    <row r="25" spans="2:22" s="24" customFormat="1" ht="13.8" x14ac:dyDescent="0.3">
      <c r="B25" s="29">
        <v>16</v>
      </c>
      <c r="C25" s="14" t="s">
        <v>158</v>
      </c>
      <c r="D25" s="53">
        <v>157552749</v>
      </c>
      <c r="E25" s="53">
        <v>83988083</v>
      </c>
      <c r="F25" s="53">
        <v>53946461</v>
      </c>
      <c r="G25" s="53">
        <v>17940362</v>
      </c>
      <c r="H25" s="53">
        <v>1527615</v>
      </c>
      <c r="I25" s="53">
        <v>0</v>
      </c>
      <c r="J25" s="53">
        <v>0</v>
      </c>
      <c r="K25" s="53">
        <v>150227</v>
      </c>
      <c r="L25" s="52"/>
      <c r="M25" s="53">
        <v>9029183</v>
      </c>
      <c r="N25" s="53">
        <v>14260766</v>
      </c>
      <c r="O25" s="53">
        <v>51655711</v>
      </c>
      <c r="P25" s="53">
        <v>46673044</v>
      </c>
      <c r="Q25" s="53">
        <v>21776715</v>
      </c>
      <c r="R25" s="53">
        <v>13286953</v>
      </c>
      <c r="S25" s="53">
        <v>694768</v>
      </c>
      <c r="T25" s="53">
        <v>143990169</v>
      </c>
      <c r="U25" s="52"/>
      <c r="V25" s="31"/>
    </row>
    <row r="26" spans="2:22" s="24" customFormat="1" ht="13.8" x14ac:dyDescent="0.3">
      <c r="B26" s="29">
        <v>17</v>
      </c>
      <c r="C26" s="14" t="s">
        <v>159</v>
      </c>
      <c r="D26" s="51">
        <v>3.159075459100822E-2</v>
      </c>
      <c r="E26" s="51">
        <v>3.1615664149385388E-2</v>
      </c>
      <c r="F26" s="51">
        <v>3.1588492761494377E-2</v>
      </c>
      <c r="G26" s="51">
        <v>3.1488838097884775E-2</v>
      </c>
      <c r="H26" s="51">
        <v>3.1479723057410577E-2</v>
      </c>
      <c r="I26" s="51">
        <v>3.2649728272862034E-2</v>
      </c>
      <c r="J26" s="51">
        <v>0</v>
      </c>
      <c r="K26" s="51">
        <v>3.3100973242535338E-2</v>
      </c>
      <c r="L26" s="52"/>
      <c r="M26" s="51">
        <v>3.1632927053338505E-2</v>
      </c>
      <c r="N26" s="51">
        <v>3.1666316320020003E-2</v>
      </c>
      <c r="O26" s="51">
        <v>3.1571742694646618E-2</v>
      </c>
      <c r="P26" s="51">
        <v>3.1577348910106398E-2</v>
      </c>
      <c r="Q26" s="51">
        <v>3.1547149851390545E-2</v>
      </c>
      <c r="R26" s="51">
        <v>3.1609936658023599E-2</v>
      </c>
      <c r="S26" s="51">
        <v>3.0183920261993992E-2</v>
      </c>
      <c r="T26" s="51">
        <v>3.1695991290690742E-2</v>
      </c>
      <c r="U26" s="52"/>
      <c r="V26" s="31"/>
    </row>
    <row r="27" spans="2:22" s="24" customFormat="1" ht="13.8" x14ac:dyDescent="0.3">
      <c r="B27" s="29">
        <v>18</v>
      </c>
      <c r="C27" s="55" t="s">
        <v>115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56">
        <v>0</v>
      </c>
      <c r="L27" s="57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57">
        <v>0</v>
      </c>
    </row>
    <row r="28" spans="2:22" x14ac:dyDescent="0.3">
      <c r="B28" s="29">
        <v>19</v>
      </c>
      <c r="C28" s="58" t="s">
        <v>114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56">
        <v>0</v>
      </c>
      <c r="L28" s="57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57">
        <v>0</v>
      </c>
    </row>
    <row r="29" spans="2:22" x14ac:dyDescent="0.3">
      <c r="B29" s="29">
        <v>20</v>
      </c>
      <c r="C29" s="58" t="s">
        <v>113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56">
        <v>0</v>
      </c>
      <c r="L29" s="57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57">
        <v>0</v>
      </c>
    </row>
    <row r="30" spans="2:22" s="24" customFormat="1" ht="13.8" x14ac:dyDescent="0.3">
      <c r="B30" s="29">
        <v>21</v>
      </c>
      <c r="C30" s="58" t="s">
        <v>112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56">
        <v>0</v>
      </c>
      <c r="L30" s="57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57">
        <v>0</v>
      </c>
      <c r="V30" s="31"/>
    </row>
    <row r="31" spans="2:22" s="24" customFormat="1" ht="13.8" x14ac:dyDescent="0.3">
      <c r="B31" s="29">
        <v>22</v>
      </c>
      <c r="C31" s="60" t="s">
        <v>161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56">
        <v>0</v>
      </c>
      <c r="L31" s="57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41">
        <v>0</v>
      </c>
      <c r="U31" s="57">
        <v>0</v>
      </c>
      <c r="V31" s="31"/>
    </row>
    <row r="32" spans="2:22" s="24" customFormat="1" ht="13.8" x14ac:dyDescent="0.3">
      <c r="B32" s="29"/>
      <c r="C32" s="121" t="s">
        <v>152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3"/>
      <c r="V32" s="31"/>
    </row>
    <row r="33" spans="2:22" s="24" customFormat="1" ht="13.8" x14ac:dyDescent="0.3">
      <c r="B33" s="29">
        <v>23</v>
      </c>
      <c r="C33" s="14" t="s">
        <v>146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52"/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52"/>
      <c r="V33" s="31"/>
    </row>
    <row r="34" spans="2:22" s="24" customFormat="1" ht="13.8" x14ac:dyDescent="0.3">
      <c r="B34" s="29">
        <v>24</v>
      </c>
      <c r="C34" s="14" t="s">
        <v>147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52"/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52"/>
      <c r="V34" s="31"/>
    </row>
    <row r="35" spans="2:22" s="24" customFormat="1" ht="13.8" x14ac:dyDescent="0.3">
      <c r="B35" s="29">
        <v>25</v>
      </c>
      <c r="C35" s="14" t="s">
        <v>148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52"/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52"/>
      <c r="V35" s="31"/>
    </row>
    <row r="36" spans="2:22" s="24" customFormat="1" ht="13.8" x14ac:dyDescent="0.3">
      <c r="B36" s="29">
        <v>26</v>
      </c>
      <c r="C36" s="14" t="s">
        <v>149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52"/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52"/>
      <c r="V36" s="31"/>
    </row>
    <row r="37" spans="2:22" s="24" customFormat="1" ht="13.8" x14ac:dyDescent="0.3">
      <c r="B37" s="29">
        <v>27</v>
      </c>
      <c r="C37" s="14" t="s">
        <v>150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52"/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52"/>
      <c r="V37" s="31"/>
    </row>
    <row r="38" spans="2:22" s="24" customFormat="1" ht="13.8" x14ac:dyDescent="0.3">
      <c r="B38" s="29">
        <v>28</v>
      </c>
      <c r="C38" s="15" t="s">
        <v>151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52"/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52"/>
      <c r="V38" s="31"/>
    </row>
    <row r="39" spans="2:22" s="24" customFormat="1" ht="15.75" customHeight="1" x14ac:dyDescent="0.3">
      <c r="B39" s="29"/>
      <c r="C39" s="118" t="s">
        <v>153</v>
      </c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20"/>
      <c r="V39" s="31"/>
    </row>
    <row r="40" spans="2:22" s="24" customFormat="1" ht="13.8" x14ac:dyDescent="0.3">
      <c r="B40" s="29">
        <v>29</v>
      </c>
      <c r="C40" s="14" t="s">
        <v>154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52"/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52"/>
      <c r="V40" s="31"/>
    </row>
    <row r="41" spans="2:22" s="24" customFormat="1" ht="13.8" x14ac:dyDescent="0.3">
      <c r="B41" s="29">
        <v>30</v>
      </c>
      <c r="C41" s="14" t="s">
        <v>155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52"/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52"/>
      <c r="V41" s="31"/>
    </row>
    <row r="42" spans="2:22" s="24" customFormat="1" ht="13.8" x14ac:dyDescent="0.3">
      <c r="B42" s="29">
        <v>31</v>
      </c>
      <c r="C42" s="14" t="s">
        <v>156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52"/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52"/>
      <c r="V42" s="31"/>
    </row>
    <row r="43" spans="2:22" s="24" customFormat="1" ht="13.8" x14ac:dyDescent="0.3">
      <c r="B43" s="29">
        <v>32</v>
      </c>
      <c r="C43" s="14" t="s">
        <v>157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52"/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52"/>
      <c r="V43" s="31"/>
    </row>
    <row r="44" spans="2:22" s="24" customFormat="1" ht="13.8" x14ac:dyDescent="0.3">
      <c r="B44" s="29">
        <v>33</v>
      </c>
      <c r="C44" s="14" t="s">
        <v>158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52"/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52"/>
      <c r="V44" s="31"/>
    </row>
    <row r="45" spans="2:22" s="24" customFormat="1" ht="13.8" x14ac:dyDescent="0.3">
      <c r="B45" s="29">
        <v>34</v>
      </c>
      <c r="C45" s="14" t="s">
        <v>159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0</v>
      </c>
      <c r="L45" s="52"/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52"/>
      <c r="V45" s="31"/>
    </row>
    <row r="46" spans="2:22" s="24" customFormat="1" ht="13.8" x14ac:dyDescent="0.3">
      <c r="B46" s="61"/>
      <c r="C46" s="62"/>
      <c r="D46" s="63"/>
      <c r="K46" s="63"/>
      <c r="L46" s="64"/>
      <c r="M46" s="65" t="b">
        <v>1</v>
      </c>
      <c r="N46" s="65" t="b">
        <v>1</v>
      </c>
      <c r="O46" s="65" t="b">
        <v>1</v>
      </c>
      <c r="P46" s="65" t="b">
        <v>1</v>
      </c>
      <c r="Q46" s="65" t="b">
        <v>1</v>
      </c>
      <c r="R46" s="65" t="b">
        <v>1</v>
      </c>
      <c r="S46" s="65" t="b">
        <v>1</v>
      </c>
      <c r="T46" s="65"/>
      <c r="U46" s="64"/>
      <c r="V46" s="31"/>
    </row>
    <row r="47" spans="2:22" s="24" customFormat="1" ht="13.8" x14ac:dyDescent="0.3">
      <c r="B47" s="66" t="s">
        <v>176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>
        <v>69279201</v>
      </c>
      <c r="N47" s="67">
        <v>141546525</v>
      </c>
      <c r="O47" s="67">
        <v>92933413</v>
      </c>
      <c r="P47" s="67">
        <v>72303518</v>
      </c>
      <c r="Q47" s="67">
        <v>33874662</v>
      </c>
      <c r="R47" s="67">
        <v>32149816</v>
      </c>
      <c r="S47" s="67">
        <v>601401</v>
      </c>
      <c r="T47" s="65"/>
      <c r="U47" s="64"/>
      <c r="V47" s="31"/>
    </row>
    <row r="48" spans="2:22" s="24" customFormat="1" ht="13.8" x14ac:dyDescent="0.3">
      <c r="B48" s="68"/>
      <c r="C48" s="62"/>
      <c r="D48" s="63"/>
      <c r="E48" s="108" t="s">
        <v>177</v>
      </c>
      <c r="F48" s="108"/>
      <c r="G48" s="108"/>
      <c r="H48" s="108"/>
      <c r="I48" s="108"/>
      <c r="J48" s="108"/>
      <c r="K48" s="63"/>
      <c r="L48" s="63"/>
      <c r="M48" s="108" t="s">
        <v>177</v>
      </c>
      <c r="N48" s="108"/>
      <c r="O48" s="108"/>
      <c r="P48" s="108"/>
      <c r="Q48" s="108"/>
      <c r="R48" s="108"/>
      <c r="S48" s="108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124</v>
      </c>
      <c r="F49" s="69" t="s">
        <v>123</v>
      </c>
      <c r="G49" s="69" t="s">
        <v>122</v>
      </c>
      <c r="H49" s="69" t="s">
        <v>121</v>
      </c>
      <c r="I49" s="69" t="s">
        <v>120</v>
      </c>
      <c r="J49" s="69" t="s">
        <v>119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.8" x14ac:dyDescent="0.3">
      <c r="B50" s="29">
        <v>35</v>
      </c>
      <c r="C50" s="62"/>
      <c r="D50" s="63" t="s">
        <v>178</v>
      </c>
      <c r="E50" s="53">
        <v>238707206</v>
      </c>
      <c r="F50" s="53">
        <v>396559736</v>
      </c>
      <c r="G50" s="53">
        <v>51633670</v>
      </c>
      <c r="H50" s="53">
        <v>1776962</v>
      </c>
      <c r="I50" s="53">
        <v>0</v>
      </c>
      <c r="J50" s="53">
        <v>1282013</v>
      </c>
      <c r="K50" s="63"/>
      <c r="L50" s="63" t="s">
        <v>178</v>
      </c>
      <c r="M50" s="53">
        <v>25848057</v>
      </c>
      <c r="N50" s="53">
        <v>38059135</v>
      </c>
      <c r="O50" s="53">
        <v>12850303</v>
      </c>
      <c r="P50" s="53">
        <v>12878889</v>
      </c>
      <c r="Q50" s="53">
        <v>4701966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.8" x14ac:dyDescent="0.3">
      <c r="B52" s="29">
        <v>36</v>
      </c>
      <c r="C52" s="62"/>
      <c r="D52" s="71" t="s">
        <v>124</v>
      </c>
      <c r="E52" s="53">
        <v>904809645</v>
      </c>
      <c r="F52" s="53">
        <v>38980300</v>
      </c>
      <c r="G52" s="53">
        <v>0</v>
      </c>
      <c r="H52" s="53">
        <v>0</v>
      </c>
      <c r="I52" s="53">
        <v>0</v>
      </c>
      <c r="J52" s="53">
        <v>0</v>
      </c>
      <c r="K52" s="63"/>
      <c r="L52" s="71" t="s">
        <v>27</v>
      </c>
      <c r="M52" s="53">
        <v>5519150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.8" x14ac:dyDescent="0.3">
      <c r="B53" s="29">
        <v>37</v>
      </c>
      <c r="C53" s="62"/>
      <c r="D53" s="71" t="s">
        <v>123</v>
      </c>
      <c r="E53" s="53">
        <v>21789261</v>
      </c>
      <c r="F53" s="53">
        <v>1025271197</v>
      </c>
      <c r="G53" s="53">
        <v>7304180</v>
      </c>
      <c r="H53" s="53">
        <v>0</v>
      </c>
      <c r="I53" s="53">
        <v>0</v>
      </c>
      <c r="J53" s="53">
        <v>0</v>
      </c>
      <c r="K53" s="63"/>
      <c r="L53" s="71" t="s">
        <v>28</v>
      </c>
      <c r="M53" s="53">
        <v>443819</v>
      </c>
      <c r="N53" s="53">
        <v>63416142</v>
      </c>
      <c r="O53" s="53">
        <v>34288235</v>
      </c>
      <c r="P53" s="53">
        <v>389259</v>
      </c>
      <c r="Q53" s="53">
        <v>617098</v>
      </c>
      <c r="R53" s="53">
        <v>344181</v>
      </c>
      <c r="S53" s="53">
        <v>0</v>
      </c>
      <c r="T53" s="65"/>
      <c r="U53" s="64"/>
      <c r="V53" s="31"/>
    </row>
    <row r="54" spans="2:22" s="24" customFormat="1" ht="13.8" x14ac:dyDescent="0.3">
      <c r="B54" s="29">
        <v>38</v>
      </c>
      <c r="C54" s="62"/>
      <c r="D54" s="71" t="s">
        <v>122</v>
      </c>
      <c r="E54" s="53">
        <v>2629435</v>
      </c>
      <c r="F54" s="53">
        <v>3981851</v>
      </c>
      <c r="G54" s="53">
        <v>121928457</v>
      </c>
      <c r="H54" s="53">
        <v>123653</v>
      </c>
      <c r="I54" s="53">
        <v>0</v>
      </c>
      <c r="J54" s="53">
        <v>0</v>
      </c>
      <c r="K54" s="63"/>
      <c r="L54" s="71" t="s">
        <v>34</v>
      </c>
      <c r="M54" s="53">
        <v>30449861</v>
      </c>
      <c r="N54" s="53">
        <v>35185237</v>
      </c>
      <c r="O54" s="53">
        <v>40281421</v>
      </c>
      <c r="P54" s="53">
        <v>3524889</v>
      </c>
      <c r="Q54" s="53">
        <v>3068557</v>
      </c>
      <c r="R54" s="53">
        <v>7754391</v>
      </c>
      <c r="S54" s="53">
        <v>0</v>
      </c>
      <c r="T54" s="65"/>
      <c r="U54" s="64"/>
      <c r="V54" s="31"/>
    </row>
    <row r="55" spans="2:22" s="24" customFormat="1" ht="13.8" x14ac:dyDescent="0.3">
      <c r="B55" s="29">
        <v>39</v>
      </c>
      <c r="C55" s="62"/>
      <c r="D55" s="71" t="s">
        <v>121</v>
      </c>
      <c r="E55" s="53">
        <v>0</v>
      </c>
      <c r="F55" s="53">
        <v>7980</v>
      </c>
      <c r="G55" s="53">
        <v>226708</v>
      </c>
      <c r="H55" s="53">
        <v>4585458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1327911</v>
      </c>
      <c r="O55" s="53">
        <v>510017</v>
      </c>
      <c r="P55" s="53">
        <v>53488723</v>
      </c>
      <c r="Q55" s="53">
        <v>318298</v>
      </c>
      <c r="R55" s="53">
        <v>1158340</v>
      </c>
      <c r="S55" s="53">
        <v>0</v>
      </c>
      <c r="T55" s="65"/>
      <c r="U55" s="64"/>
      <c r="V55" s="31"/>
    </row>
    <row r="56" spans="2:22" s="24" customFormat="1" ht="13.8" x14ac:dyDescent="0.3">
      <c r="B56" s="29">
        <v>40</v>
      </c>
      <c r="C56" s="62"/>
      <c r="D56" s="71" t="s">
        <v>120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342001</v>
      </c>
      <c r="N56" s="53">
        <v>0</v>
      </c>
      <c r="O56" s="53">
        <v>1628228</v>
      </c>
      <c r="P56" s="53">
        <v>1431701</v>
      </c>
      <c r="Q56" s="53">
        <v>25104694</v>
      </c>
      <c r="R56" s="53">
        <v>1419506</v>
      </c>
      <c r="S56" s="53">
        <v>0</v>
      </c>
      <c r="T56" s="65"/>
      <c r="U56" s="64"/>
      <c r="V56" s="31"/>
    </row>
    <row r="57" spans="2:22" s="24" customFormat="1" ht="13.8" x14ac:dyDescent="0.3">
      <c r="B57" s="29">
        <v>41</v>
      </c>
      <c r="C57" s="62"/>
      <c r="D57" s="71" t="s">
        <v>119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45956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10475372</v>
      </c>
      <c r="S57" s="53">
        <v>0</v>
      </c>
      <c r="T57" s="65"/>
      <c r="U57" s="64"/>
      <c r="V57" s="31"/>
    </row>
    <row r="58" spans="2:22" s="24" customFormat="1" x14ac:dyDescent="0.3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x14ac:dyDescent="0.3">
      <c r="M59" s="59" t="b">
        <v>1</v>
      </c>
      <c r="N59" s="59" t="b">
        <v>1</v>
      </c>
      <c r="O59" s="59" t="b">
        <v>1</v>
      </c>
      <c r="P59" s="59" t="b">
        <v>1</v>
      </c>
      <c r="Q59" s="59" t="b">
        <v>1</v>
      </c>
      <c r="R59" s="59" t="b">
        <v>1</v>
      </c>
      <c r="S59" s="59" t="b">
        <v>1</v>
      </c>
    </row>
    <row r="60" spans="2:22" s="24" customFormat="1" ht="13.8" x14ac:dyDescent="0.3">
      <c r="B60" s="66" t="s">
        <v>179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>
        <v>1592273816</v>
      </c>
      <c r="N60" s="67">
        <v>1621131392</v>
      </c>
      <c r="O60" s="67">
        <v>3191050945</v>
      </c>
      <c r="P60" s="67">
        <v>3195640451</v>
      </c>
      <c r="Q60" s="67">
        <v>1783368552</v>
      </c>
      <c r="R60" s="67">
        <v>780725184</v>
      </c>
      <c r="S60" s="67">
        <v>2266361</v>
      </c>
      <c r="T60" s="65"/>
      <c r="U60" s="64"/>
      <c r="V60" s="31"/>
    </row>
    <row r="61" spans="2:22" s="24" customFormat="1" ht="13.8" x14ac:dyDescent="0.3">
      <c r="B61" s="68"/>
      <c r="C61" s="62"/>
      <c r="D61" s="63"/>
      <c r="E61" s="108" t="s">
        <v>177</v>
      </c>
      <c r="F61" s="108"/>
      <c r="G61" s="108"/>
      <c r="H61" s="108"/>
      <c r="I61" s="108"/>
      <c r="J61" s="108"/>
      <c r="K61" s="63"/>
      <c r="L61" s="63"/>
      <c r="M61" s="108" t="s">
        <v>177</v>
      </c>
      <c r="N61" s="108"/>
      <c r="O61" s="108"/>
      <c r="P61" s="108"/>
      <c r="Q61" s="108"/>
      <c r="R61" s="108"/>
      <c r="S61" s="108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124</v>
      </c>
      <c r="F62" s="69" t="s">
        <v>123</v>
      </c>
      <c r="G62" s="69" t="s">
        <v>122</v>
      </c>
      <c r="H62" s="69" t="s">
        <v>121</v>
      </c>
      <c r="I62" s="69" t="s">
        <v>120</v>
      </c>
      <c r="J62" s="69" t="s">
        <v>119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178</v>
      </c>
      <c r="E63" s="53">
        <v>2105640542</v>
      </c>
      <c r="F63" s="53">
        <v>1603404085</v>
      </c>
      <c r="G63" s="53">
        <v>452717750</v>
      </c>
      <c r="H63" s="53">
        <v>50028239</v>
      </c>
      <c r="I63" s="53">
        <v>535662</v>
      </c>
      <c r="J63" s="53">
        <v>0</v>
      </c>
      <c r="K63" s="63"/>
      <c r="L63" s="63" t="s">
        <v>178</v>
      </c>
      <c r="M63" s="53">
        <v>421740750</v>
      </c>
      <c r="N63" s="53">
        <v>320821203</v>
      </c>
      <c r="O63" s="53">
        <v>794905295</v>
      </c>
      <c r="P63" s="53">
        <v>804557918</v>
      </c>
      <c r="Q63" s="53">
        <v>444036061</v>
      </c>
      <c r="R63" s="53">
        <v>187622320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.8" x14ac:dyDescent="0.3">
      <c r="B65" s="29">
        <v>44</v>
      </c>
      <c r="C65" s="62"/>
      <c r="D65" s="71" t="s">
        <v>124</v>
      </c>
      <c r="E65" s="53">
        <v>10189305987</v>
      </c>
      <c r="F65" s="53">
        <v>227503893</v>
      </c>
      <c r="G65" s="53">
        <v>43796763</v>
      </c>
      <c r="H65" s="53">
        <v>2651281</v>
      </c>
      <c r="I65" s="53">
        <v>0</v>
      </c>
      <c r="J65" s="53">
        <v>0</v>
      </c>
      <c r="K65" s="63"/>
      <c r="L65" s="71" t="s">
        <v>27</v>
      </c>
      <c r="M65" s="53">
        <v>888000250</v>
      </c>
      <c r="N65" s="53">
        <v>28709021</v>
      </c>
      <c r="O65" s="53">
        <v>17890871</v>
      </c>
      <c r="P65" s="53">
        <v>19259026</v>
      </c>
      <c r="Q65" s="53">
        <v>11443352</v>
      </c>
      <c r="R65" s="53">
        <v>9848854</v>
      </c>
      <c r="S65" s="53">
        <v>0</v>
      </c>
      <c r="T65" s="65"/>
      <c r="U65" s="64"/>
      <c r="V65" s="31"/>
    </row>
    <row r="66" spans="2:22" s="24" customFormat="1" ht="13.8" x14ac:dyDescent="0.3">
      <c r="B66" s="29">
        <v>45</v>
      </c>
      <c r="C66" s="62"/>
      <c r="D66" s="71" t="s">
        <v>123</v>
      </c>
      <c r="E66" s="53">
        <v>153945358</v>
      </c>
      <c r="F66" s="53">
        <v>6496581720</v>
      </c>
      <c r="G66" s="53">
        <v>188764993</v>
      </c>
      <c r="H66" s="53">
        <v>2902869</v>
      </c>
      <c r="I66" s="53">
        <v>0</v>
      </c>
      <c r="J66" s="53">
        <v>0</v>
      </c>
      <c r="K66" s="63"/>
      <c r="L66" s="71" t="s">
        <v>28</v>
      </c>
      <c r="M66" s="53">
        <v>56260681</v>
      </c>
      <c r="N66" s="53">
        <v>1004837952</v>
      </c>
      <c r="O66" s="53">
        <v>68869928</v>
      </c>
      <c r="P66" s="53">
        <v>55661009</v>
      </c>
      <c r="Q66" s="53">
        <v>28955522</v>
      </c>
      <c r="R66" s="53">
        <v>18807335</v>
      </c>
      <c r="S66" s="53">
        <v>0</v>
      </c>
      <c r="T66" s="65"/>
      <c r="U66" s="64"/>
      <c r="V66" s="31"/>
    </row>
    <row r="67" spans="2:22" s="24" customFormat="1" ht="13.8" x14ac:dyDescent="0.3">
      <c r="B67" s="29">
        <v>46</v>
      </c>
      <c r="C67" s="62"/>
      <c r="D67" s="71" t="s">
        <v>122</v>
      </c>
      <c r="E67" s="53">
        <v>44567411</v>
      </c>
      <c r="F67" s="53">
        <v>45742566</v>
      </c>
      <c r="G67" s="53">
        <v>1452452491</v>
      </c>
      <c r="H67" s="53">
        <v>7486192</v>
      </c>
      <c r="I67" s="53">
        <v>0</v>
      </c>
      <c r="J67" s="53">
        <v>0</v>
      </c>
      <c r="K67" s="63"/>
      <c r="L67" s="71" t="s">
        <v>34</v>
      </c>
      <c r="M67" s="53">
        <v>102154594</v>
      </c>
      <c r="N67" s="53">
        <v>123559815</v>
      </c>
      <c r="O67" s="53">
        <v>2048051617</v>
      </c>
      <c r="P67" s="53">
        <v>204344305</v>
      </c>
      <c r="Q67" s="53">
        <v>82873797</v>
      </c>
      <c r="R67" s="53">
        <v>40899724</v>
      </c>
      <c r="S67" s="53">
        <v>588576</v>
      </c>
      <c r="T67" s="65"/>
      <c r="U67" s="64"/>
      <c r="V67" s="31"/>
    </row>
    <row r="68" spans="2:22" s="24" customFormat="1" ht="13.8" x14ac:dyDescent="0.3">
      <c r="B68" s="29">
        <v>47</v>
      </c>
      <c r="C68" s="62"/>
      <c r="D68" s="71" t="s">
        <v>121</v>
      </c>
      <c r="E68" s="53">
        <v>2552973</v>
      </c>
      <c r="F68" s="53">
        <v>1752347</v>
      </c>
      <c r="G68" s="53">
        <v>3049318</v>
      </c>
      <c r="H68" s="53">
        <v>115377369</v>
      </c>
      <c r="I68" s="53">
        <v>0</v>
      </c>
      <c r="J68" s="53">
        <v>0</v>
      </c>
      <c r="K68" s="63"/>
      <c r="L68" s="71" t="s">
        <v>40</v>
      </c>
      <c r="M68" s="53">
        <v>69385902</v>
      </c>
      <c r="N68" s="53">
        <v>82957988</v>
      </c>
      <c r="O68" s="53">
        <v>169329553</v>
      </c>
      <c r="P68" s="53">
        <v>1985006938</v>
      </c>
      <c r="Q68" s="53">
        <v>87967369</v>
      </c>
      <c r="R68" s="53">
        <v>48952111</v>
      </c>
      <c r="S68" s="53">
        <v>230427</v>
      </c>
      <c r="T68" s="65"/>
      <c r="U68" s="64"/>
      <c r="V68" s="31"/>
    </row>
    <row r="69" spans="2:22" s="24" customFormat="1" ht="13.8" x14ac:dyDescent="0.3">
      <c r="B69" s="29">
        <v>48</v>
      </c>
      <c r="C69" s="62"/>
      <c r="D69" s="71" t="s">
        <v>120</v>
      </c>
      <c r="E69" s="53">
        <v>0</v>
      </c>
      <c r="F69" s="53">
        <v>0</v>
      </c>
      <c r="G69" s="53">
        <v>0</v>
      </c>
      <c r="H69" s="53">
        <v>70162</v>
      </c>
      <c r="I69" s="53">
        <v>575147</v>
      </c>
      <c r="J69" s="53">
        <v>0</v>
      </c>
      <c r="K69" s="63"/>
      <c r="L69" s="71" t="s">
        <v>41</v>
      </c>
      <c r="M69" s="53">
        <v>32576156</v>
      </c>
      <c r="N69" s="53">
        <v>31975916</v>
      </c>
      <c r="O69" s="53">
        <v>62745752</v>
      </c>
      <c r="P69" s="53">
        <v>88087159</v>
      </c>
      <c r="Q69" s="53">
        <v>1094956296</v>
      </c>
      <c r="R69" s="53">
        <v>27055258</v>
      </c>
      <c r="S69" s="53">
        <v>138567</v>
      </c>
      <c r="T69" s="65"/>
      <c r="U69" s="64"/>
      <c r="V69" s="31"/>
    </row>
    <row r="70" spans="2:22" s="24" customFormat="1" ht="13.8" x14ac:dyDescent="0.3">
      <c r="B70" s="29">
        <v>49</v>
      </c>
      <c r="C70" s="62"/>
      <c r="D70" s="71" t="s">
        <v>119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21122577</v>
      </c>
      <c r="N70" s="53">
        <v>26416811</v>
      </c>
      <c r="O70" s="53">
        <v>26635139</v>
      </c>
      <c r="P70" s="53">
        <v>35027306</v>
      </c>
      <c r="Q70" s="53">
        <v>31217668</v>
      </c>
      <c r="R70" s="53">
        <v>446997014</v>
      </c>
      <c r="S70" s="53">
        <v>266561</v>
      </c>
      <c r="T70" s="65"/>
      <c r="U70" s="64"/>
      <c r="V70" s="31"/>
    </row>
    <row r="71" spans="2:22" s="24" customFormat="1" x14ac:dyDescent="0.3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1032906</v>
      </c>
      <c r="N71" s="53">
        <v>1852686</v>
      </c>
      <c r="O71" s="53">
        <v>2622790</v>
      </c>
      <c r="P71" s="53">
        <v>3696790</v>
      </c>
      <c r="Q71" s="53">
        <v>1918487</v>
      </c>
      <c r="R71" s="53">
        <v>542568</v>
      </c>
      <c r="S71" s="53">
        <v>950929</v>
      </c>
      <c r="T71" s="65"/>
      <c r="U71" s="64"/>
      <c r="V71" s="31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BC3ED-D1D2-47E8-971D-3E26A6972987}">
  <ds:schemaRefs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72bdb13-c576-4166-8827-65186753b8b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2C0C1D0-CA3A-48C9-A699-E5A660DC3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A2C134-103D-4F14-AA99-2F45CDDA2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Comparativos granulares</vt:lpstr>
      <vt:lpstr>Variação </vt:lpstr>
      <vt:lpstr>Input &gt;&gt;</vt:lpstr>
      <vt:lpstr>Paralelo</vt:lpstr>
      <vt:lpstr>Dez24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Ricardo Galhardo Almeida Costa</dc:creator>
  <cp:lastModifiedBy>Diogo Alexandre Escaleira</cp:lastModifiedBy>
  <dcterms:created xsi:type="dcterms:W3CDTF">2025-04-15T13:56:44Z</dcterms:created>
  <dcterms:modified xsi:type="dcterms:W3CDTF">2025-05-19T22:37:07Z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2025-04-15T19:31:58Z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aa578d60-4a3a-4615-b121-704c51286bf9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