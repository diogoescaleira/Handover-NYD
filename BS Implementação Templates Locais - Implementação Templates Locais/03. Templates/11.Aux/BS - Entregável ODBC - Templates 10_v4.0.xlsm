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11.Aux/"/>
    </mc:Choice>
  </mc:AlternateContent>
  <xr:revisionPtr revIDLastSave="2494" documentId="13_ncr:1_{CD14A276-76CF-4651-85A0-8394FE79180C}" xr6:coauthVersionLast="47" xr6:coauthVersionMax="47" xr10:uidLastSave="{AA0BEF57-8272-4D84-9011-731FACA9716B}"/>
  <bookViews>
    <workbookView xWindow="-108" yWindow="-108" windowWidth="23256" windowHeight="12456" activeTab="1" xr2:uid="{00000000-000D-0000-FFFF-FFFF00000000}"/>
  </bookViews>
  <sheets>
    <sheet name="Instruções" sheetId="33" r:id="rId1"/>
    <sheet name="Menu" sheetId="29" r:id="rId2"/>
    <sheet name="Input" sheetId="27" r:id="rId3"/>
    <sheet name="10.Other mitigating actions" sheetId="51" r:id="rId4"/>
  </sheets>
  <externalReferences>
    <externalReference r:id="rId5"/>
  </externalReferences>
  <definedNames>
    <definedName name="\a">#REF!</definedName>
    <definedName name="\b">#REF!</definedName>
    <definedName name="\c">#REF!</definedName>
    <definedName name="\d">#REF!</definedName>
    <definedName name="\e">#REF!</definedName>
    <definedName name="\m">#REF!</definedName>
    <definedName name="\p">#REF!</definedName>
    <definedName name="\q">#REF!</definedName>
    <definedName name="\s">#REF!</definedName>
    <definedName name="\v">#REF!</definedName>
    <definedName name="___GRUPO_ENVIO">#REF!</definedName>
    <definedName name="___INDEX_SHEET___ASAP_Utilities">#REF!</definedName>
    <definedName name="___PERIODO">#REF!</definedName>
    <definedName name="___td2">#REF!</definedName>
    <definedName name="___td3">#REF!</definedName>
    <definedName name="___td4">#REF!</definedName>
    <definedName name="___ti1">#REF!</definedName>
    <definedName name="___ti2">#REF!</definedName>
    <definedName name="___ti3">#REF!</definedName>
    <definedName name="___ti4">#REF!</definedName>
    <definedName name="___tp1">#REF!</definedName>
    <definedName name="___tp2">#REF!</definedName>
    <definedName name="___tp3">#REF!</definedName>
    <definedName name="___tp4">#REF!</definedName>
    <definedName name="__123Graph_A" hidden="1">#REF!</definedName>
    <definedName name="__123Graph_B" hidden="1">#REF!</definedName>
    <definedName name="__123Graph_X" hidden="1">#REF!</definedName>
    <definedName name="__td1">#REF!</definedName>
    <definedName name="__td2">#REF!</definedName>
    <definedName name="__td3">#REF!</definedName>
    <definedName name="__td4">#REF!</definedName>
    <definedName name="__ti1">#REF!</definedName>
    <definedName name="__ti2">#REF!</definedName>
    <definedName name="__ti3">#REF!</definedName>
    <definedName name="__ti4">#REF!</definedName>
    <definedName name="__tp1">#REF!</definedName>
    <definedName name="__tp2">#REF!</definedName>
    <definedName name="__tp3">#REF!</definedName>
    <definedName name="__tp4">#REF!</definedName>
    <definedName name="_1">#REF!</definedName>
    <definedName name="_1_.1205_A_Automaticos">#REF!</definedName>
    <definedName name="_12" hidden="1">#REF!</definedName>
    <definedName name="_1detmar97acu">#REF!</definedName>
    <definedName name="_2" hidden="1">#REF!</definedName>
    <definedName name="_2_.1205_A_Manual">#REF!</definedName>
    <definedName name="_2detmar97acu">#REF!</definedName>
    <definedName name="_3" hidden="1">#REF!</definedName>
    <definedName name="_3_.1205_S">#REF!</definedName>
    <definedName name="_4" hidden="1">#REF!</definedName>
    <definedName name="_56101501880000">#REF!</definedName>
    <definedName name="_5detmar97acu">#REF!</definedName>
    <definedName name="_80" hidden="1">#REF!</definedName>
    <definedName name="_AMO_UniqueIdentifier" hidden="1">"'9c8ca13c-fcb6-4d5e-90fc-e89d2944ee4d'"</definedName>
    <definedName name="_col010_iNdEx_4">#REF!</definedName>
    <definedName name="_col020_iNdEx_5">#REF!</definedName>
    <definedName name="_col030_iNdEx_6">#REF!</definedName>
    <definedName name="_col040_iNdEx_7">#REF!</definedName>
    <definedName name="_col050_iNdEx_8">#REF!</definedName>
    <definedName name="_col060_iNdEx_9">#REF!</definedName>
    <definedName name="_col070_iNdEx_10">#REF!</definedName>
    <definedName name="_col080_iNdEx_11">#REF!</definedName>
    <definedName name="_col090_iNdEx_12">#REF!</definedName>
    <definedName name="_col100_iNdEx_13">#REF!</definedName>
    <definedName name="_col110_iNdEx_14">#REF!</definedName>
    <definedName name="_col120_iNdEx_15">#REF!</definedName>
    <definedName name="_col130_iNdEx_16">#REF!</definedName>
    <definedName name="_col140_iNdEx_17">#REF!</definedName>
    <definedName name="_col150_iNdEx_18">#REF!</definedName>
    <definedName name="_col160_iNdEx_19">#REF!</definedName>
    <definedName name="_col170_iNdEx_20">#REF!</definedName>
    <definedName name="_col180_iNdEx_21">#REF!</definedName>
    <definedName name="_col190_iNdEx_22">#REF!</definedName>
    <definedName name="_col200_iNdEx_23">#REF!</definedName>
    <definedName name="_col210_iNdEx_24">#REF!</definedName>
    <definedName name="_dim1">#REF!</definedName>
    <definedName name="_dim4">#REF!</definedName>
    <definedName name="_emptyrow1_iNdEx_22">#REF!</definedName>
    <definedName name="_emptyrow1_iNdEx_25">#REF!</definedName>
    <definedName name="_F">#REF!</definedName>
    <definedName name="_F18__00__010_iNdEx_33">#REF!</definedName>
    <definedName name="_F18__00__020_iNdEx_34">#REF!</definedName>
    <definedName name="_F18__00__030_iNdEx_35">#REF!</definedName>
    <definedName name="_F18__00__040_iNdEx_36">#REF!</definedName>
    <definedName name="_F18__00__050_iNdEx_37">#REF!</definedName>
    <definedName name="_F18__00__060_iNdEx_38">#REF!</definedName>
    <definedName name="_F18__00__070_iNdEx_39">#REF!</definedName>
    <definedName name="_F18__00__080_iNdEx_40">#REF!</definedName>
    <definedName name="_F18__00__090_iNdEx_41">#REF!</definedName>
    <definedName name="_F18__00__100_iNdEx_42">#REF!</definedName>
    <definedName name="_F18__00__110_iNdEx_43">#REF!</definedName>
    <definedName name="_F18__00__120_iNdEx_44">#REF!</definedName>
    <definedName name="_F18__00__130_iNdEx_45">#REF!</definedName>
    <definedName name="_F18__00__140_iNdEx_46">#REF!</definedName>
    <definedName name="_F18__00__150_iNdEx_47">#REF!</definedName>
    <definedName name="_F18__00__160_iNdEx_48">#REF!</definedName>
    <definedName name="_F18__00__170_iNdEx_49">#REF!</definedName>
    <definedName name="_F18__00__180_iNdEx_50">#REF!</definedName>
    <definedName name="_F18__00__190_iNdEx_51">#REF!</definedName>
    <definedName name="_F18__00__200_iNdEx_52">#REF!</definedName>
    <definedName name="_F18__00__210_iNdEx_53">#REF!</definedName>
    <definedName name="_F18__00__220_iNdEx_54">#REF!</definedName>
    <definedName name="_F18__00__230_iNdEx_55">#REF!</definedName>
    <definedName name="_F18__00__240_iNdEx_56">#REF!</definedName>
    <definedName name="_F18__00__250_iNdEx_57">#REF!</definedName>
    <definedName name="_F18__00__260_iNdEx_58">#REF!</definedName>
    <definedName name="_F18__00__270_iNdEx_59">#REF!</definedName>
    <definedName name="_F18__00__280_iNdEx_60">#REF!</definedName>
    <definedName name="_F18__00__290_iNdEx_61">#REF!</definedName>
    <definedName name="_F18__00__300_iNdEx_62">#REF!</definedName>
    <definedName name="_F18__00__310_iNdEx_63">#REF!</definedName>
    <definedName name="_F18__00__320_iNdEx_64">#REF!</definedName>
    <definedName name="_F18__00__330_iNdEx_65">#REF!</definedName>
    <definedName name="_F18__00__340_iNdEx_66">#REF!</definedName>
    <definedName name="_F18__00__350_iNdEx_67">#REF!</definedName>
    <definedName name="_F18__00__360_iNdEx_68">#REF!</definedName>
    <definedName name="_F18__00__370_iNdEx_69">#REF!</definedName>
    <definedName name="_F18__00__380_iNdEx_70">#REF!</definedName>
    <definedName name="_F18__00__390_iNdEx_71">#REF!</definedName>
    <definedName name="_F18__00__400_iNdEx_72">#REF!</definedName>
    <definedName name="_F18__00__410_iNdEx_73">#REF!</definedName>
    <definedName name="_F18__00__420_iNdEx_74">#REF!</definedName>
    <definedName name="_F18__00__430_iNdEx_75">#REF!</definedName>
    <definedName name="_F18__00__440_iNdEx_76">#REF!</definedName>
    <definedName name="_F18__00__450_iNdEx_77">#REF!</definedName>
    <definedName name="_F18__00__460_iNdEx_78">#REF!</definedName>
    <definedName name="_F18__00__470_iNdEx_79">#REF!</definedName>
    <definedName name="_F18__00__480_iNdEx_80">#REF!</definedName>
    <definedName name="_F18__00__490_iNdEx_81">#REF!</definedName>
    <definedName name="_F18__00__500_iNdEx_82">#REF!</definedName>
    <definedName name="_F18__00__510_iNdEx_83">#REF!</definedName>
    <definedName name="_F18__00__520_iNdEx_84">#REF!</definedName>
    <definedName name="_F18__00__530_iNdEx_85">#REF!</definedName>
    <definedName name="_F18__00__540_iNdEx_86">#REF!</definedName>
    <definedName name="_F18__00__550_iNdEx_87">#REF!</definedName>
    <definedName name="_F19__00__010_iNdEx_31">#REF!</definedName>
    <definedName name="_F19__00__020_iNdEx_32">#REF!</definedName>
    <definedName name="_F19__00__030_iNdEx_33">#REF!</definedName>
    <definedName name="_F19__00__040_iNdEx_34">#REF!</definedName>
    <definedName name="_F19__00__050_iNdEx_35">#REF!</definedName>
    <definedName name="_F19__00__060_iNdEx_36">#REF!</definedName>
    <definedName name="_F19__00__070_iNdEx_37">#REF!</definedName>
    <definedName name="_F19__00__080_iNdEx_38">#REF!</definedName>
    <definedName name="_F19__00__090_iNdEx_39">#REF!</definedName>
    <definedName name="_F19__00__100_iNdEx_40">#REF!</definedName>
    <definedName name="_F19__00__110_iNdEx_41">#REF!</definedName>
    <definedName name="_F19__00__120_iNdEx_42">#REF!</definedName>
    <definedName name="_F19__00__130_iNdEx_43">#REF!</definedName>
    <definedName name="_F19__00__140_iNdEx_44">#REF!</definedName>
    <definedName name="_F19__00__150_iNdEx_45">#REF!</definedName>
    <definedName name="_F19__00__160_iNdEx_46">#REF!</definedName>
    <definedName name="_F19__00__170_iNdEx_47">#REF!</definedName>
    <definedName name="_F19__00__180_iNdEx_48">#REF!</definedName>
    <definedName name="_F19__00__190_iNdEx_49">#REF!</definedName>
    <definedName name="_F19__00__200_iNdEx_50">#REF!</definedName>
    <definedName name="_F19__00__210_iNdEx_51">#REF!</definedName>
    <definedName name="_F19__00__220_iNdEx_52">#REF!</definedName>
    <definedName name="_F19__00__230_iNdEx_53">#REF!</definedName>
    <definedName name="_F19__00__240_iNdEx_54">#REF!</definedName>
    <definedName name="_F19__00__250_iNdEx_55">#REF!</definedName>
    <definedName name="_F19__00__260_iNdEx_56">#REF!</definedName>
    <definedName name="_F19__00__270_iNdEx_57">#REF!</definedName>
    <definedName name="_F19__00__280_iNdEx_58">#REF!</definedName>
    <definedName name="_F19__00__290_iNdEx_59">#REF!</definedName>
    <definedName name="_F19__00__300_iNdEx_60">#REF!</definedName>
    <definedName name="_F19__00__310_iNdEx_61">#REF!</definedName>
    <definedName name="_F19__00__320_iNdEx_62">#REF!</definedName>
    <definedName name="_F19__00__330_iNdEx_63">#REF!</definedName>
    <definedName name="_F19__00__340_iNdEx_64">#REF!</definedName>
    <definedName name="_xlnm._FilterDatabase" localSheetId="2" hidden="1">Input!#REF!</definedName>
    <definedName name="_ftnref1_50">#REF!</definedName>
    <definedName name="_ftnref1_50_10">#REF!</definedName>
    <definedName name="_ftnref1_50_15">#REF!</definedName>
    <definedName name="_ftnref1_50_18">#REF!</definedName>
    <definedName name="_ftnref1_50_19">#REF!</definedName>
    <definedName name="_ftnref1_50_20">#REF!</definedName>
    <definedName name="_ftnref1_50_21">#REF!</definedName>
    <definedName name="_ftnref1_50_23">#REF!</definedName>
    <definedName name="_ftnref1_50_24">#REF!</definedName>
    <definedName name="_ftnref1_50_27">#REF!</definedName>
    <definedName name="_ftnref1_50_28">#REF!</definedName>
    <definedName name="_ftnref1_50_4">#REF!</definedName>
    <definedName name="_ftnref1_50_5">#REF!</definedName>
    <definedName name="_ftnref1_50_9">#REF!</definedName>
    <definedName name="_ftnref1_51">#REF!</definedName>
    <definedName name="_ftnref1_51_10">#REF!</definedName>
    <definedName name="_ftnref1_51_15">#REF!</definedName>
    <definedName name="_ftnref1_51_18">#REF!</definedName>
    <definedName name="_ftnref1_51_19">#REF!</definedName>
    <definedName name="_ftnref1_51_20">#REF!</definedName>
    <definedName name="_ftnref1_51_21">#REF!</definedName>
    <definedName name="_ftnref1_51_23">#REF!</definedName>
    <definedName name="_ftnref1_51_24">#REF!</definedName>
    <definedName name="_ftnref1_51_4">#REF!</definedName>
    <definedName name="_ftnref1_51_5">#REF!</definedName>
    <definedName name="_ftref1_50">#REF!</definedName>
    <definedName name="_h">#REF!</definedName>
    <definedName name="_header1_Tlabel1_iNdEx_1">#REF!</definedName>
    <definedName name="_header2_iNdEx_23">#REF!</definedName>
    <definedName name="_header2_iNdEx_26">#REF!</definedName>
    <definedName name="_header3_iNdEx_24">#REF!</definedName>
    <definedName name="_header3_iNdEx_27">#REF!</definedName>
    <definedName name="_header4_iNdEx_25">#REF!</definedName>
    <definedName name="_header4_iNdEx_28">#REF!</definedName>
    <definedName name="_header5_iNdEx_26">#REF!</definedName>
    <definedName name="_header5_iNdEx_29">#REF!</definedName>
    <definedName name="_header6_iNdEx_27">#REF!</definedName>
    <definedName name="_header6_iNdEx_30">#REF!</definedName>
    <definedName name="_header7_iNdEx_28">#REF!</definedName>
    <definedName name="_header7_iNdEx_31">#REF!</definedName>
    <definedName name="_header8_iNdEx_29">#REF!</definedName>
    <definedName name="_header8_iNdEx_32">#REF!</definedName>
    <definedName name="_header9_iNdEx_30">#REF!</definedName>
    <definedName name="_Key1" hidden="1">#REF!</definedName>
    <definedName name="_label2_iNdEx_2">#REF!</definedName>
    <definedName name="_label3_iNdEx_3">#REF!</definedName>
    <definedName name="_Order1" hidden="1">255</definedName>
    <definedName name="_Sort" hidden="1">#REF!</definedName>
    <definedName name="_td1">#REF!</definedName>
    <definedName name="_td2">#REF!</definedName>
    <definedName name="_td3">#REF!</definedName>
    <definedName name="_td4">#REF!</definedName>
    <definedName name="_ti1">#REF!</definedName>
    <definedName name="_ti2">#REF!</definedName>
    <definedName name="_ti3">#REF!</definedName>
    <definedName name="_ti4">#REF!</definedName>
    <definedName name="_tp1">#REF!</definedName>
    <definedName name="_tp2">#REF!</definedName>
    <definedName name="_tp3">#REF!</definedName>
    <definedName name="_tp4">#REF!</definedName>
    <definedName name="_xleta.SUM" hidden="1" xlm="1">#NAME?</definedName>
    <definedName name="_xleta.SUMIFS" hidden="1" xlm="1">#NAME?</definedName>
    <definedName name="a" hidden="1">#REF!</definedName>
    <definedName name="a.1">#REF!</definedName>
    <definedName name="A_Automaticos__">#REF!</definedName>
    <definedName name="A_L_Entity">#REF!</definedName>
    <definedName name="A_Manual__">#REF!</definedName>
    <definedName name="aa">#REF!</definedName>
    <definedName name="ABRIL">#REF!</definedName>
    <definedName name="account">#REF!</definedName>
    <definedName name="AccountLine1">#REF!</definedName>
    <definedName name="accounts">#REF!</definedName>
    <definedName name="ACCUMULATE_NEGATIVE_CHANGES_IN_">#REF!</definedName>
    <definedName name="Accumulated_Impairment">#REF!</definedName>
    <definedName name="acdvr2">#REF!</definedName>
    <definedName name="ACPAL">#REF!</definedName>
    <definedName name="ACPAL_1">#REF!</definedName>
    <definedName name="ACPAL_1_valid">#REF!</definedName>
    <definedName name="ACPAL_2">#REF!</definedName>
    <definedName name="ACPAL_2_valid">#REF!</definedName>
    <definedName name="ACPAL_3">#REF!</definedName>
    <definedName name="ACPAL_3_valid">#REF!</definedName>
    <definedName name="ACPAL_result">#REF!</definedName>
    <definedName name="acsa">#REF!</definedName>
    <definedName name="ACTAD">#REF!</definedName>
    <definedName name="ActgIntByTypeSummary">#REF!</definedName>
    <definedName name="ActgLCRS">#REF!</definedName>
    <definedName name="ACTGLNINTERST">#REF!</definedName>
    <definedName name="ACTGLNSAGE">#REF!</definedName>
    <definedName name="ActgOvdAgeing">#REF!</definedName>
    <definedName name="ActgSpainRisk">#REF!</definedName>
    <definedName name="ACTIN">#REF!</definedName>
    <definedName name="ActLcrs">#REF!</definedName>
    <definedName name="ACTLCRSUM">#REF!</definedName>
    <definedName name="ACUM_CHANGE">#REF!</definedName>
    <definedName name="ACUMULADOS">#REF!</definedName>
    <definedName name="ad">#REF!</definedName>
    <definedName name="add" hidden="1">{"Savings",#N/A,FALSE,"AN Net Receipts"}</definedName>
    <definedName name="add_1" hidden="1">{"Savings",#N/A,FALSE,"AN Net Receipts"}</definedName>
    <definedName name="ajustes">#REF!</definedName>
    <definedName name="Ajustes_Valoracion">#REF!</definedName>
    <definedName name="ALCO_AÑO_CONTAB">#REF!</definedName>
    <definedName name="ALCO_AÑO_REPER">#REF!</definedName>
    <definedName name="ALCO_MES_CONTAB">#REF!</definedName>
    <definedName name="ALCO_MES_REPER">#REF!</definedName>
    <definedName name="ALCOCRED_AÑO_CONTAB">#REF!</definedName>
    <definedName name="ALCOCRED_AÑO_REPER">#REF!</definedName>
    <definedName name="ALCOCRED_MES_CONTAB">#REF!</definedName>
    <definedName name="ALCOCRED_MES_REPER">#REF!</definedName>
    <definedName name="ALCOTIT_AÑO_CONTAB">#REF!</definedName>
    <definedName name="ALCOTIT_AÑO_REPER">#REF!</definedName>
    <definedName name="ALCOTIT_MES_CONTAB">#REF!</definedName>
    <definedName name="ALCOTIT_MES_REPER">#REF!</definedName>
    <definedName name="ALCOTITGR_AÑO_CONTAB">#REF!</definedName>
    <definedName name="ALCOTITGR_AÑO_REPER">#REF!</definedName>
    <definedName name="ALCOTITGR_MES_CONTAB">#REF!</definedName>
    <definedName name="ALCOTITGR_MES_REPER">#REF!</definedName>
    <definedName name="ALLOW">#REF!</definedName>
    <definedName name="allow_antiguo">#REF!</definedName>
    <definedName name="Amortizacion_acumulada">#REF!</definedName>
    <definedName name="amount">#REF!</definedName>
    <definedName name="Amount_in_units_of_local_currency">"ACDVR"</definedName>
    <definedName name="amounts_in_loans">#REF!</definedName>
    <definedName name="Anal_Liq">#REF!</definedName>
    <definedName name="Anexo">#REF!</definedName>
    <definedName name="ANFee">#REF!</definedName>
    <definedName name="AÑOS">#REF!</definedName>
    <definedName name="anscount" hidden="1">1</definedName>
    <definedName name="ANSI_FINAL">#REF!</definedName>
    <definedName name="aPP">#REF!</definedName>
    <definedName name="area1">#REF!</definedName>
    <definedName name="area2">#REF!</definedName>
    <definedName name="area3">#REF!</definedName>
    <definedName name="AreaROE">#REF!</definedName>
    <definedName name="AS2DocOpenMode" hidden="1">"AS2DocumentEdit"</definedName>
    <definedName name="AS2ReportLS" hidden="1">1</definedName>
    <definedName name="AS2SyncStepLS" hidden="1">0</definedName>
    <definedName name="AS2TickmarkLS" hidden="1">#REF!</definedName>
    <definedName name="AS2VersionLS" hidden="1">300</definedName>
    <definedName name="asc">#REF!</definedName>
    <definedName name="asf">#REF!</definedName>
    <definedName name="avfd">#REF!</definedName>
    <definedName name="AVOMA">#REF!</definedName>
    <definedName name="b" hidden="1">#REF!</definedName>
    <definedName name="ba">#REF!</definedName>
    <definedName name="Bal_local">#REF!</definedName>
    <definedName name="Bal_usdext">#REF!</definedName>
    <definedName name="Bal_usdint">#REF!</definedName>
    <definedName name="Balance">#REF!</definedName>
    <definedName name="BALANCE_RESULTADO">#REF!</definedName>
    <definedName name="BANKS">#REF!</definedName>
    <definedName name="BASE">#REF!</definedName>
    <definedName name="Baz" hidden="1">{"savings2",#N/A,FALSE,"AN Net Receipts"}</definedName>
    <definedName name="Baz_1" hidden="1">{"savings2",#N/A,FALSE,"AN Net Receipts"}</definedName>
    <definedName name="Bazz" hidden="1">{"savings2",#N/A,FALSE,"AN Net Receipts"}</definedName>
    <definedName name="Bazz_1" hidden="1">{"savings2",#N/A,FALSE,"AN Net Receipts"}</definedName>
    <definedName name="bb">#REF!</definedName>
    <definedName name="BG_Del" hidden="1">15</definedName>
    <definedName name="BG_Ins" hidden="1">4</definedName>
    <definedName name="BG_Mod" hidden="1">6</definedName>
    <definedName name="BM" localSheetId="0">#REF!</definedName>
    <definedName name="BM">#REF!</definedName>
    <definedName name="BMEXT">#REF!</definedName>
    <definedName name="BOUGHT_SOLD">#REF!</definedName>
    <definedName name="BSActual">#REF!</definedName>
    <definedName name="BSAnterior">#REF!</definedName>
    <definedName name="BSMensual">#REF!</definedName>
    <definedName name="busca">#REF!</definedName>
    <definedName name="CABECERA">#REF!</definedName>
    <definedName name="CAIL_FINAL">#REF!</definedName>
    <definedName name="CAIL_FINAL1">#REF!</definedName>
    <definedName name="cam">#REF!</definedName>
    <definedName name="camb">#REF!</definedName>
    <definedName name="CAMBIO_AÑO_CONTAB">#REF!</definedName>
    <definedName name="CAMBIO_AÑO_REPER">#REF!</definedName>
    <definedName name="CAMBIO_MES_CONTAB">#REF!</definedName>
    <definedName name="CAMBIO_MES_REPER">#REF!</definedName>
    <definedName name="cambios">#REF!</definedName>
    <definedName name="CAPI_1">#REF!</definedName>
    <definedName name="CAPI_result">#REF!</definedName>
    <definedName name="Cargo">#REF!</definedName>
    <definedName name="Carlos">#REF!</definedName>
    <definedName name="cart10_080">#REF!</definedName>
    <definedName name="cart10_090">#REF!</definedName>
    <definedName name="cart10_090_43">#REF!</definedName>
    <definedName name="cart10_100">#REF!</definedName>
    <definedName name="cart10_100_43">#REF!</definedName>
    <definedName name="cart10_110">#REF!</definedName>
    <definedName name="cart10_111">#REF!</definedName>
    <definedName name="cart10_112">#REF!</definedName>
    <definedName name="cart10_120">#REF!</definedName>
    <definedName name="cart10_121">#REF!</definedName>
    <definedName name="cart10_122">#REF!</definedName>
    <definedName name="cart10_122_43">#REF!</definedName>
    <definedName name="cart20_VC">#REF!</definedName>
    <definedName name="cart30_VC">#REF!</definedName>
    <definedName name="cart40_VC">#REF!</definedName>
    <definedName name="cart50_VC">#REF!</definedName>
    <definedName name="cart80_VC">#REF!</definedName>
    <definedName name="cart90_VR">#REF!</definedName>
    <definedName name="CARTERA">#REF!</definedName>
    <definedName name="ccc">#REF!</definedName>
    <definedName name="CD_FIXBX">#REF!</definedName>
    <definedName name="CD_SIXVAL">#REF!</definedName>
    <definedName name="CD_TCVAL">#REF!</definedName>
    <definedName name="CD_TipoCambioBX">#REF!</definedName>
    <definedName name="cierre">#REF!</definedName>
    <definedName name="CIQWBGuid" hidden="1">"03f4930e-b33c-4382-a597-a94ab15a402c"</definedName>
    <definedName name="Class_of_securities">#REF!</definedName>
    <definedName name="Class_of_security">#REF!</definedName>
    <definedName name="CLAVE_CONTABLE">#REF!</definedName>
    <definedName name="CLAVE_REPER">#REF!</definedName>
    <definedName name="CODBEXT">#REF!</definedName>
    <definedName name="CODBINT">#REF!</definedName>
    <definedName name="CODEXEXT">#REF!</definedName>
    <definedName name="CODEXINT">#REF!</definedName>
    <definedName name="CODEXT">#REF!</definedName>
    <definedName name="CODGEXT">#REF!</definedName>
    <definedName name="CODGINT">#REF!</definedName>
    <definedName name="CODINT">#REF!</definedName>
    <definedName name="COLLATERAL_ADJUDICADOS">#REF!</definedName>
    <definedName name="comentario">#REF!</definedName>
    <definedName name="COMEXT">#REF!</definedName>
    <definedName name="COMINT">#REF!</definedName>
    <definedName name="Comisiones">#REF!</definedName>
    <definedName name="CompanyK6">#REF!</definedName>
    <definedName name="CompanyK7">#REF!</definedName>
    <definedName name="Conexplicación">#REF!</definedName>
    <definedName name="Consulta_C91">#REF!</definedName>
    <definedName name="COPIAR_NIVELES">#REF!</definedName>
    <definedName name="corrCamb40">#REF!</definedName>
    <definedName name="corrval40">#REF!</definedName>
    <definedName name="CostA">#REF!</definedName>
    <definedName name="COUNTERPARTY_ENTITY">#REF!</definedName>
    <definedName name="country">#REF!</definedName>
    <definedName name="COUNTRY_CODE_OR_INTERNATIONAL_AGENCY">#REF!</definedName>
    <definedName name="COVEXT">#REF!</definedName>
    <definedName name="COVINT">#REF!</definedName>
    <definedName name="cp.">#REF!</definedName>
    <definedName name="CreditFacilitySpain">#REF!</definedName>
    <definedName name="CRFDV">#REF!</definedName>
    <definedName name="CRFIC">#REF!</definedName>
    <definedName name="Crystal_10_1_WEBI_DataGrid" hidden="1">#REF!</definedName>
    <definedName name="Crystal_10_1_WEBI_Table" hidden="1">#REF!</definedName>
    <definedName name="Crystal_11_1_WEBI_DataGrid" hidden="1">#REF!</definedName>
    <definedName name="Crystal_11_1_WEBI_Table" hidden="1">#REF!</definedName>
    <definedName name="Crystal_14_1_WEBI_DataGrid" hidden="1">#REF!</definedName>
    <definedName name="Crystal_14_1_WEBI_HHeading" hidden="1">#REF!</definedName>
    <definedName name="Crystal_14_1_WEBI_Table" hidden="1">#REF!</definedName>
    <definedName name="Crystal_15_1_WEBI_DataGrid" hidden="1">#REF!</definedName>
    <definedName name="Crystal_15_1_WEBI_Table" hidden="1">#REF!</definedName>
    <definedName name="Crystal_16_1_WEBI_DataGrid" hidden="1">#REF!</definedName>
    <definedName name="Crystal_16_1_WEBI_Table" hidden="1">#REF!</definedName>
    <definedName name="Crystal_3_1_WEBI_DataGrid" hidden="1">#REF!</definedName>
    <definedName name="Crystal_3_1_WEBI_HHeading" hidden="1">#REF!</definedName>
    <definedName name="Crystal_3_1_WEBI_Table" hidden="1">#REF!</definedName>
    <definedName name="Crystal_4_1_WEBI_DataGrid" hidden="1">#REF!</definedName>
    <definedName name="Crystal_4_1_WEBI_HHeading" hidden="1">#REF!</definedName>
    <definedName name="Crystal_4_1_WEBI_Table" hidden="1">#REF!</definedName>
    <definedName name="Crystal_5_1_WEBI_DataGrid" hidden="1">#REF!</definedName>
    <definedName name="Crystal_5_1_WEBI_Table" hidden="1">#REF!</definedName>
    <definedName name="Crystal_6_1_WEBI_DataGrid" hidden="1">#REF!</definedName>
    <definedName name="Crystal_6_1_WEBI_HHeading" hidden="1">#REF!</definedName>
    <definedName name="Crystal_6_1_WEBI_Table" hidden="1">#REF!</definedName>
    <definedName name="Crystal_7_1_WEBI_DataGrid" hidden="1">#REF!</definedName>
    <definedName name="Crystal_7_1_WEBI_Table" hidden="1">#REF!</definedName>
    <definedName name="Crystal_8_1_WEBI_DataGrid" hidden="1">#REF!</definedName>
    <definedName name="Crystal_8_1_WEBI_Table" hidden="1">#REF!</definedName>
    <definedName name="Crystal_9_1_WEBI_DataGrid" hidden="1">#REF!</definedName>
    <definedName name="Crystal_9_1_WEBI_HHeading" hidden="1">#REF!</definedName>
    <definedName name="Crystal_9_1_WEBI_Table" hidden="1">#REF!</definedName>
    <definedName name="CTEN">#REF!</definedName>
    <definedName name="CTEN_TWO">#REF!</definedName>
    <definedName name="Cuadro_S1000">#REF!</definedName>
    <definedName name="CurrentDate">#REF!</definedName>
    <definedName name="CurrentIndexNo">#REF!</definedName>
    <definedName name="CVAMI">#REF!</definedName>
    <definedName name="d">#REF!</definedName>
    <definedName name="data">#REF!</definedName>
    <definedName name="_xlnm.Database">#REF!</definedName>
    <definedName name="Database_3">#REF!</definedName>
    <definedName name="DataPointIDs">#REF!</definedName>
    <definedName name="DataPointTooltips">#REF!</definedName>
    <definedName name="date">#REF!</definedName>
    <definedName name="DATOS">#REF!</definedName>
    <definedName name="DatosBase">#REF!</definedName>
    <definedName name="DatosMac">#REF!</definedName>
    <definedName name="DatosMacingles">#REF!</definedName>
    <definedName name="DaysEndMonthToSettlementDate">#REF!</definedName>
    <definedName name="Daz" hidden="1">{"Savings",#N/A,FALSE,"AN Net Receipts"}</definedName>
    <definedName name="Daz_1" hidden="1">{"Savings",#N/A,FALSE,"AN Net Receipts"}</definedName>
    <definedName name="DBASE">#REF!</definedName>
    <definedName name="dc">#REF!</definedName>
    <definedName name="dddsaa" hidden="1">{"savings2",#N/A,FALSE,"AN Net Receipts"}</definedName>
    <definedName name="dddsaa_1" hidden="1">{"savings2",#N/A,FALSE,"AN Net Receipts"}</definedName>
    <definedName name="DDrive">#REF!</definedName>
    <definedName name="DEFAULTED">#REF!</definedName>
    <definedName name="DERIN">#REF!</definedName>
    <definedName name="DERIV">#REF!</definedName>
    <definedName name="Desc">#REF!</definedName>
    <definedName name="DETALLE_PENSIONES">#REF!</definedName>
    <definedName name="detmar97acu">#REF!</definedName>
    <definedName name="dfdgbfdg">#REF!</definedName>
    <definedName name="dfg">#REF!</definedName>
    <definedName name="DIARIDAT__Conso0494">#REF!</definedName>
    <definedName name="DIARIDAT__Conso0495">#REF!</definedName>
    <definedName name="DIARIDAT__Conso0498">#REF!</definedName>
    <definedName name="DIARIDAT__Conso0501">#REF!</definedName>
    <definedName name="DIARIDAT__Conso0530">#REF!</definedName>
    <definedName name="dias182">#REF!</definedName>
    <definedName name="dias28">#REF!</definedName>
    <definedName name="dias364">#REF!</definedName>
    <definedName name="dias91">#REF!</definedName>
    <definedName name="dim4_name">#REF!</definedName>
    <definedName name="DINFO_1">#REF!</definedName>
    <definedName name="DINFO_1_valid">#REF!</definedName>
    <definedName name="DINFO_2">#REF!</definedName>
    <definedName name="DINFO_result">#REF!</definedName>
    <definedName name="DormantRetrieve">#REF!</definedName>
    <definedName name="DPCSP">#REF!</definedName>
    <definedName name="DPI">#REF!</definedName>
    <definedName name="dsa">#REF!</definedName>
    <definedName name="e">#REF!</definedName>
    <definedName name="e001ESP">#REF!</definedName>
    <definedName name="e001imp">#REF!</definedName>
    <definedName name="e002ESP">#REF!</definedName>
    <definedName name="e002imp">#REF!</definedName>
    <definedName name="e003ESP">#REF!</definedName>
    <definedName name="e003imp">#REF!</definedName>
    <definedName name="e004ESP">#REF!</definedName>
    <definedName name="e005ESP">#REF!</definedName>
    <definedName name="e005imp">#REF!</definedName>
    <definedName name="e006ESP">#REF!</definedName>
    <definedName name="e006imp">#REF!</definedName>
    <definedName name="e007ESP">#REF!</definedName>
    <definedName name="e007IMP">#REF!</definedName>
    <definedName name="e008esp">#REF!</definedName>
    <definedName name="edc">#REF!</definedName>
    <definedName name="ee">#REF!</definedName>
    <definedName name="eeeee">#REF!</definedName>
    <definedName name="efdsafavc" hidden="1">#REF!</definedName>
    <definedName name="EFICACIA">#REF!</definedName>
    <definedName name="EJERCICIO_REGISTRO_ACTIVO">#REF!</definedName>
    <definedName name="emisión">#REF!</definedName>
    <definedName name="EMISION_AÑO_CONTAB">#REF!</definedName>
    <definedName name="EMISION_AÑO_REPER">#REF!</definedName>
    <definedName name="EMISION_MES_CONTAB">#REF!</definedName>
    <definedName name="EMISION_MES_REPER">#REF!</definedName>
    <definedName name="end">#REF!</definedName>
    <definedName name="end_row_2">#REF!</definedName>
    <definedName name="endst">#REF!</definedName>
    <definedName name="ENSDT">#REF!</definedName>
    <definedName name="enter_entity">#REF!</definedName>
    <definedName name="entities_non_validate">#REF!</definedName>
    <definedName name="Entity">#REF!</definedName>
    <definedName name="Entity_Code">#REF!</definedName>
    <definedName name="entity_level_3">#REF!</definedName>
    <definedName name="entityAlias">#REF!</definedName>
    <definedName name="EntityLevel">#REF!</definedName>
    <definedName name="entitynew">#REF!</definedName>
    <definedName name="EPES">#REF!</definedName>
    <definedName name="EPES_1">#REF!</definedName>
    <definedName name="EPES_2">#REF!</definedName>
    <definedName name="EPES_2_valid">#REF!</definedName>
    <definedName name="EPES_result">#REF!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10" hidden="1">"Yrh+NvZB+XYoUkA8K3h7ASKoV0zEozOEh6xV+Qavycr7CJ/FLvP5ZsyCB1ri008rOIohTGTkpQWJs0FLnECcLcBLSfHQlj/KP6byCd08RRvxL1Wg5I1iiUhOAYvp9CxwX8ZPEzy14KnlxVNb4SQGxt5tZq1MdYokWUsgae8TjHjy2IwIFD1Up9yWSNwrk16aEg4pDOSMAnfnlNsCaUhBIJwKkMZxZflHpZKyM0pkebpTSBKaQA7SNTDFue1W"</definedName>
    <definedName name="EPMWorkbookOptions_11" hidden="1">"cBFBb8UnoHO0aJGEs0TqzQiWiObXUfnhy+yn5kfVgWEUzBm6FGmiWGDN5hJEceHLx0uzNKLSeKnAQqsliOK8lBIOw//o4/QofppqaOlI5M5L0EipC6i2IoZkjgkgiYoLNbUjQPJShUpXXmaQVZ7ftb6QLrBIUaxkDC0gdhC+AkBhFL5l6OgIrE2Ejk42XNSPYWJEZCgL8UlspejoCCxfFC0IQgxKhbOaZHUhZkktC3cbTVoTWNe5giRi+DVM"</definedName>
    <definedName name="EPMWorkbookOptions_12" hidden="1">"DN/uuXNiN+UfY5mFcjb6QppgFljqGcES4fw6KqZzpjoqzCI5E30nTSALLHFchRJx/CooeLqmD+TM9LUkwVwTWN+4Dqe4gGbmuRm4iml8VmA13zOQ4ryVHBJnrtJndP1gFVIdGz6RvHth4JrAckcIA7+EocIpDALJcgSSawKLPCGQDIHkIgLJh2ULJB9CIJnIVAgkQyCZpakQSKa0QYKwsNULN/b8YAVQ2hLoCvOxArrCPGyArjBHS6yO+sKK"</definedName>
    <definedName name="EPMWorkbookOptions_13" hidden="1">"EEdmYQLEkbkYAXFkXlZAHJmbJZDh5WADZHghw7tyIWR4t3jMBRnehPtKP+8q6K2Q4Y0MzOWokOFNA8h8P6UNRFYQ6Tkt6xyIrCDSMs3KFh3FAmJ6RgfVkvHTLEHhFBq8UDhNhQcUTqlDN8fpcUwAQ6L49FMESYTx66j89z//rmtab69tf7BafrvrGEO739nzglfTvb7T31f/mYVPmBNIn0LDGNKnSUAIEPwkQkJAqueUtXYvfSqQFBHSpykR"</definedName>
    <definedName name="EPMWorkbookOptions_14" hidden="1">"gfSp6tKnApn/IH0K6dO1UTsI3J1Liwkkt0uSPlX+nJUWEEifikvujBJZadKnAgn+IH2aAxewg5EGdFnSpwJp/qB8CuXTcmM5Ux8VSRiLVDAOYUQIbwTE6GFnL36aEC2GaLFIL4VocXRgLi+FaDFEi1dH7SBsIVq8NjCfp0KhNy0kh1pl96A3KPTqGhR646cJhV4o9PKJXyj07iB8odC7PjCfu0KhNwsuMvRoqZ0FiS1hmlDohUIvpwCWrEdL"</definedName>
    <definedName name="EPMWorkbookOptions_15" hidden="1">"jAmSWtI0odBbdlqDQi8UeqHQG7m9usEMhd70qEChN2maqsgjitXnhTxiKkggjyhDHlFg3R7kEWNgUP7JmQQGAZmcT7YqQx5RYLUi5BEhj5hbHtE0vKHlGaUqJIZzeEUkcc2ZNsmqbRgKonAQhT/fPZK5Y7MVSL8ZZPGCnhdy3fltu8uS+LsMx1vBZOl4Na3ZaBw3m7pW87Xnn/l/66g2jJ9mAV+0OyxZect0RbsTpsBa/ahxdKQdHkc8EQkx"</definedName>
    <definedName name="EPMWorkbookOptions_16" hidden="1">"fpo5nNDut2zTaDlF3r22SS1bhheuYCJu85aP581ZGR3XYkp3WobfPSKyzH2Ghbf3+GmWQ667TZrKsrxNFj8sH3fbPfdJhmrNMpwNPGsVoRWjdZDG8ZHqgPBJSiW07GYptlREm29DL6YA1RNaVCqcz+IBqXRRfVJjt6Z+CzMxJA1Nfb5VVutesf3+bfKKlvEwHgKyVhcfbq3WZCxkvNyvwBb/Vmkwy/K+xf7+ivPpcrb2KWHRNvwc6rryWPEJ"</definedName>
    <definedName name="EPMWorkbookOptions_17" hidden="1">"0lI6bJkXJEhuDGXleb5p7JQAj3k9QojIclsaSS5hmkq0BGThWizD1YSV9/NxtRLqubPQA5Zy3obabNRm563NNvofOtZgWGptdjiHV2qz1/+ym3woJkoWXCz22oZY8JtTbUjki5M8EbIpNrKaXERWXk2Lixx+qmlx8VMjNe0uzLikptk5+iXVNDT6ULOMazuV5Laa9hZs0uBg9IZvNvRRbcDtadDF5GFyObmZxBzLx74khGt9uneEk+WMwmam"</definedName>
    <definedName name="EPMWorkbookOptions_18" hidden="1">"8H822Pz6rEhsCBdvpW3IVK3G1IZsxS1Mjci4C83UikzbTExtyLZ/wdSIzG2W1HZEBm9cUdCXi77cFPt2qhQJopd3B3vMmR4f4zx1i328qhCGFNpuC+/K0k1JARFQx8onbDO9McWE7TZ7nlUJ2yJbxuFNWXopKR5uB3BEauz0huqA8MliRTv8ttkzr0oWQw9cqibJmvLvDMSA6Mo3RxADov5bJbWHoG00fpqltI1uk6dDlbUObaPZWgIByVpL"</definedName>
    <definedName name="EPMWorkbookOptions_19" hidden="1">"YPADSKJZPvhRHRI+ab6MDhiB2pmQmEMnUWXaOwRKRELpIAYG5YOUBAYBO1N8klUJDUIClR/zl9+Gt5TupWgser2xqFZ2V1Ftuy1Fa0SXXcHl6Wi3SPu0oqahuXpIOZiKpgNKG4JEblqu4mXiEjonsnGYMzYiAzc2Wysu/Hb3/Fe1g0JCK47rOa1Qet22PLVt8Yx+x/El/FU82xp01DZBRI/XnOfN6to9tY04P+t4566j9uoto90uq2Q7UzPQ"</definedName>
    <definedName name="EPMWorkbookOptions_2" hidden="1">"9F3OxBOtzB60hFONCeryveGHd9WJr+7iO45h/1l2AQAA"</definedName>
    <definedName name="EPMWorkbookOptions_20" hidden="1">"NcjECHQNJl26sB5dg4UdhmQ3H12DFd3SL+it6BqMDKRrkgtewE1HdT+lRqRlA5EoIsMPQGQFEcc2jcpWmcQi4loDF0fY8dPM026b6awgZsFDv+3pp0cQ0aq2ERAUdNKGbsFOefSYolP+VTxq89bwwFGUf8Uk9ZBQZEX5LiQ+yYy33Lcq6SwqEV7hPLamld5S/h2KV6Qy1kpXKVQzl52Gd2PpoURACBCaJ0JCQPrmlLUy1X+RZC2B/W9PMOKN"</definedName>
    <definedName name="EPMWorkbookOptions_21" hidden="1">"aTMiQ88YuL5rDPy2Pahwbo8F58zoGn3TUh0VPtmtKN0YuuXAN5aaTUr5XQ9aQBrqi7FTe0hlNwuTPARENPHTzLPU5WkfIFnyjgQueVEwsfSlwQXHmKQBnaOHhiScj+WFcwRKBPPrqPzwZfZT86PqwDCK5QxdZCRBrGep81YlihcgigtfPl5anLI2u58KLPNOYmetV/f9LwmSRqMGSNYKaBrwkigkeqO6W2sJkNT0I+U311itexl6y2nWPYHV"</definedName>
    <definedName name="EPMWorkbookOptions_22" hidden="1">"3o8wintCowXE9jVNACiMwjcbqwJN/Aqs+X7CcS2Anb7f8Zxz5UsFqXFBDCdMUxEafV1goTN49CvGo0+MCZJa0jTzJrUMFEM0WU1gTfgzkOK8lRwSZ85SbXT9ILupjg2fSN69RogusEga6hgxMFT2tQoiIYJEQnSBdc+5WOPDu0n3UAiEvC4QopctEKJDIITIVChlcDeVkVKGOU8D9mBoKM1nK0LwQ4BWhtWz56nHGvhBRlfbEldxime737JN"</definedName>
    <definedName name="EPMWorkbookOptions_23" hidden="1">"pS2A8AojKyC8wsMG6GOwMQL6GLysUF8fIzDDNw21lwpofDAxAhofSZcurIfGR2GHIdmMh8ZHRXflC3pr1p2rOGeFzMenZxhfkuPqvtbQdP3Q9/X623rjbaOynS1JKOEkOGmaJaj2QMQgQW1jcbynuJuSAmI6vcpWssQC4rXtXwHICiDtodkBICuAzM9DVAeEz1IH1Y/IwFxuKlrTgRQUPKUmTTNH6OY44o5/9YTQRQTKqMv+9z//rmtab69t"</definedName>
    <definedName name="EPMWorkbookOptions_24" hidden="1">"f7BafrvrGEO739nzjKG113f6+6byHr0F0BDnSdPME+epC0BItkEFNkItHhnRxJgMB+I1aZo54jVDvRNJwApseVpAuLZ19Kt/YXT9nm16jumcqe6uhMggeJOmWYpwHLQPBOql0QCBSE2apiLCcQI52yEcFw8EhOMgHCdEOE4gNb1sJTBiVBDASdNUQhtNIik9xMDSACIgcGkdRIA4Gp9MBt2C9YF56Yqlco0TQwIph5eQ1OpHgGQtcA4r+xSQ"</definedName>
    <definedName name="EPMWorkbookOptions_25" hidden="1">"CImmvJewWvegWxAZmNdXZeoWMPJUUPSvD8znqqDoz4QLYjhhmqDo50bRX+lCLsgWgKK/vKQGiv7IwPzOKpyPnhwbRHLCNPNFcnqiH5owFlivGqIY9VO9spudsXAgbJOmqYayhsAyVShrxMBQ2d0QKGtIUtaQWKoLZQ0oaxRQ1qiXraxRh7IGkamFd/7UNBuCItxNZSQoAiUOFja0BYg/QDeBhxWuYQ8UJ8OWIP3gek7Lb9t9o2/alqe2LZ7R"</definedName>
    <definedName name="EPMWorkbookOptions_26" hidden="1">"7zi+hL+KZ1uDjtomDCxzqHiihSwKGyNEyKIMzs1zb2B0lTZCkLbLctlT346OEax8Q1tttUUhajtQqmFiBJRqki5dWA+lmsIOs0dxuAWlmoT7Sj/lKuitRXUtIFMDXYuUgJhDQ/njaVJEPLN9XlnWylhEgjdb6wMQWUHkwrPbqgPCZ7UrKm0BFSe5Kg6keEDqIwYUV3nVIj6ZLPURekwWg0DP6ae2QMpsMizC7KU5fvCvmvJJjE/UEhAUQ5sH"</definedName>
    <definedName name="EPMWorkbookOptions_27" hidden="1">"BMVJQICgGATFQgiKBTZ2y6XiJUZECGUznwDOUiNJEr0C+7mXGCJ0N8AxdIb+/HPVMWEUuDtnFhfY0g1icRCLZ8cjcBDlywxoAQHTetI082T2PP0SJBleYBf8GphIbGlwEUGTyCegczQNkYSzQCWnCJQI5tdR+eHL7KfmR9WBYRTLGdrmSIJYop7TEkRx4cvHS7N0RtJ4qcDa3SWI4ryUEg7D/+grf67IKGxL0NgSWIYIQam0kNQrXIcYD0nH"</definedName>
    <definedName name="EPMWorkbookOptions_28" hidden="1">"mxc2aTWgAn26zZDo9bry6YTV0rdzmS2BtatiZbZoAbGDJC8AFEbhW4b2mMDyVWiPZcLFWPwAFGnZnlNiy0KoRJPXBBa4PsIozlNpAVk0BvrKv5LzCd9S9BQFlrhCOxAik0UwEZDpmSW1LMyCNGlNYP3vCpLi/JUcE8O3e67veo7yb6HMQjkbuSZNMAss9YxgiXB+HRXTUZ5iilkk71zkWGCJp2AhX3JIBOk+84nk3aul1gTWeEItNQYGPDnH"</definedName>
    <definedName name="EPMWorkbookOptions_29" hidden="1">"T1MNldCawCJXqIRCJbSISui7slVC30EllMhUqIRCJZSlqVAJpbRBgkooVDb5WAGVTR42QGWToyVQ2eRgAlQ2uRghQmVTkEAl5BA52AA5RMghrlwIOcQt7uJDDrGi2/kFvRVyiJGBuRxVrBwiHzeFjllkYC43Fa3bxcdVi0veQK4KijdJQAhQvOEUqoV1XqBOBVWT5ajtu+vOVU0EtmxDxkOmjIfA7mSpfNCM3LQ0TQKBXafg3n8ctX3HLYt7"</definedName>
    <definedName name="EPMWorkbookOptions_3">"Kj4zTXpRYLnTu8wQSyWG7/EdeAuQG+O4kpFIjXfqDrC/c1EUbwRQXL/laBXlfoIORW3innz31wwmPTeMP5W/uvJIMQyJKgJ85idlHU96nmbYFrPhoGg8ElsN2RC1aYlKbwq9R6EHPgYoCCGKP9oAiqYociJpmyZLcjzTIk2nCUgg2Kwpsnyj4diLlvNWBY4fQRTr0MPzH9p9ODVxGiuA5YVZCMCQ1H6DpucNIn/Un/FF4x+ZXHj67uD3+H1w"</definedName>
    <definedName name="EPMWorkbookOptions_30" hidden="1">"X2B/JVjmw1E78Npds8wL7CMEyfyWnXT3JPMC2+TAqr59Py2BVV3g2V0Sq7qGQ+aEaSpCgyzwAA+sv3JZfwUe4Ylmt+XjrqWQQQo8xRJNBsnMXXfOKCTwJAv0Oc+jtu+2u6fPkUi4C/qclzDg2T1pmmrw50hkkBXHn0MDxPKUyFa+FhFsQjtlE2qUzSbUAJsQkalgEwKbEEtTwSZEaQPYhPhYIYJNSADpiygqHhDYcDABBDZcjACBDS8rsugg"</definedName>
    <definedName name="EPMWorkbookOptions_31" hidden="1">"cbYDRDwcbAARD4h4Vi4EEc8WjwNAxFPRnfCC3goinshAEPFsDZBWH3BE6mValvJ9CaSIWD0bgERSSLfrvFcdET5LHci8IgPpyLwElBKR4gFyM5CbcQxekJvFAyGA3IwICQGZnFPSAs1bdCAlzZsAVyVGBMR3ytOJCewXiqW40ZrqPx3TAtI4PgYgUUCOAIis9Y5RZi+NgU9gd91GBj4BbrsVXMBMSBrQO+d4E9h9B463LTvpzjneBPJmxlG8"</definedName>
    <definedName name="EPMWorkbookOptions_32" hidden="1">"CXBSSjjAeEcbtbtnvBNIIJpAeFfTjyr73hsPScfzNU3XakAleqRaR9VfwjQVYUaUyDcby4xY5ccRUEWKpYoUWLibQBXZd/p+x3POXdU9lhgXGRSa1M6CxJYwTVVIRQWWaYomFSUGRcROPDEmSGpJ08yb1LJ0VtOkNYEFrCtIivNXckwM3+65vus5yj/GMgvlnbNICyzqTGSRrnggg1h7bzeRXAKxtsDiThBrx8Cg/HpLAoOATM4nW5XBLy6w"</definedName>
    <definedName name="EPMWorkbookOptions_33" hidden="1">"UlEcvzgYtXfKqN0sm1G7CUZtIlPBqA1GbZamglGb0gYJjNqhDb5r9dWnhAQ7OBsrXMMeKE7OCYJzXrZ4Rr/j+BL+Kp419Owz3+q5XbXtAOU8BxNAOc/FCFDO87ICVO0cbABVO6jaVy4EVfsWT1ZA1Z5wX+lHLAW9FVTtkYGEPMugao8C4rZcC2ztkRY2s+VeAJEVRAbDM+Cx6iFuW3U8+Cx1oGqPDMzlpaBqB1V7eaGb7bQyJoRB2P7kso9Y"</definedName>
    <definedName name="EPMWorkbookOptions_34" hidden="1">"IpTT4CLi4ZVPPBeXXgCLObQXEoGA9gK0F3hqL4C8HdoLqRGB9gI1Q3eG4jSS6BXY7rLEEKG7AY6hM/Tnn6uOCaPA3bloikAqbqkKEKR4QETmJSDKH7fTAiJAVYdRZi9NNEUgjz1EU3LgIoKqjU9A5+jWIAlngfT2ESgRzK+j8sOX2U/Nj6oDwyiWs/YrkUSyRFL3FSQRyK9hctZ1/vfcAjAvgLH7LauHY+j4aaog8CaR7x4Kb1v20p0rvEkk"</definedName>
    <definedName name="EPMWorkbookOptions_35" hidden="1">"L4fEGyTeVkftIGx3L/EmkZ47SeNN096p7qvEkEhQM6P2EigBvvCSw3oDkKyX6yuvjMhq3du5DKDA2l7IAKYCBDKAEmQABVa5ylV2o0YEwoiChRH5JLZSZAAFFgBDBhAygEUwEbACMktqO9cOE1gcDe2w9JBAO0yGdpjAClhoh8XAUNk3K2iHSdIOE1jhC+0w7tphqx8O79aNP/HGn6fjh9+dW+d+fPtIaBv9cDHOvBmPpvObOreD0Z/jx5Hr"</definedName>
    <definedName name="EPMWorkbookOptions_36" hidden="1">"Hy/Gvr+b/nF5d/dH4JazBYwhx+3Lz6PDv1+fusZg8N7xWiuDv4fD7IeL0XQyurwZ98bTL8HF4RRefP7Pfzxf7dwvAfp//jDpepjwAwA="</definedName>
    <definedName name="EPMWorkbookOptions_37" hidden="1">"1uo4DRLGxwxzPFNosClbKN0Thga5c44fZppWHFo91WHClGGSayoFQWWNu4ducVJkNPEnXeTsyeR+OOjNQztPxyNHH08PrY1Ho3Dg4bFKb957PBx7NDy+Yu3hfjR7f/B1Pp/8msvNg4fJt+nwaDz9krueBdPnMR39mN0eXPrVVsO/apWbH/KW/1ldNPj20J8Gh/3J4KjXGwyOJtPgaDCeTnKz3iQXHs394YcPC82OV3cr9uKWI7wZaYbH7ObH"</definedName>
    <definedName name="EPMWorkbookOptions_38" hidden="1">"0/Afy/b1od9EfOViHZ/mINfIi+PuCfvlYgAvvndFWKKLaCtspmmwhUFsUh9qRvWQRSwWO1TRTYXEwEE3VXRH8aAQ3VEcGER3FCMS0R3FAEF0R7GAYKE7ykiyUwQiMWAQgUgRiFy7UAQid7iLLwKRGd3ON/RWEYiMnJjKUUUgcitC2mVPCFkjpFKz2+RfnYMywiAZCs/MLlqIkRNTealo/2VIIBJP6JrLiIkEoKiIJREhKmKiIoZTRUy0D7lr"</definedName>
    <definedName name="EPMWorkbookOptions_39" hidden="1">"ZgGzIgGcNEwKKmIMO4Jwls2C5EQCN2mYJFTEGPYCERWxbQhhELfQDpLZPsOiqrYVIcVz8m2XES11e1MRY9gnhr9a1k6YYbAG4gnofamIMewUw14vawfESCwnDZOCihjDPjEiIrZjJ317ETGGbVDYqmZBEiJhmzRMIiJiDFNVRURsS0qWImKn9LdugB3lOG+dCSXR/b3wTyhhp6uGaul7cxExhrm8rDWzYElhQAii8N2HiBjDdF4RyxJlNWNe"</definedName>
    <definedName name="EPMWorkbookOptions_4" hidden="1">"IQLIev1YQ2s4a974rndLLMRDbM2iz4f3MFuJ+rzHEnUIdRuj/6+pVVaVidbrnq5UmuZaNH24UJkjhMrwAu9A0yF5weZIruGIZIuHkKQBbHC22eSaJnsGQs04xAodyENFHT0w+FYea3256jotlxF1wlwJ2SBENSovkPNJZJ0nTKusn5zIWJbnOY47PJE1Li+RZRzmVTq4r7pIS6XjAiZtqXzQ6a/ymf18MtlAGfa0rnZyJhOaDN1qNQ/PZOzl"</definedName>
    <definedName name="EPMWorkbookOptions_40" hidden="1">"ZGJLGCYVFSKGGb+iQiQqRCacyKSWNEwyggcMM6Gz0N0fnBuJ5IRhkhA84CiRKIIHMTRk9rEqQoPMVknDpCH8wFH6UIQfRPjBRPihuG/hh+JuhR+MWlVh6JqvD9mkXQlNxBlS9zCrC6eJ2ahSkShkgHoMmsgN8oFpAjbIpCQKODn/LL9dcSlZ3OlTD4hCBnhbSxN5RlW4ElXnWbu54fY2TdAiuMYPqmEHcgygRWUOEoOozOFBwUJljoEYGCuJ"</definedName>
    <definedName name="EPMWorkbookOptions_41" hidden="1">"NhE2wwBBhM2wgBBhM1woVvMsfRwi0IYBgwi0iUDb2oUi0LbDbBsRaEuwyz3txtBbRaAtcmIqRxWBtm0IcZuZTciP5cNpuJntZxQvWNcUOiKvbSsOeQfBs9CJXl3kxFR+ylWaDZQPLvp9eEJX9OpenJiudkH06mKJEL060asTvTq8sxZXZTZgRpgo+OEJ4LcXDWDYpkFkr7YkRGSeROZpEyEMZJ6gCSHfKRjRWrc33SuGPU24qzvthBcWndfw"</definedName>
    <definedName name="EPMWorkbookOptions_42" hidden="1">"BPSba+UwbPYhWjk7dtI318phqMrGVBkGkg4WykGIovbtpXIYCrGZl+Ur0yi9FZYV0Q+KU8o5E0pEFoaXLAxHKUOuCiiwhDDRyUEUvvuQhWGY2y0KKFq8iFyOyMLsdmLbiywMw1xekYURWRgTTmRSSxpm2klNp/geZlpjmOVs2hJPGUbpr+Cc2L7baPmttkf+NhZZKL+5whPDzF/GKkbglDASvcITyXtQeGKYASwKTzE0kF9vQWhgMJPjma32"</definedName>
    <definedName name="EPMWorkbookOptions_43" hidden="1">"ofDEMHlTFJ5E4clE4am0b4Wnkig8vfRDQ8jZU3hSiP2W01SrdVaQi7YV65+3ZbsdJ0uRLGJeGfqx23az5vmxPzlv3E637V75TqNVzxJqkW7jDtgsG5osaNFt4485y4ptol3GFKhol4l22eIk0S4jjeFx34s0FtFhw4Nite1EG4JIyaHCEtnroY3kefeGNg4R98MAQcT9sIAQcT9cKEQUDwMGEcUTUby1C0UUb4cJiiKKl2CXe6aiobeKKF7k"</definedName>
    <definedName name="EPMWorkbookOptions_44" hidden="1">"xFSOKqJ42xDSqrQckT2LdIIpV1o3wsgaI53ulfCx7iGtKnU+8Cx1IosXOTGVl4osnsji7S909d5WxoSwiOPBVDwo4yi9die8sLh5xRPP5jKXohgnOpeJRIjOpehc4tS5FKE80bncmhHRuYTW/tJITgOJXoZdIwzqSpVNlE4KSUfX6/qL49Q5QRS4by5Qy1DkSwRqtyQks5o0JvXUmeFDBHtfEyIJGfHDJKVPy1AyUPRpU/DCogU8noBOUb4C"</definedName>
    <definedName name="EPMWorkbookOptions_45" hidden="1">"Es4MlQTNu74o0yhddges/PJl/lvpE3ViEMWybgEXSCRzFIszbWSkDKP0V3BOrure/147QswrYtxmxWnIe/n4YaaZ3zQKO2GmNobp4AbdypRN8dJNcLRqd2G8lGEmp0GLOWUTpZdC0mH7n3zyiSSIwlarXh0mcBnmb4pw/LaUcFBJB6bk2LJOhZIoJfkzCZwXgXNSKFKnBNW6p9HiBGbdY5jsbNQtV1lF6amwhLi+ZTEgBVH46jX3gYlfhmm/"</definedName>
    <definedName name="EPMWorkbookOptions_46" hidden="1">"fBXjoRnxmn6t7V1nVjkvgRd7+UedFDwTm2a/L5iJjWFGtHF/d2UZpbsCk8IitwSYEwYrILJJ7c01yRlmi4sm+faUiCY5D01yhhmwokkeQ0Nmn6xEk5yTJjnDDF/RJMeuSb5+sDt+Cf6iHdxNg9lXb+RNgtFjh9/oweV55fugN10Y9Uad3l/B45kvDy/P/TCe/tkfj/8M3XK+pFE1/X19PHr699vLlt3pfPDalbWTv6vT3NlNbzrs9e+DRjD9"</definedName>
    <definedName name="EPMWorkbookOptions_47" hidden="1">"El6shvDq+N//9ny1N1kR9P+yk2OeiogEAA=="</definedName>
    <definedName name="EPMWorkbookOptions_5" hidden="1">"ZbKMwy2p8nSj6jItlZD/cS7bJ5DK57GyCan8u3a5hHBiq+qEnM+TTtc6PaUr/6PdB0Fg2SO2H7gjnnVcU2QbDieQZtNk8LOObpKmILKkLTpNwLQAAPAc9smWLO6syziu6lItl5L7oXERS9WShcLQDfFKyXVd9PuZU/nV8/k8+ka9gWZ05dHpr3nHfyPiL+89b0Xj9lazMtH0qqu1ZFJG2kh+rDon5zODx8pQ72nqfzh/hcubvxmJ6ffdceXV"</definedName>
    <definedName name="EPMWorkbookOptions_6" hidden="1">"WQ4NgysNl7EIO59k1Vdk/WmonP557Phs1by8bLVkMRVoukHU61xVegwoF00xSKKKztHlSpdw7G33AOJm4e6hRWkIHQSjV83XQugvD6HlCxNcx4MALZxqvg7e4BK5XZxgl6czsTbjhMYlercij5/b2ahJvWgMkAtMD/Yhell72Cn/+mXtNjsN2v4bVU0QtEgqAAA="</definedName>
    <definedName name="EPMWorkbookOptions_7">"ldZIdXBVDUDOjK7RNy3VAeGTwbJt28c/JR8e1usZHpMb8tJYrhqw8G4sHZQGCMNKdRBdASBaqQpLOAPBK2VlOKQj2YVqysxZmYs5w7ux9FAiIKxzT3Uk+MRqlqNokkA9lBeoRUuRwxuz9FRKTAQ8djEK3CwFGCSR+05g5BYopw9vytJNSfHQmloNgEQAadYBSNRDUnViVAgQXXkP4bPUZavTI1nrjuStdcUbqcJbs/RWWlQ0XasdA5IIJBK8"</definedName>
    <definedName name="EPMWorkbookOptions_8" hidden="1">"hFVOy1C2S5LTjkXmtIJNkuGtWXorPSp26hbK6uAi4HWPUVrLVshPktf0LBWoqiQ2gi7o8OYsPZYYF2PxA1CQ2LaV2DL29tAkNoH1yoVIDsK7snRVYkAqXVaWgImAhEaMiNG3PjjKnzHyyfKZeh9pcrzAqvYcrC7hvVi6Jw0Myj+y84nSbN29NGEqsLQ/FydReDfpHppiUGQ28YNODuLIXSOfPg4P7hbHhcuWIdfofzgqlRh3PoHt8uFWiEyz"</definedName>
    <definedName name="EPMWorkbookOptions_9" hidden="1">"8OOlmmaDfo67qYyY2OaxYKvNFWQ6Lbvj+GbfsNS2QwCfXMsaDH03iMmh0VOc90gGKVvPufDb3fNf1WZvArUcDxs8p+W37b7RN23LU9sWz+gHi4aEv4pnW4OO2iYMLHOoeKIF7SIbI0C7yMuK5Yqhvh0dI1g0hrahviU9yzMNxZe9hSHBE8mFPd/tUPzpcGHMwOgq/jcByyoTI8CymnTpwnqwrBZ2mNX7gGX1eVMaLKu7YFnNsm0d56ngWP0U"</definedName>
    <definedName name="Equation1">#REF!</definedName>
    <definedName name="er">#REF!</definedName>
    <definedName name="especifi">#REF!</definedName>
    <definedName name="ESS_Entity">#REF!</definedName>
    <definedName name="ESS_Period">#REF!</definedName>
    <definedName name="ESS_Report">#REF!</definedName>
    <definedName name="ESS_Reporting">#REF!</definedName>
    <definedName name="EssAliasTable">"Default"</definedName>
    <definedName name="Essbase1">#REF!</definedName>
    <definedName name="essbase2">#REF!</definedName>
    <definedName name="essbase3">#REF!</definedName>
    <definedName name="essbquerybbintpay">#REF!</definedName>
    <definedName name="essbquerybintrec">#REF!</definedName>
    <definedName name="EssLatest">"Open 02 YTD"</definedName>
    <definedName name="EssLatest_1">"Open 02 YTD"</definedName>
    <definedName name="ewq">#REF!</definedName>
    <definedName name="EXT10Y">#REF!</definedName>
    <definedName name="EXT14D">#REF!</definedName>
    <definedName name="EXT18M">#REF!</definedName>
    <definedName name="EXT1D">#REF!</definedName>
    <definedName name="EXT1M">#REF!</definedName>
    <definedName name="EXT1Y">#REF!</definedName>
    <definedName name="EXT2M">#REF!</definedName>
    <definedName name="EXT2Y">#REF!</definedName>
    <definedName name="EXT3M">#REF!</definedName>
    <definedName name="EXT3Y">#REF!</definedName>
    <definedName name="EXT5Y">#REF!</definedName>
    <definedName name="EXT6M">#REF!</definedName>
    <definedName name="EXT7D">#REF!</definedName>
    <definedName name="EXT9M">#REF!</definedName>
    <definedName name="EXTDUR">#REF!</definedName>
    <definedName name="EXTM1Y">#REF!</definedName>
    <definedName name="EXTM3M">#REF!</definedName>
    <definedName name="EXTMAS10Y">#REF!</definedName>
    <definedName name="EXTNS">#REF!</definedName>
    <definedName name="EXTTOT">#REF!</definedName>
    <definedName name="EXTVALOR">#REF!</definedName>
    <definedName name="fdsg">#REF!</definedName>
    <definedName name="FESP2">#REF!</definedName>
    <definedName name="FF">#REF!</definedName>
    <definedName name="fff">#REF!</definedName>
    <definedName name="fgf">#REF!</definedName>
    <definedName name="fgh" hidden="1">{"Save2",#N/A,FALSE,"Quarter";"Save1",#N/A,FALSE,"Monthly"}</definedName>
    <definedName name="fgh_1" hidden="1">{"Save2",#N/A,FALSE,"Quarter";"Save1",#N/A,FALSE,"Monthly"}</definedName>
    <definedName name="FINVE">#REF!</definedName>
    <definedName name="FINVE_1">#REF!</definedName>
    <definedName name="FINVE_1_valid">#REF!</definedName>
    <definedName name="FINVE_2">#REF!</definedName>
    <definedName name="FINVE_2_valid">#REF!</definedName>
    <definedName name="FINVE_3">#REF!</definedName>
    <definedName name="FINVE_3_valid">#REF!</definedName>
    <definedName name="FINVE_4">#REF!</definedName>
    <definedName name="FINVE_4_valid">#REF!</definedName>
    <definedName name="FINVE_5">#REF!</definedName>
    <definedName name="FINVE_5_valid">#REF!</definedName>
    <definedName name="FINVE_6">#REF!</definedName>
    <definedName name="FINVE_6_valid">#REF!</definedName>
    <definedName name="FINVE_7">#REF!</definedName>
    <definedName name="FINVE_7_valid">#REF!</definedName>
    <definedName name="FINVE_8">#REF!</definedName>
    <definedName name="FINVE_8_valid">#REF!</definedName>
    <definedName name="FINVE_9">#REF!</definedName>
    <definedName name="FINVE_9_valid">#REF!</definedName>
    <definedName name="FINVE_Open_End_Inv_AUM">#REF!</definedName>
    <definedName name="FINVE_Pension_AUM">#REF!</definedName>
    <definedName name="FINVE_result">#REF!</definedName>
    <definedName name="FINVE_section_Type">#REF!</definedName>
    <definedName name="FINVE_section_type_11">#REF!</definedName>
    <definedName name="FINVE_section_type_12">#REF!</definedName>
    <definedName name="FINVE_section_type_13">#REF!</definedName>
    <definedName name="FINVE_section_type_14">#REF!</definedName>
    <definedName name="FINVE_section_type_15">#REF!</definedName>
    <definedName name="FINVE_section_type_16">#REF!</definedName>
    <definedName name="FINVE_section_type_17">#REF!</definedName>
    <definedName name="FINVE_section_type_18">#REF!</definedName>
    <definedName name="FISOCBAS">#REF!</definedName>
    <definedName name="FONRF">#REF!</definedName>
    <definedName name="FORBEARANCE">#REF!</definedName>
    <definedName name="FORBESEP00001">#REF!</definedName>
    <definedName name="formatCol">#REF!</definedName>
    <definedName name="formatRow">#REF!</definedName>
    <definedName name="FORWARDS">#REF!</definedName>
    <definedName name="Frequency">#REF!</definedName>
    <definedName name="fs..">#REF!</definedName>
    <definedName name="Funciones">#REF!</definedName>
    <definedName name="FUT_FX_BANXICO">#REF!</definedName>
    <definedName name="FUT_FX_VAL">#REF!</definedName>
    <definedName name="FUTUROS_BANXICO">#REF!</definedName>
    <definedName name="FUTUROS_VALUACION">#REF!</definedName>
    <definedName name="fwf">#REF!</definedName>
    <definedName name="FX">#REF!</definedName>
    <definedName name="FXX">#REF!</definedName>
    <definedName name="FXXX">#REF!</definedName>
    <definedName name="FXXXX">#REF!</definedName>
    <definedName name="g">#REF!</definedName>
    <definedName name="GAmort">#REF!</definedName>
    <definedName name="gapb_total">#REF!</definedName>
    <definedName name="gapb_usdext">#REF!</definedName>
    <definedName name="gapb_usdint">#REF!</definedName>
    <definedName name="GapInt_usdext">#REF!</definedName>
    <definedName name="GapInt_usdint">#REF!</definedName>
    <definedName name="gapp_total">#REF!</definedName>
    <definedName name="GASPE">#REF!</definedName>
    <definedName name="GASTO___INGRESO">#REF!</definedName>
    <definedName name="Gaz" hidden="1">{"savings2",#N/A,FALSE,"AN Net Receipts"}</definedName>
    <definedName name="Gaz_1" hidden="1">{"savings2",#N/A,FALSE,"AN Net Receipts"}</definedName>
    <definedName name="Gazz" hidden="1">{"Savings",#N/A,FALSE,"AN Net Receipts"}</definedName>
    <definedName name="Gazz_1" hidden="1">{"Savings",#N/A,FALSE,"AN Net Receipts"}</definedName>
    <definedName name="GENERADORA_DE_PL">#REF!</definedName>
    <definedName name="GENERADORA_PATRIMONIO">#REF!</definedName>
    <definedName name="Geographical_retrieve_Range">#REF!</definedName>
    <definedName name="ghj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hj_1" hidden="1">{"Net Receipts 2",#N/A,FALSE,"AN Net Receipts97";"Summary97",#N/A,FALSE,"Summary97";"Net Receipts 1",#N/A,FALSE,"AN Net Receipts97";"Interest Credits 2",#N/A,FALSE,"AN Int Credits97 ";"Interest Credits 1",#N/A,FALSE,"AN Int Credits97 ";"Total Inflows 2",#N/A,FALSE,"AN Total Inflows97";"Market Inflows",#N/A,FALSE,"Market Inflows";"Total Inflows 1",#N/A,FALSE,"AN Total Inflows97";"Market Inflows",#N/A,FALSE,"Total Inflows97"}</definedName>
    <definedName name="GROSS">#REF!</definedName>
    <definedName name="GRUPO_MINORITARIO">#REF!</definedName>
    <definedName name="h">#REF!</definedName>
    <definedName name="H_A_Automaticos">#REF!</definedName>
    <definedName name="H_A_Manual">#REF!</definedName>
    <definedName name="H_S">#REF!</definedName>
    <definedName name="HIBRI">#REF!</definedName>
    <definedName name="ho">#REF!</definedName>
    <definedName name="ht">#REF!</definedName>
    <definedName name="I_CO_DEP_PLACED_PRINCIPAL_NON_BUSINESS">#REF!</definedName>
    <definedName name="ICCDE">#REF!</definedName>
    <definedName name="ICDPV">#REF!</definedName>
    <definedName name="ICFON">#REF!</definedName>
    <definedName name="IMPAIRED">#REF!</definedName>
    <definedName name="IMPAIRMENT">#REF!</definedName>
    <definedName name="IMPUESTO_DE_SOCIEDADES">#REF!</definedName>
    <definedName name="IN20F">#REF!</definedName>
    <definedName name="ind_1810">#REF!</definedName>
    <definedName name="ind_1810_A">#REF!</definedName>
    <definedName name="ind_2160">#REF!</definedName>
    <definedName name="ind_2160_A">#REF!</definedName>
    <definedName name="INDEU">#REF!</definedName>
    <definedName name="Index">#REF!</definedName>
    <definedName name="INDICE_MEMORIA_ROF">#REF!</definedName>
    <definedName name="INFORMES">#REF!</definedName>
    <definedName name="INT10Y">#REF!</definedName>
    <definedName name="INT14D">#REF!</definedName>
    <definedName name="INT18M">#REF!</definedName>
    <definedName name="INT1D">#REF!</definedName>
    <definedName name="INT1M">#REF!</definedName>
    <definedName name="INT1Y">#REF!</definedName>
    <definedName name="INT2M">#REF!</definedName>
    <definedName name="INT2Y">#REF!</definedName>
    <definedName name="INT3M">#REF!</definedName>
    <definedName name="INT3Y">#REF!</definedName>
    <definedName name="INT5Y">#REF!</definedName>
    <definedName name="INT6M">#REF!</definedName>
    <definedName name="INT7D">#REF!</definedName>
    <definedName name="INT9M">#REF!</definedName>
    <definedName name="INTDUR">#REF!</definedName>
    <definedName name="Intereses">#REF!</definedName>
    <definedName name="INTM1Y">#REF!</definedName>
    <definedName name="INTM3M">#REF!</definedName>
    <definedName name="INTMAS10Y">#REF!</definedName>
    <definedName name="INTNS">#REF!</definedName>
    <definedName name="INTTOT">#REF!</definedName>
    <definedName name="INTVALOR">#REF!</definedName>
    <definedName name="IPF">#REF!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ssuer_code">#REF!</definedName>
    <definedName name="IVA">#REF!</definedName>
    <definedName name="j">#REF!</definedName>
    <definedName name="JedenRadekPodSestavou">#REF!</definedName>
    <definedName name="JedenRadekPodSestavou_11">#REF!</definedName>
    <definedName name="JedenRadekPodSestavou_2">#REF!</definedName>
    <definedName name="JedenRadekPodSestavou_28">#REF!</definedName>
    <definedName name="JedenRadekVedleSestavy">#REF!</definedName>
    <definedName name="JedenRadekVedleSestavy_11">#REF!</definedName>
    <definedName name="JedenRadekVedleSestavy_2">#REF!</definedName>
    <definedName name="JedenRadekVedleSestavy_28">#REF!</definedName>
    <definedName name="jg">#REF!</definedName>
    <definedName name="jkl" hidden="1">{"Savings",#N/A,FALSE,"AN Net Receipts"}</definedName>
    <definedName name="jkl_1" hidden="1">{"Savings",#N/A,FALSE,"AN Net Receipts"}</definedName>
    <definedName name="JournalSelection">#REF!</definedName>
    <definedName name="JUL">#REF!</definedName>
    <definedName name="k">#REF!</definedName>
    <definedName name="KC">#REF!</definedName>
    <definedName name="KF">#REF!</definedName>
    <definedName name="KG">#REF!</definedName>
    <definedName name="legal1">#REF!</definedName>
    <definedName name="legal2">#REF!</definedName>
    <definedName name="legal3">#REF!</definedName>
    <definedName name="LiborCrystalIndex">#REF!</definedName>
    <definedName name="LINECOLLATERAL">#REF!</definedName>
    <definedName name="LIST_SOC">#REF!</definedName>
    <definedName name="LnAge">#REF!</definedName>
    <definedName name="LNDATA">#REF!</definedName>
    <definedName name="Local_currency_units">#REF!</definedName>
    <definedName name="lstCountries">#REF!</definedName>
    <definedName name="lstCurrencies">#REF!</definedName>
    <definedName name="lstProductUSorOther">#REF!</definedName>
    <definedName name="MADRID_AÑO_REPER">#REF!</definedName>
    <definedName name="MADRID_MES_REPER">#REF!</definedName>
    <definedName name="MAIN_CATEGORY">#REF!</definedName>
    <definedName name="MANAG_AÑO_CONTAB">#REF!</definedName>
    <definedName name="MANAG_AÑO_REPER">#REF!</definedName>
    <definedName name="MANAG_MES_CONTAB">#REF!</definedName>
    <definedName name="MANAG_MES_REPER">#REF!</definedName>
    <definedName name="MARZO">#REF!</definedName>
    <definedName name="MÁSTER">#REF!</definedName>
    <definedName name="MAV">#REF!</definedName>
    <definedName name="MAVAL">#REF!</definedName>
    <definedName name="MaxOblastTabulky">#REF!</definedName>
    <definedName name="MaxOblastTabulky_11">#REF!</definedName>
    <definedName name="MaxOblastTabulky_2">#REF!</definedName>
    <definedName name="MaxOblastTabulky_28">#REF!</definedName>
    <definedName name="MENSUALES">#REF!</definedName>
    <definedName name="MESES">#REF!</definedName>
    <definedName name="MOEND">#REF!</definedName>
    <definedName name="MOEND_YE">#REF!</definedName>
    <definedName name="MOENDYE">#REF!</definedName>
    <definedName name="Moneda">#REF!</definedName>
    <definedName name="month">#REF!</definedName>
    <definedName name="month_lookup">#REF!</definedName>
    <definedName name="monthlong">#REF!</definedName>
    <definedName name="MOSUB">#REF!</definedName>
    <definedName name="MOVTX">#REF!</definedName>
    <definedName name="MPINS">#REF!</definedName>
    <definedName name="myData">OFFSET(#REF!,0,0,MATCH("*",#REF!,-1),6)</definedName>
    <definedName name="myFilterSelection">#REF!</definedName>
    <definedName name="myPivotTable">#REF!</definedName>
    <definedName name="myPivotTableStart">#REF!</definedName>
    <definedName name="N12.">#REF!</definedName>
    <definedName name="NEGATIVE_FAIR_VALUE">#REF!</definedName>
    <definedName name="NIIvarianceactmth">#REF!</definedName>
    <definedName name="NIIVarianceactmthQ3">#REF!</definedName>
    <definedName name="NIIvarianceactYTD">#REF!</definedName>
    <definedName name="NIIvarianceactytdQ3">#REF!</definedName>
    <definedName name="NIIvariancefcsmth">#REF!</definedName>
    <definedName name="NIIvariancefcsmthQ3">#REF!</definedName>
    <definedName name="NIIvariancefcsytd">#REF!</definedName>
    <definedName name="NIIVariancefcsytdQ3">#REF!</definedName>
    <definedName name="NIVEL_SOC_AJ">#REF!</definedName>
    <definedName name="nm" hidden="1">#REF!</definedName>
    <definedName name="nnn">#REF!</definedName>
    <definedName name="NODER">#REF!</definedName>
    <definedName name="NOMINAL">#REF!</definedName>
    <definedName name="Nominal_Intereses">#REF!</definedName>
    <definedName name="nominal_neto">#REF!</definedName>
    <definedName name="NOTIONAL">#REF!</definedName>
    <definedName name="NPI">#REF!</definedName>
    <definedName name="OblastDat2">#REF!</definedName>
    <definedName name="OblastDat2_11">#REF!</definedName>
    <definedName name="OblastDat2_2">#REF!</definedName>
    <definedName name="OblastDat2_28">#REF!</definedName>
    <definedName name="OblastNadpisuRadku">#REF!</definedName>
    <definedName name="OblastNadpisuRadku_11">#REF!</definedName>
    <definedName name="OblastNadpisuRadku_2">#REF!</definedName>
    <definedName name="OblastNadpisuRadku_28">#REF!</definedName>
    <definedName name="OblastNadpisuSloupcu">#REF!</definedName>
    <definedName name="OblastNadpisuSloupcu_11">#REF!</definedName>
    <definedName name="OblastNadpisuSloupcu_2">#REF!</definedName>
    <definedName name="OblastNadpisuSloupcu_28">#REF!</definedName>
    <definedName name="OCEA">#REF!</definedName>
    <definedName name="OCI_BRUTO_EFECTO_FISCAL">#REF!</definedName>
    <definedName name="OldRunDate">#REF!</definedName>
    <definedName name="OnServer">#REF!</definedName>
    <definedName name="opfut_banxico">#REF!</definedName>
    <definedName name="opfut_sensibilidad">#REF!</definedName>
    <definedName name="opfut_valuación">#REF!</definedName>
    <definedName name="ORIGEN_INMOVILIZADO">#REF!</definedName>
    <definedName name="OTC_VAL">#REF!</definedName>
    <definedName name="OTROS_AÑO_CONTAB">#REF!</definedName>
    <definedName name="OTROS_AÑO_REPER">#REF!</definedName>
    <definedName name="OTROS_MES_CONTAB">#REF!</definedName>
    <definedName name="OTROS_MES_REPER">#REF!</definedName>
    <definedName name="Output">#REF!</definedName>
    <definedName name="outputCell">#REF!</definedName>
    <definedName name="P_ACDVR">#REF!</definedName>
    <definedName name="P_ACPAL">#REF!</definedName>
    <definedName name="P_ACTAD">#REF!</definedName>
    <definedName name="P_ACTMA">#REF!</definedName>
    <definedName name="P_ALLOW">#REF!</definedName>
    <definedName name="P_AMEE">#REF!</definedName>
    <definedName name="P_APAL">#REF!</definedName>
    <definedName name="P_AVOMA">#REF!</definedName>
    <definedName name="P_BMEXT">#REF!</definedName>
    <definedName name="P_CRFDV">#REF!</definedName>
    <definedName name="P_CRFIC">#REF!</definedName>
    <definedName name="P_DERIV">#REF!</definedName>
    <definedName name="P_DPCSP">#REF!</definedName>
    <definedName name="P_DPI">#REF!</definedName>
    <definedName name="P_FINVE">#REF!</definedName>
    <definedName name="P_GASPE">#REF!</definedName>
    <definedName name="P_HIBRI">#REF!</definedName>
    <definedName name="P_ICCDE">#REF!</definedName>
    <definedName name="P_ICDPV">#REF!</definedName>
    <definedName name="P_ICFON">#REF!</definedName>
    <definedName name="P_IN20F">#REF!</definedName>
    <definedName name="P_INDEU">#REF!</definedName>
    <definedName name="P_IPF">#REF!</definedName>
    <definedName name="P_MAV">#REF!</definedName>
    <definedName name="P_MOEND">#REF!</definedName>
    <definedName name="P_MOVTX">#REF!</definedName>
    <definedName name="P_MPINS">#REF!</definedName>
    <definedName name="P_NODER">#REF!</definedName>
    <definedName name="P_PAYTX">#REF!</definedName>
    <definedName name="P_PERNO">#REF!</definedName>
    <definedName name="P_PLASG">#REF!</definedName>
    <definedName name="P_PLAZO">#REF!</definedName>
    <definedName name="P_PYASE">#REF!</definedName>
    <definedName name="P_RCFUB">#REF!</definedName>
    <definedName name="P_RECON">#REF!</definedName>
    <definedName name="P_REFIN">#REF!</definedName>
    <definedName name="P_REFN">#REF!</definedName>
    <definedName name="P_RICON">#REF!</definedName>
    <definedName name="P_RPLOC">#REF!</definedName>
    <definedName name="P_SYCTX">#REF!</definedName>
    <definedName name="P_TAXES">#REF!</definedName>
    <definedName name="P_TECVA">#REF!</definedName>
    <definedName name="P_VENAN">#REF!</definedName>
    <definedName name="Paraanalistas">#REF!</definedName>
    <definedName name="param_account">#REF!</definedName>
    <definedName name="param_account_level">#REF!</definedName>
    <definedName name="param_account_name">#REF!</definedName>
    <definedName name="param_account_order">#REF!</definedName>
    <definedName name="param_contyp">#REF!</definedName>
    <definedName name="param_database">#REF!</definedName>
    <definedName name="param_entity_level">#REF!</definedName>
    <definedName name="param_entity_order">#REF!</definedName>
    <definedName name="param_Epassword">#REF!</definedName>
    <definedName name="param_Eserver">#REF!</definedName>
    <definedName name="param_Eusername">#REF!</definedName>
    <definedName name="param_month_name">#REF!</definedName>
    <definedName name="param_password">#REF!</definedName>
    <definedName name="param_periodicity">#REF!</definedName>
    <definedName name="param_sqlip">#REF!</definedName>
    <definedName name="param_username">#REF!</definedName>
    <definedName name="param_version_name">#REF!</definedName>
    <definedName name="Parameters">#REF!</definedName>
    <definedName name="PARTOT">#REF!</definedName>
    <definedName name="PASUB">#REF!</definedName>
    <definedName name="PASUB2562">#REF!</definedName>
    <definedName name="PATRED">#REF!</definedName>
    <definedName name="PAYTX">#REF!</definedName>
    <definedName name="pCounterparty">#REF!</definedName>
    <definedName name="pDB">#REF!</definedName>
    <definedName name="PERFORMING">#REF!</definedName>
    <definedName name="Period">#REF!</definedName>
    <definedName name="PERIODS">#REF!</definedName>
    <definedName name="PERNO">#REF!</definedName>
    <definedName name="pGetDate">#REF!</definedName>
    <definedName name="PLASG">#REF!</definedName>
    <definedName name="PLAZO">#REF!</definedName>
    <definedName name="PLROF">#REF!</definedName>
    <definedName name="plus" hidden="1">{"Savings",#N/A,FALSE,"AN Net Receipts"}</definedName>
    <definedName name="plus_1" hidden="1">{"Savings",#N/A,FALSE,"AN Net Receipts"}</definedName>
    <definedName name="pMateriality">#REF!</definedName>
    <definedName name="POCIS">#REF!</definedName>
    <definedName name="POS_CAMBIARIA">#REF!</definedName>
    <definedName name="POSITIVE_FAIR_VALUE">#REF!</definedName>
    <definedName name="pPassword">#REF!</definedName>
    <definedName name="pPeriod">#REF!</definedName>
    <definedName name="PREFERENTES">#REF!</definedName>
    <definedName name="pRelationship">#REF!</definedName>
    <definedName name="Prima_Dolares">#REF!</definedName>
    <definedName name="Prima_Pesos">#REF!</definedName>
    <definedName name="Prima_Pesos_USD">#REF!</definedName>
    <definedName name="Primas_Descuento">#REF!</definedName>
    <definedName name="_xlnm.Print_Area">#N/A</definedName>
    <definedName name="Print_Area_MI">#REF!</definedName>
    <definedName name="Print_Area_MI_11">#REF!</definedName>
    <definedName name="Print_Area_MI_2">#REF!</definedName>
    <definedName name="Print_Area_MI_28">#REF!</definedName>
    <definedName name="_xlnm.Print_Titles">#N/A</definedName>
    <definedName name="Print_Titles_MI">#REF!</definedName>
    <definedName name="Print_Titles_MI_11">#REF!</definedName>
    <definedName name="Print_Titles_MI_2">#REF!</definedName>
    <definedName name="Print_Titles_MI_28">#REF!</definedName>
    <definedName name="Process">#REF!</definedName>
    <definedName name="PRODUCTO">#REF!</definedName>
    <definedName name="PRODUCTO_SATELITES">#REF!</definedName>
    <definedName name="ProfitShareIndexNo">#REF!</definedName>
    <definedName name="ProfitShareSummary">#REF!</definedName>
    <definedName name="PropDOCToRunDate">#REF!</definedName>
    <definedName name="PROPOSITO_INMOVILIZADO_MATERIAL">#REF!</definedName>
    <definedName name="pServer">#REF!</definedName>
    <definedName name="pUsername">#REF!</definedName>
    <definedName name="pVersion">#REF!</definedName>
    <definedName name="PYASE">#REF!</definedName>
    <definedName name="qaz">#REF!</definedName>
    <definedName name="qee">#REF!</definedName>
    <definedName name="qw">#REF!</definedName>
    <definedName name="qwer">#REF!</definedName>
    <definedName name="RangoBORRAR">#REF!</definedName>
    <definedName name="RANGOCOPIAR">#REF!</definedName>
    <definedName name="RANGOCOPIAR2">#REF!</definedName>
    <definedName name="RCFUB_1">#REF!</definedName>
    <definedName name="RCFUB_1_valid">#REF!</definedName>
    <definedName name="RCFUB_result">#REF!</definedName>
    <definedName name="Rdo_vta_autocartera">#REF!</definedName>
    <definedName name="Re">#REF!</definedName>
    <definedName name="recalc1">#N/A</definedName>
    <definedName name="RECON">#REF!</definedName>
    <definedName name="REFIN">#REF!</definedName>
    <definedName name="REFN">#REF!</definedName>
    <definedName name="Reg">#REF!</definedName>
    <definedName name="Report_Input">#REF!</definedName>
    <definedName name="Report_Title">#REF!</definedName>
    <definedName name="REPORTE_BANXICO">#REF!</definedName>
    <definedName name="Reporting">#REF!</definedName>
    <definedName name="RESERVAS_RESTRINGIDAS">#REF!</definedName>
    <definedName name="resumar97acu">#REF!</definedName>
    <definedName name="RESUMEN">#REF!</definedName>
    <definedName name="RESUMEN_FWD">#REF!</definedName>
    <definedName name="RESUMEN_FX">#REF!</definedName>
    <definedName name="ret">#REF!</definedName>
    <definedName name="Retrieve2005">#REF!</definedName>
    <definedName name="Retrieve2006">#REF!</definedName>
    <definedName name="rfgf">#REF!</definedName>
    <definedName name="RFIJ_1">#REF!</definedName>
    <definedName name="RFIJ_1_valid">#REF!</definedName>
    <definedName name="RFIJ_2">#REF!</definedName>
    <definedName name="RFIJ_2_valid">#REF!</definedName>
    <definedName name="RFIJ_3">#REF!</definedName>
    <definedName name="RFIJ_3_valid">#REF!</definedName>
    <definedName name="RFIJ_4">#REF!</definedName>
    <definedName name="RFIJ_4_valid">#REF!</definedName>
    <definedName name="RFIJ_5">#REF!</definedName>
    <definedName name="RFIJ_5_valid">#REF!</definedName>
    <definedName name="RFIJ_class_of_securities">#REF!</definedName>
    <definedName name="RFIJ_result">#REF!</definedName>
    <definedName name="RICON">#REF!</definedName>
    <definedName name="RIESGO_OPERATIVO">#REF!</definedName>
    <definedName name="RIESGO_TOMADOR">#REF!</definedName>
    <definedName name="Rof">#REF!</definedName>
    <definedName name="Rounding">#REF!</definedName>
    <definedName name="rounding1">#REF!</definedName>
    <definedName name="RPLOC">#REF!</definedName>
    <definedName name="RunDateMinusOne">#REF!</definedName>
    <definedName name="RVBL_0">#REF!</definedName>
    <definedName name="RVBL_1">#REF!</definedName>
    <definedName name="RVBL_1_valid">#REF!</definedName>
    <definedName name="RVBL_150_result">#REF!</definedName>
    <definedName name="RVBL_2">#REF!</definedName>
    <definedName name="RVBL_2_valid">#REF!</definedName>
    <definedName name="RVBL_3">#REF!</definedName>
    <definedName name="RVBL_3_valid">#REF!</definedName>
    <definedName name="RVBL_4">#REF!</definedName>
    <definedName name="RVBL_4_valid">#REF!</definedName>
    <definedName name="RVBL_5">#REF!</definedName>
    <definedName name="RVBL_5_valid">#REF!</definedName>
    <definedName name="RVBL_6">#REF!</definedName>
    <definedName name="RVBL_6_valid">#REF!</definedName>
    <definedName name="RVBL_7">#REF!</definedName>
    <definedName name="RVBL_Auto">#REF!</definedName>
    <definedName name="RVBL_class_of_securities">#REF!</definedName>
    <definedName name="RVBL_port_type_1">#REF!</definedName>
    <definedName name="RVBL_port_type_2">#REF!</definedName>
    <definedName name="RVBL_port_type_3">#REF!</definedName>
    <definedName name="RVBL_port_type_4">#REF!</definedName>
    <definedName name="RVBL_port_type_5">#REF!</definedName>
    <definedName name="RVBL_port_type_6">#REF!</definedName>
    <definedName name="RVBL_result">#REF!</definedName>
    <definedName name="s">#REF!</definedName>
    <definedName name="SaleEXP">#REF!</definedName>
    <definedName name="SantportD">#REF!</definedName>
    <definedName name="SantportE">#REF!</definedName>
    <definedName name="SCAUT">#REF!</definedName>
    <definedName name="Schedule_A1">#REF!</definedName>
    <definedName name="Schedule_A3.1">#REF!</definedName>
    <definedName name="Schedule_A3.2">#REF!</definedName>
    <definedName name="Schedule_B1">#REF!</definedName>
    <definedName name="Schedule_B4">#REF!</definedName>
    <definedName name="Schedule_B5">#REF!</definedName>
    <definedName name="Section1_150ValTotal">#REF!</definedName>
    <definedName name="SECTOR">#REF!</definedName>
    <definedName name="SECTOR2">#REF!</definedName>
    <definedName name="SecurityMessage">#REF!</definedName>
    <definedName name="SecurityMessage2">#REF!</definedName>
    <definedName name="SecurityMessage3">#REF!</definedName>
    <definedName name="SecurityMessage4">#REF!</definedName>
    <definedName name="selection_requirement">#REF!</definedName>
    <definedName name="SENS_FUTUROS">#REF!</definedName>
    <definedName name="SENSIBILIDAD">#REF!</definedName>
    <definedName name="SettlementDate">#REF!</definedName>
    <definedName name="sg_activity">#REF!</definedName>
    <definedName name="sg_audit_cif">#REF!</definedName>
    <definedName name="sg_audit_exer">#REF!</definedName>
    <definedName name="sg_audit_exists">#REF!</definedName>
    <definedName name="sg_audit_inscription_data">#REF!</definedName>
    <definedName name="sg_audit_obligatory">#REF!</definedName>
    <definedName name="sg_audit_social_denomination">#REF!</definedName>
    <definedName name="sg_cargabal_code">#REF!</definedName>
    <definedName name="sg_country">#REF!</definedName>
    <definedName name="sg_excercise_end">#REF!</definedName>
    <definedName name="sg_legal_form">#REF!</definedName>
    <definedName name="sg_local_identification">#REF!</definedName>
    <definedName name="sg_province_state">#REF!</definedName>
    <definedName name="sg_registry_name">#REF!</definedName>
    <definedName name="sg_status_detail">#REF!</definedName>
    <definedName name="sg_status_form">#REF!</definedName>
    <definedName name="sg_statutory_address">#REF!</definedName>
    <definedName name="sg_statutory_purpose">#REF!</definedName>
    <definedName name="sg_supervision_area_unit">#REF!</definedName>
    <definedName name="sg_supervision_division">#REF!</definedName>
    <definedName name="sg_zip_postalcode">#REF!</definedName>
    <definedName name="SGRAL_1">#REF!</definedName>
    <definedName name="SGRAL_1_valid">#REF!</definedName>
    <definedName name="SGRAL_2">#REF!</definedName>
    <definedName name="SGRAL_2_valid">#REF!</definedName>
    <definedName name="SGRAL_3">#REF!</definedName>
    <definedName name="SGRAL_3_valid">#REF!</definedName>
    <definedName name="SGRAL_4">#REF!</definedName>
    <definedName name="SGRAL_4_valid">#REF!</definedName>
    <definedName name="sgral_capital_type">#REF!</definedName>
    <definedName name="sgral_end_date">#REF!</definedName>
    <definedName name="sgral_form">#REF!</definedName>
    <definedName name="sgral_list">#REF!</definedName>
    <definedName name="sgral_registry">#REF!</definedName>
    <definedName name="SGRAL_result">#REF!</definedName>
    <definedName name="SGRAL_VAL">#REF!</definedName>
    <definedName name="ShortTermLiborIndex">#REF!</definedName>
    <definedName name="SpainCreditFacilitieswCollaterals">#REF!</definedName>
    <definedName name="SPAINLCRRSK">#REF!</definedName>
    <definedName name="SPAINLNRSK">#REF!</definedName>
    <definedName name="SPAINOVDRSK">#REF!</definedName>
    <definedName name="SpnLnRsk">#REF!</definedName>
    <definedName name="ss">#REF!</definedName>
    <definedName name="sss">#REF!</definedName>
    <definedName name="st..">#REF!</definedName>
    <definedName name="start_row_2">#REF!</definedName>
    <definedName name="startRow">#REF!</definedName>
    <definedName name="SUBMAIN_CATEGORY">#REF!</definedName>
    <definedName name="SUBMAIN_CATEGORY_2">#REF!</definedName>
    <definedName name="SUBMAIN_CATEGORY_3">#REF!</definedName>
    <definedName name="SUBORDINATED">#REF!</definedName>
    <definedName name="SUBPRODUCTO">#REF!</definedName>
    <definedName name="SUCEX">#REF!</definedName>
    <definedName name="sxxx">#REF!</definedName>
    <definedName name="SYCTX">#REF!</definedName>
    <definedName name="TABLA">#REF!</definedName>
    <definedName name="Tasa_actual">#REF!</definedName>
    <definedName name="tasa_mercado">#REF!</definedName>
    <definedName name="tasa182">#REF!</definedName>
    <definedName name="tasa28">#REF!</definedName>
    <definedName name="tasa364">#REF!</definedName>
    <definedName name="tasa91">#REF!</definedName>
    <definedName name="TasasMedias">#REF!</definedName>
    <definedName name="TAXES">#REF!</definedName>
    <definedName name="TCGRUPO_AÑO_CONTAB">#REF!</definedName>
    <definedName name="TCGRUPO_AÑO_REPER">#REF!</definedName>
    <definedName name="TCGRUPO_MES_CONTAB">#REF!</definedName>
    <definedName name="TCGRUPO_MES_REPER">#REF!</definedName>
    <definedName name="TCORP_AÑO_CONTAB">#REF!</definedName>
    <definedName name="TCORP_AÑO_REPER">#REF!</definedName>
    <definedName name="TCORP_MES_CONTAB">#REF!</definedName>
    <definedName name="TCORP_MES_REPER">#REF!</definedName>
    <definedName name="TECVA">#REF!</definedName>
    <definedName name="Templates">#REF!</definedName>
    <definedName name="Test">#REF!</definedName>
    <definedName name="TextRefCopy1">#REF!</definedName>
    <definedName name="TextRefCopy2">#REF!</definedName>
    <definedName name="TextRefCopyRangeCount" hidden="1">2</definedName>
    <definedName name="tipo">#REF!</definedName>
    <definedName name="Tipo_controlo">#REF!</definedName>
    <definedName name="TIPO_RESERVA">#REF!</definedName>
    <definedName name="Tipocontrolo">#REF!</definedName>
    <definedName name="tipos_senior">#REF!</definedName>
    <definedName name="TITULIZA_AÑO_CONTAB">#REF!</definedName>
    <definedName name="TITULIZA_AÑO_REPER">#REF!</definedName>
    <definedName name="TITULIZA_MES_CONTAB">#REF!</definedName>
    <definedName name="TITULIZA_MES_REPER">#REF!</definedName>
    <definedName name="TOTAL_AÑO_CONTAB">#REF!</definedName>
    <definedName name="TOTAL_MES_CONTAB">#REF!</definedName>
    <definedName name="total_neto">#REF!</definedName>
    <definedName name="tr">#REF!</definedName>
    <definedName name="TRANSFERIDO">#REF!</definedName>
    <definedName name="TRASPRESAR_AÑO_CONTAB">#REF!</definedName>
    <definedName name="TRASPRESAR_AÑO_REPER">#REF!</definedName>
    <definedName name="TRASPRESAR_MES_CONTAB">#REF!</definedName>
    <definedName name="TRASPRESAR_MES_REPER">#REF!</definedName>
    <definedName name="TYPE_OF_MARKET">#REF!</definedName>
    <definedName name="type_of_portfolio">#REF!</definedName>
    <definedName name="TYPE_OF_RISK">#REF!</definedName>
    <definedName name="TYPE_OF_RISK_PL">#REF!</definedName>
    <definedName name="TYPEOFHEDGE">#REF!</definedName>
    <definedName name="Username">#REF!</definedName>
    <definedName name="USUARIOS">#REF!</definedName>
    <definedName name="Val_ACPAL1">#REF!</definedName>
    <definedName name="Val_ACPAL2">#REF!</definedName>
    <definedName name="Val_ACPAL3">#REF!</definedName>
    <definedName name="Val_DINFO1">#REF!</definedName>
    <definedName name="Val_DINFO2">#REF!</definedName>
    <definedName name="Val_DINFO3">#REF!</definedName>
    <definedName name="Val_DINFO4">#REF!</definedName>
    <definedName name="Val_EPES1">#REF!</definedName>
    <definedName name="Val_FINVE1">#REF!</definedName>
    <definedName name="Val_FINVE2">#REF!</definedName>
    <definedName name="Val_FINVE3">#REF!</definedName>
    <definedName name="VAL_MERCADO">#REF!</definedName>
    <definedName name="Val_RCFUB1">#REF!</definedName>
    <definedName name="Val_RCFUB2">#REF!</definedName>
    <definedName name="Val_RFIJ1">#REF!</definedName>
    <definedName name="Val_RFIJ10">#REF!</definedName>
    <definedName name="Val_RFIJ11">#REF!</definedName>
    <definedName name="Val_RFIJ12">#REF!</definedName>
    <definedName name="Val_RFIJ13">#REF!</definedName>
    <definedName name="Val_RFIJ14">#REF!</definedName>
    <definedName name="Val_RFIJ15">#REF!</definedName>
    <definedName name="Val_RFIJ2">#REF!</definedName>
    <definedName name="Val_RFIJ3">#REF!</definedName>
    <definedName name="Val_RFIJ4">#REF!</definedName>
    <definedName name="Val_RFIJ5">#REF!</definedName>
    <definedName name="Val_RFIJ6">#REF!</definedName>
    <definedName name="Val_RFIJ7">#REF!</definedName>
    <definedName name="Val_RFIJ8">#REF!</definedName>
    <definedName name="Val_RFIJ9">#REF!</definedName>
    <definedName name="Val_RVBL1">#REF!</definedName>
    <definedName name="Val_RVBL10">#REF!</definedName>
    <definedName name="Val_RVBL11">#REF!</definedName>
    <definedName name="Val_RVBL2">#REF!</definedName>
    <definedName name="Val_RVBL3">#REF!</definedName>
    <definedName name="Val_RVBL4">#REF!</definedName>
    <definedName name="Val_RVBL5">#REF!</definedName>
    <definedName name="Val_RVBL6">#REF!</definedName>
    <definedName name="Val_RVBL7">#REF!</definedName>
    <definedName name="Val_RVBL8">#REF!</definedName>
    <definedName name="Val_RVBL9">#REF!</definedName>
    <definedName name="Val_SGRAL1">#REF!</definedName>
    <definedName name="Validaciones">#REF!</definedName>
    <definedName name="validaciones_old">#REF!</definedName>
    <definedName name="VALOR_CONTABLE">#REF!</definedName>
    <definedName name="VALUACION_MDO">#REF!,#REF!</definedName>
    <definedName name="VENAN">#REF!</definedName>
    <definedName name="Ver_Rep_Lookup">#REF!</definedName>
    <definedName name="Version">#REF!</definedName>
    <definedName name="vlookup">#REF!</definedName>
    <definedName name="volf182">#REF!</definedName>
    <definedName name="volf28">#REF!</definedName>
    <definedName name="volf364">#REF!</definedName>
    <definedName name="volf91">#REF!</definedName>
    <definedName name="volm182">#REF!</definedName>
    <definedName name="volm28">#REF!</definedName>
    <definedName name="volm364">#REF!</definedName>
    <definedName name="volm91">#REF!</definedName>
    <definedName name="vt..">#REF!</definedName>
    <definedName name="vto.">#REF!</definedName>
    <definedName name="vww">#REF!</definedName>
    <definedName name="w" hidden="1">{"savings2",#N/A,FALSE,"AN Net Receipts"}</definedName>
    <definedName name="w_1" hidden="1">{"savings2",#N/A,FALSE,"AN Net Receipts"}</definedName>
    <definedName name="we">#REF!</definedName>
    <definedName name="wed" hidden="1">{"savings2",#N/A,FALSE,"AN Net Receipts"}</definedName>
    <definedName name="wed_1" hidden="1">{"savings2",#N/A,FALSE,"AN Net Receipts"}</definedName>
    <definedName name="weed" hidden="1">{"savings2",#N/A,FALSE,"AN Net Receipts"}</definedName>
    <definedName name="weed_1" hidden="1">{"savings2",#N/A,FALSE,"AN Net Receipts"}</definedName>
    <definedName name="WithEssbase">#REF!</definedName>
    <definedName name="wrn.Database2.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atabase2._1" hidden="1">{"psls2",#N/A,FALSE,"Savings database";"pslsper2",#N/A,FALSE,"Savings database";"qpsls2",#N/A,FALSE,"Savings database";"qpslsper2",#N/A,FALSE,"Savings database";"stock2",#N/A,FALSE,"Savings database";"stockper2",#N/A,FALSE,"Savings database"}</definedName>
    <definedName name="wrn.Display." hidden="1">{"first",#N/A,FALSE,"NR97 (2)";"second",#N/A,FALSE,"NR97 (2)";"third",#N/A,FALSE,"NR97 (2)";"fourth",#N/A,FALSE,"NR97 (2)";"final",#N/A,FALSE,"NR97 (2)"}</definedName>
    <definedName name="wrn.Display._1" hidden="1">{"first",#N/A,FALSE,"NR97 (2)";"second",#N/A,FALSE,"NR97 (2)";"third",#N/A,FALSE,"NR97 (2)";"fourth",#N/A,FALSE,"NR97 (2)";"final",#N/A,FALSE,"NR97 (2)"}</definedName>
    <definedName name="wrn.Everything." hidden="1">{"Save1",#N/A,FALSE,"Monthly";"Save2",#N/A,FALSE,"Quarter";"Liabilities",#N/A,FALSE,"Total Inflows97";"Market Inflows",#N/A,FALSE,"Market Inflows"}</definedName>
    <definedName name="wrn.Everything._1" hidden="1">{"Save1",#N/A,FALSE,"Monthly";"Save2",#N/A,FALSE,"Quarter";"Liabilities",#N/A,FALSE,"Total Inflows97";"Market Inflows",#N/A,FALSE,"Market Inflows"}</definedName>
    <definedName name="wrn.Q3." hidden="1">{#N/A,#N/A,FALSE,"Header";#N/A,#N/A,FALSE,"Q3";#N/A,#N/A,FALSE,"Q3";#N/A,#N/A,FALSE,"Q3";#N/A,#N/A,FALSE,"Q3"}</definedName>
    <definedName name="wrn.Q3._1" hidden="1">{#N/A,#N/A,FALSE,"Header";#N/A,#N/A,FALSE,"Q3";#N/A,#N/A,FALSE,"Q3";#N/A,#N/A,FALSE,"Q3";#N/A,#N/A,FALSE,"Q3"}</definedName>
    <definedName name="wsx">#REF!</definedName>
    <definedName name="x">#REF!</definedName>
    <definedName name="XBRL">#REF!</definedName>
    <definedName name="xf">#REF!</definedName>
    <definedName name="XREF_COLUMN_1" hidden="1">#REF!</definedName>
    <definedName name="XREF_COLUMN_2" hidden="1">#REF!</definedName>
    <definedName name="XREF_COLUMN_3" hidden="1">#REF!</definedName>
    <definedName name="XREF_COLUMN_4" hidden="1">#REF!</definedName>
    <definedName name="XREF_COLUMN_5" hidden="1">#REF!</definedName>
    <definedName name="XREF_COLUMN_7" hidden="1">#REF!</definedName>
    <definedName name="XRefColumnsCount" hidden="1">6</definedName>
    <definedName name="XRefCopy1" hidden="1">#REF!</definedName>
    <definedName name="XRefCopy10" hidden="1">#REF!</definedName>
    <definedName name="XRefCopy11" hidden="1">#REF!</definedName>
    <definedName name="XRefCopy11Row" hidden="1">#REF!</definedName>
    <definedName name="XRefCopy12" hidden="1">#REF!</definedName>
    <definedName name="XRefCopy12Row" hidden="1">#REF!</definedName>
    <definedName name="XRefCopy13" hidden="1">#REF!</definedName>
    <definedName name="XRefCopy13Row" hidden="1">#REF!</definedName>
    <definedName name="XRefCopy14" hidden="1">#REF!</definedName>
    <definedName name="XRefCopy14Row" hidden="1">#REF!</definedName>
    <definedName name="XRefCopy15" hidden="1">#REF!</definedName>
    <definedName name="XRefCopy15Row" hidden="1">#REF!</definedName>
    <definedName name="XRefCopy17Row" hidden="1">#REF!</definedName>
    <definedName name="XRefCopy18Row" hidden="1">#REF!</definedName>
    <definedName name="XRefCopy19Row" hidden="1">#REF!</definedName>
    <definedName name="XRefCopy1Row" hidden="1">#REF!</definedName>
    <definedName name="XRefCopy2" hidden="1">#REF!</definedName>
    <definedName name="XRefCopy20Row" hidden="1">#REF!</definedName>
    <definedName name="XRefCopy24" hidden="1">#REF!</definedName>
    <definedName name="XRefCopy24Row" hidden="1">#REF!</definedName>
    <definedName name="XRefCopy25" hidden="1">#REF!</definedName>
    <definedName name="XRefCopy25Row" hidden="1">#REF!</definedName>
    <definedName name="XRefCopy2Row" hidden="1">#REF!</definedName>
    <definedName name="XRefCopy3" hidden="1">#REF!</definedName>
    <definedName name="XRefCopy3Row" hidden="1">#REF!</definedName>
    <definedName name="XRefCopy4" hidden="1">#REF!</definedName>
    <definedName name="XRefCopy4Row" hidden="1">#REF!</definedName>
    <definedName name="XRefCopy6" hidden="1">#REF!</definedName>
    <definedName name="XRefCopy7" hidden="1">#REF!</definedName>
    <definedName name="XRefCopy7Row" hidden="1">#REF!</definedName>
    <definedName name="XRefCopy8" hidden="1">#REF!</definedName>
    <definedName name="XRefCopy8Row" hidden="1">#REF!</definedName>
    <definedName name="XRefCopy9" hidden="1">#REF!</definedName>
    <definedName name="XRefCopy99" hidden="1">#REF!</definedName>
    <definedName name="XRefCopy9Row" hidden="1">#REF!</definedName>
    <definedName name="XRefCopyRangeCount" hidden="1">10</definedName>
    <definedName name="XRefPaste10" hidden="1">#REF!</definedName>
    <definedName name="XRefPaste10Row" hidden="1">#REF!</definedName>
    <definedName name="XRefPaste11" hidden="1">#REF!</definedName>
    <definedName name="XRefPaste11Row" hidden="1">#REF!</definedName>
    <definedName name="XRefPaste12" hidden="1">#REF!</definedName>
    <definedName name="XRefPaste12Row" hidden="1">#REF!</definedName>
    <definedName name="XRefPaste13" hidden="1">#REF!</definedName>
    <definedName name="XRefPaste13Row" hidden="1">#REF!</definedName>
    <definedName name="XRefPaste1Row" hidden="1">#REF!</definedName>
    <definedName name="XRefPaste2" hidden="1">#REF!</definedName>
    <definedName name="XRefPaste2Row" hidden="1">#REF!</definedName>
    <definedName name="XRefPaste3" hidden="1">#REF!</definedName>
    <definedName name="XRefPaste3Row" hidden="1">#REF!</definedName>
    <definedName name="XRefPaste4" hidden="1">#REF!</definedName>
    <definedName name="XRefPaste4Row" hidden="1">#REF!</definedName>
    <definedName name="XRefPaste5Row" hidden="1">#REF!</definedName>
    <definedName name="XRefPaste6" hidden="1">#REF!</definedName>
    <definedName name="XRefPaste6Row" hidden="1">#REF!</definedName>
    <definedName name="XRefPaste7Row" hidden="1">#REF!</definedName>
    <definedName name="XRefPaste8Row" hidden="1">#REF!</definedName>
    <definedName name="XRefPaste9" hidden="1">#REF!</definedName>
    <definedName name="XRefPaste9Row" hidden="1">#REF!</definedName>
    <definedName name="XRefPasteRangeCount" hidden="1">13</definedName>
    <definedName name="xv">#REF!</definedName>
    <definedName name="xx">#REF!</definedName>
    <definedName name="xxf">#REF!</definedName>
    <definedName name="xxxf">#REF!</definedName>
    <definedName name="xxxx">#REF!</definedName>
    <definedName name="xxxxf">#REF!</definedName>
    <definedName name="xxxxx">#REF!</definedName>
    <definedName name="y" hidden="1">{"savings2",#N/A,FALSE,"AN Net Receipts"}</definedName>
    <definedName name="y_1" hidden="1">{"savings2",#N/A,FALSE,"AN Net Receipts"}</definedName>
    <definedName name="yeh">#REF!</definedName>
    <definedName name="yes_no">#REF!</definedName>
    <definedName name="yui" hidden="1">{"savings2",#N/A,FALSE,"AN Net Receipts"}</definedName>
    <definedName name="yui_1" hidden="1">{"savings2",#N/A,FALSE,"AN Net Receipts"}</definedName>
    <definedName name="zaq">#REF!</definedName>
    <definedName name="zxq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51" l="1"/>
  <c r="F8" i="51" s="1"/>
  <c r="E20" i="51"/>
  <c r="G20" i="51" s="1"/>
  <c r="E19" i="51"/>
  <c r="G19" i="51" s="1"/>
  <c r="E18" i="51"/>
  <c r="F18" i="51" s="1"/>
  <c r="E17" i="51"/>
  <c r="F17" i="51" s="1"/>
  <c r="E16" i="51"/>
  <c r="F16" i="51" s="1"/>
  <c r="E15" i="51"/>
  <c r="F15" i="51" s="1"/>
  <c r="E14" i="51"/>
  <c r="F14" i="51" s="1"/>
  <c r="E13" i="51"/>
  <c r="F13" i="51" s="1"/>
  <c r="E12" i="51"/>
  <c r="G12" i="51" s="1"/>
  <c r="E11" i="51"/>
  <c r="G11" i="51" s="1"/>
  <c r="E10" i="51"/>
  <c r="F10" i="51" s="1"/>
  <c r="E9" i="51"/>
  <c r="F9" i="51" s="1"/>
  <c r="E7" i="51"/>
  <c r="F7" i="51" s="1"/>
  <c r="F20" i="51" l="1"/>
  <c r="G14" i="51"/>
  <c r="F11" i="51"/>
  <c r="F19" i="51"/>
  <c r="G13" i="51"/>
  <c r="G7" i="51"/>
  <c r="G15" i="51"/>
  <c r="G8" i="51"/>
  <c r="G16" i="51"/>
  <c r="G9" i="51"/>
  <c r="G17" i="51"/>
  <c r="F12" i="51"/>
  <c r="G10" i="51"/>
  <c r="G18" i="51"/>
  <c r="F10" i="29"/>
</calcChain>
</file>

<file path=xl/sharedStrings.xml><?xml version="1.0" encoding="utf-8"?>
<sst xmlns="http://schemas.openxmlformats.org/spreadsheetml/2006/main" count="695" uniqueCount="83">
  <si>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</si>
  <si>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</si>
  <si>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</si>
  <si>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</si>
  <si>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</si>
  <si>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</si>
  <si>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</si>
  <si>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</si>
  <si>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</si>
  <si>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</si>
  <si>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</si>
  <si>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</si>
  <si>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</si>
  <si>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</si>
  <si>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</si>
  <si>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</si>
  <si>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</si>
  <si>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</si>
  <si>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</si>
  <si>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</si>
  <si>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</si>
  <si>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</si>
  <si>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</si>
  <si>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</si>
  <si>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t>contraparte</t>
  </si>
  <si>
    <t>amount</t>
  </si>
  <si>
    <t>outras instituicoes financeiras</t>
  </si>
  <si>
    <t>outras empresas nao financeiras</t>
  </si>
  <si>
    <t>a</t>
  </si>
  <si>
    <t>b</t>
  </si>
  <si>
    <t>c</t>
  </si>
  <si>
    <t>d</t>
  </si>
  <si>
    <t>e</t>
  </si>
  <si>
    <t>- A data deverá respeitar o seguinte formato: YYYY/MM/DD.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</si>
  <si>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</si>
  <si>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Templates</t>
    </r>
    <r>
      <rPr>
        <sz val="9"/>
        <color theme="1"/>
        <rFont val="Calibri"/>
        <family val="2"/>
        <scheme val="minor"/>
      </rPr>
      <t xml:space="preserve"> 10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</si>
  <si>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"10.Other mitigating actions"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</si>
  <si>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"bu_esg_work.ag10_temp_cto_gra".</t>
    </r>
  </si>
  <si>
    <t>conta</t>
  </si>
  <si>
    <t>tipo_colateral</t>
  </si>
  <si>
    <t>green_financial_instrument</t>
  </si>
  <si>
    <t>purpose_esg</t>
  </si>
  <si>
    <t>LOANS</t>
  </si>
  <si>
    <t>particulares</t>
  </si>
  <si>
    <t>Garantia Comercial</t>
  </si>
  <si>
    <t>GFI1</t>
  </si>
  <si>
    <t>BONDS</t>
  </si>
  <si>
    <t>PESG1</t>
  </si>
  <si>
    <t>Garantia Residencial</t>
  </si>
  <si>
    <t>Template 10 - Other climate change mitigating actions that are not covered in the EU Taxonomy</t>
  </si>
  <si>
    <t>f</t>
  </si>
  <si>
    <t>Type of financial instrument</t>
  </si>
  <si>
    <t>Type of counterparty</t>
  </si>
  <si>
    <t>Gross carrying amount (million EUR)</t>
  </si>
  <si>
    <t>Type of risk mitigated (Climate change transition risk)</t>
  </si>
  <si>
    <t>Type of risk mitigated (Climate change physical risk)</t>
  </si>
  <si>
    <t>Qualitative information on the nature of the mitigating actions</t>
  </si>
  <si>
    <t>Bonds (e.g. green, sustainable, sustainability-linked under standards other than the EU standards)</t>
  </si>
  <si>
    <t>Financial corporations</t>
  </si>
  <si>
    <t>Non-financial corporations</t>
  </si>
  <si>
    <t>Of which Loans collateralised by commercial immovable property</t>
  </si>
  <si>
    <t>Households</t>
  </si>
  <si>
    <t>Of which Loans collateralised by residential immovable property</t>
  </si>
  <si>
    <t>Of which building renovation loans</t>
  </si>
  <si>
    <t>Other counterparties</t>
  </si>
  <si>
    <t>Loans (e.g. green, sustainable, sustainability-linked under standards other than the EU standards)</t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</si>
  <si>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10 Granular_v2.0.sql" e </t>
    </r>
    <r>
      <rPr>
        <i/>
        <sz val="9"/>
        <color theme="1"/>
        <rFont val="Calibri"/>
        <family val="2"/>
        <scheme val="minor"/>
      </rPr>
      <t>"BS_Geracao Template 10 Agregado_v2.0.sql".</t>
    </r>
  </si>
  <si>
    <t>acute_changes</t>
  </si>
  <si>
    <t>chronic_changes</t>
  </si>
  <si>
    <t>flag_physical_risk</t>
  </si>
  <si>
    <t>Garantia Real</t>
  </si>
  <si>
    <t>GFI2</t>
  </si>
  <si>
    <t>ACUT2</t>
  </si>
  <si>
    <t>CHRO1</t>
  </si>
  <si>
    <t>Sem Garantia</t>
  </si>
  <si>
    <t>PESG4</t>
  </si>
  <si>
    <t>PESG3</t>
  </si>
  <si>
    <t>CHRO2</t>
  </si>
  <si>
    <t>setor publico</t>
  </si>
  <si>
    <t>instituicoes de credito</t>
  </si>
  <si>
    <t>ACUT1</t>
  </si>
  <si>
    <t>PESG2</t>
  </si>
  <si>
    <t>bancos centrais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</si>
</sst>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_-;\-* #,##0_-;_-* &quot;-&quot;??_-;_-@_-"/>
    <numFmt numFmtId="165" formatCode="_-* #,##0\ &quot;€&quot;_-;\-* #,##0\ &quot;€&quot;_-;_-* &quot;-&quot;??\ &quot;€&quot;_-;_-@_-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sz val="10"/>
      <color theme="1"/>
      <name val="Trebuchet MS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2" fillId="0" borderId="0"/>
    <xf numFmtId="0" fontId="22" fillId="0" borderId="0"/>
    <xf numFmtId="0" fontId="23" fillId="0" borderId="0"/>
    <xf numFmtId="43" fontId="24" fillId="0" borderId="0" applyFont="0" applyFill="0" applyBorder="0" applyAlignment="0" applyProtection="0"/>
    <xf numFmtId="44" fontId="24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4" fillId="0" borderId="0" xfId="0" applyFont="1"/>
    <xf numFmtId="0" fontId="14" fillId="0" borderId="0" xfId="0" applyFont="1"/>
    <xf numFmtId="0" fontId="13" fillId="0" borderId="0" xfId="0" applyFont="1"/>
    <xf numFmtId="0" fontId="2" fillId="0" borderId="0" xfId="0" applyFont="1" applyAlignment="1">
      <alignment vertical="center"/>
    </xf>
    <xf numFmtId="0" fontId="16" fillId="5" borderId="0" xfId="0" applyFont="1" applyFill="1" applyAlignment="1">
      <alignment horizontal="center" vertical="center" wrapText="1"/>
    </xf>
    <xf numFmtId="0" fontId="5" fillId="2" borderId="0" xfId="0" applyFont="1" applyFill="1"/>
    <xf numFmtId="0" fontId="5" fillId="0" borderId="0" xfId="0" applyFont="1"/>
    <xf numFmtId="0" fontId="5" fillId="0" borderId="0" xfId="0" applyFont="1" applyAlignment="1">
      <alignment horizontal="left" indent="1"/>
    </xf>
    <xf numFmtId="0" fontId="5" fillId="2" borderId="0" xfId="0" quotePrefix="1" applyFont="1" applyFill="1" applyAlignment="1">
      <alignment horizontal="left" indent="1"/>
    </xf>
    <xf numFmtId="0" fontId="19" fillId="4" borderId="12" xfId="0" applyFont="1" applyFill="1" applyBorder="1" applyAlignment="1">
      <alignment vertical="center"/>
    </xf>
    <xf numFmtId="0" fontId="3" fillId="4" borderId="12" xfId="0" applyFont="1" applyFill="1" applyBorder="1"/>
    <xf numFmtId="0" fontId="20" fillId="4" borderId="12" xfId="0" applyFont="1" applyFill="1" applyBorder="1"/>
    <xf numFmtId="0" fontId="9" fillId="2" borderId="0" xfId="0" applyFont="1" applyFill="1"/>
    <xf numFmtId="0" fontId="0" fillId="2" borderId="0" xfId="0" applyFill="1" applyProtection="1"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2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7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2" borderId="3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8" fillId="2" borderId="0" xfId="0" applyFont="1" applyFill="1" applyAlignment="1" applyProtection="1">
      <alignment horizontal="left"/>
      <protection locked="0"/>
    </xf>
    <xf numFmtId="0" fontId="3" fillId="2" borderId="0" xfId="0" applyFont="1" applyFill="1" applyAlignment="1" applyProtection="1">
      <alignment horizontal="centerContinuous"/>
      <protection locked="0"/>
    </xf>
    <xf numFmtId="14" fontId="8" fillId="3" borderId="7" xfId="0" applyNumberFormat="1" applyFont="1" applyFill="1" applyBorder="1" applyAlignment="1" applyProtection="1">
      <alignment horizontal="centerContinuous" wrapText="1"/>
      <protection locked="0"/>
    </xf>
    <xf numFmtId="0" fontId="0" fillId="2" borderId="8" xfId="0" applyFill="1" applyBorder="1" applyProtection="1">
      <protection locked="0"/>
    </xf>
    <xf numFmtId="0" fontId="1" fillId="2" borderId="0" xfId="0" applyFont="1" applyFill="1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11" fillId="0" borderId="0" xfId="0" applyFont="1" applyAlignment="1" applyProtection="1">
      <alignment horizontal="centerContinuous"/>
      <protection locked="0"/>
    </xf>
    <xf numFmtId="0" fontId="0" fillId="2" borderId="8" xfId="0" applyFill="1" applyBorder="1"/>
    <xf numFmtId="0" fontId="3" fillId="0" borderId="0" xfId="0" applyFont="1"/>
    <xf numFmtId="0" fontId="3" fillId="2" borderId="0" xfId="0" applyFont="1" applyFill="1"/>
    <xf numFmtId="0" fontId="20" fillId="2" borderId="1" xfId="0" applyFont="1" applyFill="1" applyBorder="1"/>
    <xf numFmtId="0" fontId="20" fillId="0" borderId="0" xfId="0" applyFont="1"/>
    <xf numFmtId="0" fontId="25" fillId="7" borderId="0" xfId="0" applyFont="1" applyFill="1"/>
    <xf numFmtId="0" fontId="26" fillId="7" borderId="0" xfId="0" applyFont="1" applyFill="1"/>
    <xf numFmtId="0" fontId="13" fillId="7" borderId="0" xfId="0" applyFont="1" applyFill="1"/>
    <xf numFmtId="0" fontId="25" fillId="7" borderId="13" xfId="0" applyFont="1" applyFill="1" applyBorder="1" applyAlignment="1">
      <alignment horizontal="center"/>
    </xf>
    <xf numFmtId="0" fontId="25" fillId="7" borderId="13" xfId="0" applyFont="1" applyFill="1" applyBorder="1"/>
    <xf numFmtId="164" fontId="25" fillId="7" borderId="13" xfId="4" applyNumberFormat="1" applyFont="1" applyFill="1" applyBorder="1"/>
    <xf numFmtId="0" fontId="25" fillId="0" borderId="13" xfId="0" applyFont="1" applyBorder="1"/>
    <xf numFmtId="0" fontId="25" fillId="7" borderId="13" xfId="0" applyFont="1" applyFill="1" applyBorder="1" applyAlignment="1">
      <alignment horizontal="left" indent="2"/>
    </xf>
    <xf numFmtId="164" fontId="25" fillId="0" borderId="13" xfId="4" applyNumberFormat="1" applyFont="1" applyFill="1" applyBorder="1"/>
    <xf numFmtId="165" fontId="27" fillId="0" borderId="0" xfId="5" applyNumberFormat="1" applyFont="1"/>
    <xf numFmtId="165" fontId="13" fillId="7" borderId="0" xfId="0" applyNumberFormat="1" applyFont="1" applyFill="1"/>
    <xf numFmtId="0" fontId="3" fillId="7" borderId="0" xfId="0" applyFont="1" applyFill="1"/>
    <xf numFmtId="0" fontId="12" fillId="6" borderId="0" xfId="0" applyFont="1" applyFill="1" applyAlignment="1">
      <alignment horizontal="left" vertical="center" wrapText="1" indent="1"/>
    </xf>
    <xf numFmtId="0" fontId="5" fillId="2" borderId="0" xfId="0" applyFont="1" applyFill="1" applyAlignment="1">
      <alignment horizontal="left" vertical="center" indent="1"/>
    </xf>
    <xf numFmtId="0" fontId="5" fillId="2" borderId="0" xfId="0" applyFont="1" applyFill="1" applyAlignment="1">
      <alignment horizontal="left" vertical="center" wrapText="1" indent="1"/>
    </xf>
    <xf numFmtId="0" fontId="12" fillId="4" borderId="0" xfId="0" applyFont="1" applyFill="1" applyAlignment="1">
      <alignment horizontal="left" vertical="center" wrapText="1" indent="1"/>
    </xf>
    <xf numFmtId="0" fontId="25" fillId="0" borderId="16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 wrapText="1"/>
    </xf>
    <xf numFmtId="0" fontId="25" fillId="7" borderId="14" xfId="0" applyFont="1" applyFill="1" applyBorder="1" applyAlignment="1">
      <alignment horizontal="center" vertical="center" wrapText="1"/>
    </xf>
    <xf numFmtId="0" fontId="25" fillId="7" borderId="15" xfId="0" applyFont="1" applyFill="1" applyBorder="1" applyAlignment="1">
      <alignment horizontal="center" vertical="center" wrapText="1"/>
    </xf>
    <xf numFmtId="0" fontId="25" fillId="7" borderId="16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/>
    </xf>
    <xf numFmtId="0" fontId="3" fillId="4" borderId="0" xfId="0" applyFont="1" applyFill="1"/>
  </cellXfs>
  <cellStyles count="6">
    <cellStyle name="Comma" xfId="4" builtinId="3"/>
    <cellStyle name="Currency" xfId="5" builtinId="4"/>
    <cellStyle name="Normal" xfId="0" builtinId="0"/>
    <cellStyle name="Normal 2 10" xfId="3" xr:uid="{00000000-0005-0000-0000-000003000000}"/>
    <cellStyle name="Normal 3 2 7" xfId="2" xr:uid="{00000000-0005-0000-0000-000004000000}"/>
    <cellStyle name="Normal 3 5 4" xfId="1" xr:uid="{00000000-0005-0000-0000-000005000000}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16670" y="1750060"/>
          <a:ext cx="156639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55322" y="2495162"/>
          <a:ext cx="156011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788119" y="1749476"/>
          <a:ext cx="157027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39909" y="1741164"/>
          <a:ext cx="59417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87311</xdr:colOff>
      <xdr:row>31</xdr:row>
      <xdr:rowOff>142876</xdr:rowOff>
    </xdr:from>
    <xdr:to>
      <xdr:col>10</xdr:col>
      <xdr:colOff>273269</xdr:colOff>
      <xdr:row>34</xdr:row>
      <xdr:rowOff>74814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r="53215"/>
        <a:stretch/>
      </xdr:blipFill>
      <xdr:spPr>
        <a:xfrm>
          <a:off x="2231421" y="5387538"/>
          <a:ext cx="2377365" cy="3891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X65"/>
  <sheetViews>
    <sheetView showGridLines="0" zoomScaleNormal="100" workbookViewId="0">
      <pane ySplit="4" topLeftCell="A6" activePane="bottomLeft" state="frozen"/>
      <selection pane="bottomLeft" activeCell="A9" sqref="A9:A10"/>
    </sheetView>
  </sheetViews>
  <sheetFormatPr defaultColWidth="0" defaultRowHeight="0" customHeight="1" zeroHeight="1" x14ac:dyDescent="0.3"/>
  <cols>
    <col min="1" max="2" width="3.5546875" customWidth="1"/>
    <col min="3" max="4" width="7.5546875" customWidth="1"/>
    <col min="5" max="5" width="0.44140625" customWidth="1"/>
    <col min="6" max="6" width="7.5546875" customWidth="1"/>
    <col min="7" max="7" width="0.44140625" customWidth="1"/>
    <col min="8" max="21" width="10.5546875" customWidth="1"/>
    <col min="22" max="22" width="14.44140625" customWidth="1"/>
    <col min="23" max="23" width="8.5546875" customWidth="1"/>
    <col min="24" max="24" width="3.5546875" customWidth="1"/>
  </cols>
  <sheetData>
    <row r="1" spans="1:24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4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4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1"/>
    </row>
    <row r="5" spans="1:24" s="6" customFormat="1" ht="15" thickTop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</row>
    <row r="6" spans="1:24" ht="15" customHeight="1" x14ac:dyDescent="0.3">
      <c r="A6" s="4"/>
      <c r="B6" s="13" t="s">
        <v>23</v>
      </c>
      <c r="C6" s="14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4"/>
    </row>
    <row r="7" spans="1:24" ht="8.1" customHeight="1" x14ac:dyDescent="0.3">
      <c r="A7" s="4"/>
      <c r="B7" s="7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</row>
    <row r="8" spans="1:24" s="6" customFormat="1" ht="14.4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</row>
    <row r="9" spans="1:24" ht="14.4" x14ac:dyDescent="0.3"/>
    <row r="10" spans="1:24" ht="14.4" x14ac:dyDescent="0.3"/>
    <row r="11" spans="1:24" ht="14.4" x14ac:dyDescent="0.3"/>
    <row r="12" spans="1:24" ht="14.4" x14ac:dyDescent="0.3"/>
    <row r="13" spans="1:24" ht="14.4" x14ac:dyDescent="0.3"/>
    <row r="14" spans="1:24" ht="14.4" x14ac:dyDescent="0.3"/>
    <row r="15" spans="1:24" ht="14.4" x14ac:dyDescent="0.3"/>
    <row r="16" spans="1:24" ht="14.4" x14ac:dyDescent="0.3"/>
    <row r="17" spans="2:22" ht="14.4" x14ac:dyDescent="0.3"/>
    <row r="18" spans="2:22" ht="14.4" x14ac:dyDescent="0.3"/>
    <row r="19" spans="2:22" ht="14.4" x14ac:dyDescent="0.3"/>
    <row r="20" spans="2:22" ht="14.4" x14ac:dyDescent="0.3"/>
    <row r="21" spans="2:22" ht="14.4" x14ac:dyDescent="0.3"/>
    <row r="22" spans="2:22" ht="14.4" x14ac:dyDescent="0.3"/>
    <row r="23" spans="2:22" ht="14.4" x14ac:dyDescent="0.3"/>
    <row r="24" spans="2:22" ht="13.35" customHeight="1" x14ac:dyDescent="0.3">
      <c r="B24" s="60" t="s">
        <v>4</v>
      </c>
      <c r="C24" s="60"/>
      <c r="D24" s="60"/>
      <c r="E24" s="8"/>
      <c r="F24" s="59" t="s">
        <v>66</v>
      </c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9"/>
      <c r="R24" s="9"/>
      <c r="S24" s="9"/>
      <c r="T24" s="9"/>
      <c r="U24" s="9"/>
      <c r="V24" s="9"/>
    </row>
    <row r="25" spans="2:22" ht="13.35" customHeight="1" x14ac:dyDescent="0.3">
      <c r="B25" s="60"/>
      <c r="C25" s="60"/>
      <c r="D25" s="60"/>
      <c r="E25" s="8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9"/>
      <c r="R25" s="9"/>
      <c r="S25" s="9"/>
      <c r="T25" s="9"/>
      <c r="U25" s="9"/>
      <c r="V25" s="9"/>
    </row>
    <row r="26" spans="2:22" ht="8.1" customHeight="1" x14ac:dyDescent="0.3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</row>
    <row r="27" spans="2:22" ht="12" customHeight="1" x14ac:dyDescent="0.3">
      <c r="B27" s="10"/>
      <c r="C27" s="57" t="s">
        <v>5</v>
      </c>
      <c r="D27" s="57"/>
      <c r="E27" s="57"/>
      <c r="F27" s="57"/>
      <c r="G27" s="8"/>
      <c r="H27" s="58" t="s">
        <v>37</v>
      </c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</row>
    <row r="28" spans="2:22" ht="12" customHeight="1" x14ac:dyDescent="0.3">
      <c r="B28" s="10"/>
      <c r="C28" s="57"/>
      <c r="D28" s="57"/>
      <c r="E28" s="57"/>
      <c r="F28" s="57"/>
      <c r="G28" s="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</row>
    <row r="29" spans="2:22" ht="3" customHeight="1" x14ac:dyDescent="0.3">
      <c r="B29" s="10"/>
      <c r="C29" s="11"/>
      <c r="D29" s="11"/>
      <c r="E29" s="11"/>
      <c r="F29" s="11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</row>
    <row r="30" spans="2:22" ht="12" customHeight="1" x14ac:dyDescent="0.3">
      <c r="B30" s="10"/>
      <c r="C30" s="57" t="s">
        <v>6</v>
      </c>
      <c r="D30" s="57"/>
      <c r="E30" s="57"/>
      <c r="F30" s="57"/>
      <c r="G30" s="8"/>
      <c r="H30" s="12" t="s">
        <v>34</v>
      </c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</row>
    <row r="31" spans="2:22" ht="12" customHeight="1" x14ac:dyDescent="0.3">
      <c r="B31" s="10"/>
      <c r="C31" s="57"/>
      <c r="D31" s="57"/>
      <c r="E31" s="57"/>
      <c r="F31" s="57"/>
      <c r="G31" s="8"/>
      <c r="H31" s="12" t="s">
        <v>33</v>
      </c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</row>
    <row r="32" spans="2:22" ht="12" customHeight="1" x14ac:dyDescent="0.3">
      <c r="B32" s="10"/>
      <c r="C32" s="57"/>
      <c r="D32" s="57"/>
      <c r="E32" s="57"/>
      <c r="F32" s="57"/>
      <c r="G32" s="8"/>
      <c r="H32" s="12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</row>
    <row r="33" spans="2:22" ht="12" customHeight="1" x14ac:dyDescent="0.3">
      <c r="B33" s="10"/>
      <c r="C33" s="57"/>
      <c r="D33" s="57"/>
      <c r="E33" s="57"/>
      <c r="F33" s="57"/>
      <c r="G33" s="8"/>
      <c r="H33" s="12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</row>
    <row r="34" spans="2:22" ht="12" customHeight="1" x14ac:dyDescent="0.3">
      <c r="B34" s="10"/>
      <c r="C34" s="57"/>
      <c r="D34" s="57"/>
      <c r="E34" s="57"/>
      <c r="F34" s="57"/>
      <c r="G34" s="8"/>
      <c r="H34" s="12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</row>
    <row r="35" spans="2:22" ht="12" customHeight="1" x14ac:dyDescent="0.3">
      <c r="B35" s="10"/>
      <c r="C35" s="57"/>
      <c r="D35" s="57"/>
      <c r="E35" s="57"/>
      <c r="F35" s="57"/>
      <c r="G35" s="8"/>
      <c r="H35" s="12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</row>
    <row r="36" spans="2:22" ht="12" customHeight="1" x14ac:dyDescent="0.3">
      <c r="B36" s="10"/>
      <c r="C36" s="57"/>
      <c r="D36" s="57"/>
      <c r="E36" s="57"/>
      <c r="F36" s="57"/>
      <c r="G36" s="8"/>
      <c r="H36" s="12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</row>
    <row r="37" spans="2:22" ht="3" customHeight="1" x14ac:dyDescent="0.3"/>
    <row r="38" spans="2:22" ht="12" customHeight="1" x14ac:dyDescent="0.3">
      <c r="B38" s="10"/>
      <c r="C38" s="57" t="s">
        <v>7</v>
      </c>
      <c r="D38" s="57"/>
      <c r="E38" s="57"/>
      <c r="F38" s="57"/>
      <c r="G38" s="8"/>
      <c r="H38" s="12" t="s">
        <v>8</v>
      </c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</row>
    <row r="39" spans="2:22" ht="12" customHeight="1" x14ac:dyDescent="0.3">
      <c r="B39" s="10"/>
      <c r="C39" s="57"/>
      <c r="D39" s="57"/>
      <c r="E39" s="57"/>
      <c r="F39" s="57"/>
      <c r="G39" s="8"/>
      <c r="H39" s="12" t="s">
        <v>9</v>
      </c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</row>
    <row r="40" spans="2:22" ht="3" customHeight="1" x14ac:dyDescent="0.3"/>
    <row r="41" spans="2:22" ht="12" customHeight="1" x14ac:dyDescent="0.3">
      <c r="B41" s="10"/>
      <c r="C41" s="57" t="s">
        <v>10</v>
      </c>
      <c r="D41" s="57"/>
      <c r="E41" s="57"/>
      <c r="F41" s="57"/>
      <c r="G41" s="8"/>
      <c r="H41" s="12" t="s">
        <v>11</v>
      </c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</row>
    <row r="42" spans="2:22" ht="12" customHeight="1" x14ac:dyDescent="0.3">
      <c r="B42" s="10"/>
      <c r="C42" s="57"/>
      <c r="D42" s="57"/>
      <c r="E42" s="57"/>
      <c r="F42" s="57"/>
      <c r="G42" s="8"/>
      <c r="H42" s="12" t="s">
        <v>12</v>
      </c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</row>
    <row r="43" spans="2:22" ht="10.35" customHeight="1" x14ac:dyDescent="0.3"/>
    <row r="44" spans="2:22" ht="13.35" customHeight="1" x14ac:dyDescent="0.3">
      <c r="B44" s="60" t="s">
        <v>13</v>
      </c>
      <c r="C44" s="60"/>
      <c r="D44" s="60"/>
      <c r="E44" s="8"/>
      <c r="F44" s="59" t="s">
        <v>20</v>
      </c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9"/>
      <c r="R44" s="9"/>
      <c r="S44" s="9"/>
      <c r="T44" s="9"/>
      <c r="U44" s="9"/>
      <c r="V44" s="9"/>
    </row>
    <row r="45" spans="2:22" ht="13.35" customHeight="1" x14ac:dyDescent="0.3">
      <c r="B45" s="60"/>
      <c r="C45" s="60"/>
      <c r="D45" s="60"/>
      <c r="E45" s="8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9"/>
      <c r="R45" s="9"/>
      <c r="S45" s="9"/>
      <c r="T45" s="9"/>
      <c r="U45" s="9"/>
      <c r="V45" s="9"/>
    </row>
    <row r="46" spans="2:22" ht="8.1" customHeight="1" x14ac:dyDescent="0.3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</row>
    <row r="47" spans="2:22" ht="12" customHeight="1" x14ac:dyDescent="0.3">
      <c r="B47" s="10"/>
      <c r="C47" s="57" t="s">
        <v>14</v>
      </c>
      <c r="D47" s="57"/>
      <c r="E47" s="57"/>
      <c r="F47" s="57"/>
      <c r="G47" s="8"/>
      <c r="H47" s="58" t="s">
        <v>15</v>
      </c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</row>
    <row r="48" spans="2:22" ht="12" customHeight="1" x14ac:dyDescent="0.3">
      <c r="B48" s="10"/>
      <c r="C48" s="57"/>
      <c r="D48" s="57"/>
      <c r="E48" s="57"/>
      <c r="F48" s="57"/>
      <c r="G48" s="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</row>
    <row r="49" spans="2:22" ht="3" customHeight="1" x14ac:dyDescent="0.3"/>
    <row r="50" spans="2:22" ht="12" customHeight="1" x14ac:dyDescent="0.3">
      <c r="B50" s="10"/>
      <c r="C50" s="57" t="s">
        <v>16</v>
      </c>
      <c r="D50" s="57"/>
      <c r="E50" s="57"/>
      <c r="F50" s="57"/>
      <c r="G50" s="8"/>
      <c r="H50" s="58" t="s">
        <v>21</v>
      </c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</row>
    <row r="51" spans="2:22" ht="12" customHeight="1" x14ac:dyDescent="0.3">
      <c r="B51" s="10"/>
      <c r="C51" s="57"/>
      <c r="D51" s="57"/>
      <c r="E51" s="57"/>
      <c r="F51" s="57"/>
      <c r="G51" s="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</row>
    <row r="52" spans="2:22" ht="3" customHeight="1" x14ac:dyDescent="0.3"/>
    <row r="53" spans="2:22" ht="12" customHeight="1" x14ac:dyDescent="0.3">
      <c r="B53" s="10"/>
      <c r="C53" s="57" t="s">
        <v>17</v>
      </c>
      <c r="D53" s="57"/>
      <c r="E53" s="57"/>
      <c r="F53" s="57"/>
      <c r="G53" s="8"/>
      <c r="H53" s="58" t="s">
        <v>22</v>
      </c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</row>
    <row r="54" spans="2:22" ht="12" customHeight="1" x14ac:dyDescent="0.3">
      <c r="B54" s="10"/>
      <c r="C54" s="57"/>
      <c r="D54" s="57"/>
      <c r="E54" s="57"/>
      <c r="F54" s="57"/>
      <c r="G54" s="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</row>
    <row r="55" spans="2:22" ht="3" customHeight="1" x14ac:dyDescent="0.3"/>
    <row r="56" spans="2:22" ht="12" customHeight="1" x14ac:dyDescent="0.3">
      <c r="B56" s="10"/>
      <c r="C56" s="57" t="s">
        <v>18</v>
      </c>
      <c r="D56" s="57"/>
      <c r="E56" s="57"/>
      <c r="F56" s="57"/>
      <c r="G56" s="8"/>
      <c r="H56" s="59" t="s">
        <v>35</v>
      </c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</row>
    <row r="57" spans="2:22" ht="12" customHeight="1" x14ac:dyDescent="0.3">
      <c r="B57" s="10"/>
      <c r="C57" s="57"/>
      <c r="D57" s="57"/>
      <c r="E57" s="57"/>
      <c r="F57" s="57"/>
      <c r="G57" s="8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</row>
    <row r="58" spans="2:22" ht="3" customHeight="1" x14ac:dyDescent="0.3"/>
    <row r="59" spans="2:22" ht="9" customHeight="1" x14ac:dyDescent="0.3"/>
    <row r="60" spans="2:22" ht="13.35" customHeight="1" x14ac:dyDescent="0.3">
      <c r="B60" s="60" t="s">
        <v>19</v>
      </c>
      <c r="C60" s="60"/>
      <c r="D60" s="60"/>
      <c r="E60" s="8"/>
      <c r="F60" s="59" t="s">
        <v>36</v>
      </c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9"/>
      <c r="R60" s="9"/>
      <c r="S60" s="9"/>
      <c r="T60" s="9"/>
      <c r="U60" s="9"/>
      <c r="V60" s="9"/>
    </row>
    <row r="61" spans="2:22" ht="13.35" customHeight="1" x14ac:dyDescent="0.3">
      <c r="B61" s="60"/>
      <c r="C61" s="60"/>
      <c r="D61" s="60"/>
      <c r="E61" s="8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9"/>
      <c r="R61" s="9"/>
      <c r="S61" s="9"/>
      <c r="T61" s="9"/>
      <c r="U61" s="9"/>
      <c r="V61" s="9"/>
    </row>
    <row r="62" spans="2:22" ht="14.4" x14ac:dyDescent="0.3"/>
    <row r="63" spans="2:22" ht="14.4" hidden="1" x14ac:dyDescent="0.3"/>
    <row r="64" spans="2:22" ht="14.85" hidden="1" customHeight="1" x14ac:dyDescent="0.3"/>
    <row r="65" ht="14.85" hidden="1" customHeight="1" x14ac:dyDescent="0.3"/>
  </sheetData>
  <mergeCells count="19">
    <mergeCell ref="C50:F51"/>
    <mergeCell ref="H50:V51"/>
    <mergeCell ref="B24:D25"/>
    <mergeCell ref="F24:P25"/>
    <mergeCell ref="C27:F28"/>
    <mergeCell ref="H27:V28"/>
    <mergeCell ref="C30:F36"/>
    <mergeCell ref="C38:F39"/>
    <mergeCell ref="C41:F42"/>
    <mergeCell ref="B44:D45"/>
    <mergeCell ref="F44:P45"/>
    <mergeCell ref="C47:F48"/>
    <mergeCell ref="H47:V48"/>
    <mergeCell ref="C53:F54"/>
    <mergeCell ref="H53:V54"/>
    <mergeCell ref="C56:F57"/>
    <mergeCell ref="H56:V57"/>
    <mergeCell ref="B60:D61"/>
    <mergeCell ref="F60:P61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5546875" style="24" customWidth="1"/>
    <col min="3" max="4" width="10.5546875" style="24" customWidth="1"/>
    <col min="5" max="5" width="5.5546875" style="24" customWidth="1"/>
    <col min="6" max="6" width="10.5546875" style="24" customWidth="1"/>
    <col min="7" max="7" width="8.5546875" style="24" customWidth="1"/>
    <col min="8" max="8" width="3.5546875" style="24" customWidth="1"/>
    <col min="9" max="13" width="10.5546875" style="24" hidden="1" customWidth="1"/>
    <col min="14" max="16384" width="8.88671875" style="24" hidden="1"/>
  </cols>
  <sheetData>
    <row r="1" spans="1:8" s="17" customFormat="1" ht="14.4" x14ac:dyDescent="0.3"/>
    <row r="2" spans="1:8" s="17" customFormat="1" ht="5.0999999999999996" customHeight="1" x14ac:dyDescent="0.3"/>
    <row r="3" spans="1:8" s="17" customFormat="1" ht="14.4" x14ac:dyDescent="0.3"/>
    <row r="4" spans="1:8" s="17" customFormat="1" ht="5.0999999999999996" customHeight="1" thickBot="1" x14ac:dyDescent="0.35">
      <c r="A4" s="18"/>
      <c r="B4" s="19"/>
      <c r="C4" s="19"/>
      <c r="D4" s="19"/>
      <c r="E4" s="19"/>
      <c r="F4" s="19"/>
      <c r="G4" s="19"/>
    </row>
    <row r="5" spans="1:8" s="17" customFormat="1" ht="8.1" customHeight="1" thickTop="1" x14ac:dyDescent="0.3">
      <c r="A5" s="20"/>
      <c r="B5" s="20"/>
      <c r="C5" s="20"/>
      <c r="D5" s="20"/>
      <c r="E5" s="20"/>
      <c r="F5" s="20"/>
      <c r="G5" s="20"/>
      <c r="H5" s="20"/>
    </row>
    <row r="6" spans="1:8" s="25" customFormat="1" ht="14.4" x14ac:dyDescent="0.3">
      <c r="A6" s="21"/>
      <c r="B6" s="22" t="s">
        <v>0</v>
      </c>
      <c r="C6" s="23"/>
      <c r="D6" s="23"/>
      <c r="E6" s="23"/>
      <c r="F6" s="23"/>
      <c r="G6" s="23"/>
      <c r="H6" s="24"/>
    </row>
    <row r="7" spans="1:8" s="25" customFormat="1" ht="3.9" customHeight="1" x14ac:dyDescent="0.3">
      <c r="A7" s="21"/>
      <c r="B7" s="26"/>
      <c r="C7" s="21"/>
      <c r="D7" s="21"/>
      <c r="E7" s="21"/>
      <c r="F7" s="21"/>
      <c r="G7" s="21"/>
      <c r="H7" s="24"/>
    </row>
    <row r="8" spans="1:8" s="25" customFormat="1" ht="8.1" customHeight="1" x14ac:dyDescent="0.3">
      <c r="A8" s="21"/>
      <c r="B8" s="27"/>
      <c r="C8" s="28"/>
      <c r="D8" s="28"/>
      <c r="E8" s="28"/>
      <c r="F8" s="28"/>
      <c r="G8" s="29"/>
      <c r="H8" s="24"/>
    </row>
    <row r="9" spans="1:8" s="25" customFormat="1" ht="14.4" x14ac:dyDescent="0.3">
      <c r="A9" s="24"/>
      <c r="B9" s="30"/>
      <c r="C9" s="31" t="s">
        <v>1</v>
      </c>
      <c r="D9" s="31"/>
      <c r="E9" s="32"/>
      <c r="F9" s="33">
        <v>45838</v>
      </c>
      <c r="G9" s="34"/>
      <c r="H9" s="24"/>
    </row>
    <row r="10" spans="1:8" s="25" customFormat="1" ht="8.1" customHeight="1" x14ac:dyDescent="0.3">
      <c r="A10" s="24"/>
      <c r="B10" s="30"/>
      <c r="C10" s="35"/>
      <c r="D10" s="35"/>
      <c r="E10" s="1"/>
      <c r="F10" s="16" t="str">
        <f>YEAR(F9)&amp;"-"&amp;TEXT(MONTH(F9),"00")&amp;"-"&amp;TEXT(DAY(F9),"00")</f>
        <v>2025-06-30</v>
      </c>
      <c r="G10" s="40"/>
      <c r="H10" s="24"/>
    </row>
    <row r="11" spans="1:8" s="25" customFormat="1" ht="8.1" customHeight="1" x14ac:dyDescent="0.3">
      <c r="A11" s="24"/>
      <c r="B11" s="30"/>
      <c r="C11" s="17"/>
      <c r="D11" s="17"/>
      <c r="E11" s="17"/>
      <c r="F11" s="17"/>
      <c r="G11" s="34"/>
      <c r="H11" s="24"/>
    </row>
    <row r="12" spans="1:8" s="25" customFormat="1" ht="14.4" x14ac:dyDescent="0.3">
      <c r="A12" s="24"/>
      <c r="B12" s="30"/>
      <c r="C12" s="31" t="s">
        <v>2</v>
      </c>
      <c r="D12" s="31"/>
      <c r="E12" s="32"/>
      <c r="F12" s="32"/>
      <c r="G12" s="34"/>
      <c r="H12" s="24"/>
    </row>
    <row r="13" spans="1:8" s="25" customFormat="1" ht="8.1" customHeight="1" x14ac:dyDescent="0.3">
      <c r="A13" s="24"/>
      <c r="B13" s="30"/>
      <c r="C13" s="17"/>
      <c r="D13" s="17"/>
      <c r="E13" s="17"/>
      <c r="F13" s="17"/>
      <c r="G13" s="34"/>
      <c r="H13" s="24"/>
    </row>
    <row r="14" spans="1:8" s="25" customFormat="1" ht="8.1" customHeight="1" x14ac:dyDescent="0.3">
      <c r="A14" s="24"/>
      <c r="B14" s="30"/>
      <c r="C14" s="17"/>
      <c r="D14" s="17"/>
      <c r="E14" s="17"/>
      <c r="F14" s="17"/>
      <c r="G14" s="34"/>
      <c r="H14" s="24"/>
    </row>
    <row r="15" spans="1:8" s="25" customFormat="1" ht="14.4" x14ac:dyDescent="0.3">
      <c r="A15" s="24"/>
      <c r="B15" s="30"/>
      <c r="C15" s="31" t="s">
        <v>3</v>
      </c>
      <c r="D15" s="31"/>
      <c r="E15" s="32"/>
      <c r="F15" s="32"/>
      <c r="G15" s="34"/>
      <c r="H15" s="24"/>
    </row>
    <row r="16" spans="1:8" s="25" customFormat="1" ht="8.1" customHeight="1" x14ac:dyDescent="0.3">
      <c r="A16" s="24"/>
      <c r="B16" s="30"/>
      <c r="C16" s="17"/>
      <c r="D16" s="17"/>
      <c r="E16" s="17"/>
      <c r="F16" s="17"/>
      <c r="G16" s="34"/>
      <c r="H16" s="24"/>
    </row>
    <row r="17" spans="1:8" s="25" customFormat="1" ht="8.1" customHeight="1" x14ac:dyDescent="0.3">
      <c r="A17" s="24"/>
      <c r="B17" s="36"/>
      <c r="C17" s="37"/>
      <c r="D17" s="37"/>
      <c r="E17" s="37"/>
      <c r="F17" s="37"/>
      <c r="G17" s="38"/>
      <c r="H17" s="24"/>
    </row>
    <row r="18" spans="1:8" s="25" customFormat="1" ht="14.4" x14ac:dyDescent="0.3">
      <c r="A18" s="24"/>
      <c r="B18" s="24"/>
      <c r="C18" s="24"/>
      <c r="D18" s="24"/>
      <c r="E18" s="24"/>
      <c r="F18" s="24"/>
      <c r="G18" s="24"/>
      <c r="H18" s="24"/>
    </row>
    <row r="19" spans="1:8" ht="14.4" hidden="1" x14ac:dyDescent="0.3"/>
    <row r="20" spans="1:8" ht="14.4" hidden="1" x14ac:dyDescent="0.3"/>
    <row r="21" spans="1:8" ht="14.4" hidden="1" x14ac:dyDescent="0.3"/>
    <row r="22" spans="1:8" ht="14.4" hidden="1" x14ac:dyDescent="0.3">
      <c r="F22" s="39"/>
      <c r="G22" s="39"/>
    </row>
    <row r="23" spans="1:8" ht="14.4" hidden="1" x14ac:dyDescent="0.3"/>
    <row r="24" spans="1:8" ht="14.4" hidden="1" x14ac:dyDescent="0.3"/>
    <row r="25" spans="1:8" ht="14.4" hidden="1" x14ac:dyDescent="0.3"/>
    <row r="26" spans="1:8" ht="14.4" hidden="1" x14ac:dyDescent="0.3"/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103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5546875" customWidth="1"/>
    <col min="3" max="3" width="16" customWidth="1"/>
    <col min="4" max="4" width="10.5546875" customWidth="1"/>
    <col min="5" max="5" width="10.44140625" customWidth="1"/>
    <col min="6" max="10" width="14.88671875" customWidth="1"/>
    <col min="11" max="11" width="15.88671875" bestFit="1" customWidth="1"/>
    <col min="12" max="12" width="3.5546875" style="41" customWidth="1"/>
    <col min="13" max="13" width="3.5546875" customWidth="1"/>
    <col min="14" max="30" width="0" hidden="1" customWidth="1"/>
    <col min="31" max="16384" width="8.88671875" hidden="1"/>
  </cols>
  <sheetData>
    <row r="1" spans="1: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42"/>
      <c r="M1" s="1"/>
    </row>
    <row r="2" spans="1:13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42"/>
      <c r="M2" s="1"/>
    </row>
    <row r="3" spans="1:13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42"/>
      <c r="M3" s="1"/>
    </row>
    <row r="4" spans="1:13" ht="15" thickBot="1" x14ac:dyDescent="0.35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43"/>
      <c r="M4" s="1"/>
    </row>
    <row r="5" spans="1:13" ht="15" thickTop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4"/>
    </row>
    <row r="6" spans="1:13" x14ac:dyDescent="0.3">
      <c r="C6" s="68" t="s">
        <v>38</v>
      </c>
      <c r="D6" s="68" t="s">
        <v>24</v>
      </c>
      <c r="E6" s="68" t="s">
        <v>39</v>
      </c>
      <c r="F6" s="68" t="s">
        <v>40</v>
      </c>
      <c r="G6" s="68" t="s">
        <v>41</v>
      </c>
      <c r="H6" s="68" t="s">
        <v>67</v>
      </c>
      <c r="I6" s="68" t="s">
        <v>68</v>
      </c>
      <c r="J6" s="68" t="s">
        <v>69</v>
      </c>
      <c r="K6" s="68" t="s">
        <v>25</v>
      </c>
    </row>
    <row r="7" spans="1:13" x14ac:dyDescent="0.3">
      <c r="C7" t="s">
        <v>46</v>
      </c>
      <c r="D7" t="s">
        <v>27</v>
      </c>
      <c r="F7" t="s">
        <v>71</v>
      </c>
      <c r="H7" t="s">
        <v>72</v>
      </c>
      <c r="I7" t="s">
        <v>77</v>
      </c>
      <c r="J7">
        <v>0</v>
      </c>
      <c r="K7">
        <v>-1</v>
      </c>
    </row>
    <row r="8" spans="1:13" x14ac:dyDescent="0.3">
      <c r="C8" t="s">
        <v>42</v>
      </c>
      <c r="D8" t="s">
        <v>78</v>
      </c>
      <c r="E8" t="s">
        <v>70</v>
      </c>
      <c r="F8" t="s">
        <v>45</v>
      </c>
      <c r="G8" t="s">
        <v>81</v>
      </c>
      <c r="H8" t="s">
        <v>72</v>
      </c>
      <c r="I8" t="s">
        <v>77</v>
      </c>
      <c r="J8">
        <v>0</v>
      </c>
      <c r="K8">
        <v>19711</v>
      </c>
    </row>
    <row r="9" spans="1:13" x14ac:dyDescent="0.3">
      <c r="C9" t="s">
        <v>42</v>
      </c>
      <c r="D9" t="s">
        <v>27</v>
      </c>
      <c r="E9" t="s">
        <v>74</v>
      </c>
      <c r="F9" t="s">
        <v>71</v>
      </c>
      <c r="H9" t="s">
        <v>72</v>
      </c>
      <c r="I9" t="s">
        <v>73</v>
      </c>
      <c r="J9">
        <v>1</v>
      </c>
      <c r="K9">
        <v>816949684</v>
      </c>
    </row>
    <row r="10" spans="1:13" x14ac:dyDescent="0.3">
      <c r="C10" t="s">
        <v>42</v>
      </c>
      <c r="D10" t="s">
        <v>26</v>
      </c>
      <c r="E10" t="s">
        <v>70</v>
      </c>
      <c r="F10" t="s">
        <v>45</v>
      </c>
      <c r="G10" t="s">
        <v>81</v>
      </c>
      <c r="H10" t="s">
        <v>72</v>
      </c>
      <c r="I10" t="s">
        <v>77</v>
      </c>
      <c r="J10">
        <v>0</v>
      </c>
      <c r="K10">
        <v>983455</v>
      </c>
    </row>
    <row r="11" spans="1:13" x14ac:dyDescent="0.3">
      <c r="C11" t="s">
        <v>42</v>
      </c>
      <c r="D11" t="s">
        <v>26</v>
      </c>
      <c r="E11" t="s">
        <v>48</v>
      </c>
      <c r="F11" t="s">
        <v>45</v>
      </c>
      <c r="G11" t="s">
        <v>76</v>
      </c>
      <c r="H11" t="s">
        <v>72</v>
      </c>
      <c r="I11" t="s">
        <v>77</v>
      </c>
      <c r="J11">
        <v>0</v>
      </c>
      <c r="K11">
        <v>79699748</v>
      </c>
    </row>
    <row r="12" spans="1:13" x14ac:dyDescent="0.3">
      <c r="C12" t="s">
        <v>42</v>
      </c>
      <c r="D12" t="s">
        <v>43</v>
      </c>
      <c r="E12" t="s">
        <v>70</v>
      </c>
      <c r="F12" t="s">
        <v>45</v>
      </c>
      <c r="G12" t="s">
        <v>75</v>
      </c>
      <c r="H12" t="s">
        <v>72</v>
      </c>
      <c r="I12" t="s">
        <v>77</v>
      </c>
      <c r="J12">
        <v>0</v>
      </c>
      <c r="K12">
        <v>43234</v>
      </c>
    </row>
    <row r="13" spans="1:13" x14ac:dyDescent="0.3">
      <c r="C13" t="s">
        <v>42</v>
      </c>
      <c r="D13" t="s">
        <v>26</v>
      </c>
      <c r="E13" t="s">
        <v>44</v>
      </c>
      <c r="F13" t="s">
        <v>45</v>
      </c>
      <c r="G13" t="s">
        <v>75</v>
      </c>
      <c r="H13" t="s">
        <v>72</v>
      </c>
      <c r="I13" t="s">
        <v>77</v>
      </c>
      <c r="J13">
        <v>0</v>
      </c>
      <c r="K13">
        <v>126790811</v>
      </c>
    </row>
    <row r="14" spans="1:13" x14ac:dyDescent="0.3">
      <c r="C14" t="s">
        <v>46</v>
      </c>
      <c r="D14" t="s">
        <v>26</v>
      </c>
      <c r="E14" t="s">
        <v>74</v>
      </c>
      <c r="F14" t="s">
        <v>71</v>
      </c>
      <c r="H14" t="s">
        <v>72</v>
      </c>
      <c r="I14" t="s">
        <v>73</v>
      </c>
      <c r="J14">
        <v>1</v>
      </c>
      <c r="K14">
        <v>73405912</v>
      </c>
    </row>
    <row r="15" spans="1:13" x14ac:dyDescent="0.3">
      <c r="C15" t="s">
        <v>42</v>
      </c>
      <c r="D15" t="s">
        <v>78</v>
      </c>
      <c r="E15" t="s">
        <v>48</v>
      </c>
      <c r="F15" t="s">
        <v>71</v>
      </c>
      <c r="H15" t="s">
        <v>72</v>
      </c>
      <c r="I15" t="s">
        <v>77</v>
      </c>
      <c r="J15">
        <v>0</v>
      </c>
      <c r="K15">
        <v>173195</v>
      </c>
    </row>
    <row r="16" spans="1:13" x14ac:dyDescent="0.3">
      <c r="C16" t="s">
        <v>42</v>
      </c>
      <c r="D16" t="s">
        <v>27</v>
      </c>
      <c r="E16" t="s">
        <v>70</v>
      </c>
      <c r="F16" t="s">
        <v>71</v>
      </c>
      <c r="H16" t="s">
        <v>72</v>
      </c>
      <c r="I16" t="s">
        <v>73</v>
      </c>
      <c r="J16">
        <v>1</v>
      </c>
      <c r="K16">
        <v>39111399</v>
      </c>
    </row>
    <row r="17" spans="3:11" x14ac:dyDescent="0.3">
      <c r="C17" t="s">
        <v>42</v>
      </c>
      <c r="D17" t="s">
        <v>27</v>
      </c>
      <c r="E17" t="s">
        <v>74</v>
      </c>
      <c r="F17" t="s">
        <v>45</v>
      </c>
      <c r="G17" t="s">
        <v>75</v>
      </c>
      <c r="H17" t="s">
        <v>72</v>
      </c>
      <c r="I17" t="s">
        <v>73</v>
      </c>
      <c r="J17">
        <v>1</v>
      </c>
      <c r="K17">
        <v>52137123</v>
      </c>
    </row>
    <row r="18" spans="3:11" x14ac:dyDescent="0.3">
      <c r="C18" t="s">
        <v>46</v>
      </c>
      <c r="D18" t="s">
        <v>27</v>
      </c>
      <c r="E18" t="s">
        <v>48</v>
      </c>
      <c r="F18" t="s">
        <v>45</v>
      </c>
      <c r="G18" t="s">
        <v>76</v>
      </c>
      <c r="H18" t="s">
        <v>72</v>
      </c>
      <c r="I18" t="s">
        <v>77</v>
      </c>
      <c r="J18">
        <v>0</v>
      </c>
      <c r="K18">
        <v>602337</v>
      </c>
    </row>
    <row r="19" spans="3:11" x14ac:dyDescent="0.3">
      <c r="C19" t="s">
        <v>42</v>
      </c>
      <c r="D19" t="s">
        <v>43</v>
      </c>
      <c r="E19" t="s">
        <v>70</v>
      </c>
      <c r="F19" t="s">
        <v>71</v>
      </c>
      <c r="H19" t="s">
        <v>72</v>
      </c>
      <c r="I19" t="s">
        <v>77</v>
      </c>
      <c r="J19">
        <v>0</v>
      </c>
      <c r="K19">
        <v>120288931</v>
      </c>
    </row>
    <row r="20" spans="3:11" x14ac:dyDescent="0.3">
      <c r="C20" t="s">
        <v>46</v>
      </c>
      <c r="D20" t="s">
        <v>27</v>
      </c>
      <c r="E20" t="s">
        <v>74</v>
      </c>
      <c r="F20" t="s">
        <v>45</v>
      </c>
      <c r="G20" t="s">
        <v>75</v>
      </c>
      <c r="H20" t="s">
        <v>72</v>
      </c>
      <c r="I20" t="s">
        <v>77</v>
      </c>
      <c r="J20">
        <v>0</v>
      </c>
      <c r="K20">
        <v>246569598</v>
      </c>
    </row>
    <row r="21" spans="3:11" x14ac:dyDescent="0.3">
      <c r="C21" t="s">
        <v>42</v>
      </c>
      <c r="D21" t="s">
        <v>78</v>
      </c>
      <c r="E21" t="s">
        <v>74</v>
      </c>
      <c r="F21" t="s">
        <v>45</v>
      </c>
      <c r="G21" t="s">
        <v>47</v>
      </c>
      <c r="H21" t="s">
        <v>72</v>
      </c>
      <c r="I21" t="s">
        <v>77</v>
      </c>
      <c r="J21">
        <v>0</v>
      </c>
      <c r="K21">
        <v>5073111</v>
      </c>
    </row>
    <row r="22" spans="3:11" x14ac:dyDescent="0.3">
      <c r="C22" t="s">
        <v>42</v>
      </c>
      <c r="D22" t="s">
        <v>78</v>
      </c>
      <c r="E22" t="s">
        <v>74</v>
      </c>
      <c r="F22" t="s">
        <v>45</v>
      </c>
      <c r="G22" t="s">
        <v>76</v>
      </c>
      <c r="H22" t="s">
        <v>72</v>
      </c>
      <c r="I22" t="s">
        <v>77</v>
      </c>
      <c r="J22">
        <v>0</v>
      </c>
      <c r="K22">
        <v>1834793</v>
      </c>
    </row>
    <row r="23" spans="3:11" x14ac:dyDescent="0.3">
      <c r="C23" t="s">
        <v>42</v>
      </c>
      <c r="D23" t="s">
        <v>26</v>
      </c>
      <c r="E23" t="s">
        <v>48</v>
      </c>
      <c r="F23" t="s">
        <v>45</v>
      </c>
      <c r="G23" t="s">
        <v>47</v>
      </c>
      <c r="H23" t="s">
        <v>72</v>
      </c>
      <c r="I23" t="s">
        <v>77</v>
      </c>
      <c r="J23">
        <v>0</v>
      </c>
      <c r="K23">
        <v>15896157</v>
      </c>
    </row>
    <row r="24" spans="3:11" x14ac:dyDescent="0.3">
      <c r="C24" t="s">
        <v>42</v>
      </c>
      <c r="D24" t="s">
        <v>78</v>
      </c>
      <c r="E24" t="s">
        <v>44</v>
      </c>
      <c r="F24" t="s">
        <v>71</v>
      </c>
      <c r="H24" t="s">
        <v>72</v>
      </c>
      <c r="I24" t="s">
        <v>77</v>
      </c>
      <c r="J24">
        <v>0</v>
      </c>
      <c r="K24">
        <v>3036338</v>
      </c>
    </row>
    <row r="25" spans="3:11" x14ac:dyDescent="0.3">
      <c r="C25" t="s">
        <v>42</v>
      </c>
      <c r="D25" t="s">
        <v>79</v>
      </c>
      <c r="E25" t="s">
        <v>44</v>
      </c>
      <c r="F25" t="s">
        <v>71</v>
      </c>
      <c r="H25" t="s">
        <v>72</v>
      </c>
      <c r="I25" t="s">
        <v>77</v>
      </c>
      <c r="J25">
        <v>0</v>
      </c>
      <c r="K25">
        <v>381407</v>
      </c>
    </row>
    <row r="26" spans="3:11" x14ac:dyDescent="0.3">
      <c r="C26" t="s">
        <v>42</v>
      </c>
      <c r="D26" t="s">
        <v>43</v>
      </c>
      <c r="E26" t="s">
        <v>74</v>
      </c>
      <c r="F26" t="s">
        <v>45</v>
      </c>
      <c r="G26" t="s">
        <v>76</v>
      </c>
      <c r="H26" t="s">
        <v>72</v>
      </c>
      <c r="I26" t="s">
        <v>77</v>
      </c>
      <c r="J26">
        <v>0</v>
      </c>
      <c r="K26">
        <v>1214020</v>
      </c>
    </row>
    <row r="27" spans="3:11" x14ac:dyDescent="0.3">
      <c r="C27" t="s">
        <v>46</v>
      </c>
      <c r="D27" t="s">
        <v>26</v>
      </c>
      <c r="E27" t="s">
        <v>70</v>
      </c>
      <c r="F27" t="s">
        <v>71</v>
      </c>
      <c r="H27" t="s">
        <v>72</v>
      </c>
      <c r="I27" t="s">
        <v>73</v>
      </c>
      <c r="J27">
        <v>1</v>
      </c>
      <c r="K27">
        <v>15476209</v>
      </c>
    </row>
    <row r="28" spans="3:11" x14ac:dyDescent="0.3">
      <c r="C28" t="s">
        <v>42</v>
      </c>
      <c r="D28" t="s">
        <v>27</v>
      </c>
      <c r="E28" t="s">
        <v>70</v>
      </c>
      <c r="F28" t="s">
        <v>45</v>
      </c>
      <c r="G28" t="s">
        <v>75</v>
      </c>
      <c r="H28" t="s">
        <v>72</v>
      </c>
      <c r="I28" t="s">
        <v>77</v>
      </c>
      <c r="J28">
        <v>0</v>
      </c>
      <c r="K28">
        <v>3540384</v>
      </c>
    </row>
    <row r="29" spans="3:11" x14ac:dyDescent="0.3">
      <c r="C29" t="s">
        <v>42</v>
      </c>
      <c r="D29" t="s">
        <v>27</v>
      </c>
      <c r="E29" t="s">
        <v>74</v>
      </c>
      <c r="F29" t="s">
        <v>71</v>
      </c>
      <c r="H29" t="s">
        <v>80</v>
      </c>
      <c r="I29" t="s">
        <v>73</v>
      </c>
      <c r="J29">
        <v>1</v>
      </c>
      <c r="K29">
        <v>22942997</v>
      </c>
    </row>
    <row r="30" spans="3:11" x14ac:dyDescent="0.3">
      <c r="C30" t="s">
        <v>46</v>
      </c>
      <c r="D30" t="s">
        <v>27</v>
      </c>
      <c r="E30" t="s">
        <v>70</v>
      </c>
      <c r="F30" t="s">
        <v>71</v>
      </c>
      <c r="H30" t="s">
        <v>72</v>
      </c>
      <c r="I30" t="s">
        <v>73</v>
      </c>
      <c r="J30">
        <v>1</v>
      </c>
      <c r="K30">
        <v>751771</v>
      </c>
    </row>
    <row r="31" spans="3:11" x14ac:dyDescent="0.3">
      <c r="C31" t="s">
        <v>42</v>
      </c>
      <c r="D31" t="s">
        <v>79</v>
      </c>
      <c r="F31" t="s">
        <v>71</v>
      </c>
      <c r="H31" t="s">
        <v>72</v>
      </c>
      <c r="I31" t="s">
        <v>77</v>
      </c>
      <c r="J31">
        <v>0</v>
      </c>
      <c r="K31">
        <v>15542</v>
      </c>
    </row>
    <row r="32" spans="3:11" x14ac:dyDescent="0.3">
      <c r="C32" t="s">
        <v>46</v>
      </c>
      <c r="D32" t="s">
        <v>26</v>
      </c>
      <c r="E32" t="s">
        <v>74</v>
      </c>
      <c r="F32" t="s">
        <v>71</v>
      </c>
      <c r="H32" t="s">
        <v>72</v>
      </c>
      <c r="I32" t="s">
        <v>77</v>
      </c>
      <c r="J32">
        <v>0</v>
      </c>
      <c r="K32">
        <v>596390485</v>
      </c>
    </row>
    <row r="33" spans="3:11" x14ac:dyDescent="0.3">
      <c r="C33" t="s">
        <v>42</v>
      </c>
      <c r="D33" t="s">
        <v>27</v>
      </c>
      <c r="E33" t="s">
        <v>70</v>
      </c>
      <c r="F33" t="s">
        <v>71</v>
      </c>
      <c r="H33" t="s">
        <v>80</v>
      </c>
      <c r="I33" t="s">
        <v>73</v>
      </c>
      <c r="J33">
        <v>1</v>
      </c>
      <c r="K33">
        <v>2378481</v>
      </c>
    </row>
    <row r="34" spans="3:11" x14ac:dyDescent="0.3">
      <c r="C34" t="s">
        <v>42</v>
      </c>
      <c r="D34" t="s">
        <v>27</v>
      </c>
      <c r="E34" t="s">
        <v>44</v>
      </c>
      <c r="F34" t="s">
        <v>71</v>
      </c>
      <c r="H34" t="s">
        <v>72</v>
      </c>
      <c r="I34" t="s">
        <v>77</v>
      </c>
      <c r="J34">
        <v>1</v>
      </c>
      <c r="K34">
        <v>144645398</v>
      </c>
    </row>
    <row r="35" spans="3:11" x14ac:dyDescent="0.3">
      <c r="C35" t="s">
        <v>42</v>
      </c>
      <c r="D35" t="s">
        <v>27</v>
      </c>
      <c r="E35" t="s">
        <v>70</v>
      </c>
      <c r="F35" t="s">
        <v>45</v>
      </c>
      <c r="G35" t="s">
        <v>75</v>
      </c>
      <c r="H35" t="s">
        <v>72</v>
      </c>
      <c r="I35" t="s">
        <v>73</v>
      </c>
      <c r="J35">
        <v>1</v>
      </c>
      <c r="K35">
        <v>450931</v>
      </c>
    </row>
    <row r="36" spans="3:11" x14ac:dyDescent="0.3">
      <c r="C36" t="s">
        <v>42</v>
      </c>
      <c r="D36" t="s">
        <v>43</v>
      </c>
      <c r="E36" t="s">
        <v>44</v>
      </c>
      <c r="F36" t="s">
        <v>45</v>
      </c>
      <c r="G36" t="s">
        <v>76</v>
      </c>
      <c r="H36" t="s">
        <v>72</v>
      </c>
      <c r="I36" t="s">
        <v>77</v>
      </c>
      <c r="J36">
        <v>0</v>
      </c>
      <c r="K36">
        <v>3506850</v>
      </c>
    </row>
    <row r="37" spans="3:11" x14ac:dyDescent="0.3">
      <c r="C37" t="s">
        <v>42</v>
      </c>
      <c r="D37" t="s">
        <v>43</v>
      </c>
      <c r="E37" t="s">
        <v>48</v>
      </c>
      <c r="F37" t="s">
        <v>45</v>
      </c>
      <c r="G37" t="s">
        <v>76</v>
      </c>
      <c r="H37" t="s">
        <v>72</v>
      </c>
      <c r="I37" t="s">
        <v>77</v>
      </c>
      <c r="J37">
        <v>0</v>
      </c>
      <c r="K37">
        <v>2539490315</v>
      </c>
    </row>
    <row r="38" spans="3:11" x14ac:dyDescent="0.3">
      <c r="C38" t="s">
        <v>42</v>
      </c>
      <c r="D38" t="s">
        <v>27</v>
      </c>
      <c r="F38" t="s">
        <v>71</v>
      </c>
      <c r="H38" t="s">
        <v>72</v>
      </c>
      <c r="I38" t="s">
        <v>77</v>
      </c>
      <c r="J38">
        <v>0</v>
      </c>
      <c r="K38">
        <v>92544</v>
      </c>
    </row>
    <row r="39" spans="3:11" x14ac:dyDescent="0.3">
      <c r="C39" t="s">
        <v>42</v>
      </c>
      <c r="D39" t="s">
        <v>27</v>
      </c>
      <c r="E39" t="s">
        <v>44</v>
      </c>
      <c r="F39" t="s">
        <v>45</v>
      </c>
      <c r="G39" t="s">
        <v>76</v>
      </c>
      <c r="H39" t="s">
        <v>72</v>
      </c>
      <c r="I39" t="s">
        <v>77</v>
      </c>
      <c r="J39">
        <v>1</v>
      </c>
      <c r="K39">
        <v>5276023</v>
      </c>
    </row>
    <row r="40" spans="3:11" x14ac:dyDescent="0.3">
      <c r="C40" t="s">
        <v>46</v>
      </c>
      <c r="D40" t="s">
        <v>27</v>
      </c>
      <c r="E40" t="s">
        <v>74</v>
      </c>
      <c r="F40" t="s">
        <v>71</v>
      </c>
      <c r="H40" t="s">
        <v>80</v>
      </c>
      <c r="I40" t="s">
        <v>73</v>
      </c>
      <c r="J40">
        <v>1</v>
      </c>
      <c r="K40">
        <v>1407777</v>
      </c>
    </row>
    <row r="41" spans="3:11" x14ac:dyDescent="0.3">
      <c r="C41" t="s">
        <v>42</v>
      </c>
      <c r="D41" t="s">
        <v>79</v>
      </c>
      <c r="E41" t="s">
        <v>74</v>
      </c>
      <c r="F41" t="s">
        <v>71</v>
      </c>
      <c r="H41" t="s">
        <v>72</v>
      </c>
      <c r="I41" t="s">
        <v>77</v>
      </c>
      <c r="J41">
        <v>0</v>
      </c>
      <c r="K41">
        <v>494525065</v>
      </c>
    </row>
    <row r="42" spans="3:11" x14ac:dyDescent="0.3">
      <c r="C42" t="s">
        <v>42</v>
      </c>
      <c r="D42" t="s">
        <v>78</v>
      </c>
      <c r="E42" t="s">
        <v>74</v>
      </c>
      <c r="F42" t="s">
        <v>45</v>
      </c>
      <c r="G42" t="s">
        <v>81</v>
      </c>
      <c r="H42" t="s">
        <v>72</v>
      </c>
      <c r="I42" t="s">
        <v>77</v>
      </c>
      <c r="J42">
        <v>0</v>
      </c>
      <c r="K42">
        <v>4691072</v>
      </c>
    </row>
    <row r="43" spans="3:11" x14ac:dyDescent="0.3">
      <c r="C43" t="s">
        <v>42</v>
      </c>
      <c r="D43" t="s">
        <v>78</v>
      </c>
      <c r="E43" t="s">
        <v>74</v>
      </c>
      <c r="F43" t="s">
        <v>71</v>
      </c>
      <c r="H43" t="s">
        <v>72</v>
      </c>
      <c r="I43" t="s">
        <v>77</v>
      </c>
      <c r="J43">
        <v>0</v>
      </c>
      <c r="K43">
        <v>3456509921</v>
      </c>
    </row>
    <row r="44" spans="3:11" x14ac:dyDescent="0.3">
      <c r="C44" t="s">
        <v>42</v>
      </c>
      <c r="D44" t="s">
        <v>27</v>
      </c>
      <c r="E44" t="s">
        <v>74</v>
      </c>
      <c r="F44" t="s">
        <v>71</v>
      </c>
      <c r="H44" t="s">
        <v>72</v>
      </c>
      <c r="I44" t="s">
        <v>77</v>
      </c>
      <c r="J44">
        <v>0</v>
      </c>
      <c r="K44">
        <v>4536163980</v>
      </c>
    </row>
    <row r="45" spans="3:11" x14ac:dyDescent="0.3">
      <c r="C45" t="s">
        <v>42</v>
      </c>
      <c r="D45" t="s">
        <v>43</v>
      </c>
      <c r="E45" t="s">
        <v>44</v>
      </c>
      <c r="F45" t="s">
        <v>45</v>
      </c>
      <c r="G45" t="s">
        <v>47</v>
      </c>
      <c r="H45" t="s">
        <v>72</v>
      </c>
      <c r="I45" t="s">
        <v>77</v>
      </c>
      <c r="J45">
        <v>0</v>
      </c>
      <c r="K45">
        <v>3513106</v>
      </c>
    </row>
    <row r="46" spans="3:11" x14ac:dyDescent="0.3">
      <c r="C46" t="s">
        <v>46</v>
      </c>
      <c r="D46" t="s">
        <v>27</v>
      </c>
      <c r="E46" t="s">
        <v>74</v>
      </c>
      <c r="F46" t="s">
        <v>71</v>
      </c>
      <c r="H46" t="s">
        <v>72</v>
      </c>
      <c r="I46" t="s">
        <v>77</v>
      </c>
      <c r="J46">
        <v>0</v>
      </c>
      <c r="K46">
        <v>2534479030</v>
      </c>
    </row>
    <row r="47" spans="3:11" x14ac:dyDescent="0.3">
      <c r="C47" t="s">
        <v>42</v>
      </c>
      <c r="D47" t="s">
        <v>27</v>
      </c>
      <c r="E47" t="s">
        <v>74</v>
      </c>
      <c r="F47" t="s">
        <v>71</v>
      </c>
      <c r="H47" t="s">
        <v>80</v>
      </c>
      <c r="I47" t="s">
        <v>77</v>
      </c>
      <c r="J47">
        <v>1</v>
      </c>
      <c r="K47">
        <v>7166135</v>
      </c>
    </row>
    <row r="48" spans="3:11" x14ac:dyDescent="0.3">
      <c r="C48" t="s">
        <v>42</v>
      </c>
      <c r="D48" t="s">
        <v>79</v>
      </c>
      <c r="E48" t="s">
        <v>44</v>
      </c>
      <c r="F48" t="s">
        <v>45</v>
      </c>
      <c r="G48" t="s">
        <v>76</v>
      </c>
      <c r="H48" t="s">
        <v>72</v>
      </c>
      <c r="I48" t="s">
        <v>77</v>
      </c>
      <c r="J48">
        <v>0</v>
      </c>
      <c r="K48">
        <v>416060</v>
      </c>
    </row>
    <row r="49" spans="3:11" x14ac:dyDescent="0.3">
      <c r="C49" t="s">
        <v>42</v>
      </c>
      <c r="D49" t="s">
        <v>78</v>
      </c>
      <c r="E49" t="s">
        <v>48</v>
      </c>
      <c r="F49" t="s">
        <v>45</v>
      </c>
      <c r="G49" t="s">
        <v>47</v>
      </c>
      <c r="H49" t="s">
        <v>72</v>
      </c>
      <c r="I49" t="s">
        <v>77</v>
      </c>
      <c r="J49">
        <v>0</v>
      </c>
      <c r="K49">
        <v>3160481</v>
      </c>
    </row>
    <row r="50" spans="3:11" x14ac:dyDescent="0.3">
      <c r="C50" t="s">
        <v>42</v>
      </c>
      <c r="D50" t="s">
        <v>27</v>
      </c>
      <c r="E50" t="s">
        <v>44</v>
      </c>
      <c r="F50" t="s">
        <v>71</v>
      </c>
      <c r="H50" t="s">
        <v>72</v>
      </c>
      <c r="I50" t="s">
        <v>77</v>
      </c>
      <c r="J50">
        <v>0</v>
      </c>
      <c r="K50">
        <v>1325486521</v>
      </c>
    </row>
    <row r="51" spans="3:11" x14ac:dyDescent="0.3">
      <c r="C51" t="s">
        <v>42</v>
      </c>
      <c r="D51" t="s">
        <v>78</v>
      </c>
      <c r="F51" t="s">
        <v>71</v>
      </c>
      <c r="H51" t="s">
        <v>72</v>
      </c>
      <c r="I51" t="s">
        <v>77</v>
      </c>
      <c r="J51">
        <v>0</v>
      </c>
      <c r="K51">
        <v>1847169</v>
      </c>
    </row>
    <row r="52" spans="3:11" x14ac:dyDescent="0.3">
      <c r="C52" t="s">
        <v>42</v>
      </c>
      <c r="D52" t="s">
        <v>82</v>
      </c>
      <c r="E52" t="s">
        <v>74</v>
      </c>
      <c r="F52" t="s">
        <v>71</v>
      </c>
      <c r="H52" t="s">
        <v>72</v>
      </c>
      <c r="I52" t="s">
        <v>77</v>
      </c>
      <c r="J52">
        <v>0</v>
      </c>
      <c r="K52">
        <v>1837834733</v>
      </c>
    </row>
    <row r="53" spans="3:11" x14ac:dyDescent="0.3">
      <c r="C53" t="s">
        <v>42</v>
      </c>
      <c r="D53" t="s">
        <v>27</v>
      </c>
      <c r="E53" t="s">
        <v>74</v>
      </c>
      <c r="F53" t="s">
        <v>45</v>
      </c>
      <c r="G53" t="s">
        <v>75</v>
      </c>
      <c r="H53" t="s">
        <v>72</v>
      </c>
      <c r="I53" t="s">
        <v>77</v>
      </c>
      <c r="J53">
        <v>0</v>
      </c>
      <c r="K53">
        <v>397703184</v>
      </c>
    </row>
    <row r="54" spans="3:11" x14ac:dyDescent="0.3">
      <c r="C54" t="s">
        <v>42</v>
      </c>
      <c r="D54" t="s">
        <v>26</v>
      </c>
      <c r="E54" t="s">
        <v>70</v>
      </c>
      <c r="F54" t="s">
        <v>71</v>
      </c>
      <c r="H54" t="s">
        <v>72</v>
      </c>
      <c r="I54" t="s">
        <v>73</v>
      </c>
      <c r="J54">
        <v>1</v>
      </c>
      <c r="K54">
        <v>420786</v>
      </c>
    </row>
    <row r="55" spans="3:11" x14ac:dyDescent="0.3">
      <c r="C55" t="s">
        <v>42</v>
      </c>
      <c r="D55" t="s">
        <v>27</v>
      </c>
      <c r="E55" t="s">
        <v>74</v>
      </c>
      <c r="F55" t="s">
        <v>45</v>
      </c>
      <c r="G55" t="s">
        <v>76</v>
      </c>
      <c r="H55" t="s">
        <v>72</v>
      </c>
      <c r="I55" t="s">
        <v>77</v>
      </c>
      <c r="J55">
        <v>0</v>
      </c>
      <c r="K55">
        <v>17519255</v>
      </c>
    </row>
    <row r="56" spans="3:11" x14ac:dyDescent="0.3">
      <c r="C56" t="s">
        <v>42</v>
      </c>
      <c r="D56" t="s">
        <v>27</v>
      </c>
      <c r="E56" t="s">
        <v>44</v>
      </c>
      <c r="F56" t="s">
        <v>71</v>
      </c>
      <c r="H56" t="s">
        <v>72</v>
      </c>
      <c r="I56" t="s">
        <v>73</v>
      </c>
      <c r="J56">
        <v>1</v>
      </c>
      <c r="K56">
        <v>145689</v>
      </c>
    </row>
    <row r="57" spans="3:11" x14ac:dyDescent="0.3">
      <c r="C57" t="s">
        <v>42</v>
      </c>
      <c r="D57" t="s">
        <v>43</v>
      </c>
      <c r="E57" t="s">
        <v>48</v>
      </c>
      <c r="F57" t="s">
        <v>45</v>
      </c>
      <c r="G57" t="s">
        <v>47</v>
      </c>
      <c r="H57" t="s">
        <v>72</v>
      </c>
      <c r="I57" t="s">
        <v>77</v>
      </c>
      <c r="J57">
        <v>0</v>
      </c>
      <c r="K57">
        <v>8360597</v>
      </c>
    </row>
    <row r="58" spans="3:11" x14ac:dyDescent="0.3">
      <c r="C58" t="s">
        <v>42</v>
      </c>
      <c r="D58" t="s">
        <v>27</v>
      </c>
      <c r="E58" t="s">
        <v>70</v>
      </c>
      <c r="F58" t="s">
        <v>71</v>
      </c>
      <c r="H58" t="s">
        <v>80</v>
      </c>
      <c r="I58" t="s">
        <v>77</v>
      </c>
      <c r="J58">
        <v>1</v>
      </c>
      <c r="K58">
        <v>75652</v>
      </c>
    </row>
    <row r="59" spans="3:11" x14ac:dyDescent="0.3">
      <c r="C59" t="s">
        <v>42</v>
      </c>
      <c r="D59" t="s">
        <v>78</v>
      </c>
      <c r="E59" t="s">
        <v>70</v>
      </c>
      <c r="F59" t="s">
        <v>71</v>
      </c>
      <c r="H59" t="s">
        <v>72</v>
      </c>
      <c r="I59" t="s">
        <v>77</v>
      </c>
      <c r="J59">
        <v>0</v>
      </c>
      <c r="K59">
        <v>4460203</v>
      </c>
    </row>
    <row r="60" spans="3:11" x14ac:dyDescent="0.3">
      <c r="C60" t="s">
        <v>42</v>
      </c>
      <c r="D60" t="s">
        <v>26</v>
      </c>
      <c r="E60" t="s">
        <v>44</v>
      </c>
      <c r="F60" t="s">
        <v>45</v>
      </c>
      <c r="G60" t="s">
        <v>47</v>
      </c>
      <c r="H60" t="s">
        <v>72</v>
      </c>
      <c r="I60" t="s">
        <v>77</v>
      </c>
      <c r="J60">
        <v>0</v>
      </c>
      <c r="K60">
        <v>5743932</v>
      </c>
    </row>
    <row r="61" spans="3:11" x14ac:dyDescent="0.3">
      <c r="C61" t="s">
        <v>42</v>
      </c>
      <c r="D61" t="s">
        <v>26</v>
      </c>
      <c r="E61" t="s">
        <v>44</v>
      </c>
      <c r="F61" t="s">
        <v>71</v>
      </c>
      <c r="H61" t="s">
        <v>72</v>
      </c>
      <c r="I61" t="s">
        <v>77</v>
      </c>
      <c r="J61">
        <v>0</v>
      </c>
      <c r="K61">
        <v>91105433</v>
      </c>
    </row>
    <row r="62" spans="3:11" x14ac:dyDescent="0.3">
      <c r="C62" t="s">
        <v>46</v>
      </c>
      <c r="D62" t="s">
        <v>27</v>
      </c>
      <c r="E62" t="s">
        <v>48</v>
      </c>
      <c r="F62" t="s">
        <v>71</v>
      </c>
      <c r="H62" t="s">
        <v>72</v>
      </c>
      <c r="I62" t="s">
        <v>77</v>
      </c>
      <c r="J62">
        <v>0</v>
      </c>
      <c r="K62">
        <v>7038603</v>
      </c>
    </row>
    <row r="63" spans="3:11" x14ac:dyDescent="0.3">
      <c r="C63" t="s">
        <v>42</v>
      </c>
      <c r="D63" t="s">
        <v>26</v>
      </c>
      <c r="E63" t="s">
        <v>74</v>
      </c>
      <c r="F63" t="s">
        <v>71</v>
      </c>
      <c r="H63" t="s">
        <v>80</v>
      </c>
      <c r="I63" t="s">
        <v>73</v>
      </c>
      <c r="J63">
        <v>1</v>
      </c>
      <c r="K63">
        <v>366392</v>
      </c>
    </row>
    <row r="64" spans="3:11" x14ac:dyDescent="0.3">
      <c r="C64" t="s">
        <v>42</v>
      </c>
      <c r="D64" t="s">
        <v>27</v>
      </c>
      <c r="E64" t="s">
        <v>48</v>
      </c>
      <c r="F64" t="s">
        <v>71</v>
      </c>
      <c r="H64" t="s">
        <v>72</v>
      </c>
      <c r="I64" t="s">
        <v>77</v>
      </c>
      <c r="J64">
        <v>1</v>
      </c>
      <c r="K64">
        <v>8283003</v>
      </c>
    </row>
    <row r="65" spans="3:11" x14ac:dyDescent="0.3">
      <c r="C65" t="s">
        <v>42</v>
      </c>
      <c r="D65" t="s">
        <v>26</v>
      </c>
      <c r="E65" t="s">
        <v>74</v>
      </c>
      <c r="F65" t="s">
        <v>71</v>
      </c>
      <c r="H65" t="s">
        <v>72</v>
      </c>
      <c r="I65" t="s">
        <v>77</v>
      </c>
      <c r="J65">
        <v>0</v>
      </c>
      <c r="K65">
        <v>219291934</v>
      </c>
    </row>
    <row r="66" spans="3:11" x14ac:dyDescent="0.3">
      <c r="C66" t="s">
        <v>42</v>
      </c>
      <c r="D66" t="s">
        <v>27</v>
      </c>
      <c r="E66" t="s">
        <v>70</v>
      </c>
      <c r="F66" t="s">
        <v>45</v>
      </c>
      <c r="G66" t="s">
        <v>81</v>
      </c>
      <c r="H66" t="s">
        <v>72</v>
      </c>
      <c r="I66" t="s">
        <v>77</v>
      </c>
      <c r="J66">
        <v>0</v>
      </c>
      <c r="K66">
        <v>86915521</v>
      </c>
    </row>
    <row r="67" spans="3:11" x14ac:dyDescent="0.3">
      <c r="C67" t="s">
        <v>42</v>
      </c>
      <c r="D67" t="s">
        <v>26</v>
      </c>
      <c r="E67" t="s">
        <v>48</v>
      </c>
      <c r="F67" t="s">
        <v>45</v>
      </c>
      <c r="G67" t="s">
        <v>75</v>
      </c>
      <c r="H67" t="s">
        <v>72</v>
      </c>
      <c r="I67" t="s">
        <v>77</v>
      </c>
      <c r="J67">
        <v>0</v>
      </c>
      <c r="K67">
        <v>10961943</v>
      </c>
    </row>
    <row r="68" spans="3:11" x14ac:dyDescent="0.3">
      <c r="C68" t="s">
        <v>42</v>
      </c>
      <c r="D68" t="s">
        <v>27</v>
      </c>
      <c r="E68" t="s">
        <v>70</v>
      </c>
      <c r="F68" t="s">
        <v>45</v>
      </c>
      <c r="G68" t="s">
        <v>81</v>
      </c>
      <c r="H68" t="s">
        <v>72</v>
      </c>
      <c r="I68" t="s">
        <v>73</v>
      </c>
      <c r="J68">
        <v>1</v>
      </c>
      <c r="K68">
        <v>7889605</v>
      </c>
    </row>
    <row r="69" spans="3:11" x14ac:dyDescent="0.3">
      <c r="C69" t="s">
        <v>42</v>
      </c>
      <c r="D69" t="s">
        <v>27</v>
      </c>
      <c r="E69" t="s">
        <v>48</v>
      </c>
      <c r="F69" t="s">
        <v>45</v>
      </c>
      <c r="G69" t="s">
        <v>75</v>
      </c>
      <c r="H69" t="s">
        <v>72</v>
      </c>
      <c r="I69" t="s">
        <v>77</v>
      </c>
      <c r="J69">
        <v>0</v>
      </c>
      <c r="K69">
        <v>34707755</v>
      </c>
    </row>
    <row r="70" spans="3:11" x14ac:dyDescent="0.3">
      <c r="C70" t="s">
        <v>42</v>
      </c>
      <c r="D70" t="s">
        <v>26</v>
      </c>
      <c r="E70" t="s">
        <v>44</v>
      </c>
      <c r="F70" t="s">
        <v>45</v>
      </c>
      <c r="G70" t="s">
        <v>76</v>
      </c>
      <c r="H70" t="s">
        <v>72</v>
      </c>
      <c r="I70" t="s">
        <v>77</v>
      </c>
      <c r="J70">
        <v>0</v>
      </c>
      <c r="K70">
        <v>70774601</v>
      </c>
    </row>
    <row r="71" spans="3:11" x14ac:dyDescent="0.3">
      <c r="C71" t="s">
        <v>42</v>
      </c>
      <c r="D71" t="s">
        <v>27</v>
      </c>
      <c r="E71" t="s">
        <v>48</v>
      </c>
      <c r="F71" t="s">
        <v>45</v>
      </c>
      <c r="G71" t="s">
        <v>47</v>
      </c>
      <c r="H71" t="s">
        <v>72</v>
      </c>
      <c r="I71" t="s">
        <v>77</v>
      </c>
      <c r="J71">
        <v>0</v>
      </c>
      <c r="K71">
        <v>65019330</v>
      </c>
    </row>
    <row r="72" spans="3:11" x14ac:dyDescent="0.3">
      <c r="C72" t="s">
        <v>42</v>
      </c>
      <c r="D72" t="s">
        <v>26</v>
      </c>
      <c r="E72" t="s">
        <v>70</v>
      </c>
      <c r="F72" t="s">
        <v>71</v>
      </c>
      <c r="H72" t="s">
        <v>72</v>
      </c>
      <c r="I72" t="s">
        <v>77</v>
      </c>
      <c r="J72">
        <v>0</v>
      </c>
      <c r="K72">
        <v>6049455</v>
      </c>
    </row>
    <row r="73" spans="3:11" x14ac:dyDescent="0.3">
      <c r="C73" t="s">
        <v>42</v>
      </c>
      <c r="D73" t="s">
        <v>79</v>
      </c>
      <c r="E73" t="s">
        <v>70</v>
      </c>
      <c r="F73" t="s">
        <v>71</v>
      </c>
      <c r="H73" t="s">
        <v>72</v>
      </c>
      <c r="I73" t="s">
        <v>77</v>
      </c>
      <c r="J73">
        <v>0</v>
      </c>
      <c r="K73">
        <v>40</v>
      </c>
    </row>
    <row r="74" spans="3:11" x14ac:dyDescent="0.3">
      <c r="C74" t="s">
        <v>42</v>
      </c>
      <c r="D74" t="s">
        <v>27</v>
      </c>
      <c r="E74" t="s">
        <v>70</v>
      </c>
      <c r="F74" t="s">
        <v>71</v>
      </c>
      <c r="H74" t="s">
        <v>72</v>
      </c>
      <c r="I74" t="s">
        <v>77</v>
      </c>
      <c r="J74">
        <v>0</v>
      </c>
      <c r="K74">
        <v>521550824</v>
      </c>
    </row>
    <row r="75" spans="3:11" x14ac:dyDescent="0.3">
      <c r="C75" t="s">
        <v>42</v>
      </c>
      <c r="D75" t="s">
        <v>26</v>
      </c>
      <c r="E75" t="s">
        <v>74</v>
      </c>
      <c r="F75" t="s">
        <v>45</v>
      </c>
      <c r="G75" t="s">
        <v>75</v>
      </c>
      <c r="H75" t="s">
        <v>72</v>
      </c>
      <c r="I75" t="s">
        <v>73</v>
      </c>
      <c r="J75">
        <v>1</v>
      </c>
      <c r="K75">
        <v>46937329</v>
      </c>
    </row>
    <row r="76" spans="3:11" x14ac:dyDescent="0.3">
      <c r="C76" t="s">
        <v>42</v>
      </c>
      <c r="D76" t="s">
        <v>26</v>
      </c>
      <c r="E76" t="s">
        <v>74</v>
      </c>
      <c r="F76" t="s">
        <v>45</v>
      </c>
      <c r="G76" t="s">
        <v>75</v>
      </c>
      <c r="H76" t="s">
        <v>72</v>
      </c>
      <c r="I76" t="s">
        <v>77</v>
      </c>
      <c r="J76">
        <v>0</v>
      </c>
      <c r="K76">
        <v>15837143</v>
      </c>
    </row>
    <row r="77" spans="3:11" x14ac:dyDescent="0.3">
      <c r="C77" t="s">
        <v>42</v>
      </c>
      <c r="D77" t="s">
        <v>26</v>
      </c>
      <c r="F77" t="s">
        <v>71</v>
      </c>
      <c r="H77" t="s">
        <v>72</v>
      </c>
      <c r="I77" t="s">
        <v>77</v>
      </c>
      <c r="J77">
        <v>0</v>
      </c>
      <c r="K77">
        <v>1</v>
      </c>
    </row>
    <row r="78" spans="3:11" x14ac:dyDescent="0.3">
      <c r="C78" t="s">
        <v>42</v>
      </c>
      <c r="D78" t="s">
        <v>27</v>
      </c>
      <c r="E78" t="s">
        <v>70</v>
      </c>
      <c r="F78" t="s">
        <v>45</v>
      </c>
      <c r="G78" t="s">
        <v>81</v>
      </c>
      <c r="H78" t="s">
        <v>80</v>
      </c>
      <c r="I78" t="s">
        <v>73</v>
      </c>
      <c r="J78">
        <v>1</v>
      </c>
      <c r="K78">
        <v>292579</v>
      </c>
    </row>
    <row r="79" spans="3:11" x14ac:dyDescent="0.3">
      <c r="C79" t="s">
        <v>42</v>
      </c>
      <c r="D79" t="s">
        <v>27</v>
      </c>
      <c r="E79" t="s">
        <v>48</v>
      </c>
      <c r="F79" t="s">
        <v>71</v>
      </c>
      <c r="H79" t="s">
        <v>72</v>
      </c>
      <c r="I79" t="s">
        <v>73</v>
      </c>
      <c r="J79">
        <v>1</v>
      </c>
      <c r="K79">
        <v>491520</v>
      </c>
    </row>
    <row r="80" spans="3:11" x14ac:dyDescent="0.3">
      <c r="C80" t="s">
        <v>42</v>
      </c>
      <c r="D80" t="s">
        <v>27</v>
      </c>
      <c r="E80" t="s">
        <v>74</v>
      </c>
      <c r="F80" t="s">
        <v>45</v>
      </c>
      <c r="G80" t="s">
        <v>81</v>
      </c>
      <c r="H80" t="s">
        <v>72</v>
      </c>
      <c r="I80" t="s">
        <v>77</v>
      </c>
      <c r="J80">
        <v>0</v>
      </c>
      <c r="K80">
        <v>47472338</v>
      </c>
    </row>
    <row r="81" spans="3:11" x14ac:dyDescent="0.3">
      <c r="C81" t="s">
        <v>42</v>
      </c>
      <c r="D81" t="s">
        <v>27</v>
      </c>
      <c r="E81" t="s">
        <v>48</v>
      </c>
      <c r="F81" t="s">
        <v>45</v>
      </c>
      <c r="G81" t="s">
        <v>47</v>
      </c>
      <c r="H81" t="s">
        <v>72</v>
      </c>
      <c r="I81" t="s">
        <v>77</v>
      </c>
      <c r="J81">
        <v>1</v>
      </c>
      <c r="K81">
        <v>98947</v>
      </c>
    </row>
    <row r="82" spans="3:11" x14ac:dyDescent="0.3">
      <c r="C82" t="s">
        <v>42</v>
      </c>
      <c r="D82" t="s">
        <v>43</v>
      </c>
      <c r="E82" t="s">
        <v>74</v>
      </c>
      <c r="F82" t="s">
        <v>45</v>
      </c>
      <c r="G82" t="s">
        <v>75</v>
      </c>
      <c r="H82" t="s">
        <v>72</v>
      </c>
      <c r="I82" t="s">
        <v>77</v>
      </c>
      <c r="J82">
        <v>0</v>
      </c>
      <c r="K82">
        <v>2137874</v>
      </c>
    </row>
    <row r="83" spans="3:11" x14ac:dyDescent="0.3">
      <c r="C83" t="s">
        <v>42</v>
      </c>
      <c r="D83" t="s">
        <v>27</v>
      </c>
      <c r="E83" t="s">
        <v>44</v>
      </c>
      <c r="F83" t="s">
        <v>45</v>
      </c>
      <c r="G83" t="s">
        <v>47</v>
      </c>
      <c r="H83" t="s">
        <v>72</v>
      </c>
      <c r="I83" t="s">
        <v>77</v>
      </c>
      <c r="J83">
        <v>0</v>
      </c>
      <c r="K83">
        <v>45436028</v>
      </c>
    </row>
    <row r="84" spans="3:11" x14ac:dyDescent="0.3">
      <c r="C84" t="s">
        <v>42</v>
      </c>
      <c r="D84" t="s">
        <v>27</v>
      </c>
      <c r="E84" t="s">
        <v>48</v>
      </c>
      <c r="F84" t="s">
        <v>71</v>
      </c>
      <c r="H84" t="s">
        <v>72</v>
      </c>
      <c r="I84" t="s">
        <v>77</v>
      </c>
      <c r="J84">
        <v>0</v>
      </c>
      <c r="K84">
        <v>427917600</v>
      </c>
    </row>
    <row r="85" spans="3:11" x14ac:dyDescent="0.3">
      <c r="C85" t="s">
        <v>42</v>
      </c>
      <c r="D85" t="s">
        <v>27</v>
      </c>
      <c r="E85" t="s">
        <v>44</v>
      </c>
      <c r="F85" t="s">
        <v>45</v>
      </c>
      <c r="G85" t="s">
        <v>76</v>
      </c>
      <c r="H85" t="s">
        <v>72</v>
      </c>
      <c r="I85" t="s">
        <v>77</v>
      </c>
      <c r="J85">
        <v>0</v>
      </c>
      <c r="K85">
        <v>280643687</v>
      </c>
    </row>
    <row r="86" spans="3:11" x14ac:dyDescent="0.3">
      <c r="C86" t="s">
        <v>42</v>
      </c>
      <c r="D86" t="s">
        <v>43</v>
      </c>
      <c r="E86" t="s">
        <v>48</v>
      </c>
      <c r="F86" t="s">
        <v>71</v>
      </c>
      <c r="H86" t="s">
        <v>72</v>
      </c>
      <c r="I86" t="s">
        <v>77</v>
      </c>
      <c r="J86">
        <v>0</v>
      </c>
      <c r="K86">
        <v>21598306261</v>
      </c>
    </row>
    <row r="87" spans="3:11" x14ac:dyDescent="0.3">
      <c r="C87" t="s">
        <v>46</v>
      </c>
      <c r="D87" t="s">
        <v>78</v>
      </c>
      <c r="E87" t="s">
        <v>74</v>
      </c>
      <c r="F87" t="s">
        <v>71</v>
      </c>
      <c r="H87" t="s">
        <v>72</v>
      </c>
      <c r="I87" t="s">
        <v>77</v>
      </c>
      <c r="J87">
        <v>0</v>
      </c>
      <c r="K87">
        <v>9176258917</v>
      </c>
    </row>
    <row r="88" spans="3:11" x14ac:dyDescent="0.3">
      <c r="C88" t="s">
        <v>46</v>
      </c>
      <c r="D88" t="s">
        <v>27</v>
      </c>
      <c r="E88" t="s">
        <v>74</v>
      </c>
      <c r="F88" t="s">
        <v>71</v>
      </c>
      <c r="H88" t="s">
        <v>72</v>
      </c>
      <c r="I88" t="s">
        <v>73</v>
      </c>
      <c r="J88">
        <v>1</v>
      </c>
      <c r="K88">
        <v>165928349</v>
      </c>
    </row>
    <row r="89" spans="3:11" x14ac:dyDescent="0.3">
      <c r="C89" t="s">
        <v>46</v>
      </c>
      <c r="D89" t="s">
        <v>27</v>
      </c>
      <c r="E89" t="s">
        <v>44</v>
      </c>
      <c r="F89" t="s">
        <v>71</v>
      </c>
      <c r="H89" t="s">
        <v>72</v>
      </c>
      <c r="I89" t="s">
        <v>77</v>
      </c>
      <c r="J89">
        <v>1</v>
      </c>
      <c r="K89">
        <v>26954467</v>
      </c>
    </row>
    <row r="90" spans="3:11" x14ac:dyDescent="0.3">
      <c r="C90" t="s">
        <v>42</v>
      </c>
      <c r="D90" t="s">
        <v>27</v>
      </c>
      <c r="E90" t="s">
        <v>44</v>
      </c>
      <c r="F90" t="s">
        <v>45</v>
      </c>
      <c r="G90" t="s">
        <v>75</v>
      </c>
      <c r="H90" t="s">
        <v>72</v>
      </c>
      <c r="I90" t="s">
        <v>77</v>
      </c>
      <c r="J90">
        <v>0</v>
      </c>
      <c r="K90">
        <v>295631622</v>
      </c>
    </row>
    <row r="91" spans="3:11" x14ac:dyDescent="0.3">
      <c r="C91" t="s">
        <v>42</v>
      </c>
      <c r="D91" t="s">
        <v>43</v>
      </c>
      <c r="E91" t="s">
        <v>44</v>
      </c>
      <c r="F91" t="s">
        <v>71</v>
      </c>
      <c r="H91" t="s">
        <v>72</v>
      </c>
      <c r="I91" t="s">
        <v>77</v>
      </c>
      <c r="J91">
        <v>0</v>
      </c>
      <c r="K91">
        <v>161002706</v>
      </c>
    </row>
    <row r="92" spans="3:11" x14ac:dyDescent="0.3">
      <c r="C92" t="s">
        <v>42</v>
      </c>
      <c r="D92" t="s">
        <v>26</v>
      </c>
      <c r="E92" t="s">
        <v>48</v>
      </c>
      <c r="F92" t="s">
        <v>71</v>
      </c>
      <c r="H92" t="s">
        <v>72</v>
      </c>
      <c r="I92" t="s">
        <v>77</v>
      </c>
      <c r="J92">
        <v>0</v>
      </c>
      <c r="K92">
        <v>11191362</v>
      </c>
    </row>
    <row r="93" spans="3:11" x14ac:dyDescent="0.3">
      <c r="C93" t="s">
        <v>42</v>
      </c>
      <c r="D93" t="s">
        <v>27</v>
      </c>
      <c r="E93" t="s">
        <v>44</v>
      </c>
      <c r="F93" t="s">
        <v>45</v>
      </c>
      <c r="G93" t="s">
        <v>47</v>
      </c>
      <c r="H93" t="s">
        <v>72</v>
      </c>
      <c r="I93" t="s">
        <v>77</v>
      </c>
      <c r="J93">
        <v>1</v>
      </c>
      <c r="K93">
        <v>70139</v>
      </c>
    </row>
    <row r="94" spans="3:11" x14ac:dyDescent="0.3">
      <c r="C94" t="s">
        <v>42</v>
      </c>
      <c r="D94" t="s">
        <v>27</v>
      </c>
      <c r="E94" t="s">
        <v>48</v>
      </c>
      <c r="F94" t="s">
        <v>45</v>
      </c>
      <c r="G94" t="s">
        <v>76</v>
      </c>
      <c r="H94" t="s">
        <v>72</v>
      </c>
      <c r="I94" t="s">
        <v>77</v>
      </c>
      <c r="J94">
        <v>0</v>
      </c>
      <c r="K94">
        <v>308609999</v>
      </c>
    </row>
    <row r="95" spans="3:11" x14ac:dyDescent="0.3">
      <c r="C95" t="s">
        <v>42</v>
      </c>
      <c r="D95" t="s">
        <v>43</v>
      </c>
      <c r="E95" t="s">
        <v>74</v>
      </c>
      <c r="F95" t="s">
        <v>71</v>
      </c>
      <c r="H95" t="s">
        <v>72</v>
      </c>
      <c r="I95" t="s">
        <v>77</v>
      </c>
      <c r="J95">
        <v>0</v>
      </c>
      <c r="K95">
        <v>2236154590</v>
      </c>
    </row>
    <row r="96" spans="3:11" x14ac:dyDescent="0.3">
      <c r="C96" t="s">
        <v>42</v>
      </c>
      <c r="D96" t="s">
        <v>43</v>
      </c>
      <c r="E96" t="s">
        <v>70</v>
      </c>
      <c r="F96" t="s">
        <v>45</v>
      </c>
      <c r="G96" t="s">
        <v>47</v>
      </c>
      <c r="H96" t="s">
        <v>72</v>
      </c>
      <c r="I96" t="s">
        <v>77</v>
      </c>
      <c r="J96">
        <v>0</v>
      </c>
      <c r="K96">
        <v>47716</v>
      </c>
    </row>
    <row r="97" spans="3:11" x14ac:dyDescent="0.3">
      <c r="C97" t="s">
        <v>46</v>
      </c>
      <c r="D97" t="s">
        <v>27</v>
      </c>
      <c r="E97" t="s">
        <v>74</v>
      </c>
      <c r="F97" t="s">
        <v>45</v>
      </c>
      <c r="G97" t="s">
        <v>75</v>
      </c>
      <c r="H97" t="s">
        <v>80</v>
      </c>
      <c r="I97" t="s">
        <v>77</v>
      </c>
      <c r="J97">
        <v>1</v>
      </c>
      <c r="K97">
        <v>40209627</v>
      </c>
    </row>
    <row r="98" spans="3:11" x14ac:dyDescent="0.3">
      <c r="C98" t="s">
        <v>46</v>
      </c>
      <c r="D98" t="s">
        <v>26</v>
      </c>
      <c r="E98" t="s">
        <v>70</v>
      </c>
      <c r="F98" t="s">
        <v>71</v>
      </c>
      <c r="H98" t="s">
        <v>72</v>
      </c>
      <c r="I98" t="s">
        <v>77</v>
      </c>
      <c r="J98">
        <v>0</v>
      </c>
      <c r="K98">
        <v>1511210</v>
      </c>
    </row>
    <row r="99" spans="3:11" x14ac:dyDescent="0.3">
      <c r="C99" t="s">
        <v>42</v>
      </c>
      <c r="D99" t="s">
        <v>26</v>
      </c>
      <c r="E99" t="s">
        <v>74</v>
      </c>
      <c r="F99" t="s">
        <v>71</v>
      </c>
      <c r="H99" t="s">
        <v>72</v>
      </c>
      <c r="I99" t="s">
        <v>73</v>
      </c>
      <c r="J99">
        <v>1</v>
      </c>
      <c r="K99">
        <v>6453922</v>
      </c>
    </row>
    <row r="100" spans="3:11" x14ac:dyDescent="0.3">
      <c r="C100" t="s">
        <v>42</v>
      </c>
      <c r="D100" t="s">
        <v>27</v>
      </c>
      <c r="E100" t="s">
        <v>48</v>
      </c>
      <c r="F100" t="s">
        <v>45</v>
      </c>
      <c r="G100" t="s">
        <v>76</v>
      </c>
      <c r="H100" t="s">
        <v>72</v>
      </c>
      <c r="I100" t="s">
        <v>77</v>
      </c>
      <c r="J100">
        <v>1</v>
      </c>
      <c r="K100">
        <v>2563252</v>
      </c>
    </row>
    <row r="101" spans="3:11" x14ac:dyDescent="0.3">
      <c r="C101" t="s">
        <v>42</v>
      </c>
      <c r="D101" t="s">
        <v>27</v>
      </c>
      <c r="E101" t="s">
        <v>74</v>
      </c>
      <c r="F101" t="s">
        <v>45</v>
      </c>
      <c r="G101" t="s">
        <v>81</v>
      </c>
      <c r="H101" t="s">
        <v>72</v>
      </c>
      <c r="I101" t="s">
        <v>73</v>
      </c>
      <c r="J101">
        <v>1</v>
      </c>
      <c r="K101">
        <v>13413132</v>
      </c>
    </row>
    <row r="102" spans="3:11" x14ac:dyDescent="0.3">
      <c r="C102" t="s">
        <v>42</v>
      </c>
      <c r="D102" t="s">
        <v>43</v>
      </c>
      <c r="E102" t="s">
        <v>70</v>
      </c>
      <c r="F102" t="s">
        <v>45</v>
      </c>
      <c r="G102" t="s">
        <v>81</v>
      </c>
      <c r="H102" t="s">
        <v>72</v>
      </c>
      <c r="I102" t="s">
        <v>77</v>
      </c>
      <c r="J102">
        <v>0</v>
      </c>
      <c r="K102">
        <v>1425124</v>
      </c>
    </row>
    <row r="103" spans="3:11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M43"/>
  <sheetViews>
    <sheetView showGridLines="0" zoomScale="79" zoomScaleNormal="90" workbookViewId="0"/>
  </sheetViews>
  <sheetFormatPr defaultColWidth="8.88671875" defaultRowHeight="14.4" x14ac:dyDescent="0.3"/>
  <cols>
    <col min="1" max="1" width="3.5546875" style="45" customWidth="1"/>
    <col min="2" max="2" width="3.44140625" style="45" customWidth="1"/>
    <col min="3" max="3" width="60.5546875" style="45" customWidth="1"/>
    <col min="4" max="4" width="62.109375" style="45" bestFit="1" customWidth="1"/>
    <col min="5" max="5" width="35" style="45" bestFit="1" customWidth="1"/>
    <col min="6" max="6" width="35" style="45" customWidth="1"/>
    <col min="7" max="7" width="36.5546875" style="45" customWidth="1"/>
    <col min="8" max="8" width="41.5546875" style="45" customWidth="1"/>
    <col min="9" max="9" width="8.88671875" style="45"/>
    <col min="10" max="10" width="26.5546875" style="45" bestFit="1" customWidth="1"/>
    <col min="11" max="11" width="22.88671875" style="45" bestFit="1" customWidth="1"/>
    <col min="12" max="12" width="20.5546875" style="45" bestFit="1" customWidth="1"/>
    <col min="13" max="16384" width="8.88671875" style="45"/>
  </cols>
  <sheetData>
    <row r="2" spans="1:8" x14ac:dyDescent="0.3">
      <c r="C2" s="46" t="s">
        <v>49</v>
      </c>
    </row>
    <row r="3" spans="1:8" x14ac:dyDescent="0.3">
      <c r="A3" s="47"/>
    </row>
    <row r="4" spans="1:8" x14ac:dyDescent="0.3">
      <c r="A4" s="47"/>
      <c r="C4" s="48" t="s">
        <v>28</v>
      </c>
      <c r="D4" s="48" t="s">
        <v>29</v>
      </c>
      <c r="E4" s="48" t="s">
        <v>30</v>
      </c>
      <c r="F4" s="48" t="s">
        <v>31</v>
      </c>
      <c r="G4" s="48" t="s">
        <v>32</v>
      </c>
      <c r="H4" s="48" t="s">
        <v>50</v>
      </c>
    </row>
    <row r="5" spans="1:8" x14ac:dyDescent="0.3">
      <c r="A5" s="47"/>
      <c r="C5" s="66" t="s">
        <v>51</v>
      </c>
      <c r="D5" s="66" t="s">
        <v>52</v>
      </c>
      <c r="E5" s="66" t="s">
        <v>53</v>
      </c>
      <c r="F5" s="61" t="s">
        <v>54</v>
      </c>
      <c r="G5" s="61" t="s">
        <v>55</v>
      </c>
      <c r="H5" s="63" t="s">
        <v>56</v>
      </c>
    </row>
    <row r="6" spans="1:8" x14ac:dyDescent="0.3">
      <c r="A6" s="47"/>
      <c r="C6" s="67"/>
      <c r="D6" s="67"/>
      <c r="E6" s="67"/>
      <c r="F6" s="62"/>
      <c r="G6" s="62"/>
      <c r="H6" s="64"/>
    </row>
    <row r="7" spans="1:8" ht="14.4" customHeight="1" x14ac:dyDescent="0.3">
      <c r="A7" s="47"/>
      <c r="B7" s="49">
        <v>1</v>
      </c>
      <c r="C7" s="63" t="s">
        <v>57</v>
      </c>
      <c r="D7" s="49" t="s">
        <v>58</v>
      </c>
      <c r="E7" s="50">
        <f>(SUMIFS(Input!$K:$K,Input!$F:$F,'10.Other mitigating actions'!$A$21,Input!$C:$C,'10.Other mitigating actions'!$C$21,Input!$D:$D,'10.Other mitigating actions'!$D$21))/1000000</f>
        <v>0</v>
      </c>
      <c r="F7" s="50" t="str">
        <f>+IF(E7&gt;0,"Policy and legal risk","")</f>
        <v/>
      </c>
      <c r="G7" s="51" t="str">
        <f>+IF(E7&gt;0,IF(_xlfn.MAXIFS(Input!$J:$J,Input!$F:$F,'10.Other mitigating actions'!$A$21,Input!$C:$C,'10.Other mitigating actions'!$C$21,Input!$D:$D,'10.Other mitigating actions'!$D$21)=1,"Si","No"),"")</f>
        <v/>
      </c>
      <c r="H7" s="49"/>
    </row>
    <row r="8" spans="1:8" x14ac:dyDescent="0.3">
      <c r="A8" s="47"/>
      <c r="B8" s="49">
        <v>2</v>
      </c>
      <c r="C8" s="65"/>
      <c r="D8" s="49" t="s">
        <v>59</v>
      </c>
      <c r="E8" s="50">
        <f>(SUMIFS(Input!$K:$K,Input!$F:$F,'10.Other mitigating actions'!$A$21,Input!$C:$C,'10.Other mitigating actions'!$C$21,Input!$D:$D,'10.Other mitigating actions'!$D$22))/1000000</f>
        <v>287.38156199999997</v>
      </c>
      <c r="F8" s="50" t="str">
        <f t="shared" ref="F8:F20" si="0">+IF(E8&gt;0,"Policy and legal risk","")</f>
        <v>Policy and legal risk</v>
      </c>
      <c r="G8" s="51" t="str">
        <f>+IF(E8&gt;0,IF(_xlfn.MAXIFS(Input!$J:$J,Input!$F:$F,'10.Other mitigating actions'!$A$21,Input!$C:$C,'10.Other mitigating actions'!$C$21,Input!$D:$D,'10.Other mitigating actions'!$D$22)=1,"Si","No"),"")</f>
        <v>Si</v>
      </c>
      <c r="H8" s="49"/>
    </row>
    <row r="9" spans="1:8" x14ac:dyDescent="0.3">
      <c r="A9" s="47"/>
      <c r="B9" s="49">
        <v>3</v>
      </c>
      <c r="C9" s="65"/>
      <c r="D9" s="52" t="s">
        <v>60</v>
      </c>
      <c r="E9" s="50">
        <f>(SUMIFS(Input!$K:$K,Input!$F:$F,'10.Other mitigating actions'!$A$21,Input!$C:$C,'10.Other mitigating actions'!$C$21,Input!$D:$D,'10.Other mitigating actions'!$D$22,Input!$E:$E,'10.Other mitigating actions'!$D$23))/1000000</f>
        <v>0</v>
      </c>
      <c r="F9" s="50" t="str">
        <f t="shared" si="0"/>
        <v/>
      </c>
      <c r="G9" s="51" t="str">
        <f>+IF(E9&gt;0,IF(_xlfn.MAXIFS(Input!$J:$J,Input!$F:$F,'10.Other mitigating actions'!$A$21,Input!$C:$C,'10.Other mitigating actions'!$C$21,Input!$D:$D,'10.Other mitigating actions'!$D$22,Input!$E:$E,'10.Other mitigating actions'!$D$23)=1,"Si","No"),"")</f>
        <v/>
      </c>
      <c r="H9" s="49"/>
    </row>
    <row r="10" spans="1:8" x14ac:dyDescent="0.3">
      <c r="A10" s="47"/>
      <c r="B10" s="49">
        <v>4</v>
      </c>
      <c r="C10" s="65"/>
      <c r="D10" s="49" t="s">
        <v>61</v>
      </c>
      <c r="E10" s="50">
        <f>(SUMIFS(Input!$K:$K,Input!$F:$F,'10.Other mitigating actions'!$A$21,Input!$C:$C,'10.Other mitigating actions'!$C$21,Input!$D:$D,'10.Other mitigating actions'!$D$24))/1000000</f>
        <v>0</v>
      </c>
      <c r="F10" s="50" t="str">
        <f t="shared" si="0"/>
        <v/>
      </c>
      <c r="G10" s="51" t="str">
        <f>+IF(E10&gt;0,IF(_xlfn.MAXIFS(Input!$J:$J,Input!$F:$F,'10.Other mitigating actions'!$A$21,Input!$C:$C,'10.Other mitigating actions'!$C$21,Input!$D:$D,'10.Other mitigating actions'!$D$24)=1,"Si","No"),"")</f>
        <v/>
      </c>
      <c r="H10" s="49"/>
    </row>
    <row r="11" spans="1:8" x14ac:dyDescent="0.3">
      <c r="A11" s="47"/>
      <c r="B11" s="49">
        <v>5</v>
      </c>
      <c r="C11" s="65"/>
      <c r="D11" s="52" t="s">
        <v>62</v>
      </c>
      <c r="E11" s="50">
        <f>(SUMIFS(Input!$K:$K,Input!$F:$F,'10.Other mitigating actions'!$A$21,Input!$C:$C,'10.Other mitigating actions'!$C$21,Input!$D:$D,'10.Other mitigating actions'!$D$24,Input!$E:$E,'10.Other mitigating actions'!$D$25))/1000000</f>
        <v>0</v>
      </c>
      <c r="F11" s="50" t="str">
        <f t="shared" si="0"/>
        <v/>
      </c>
      <c r="G11" s="51" t="str">
        <f>+IF(E11&gt;0,IF(_xlfn.MAXIFS(Input!$J:$J,Input!$F:$F,'10.Other mitigating actions'!$A$21,Input!$C:$C,'10.Other mitigating actions'!$C$21,Input!$D:$D,'10.Other mitigating actions'!$D$24,Input!$E:$E,'10.Other mitigating actions'!$D$25)=1,"Si","No"),"")</f>
        <v/>
      </c>
      <c r="H11" s="49"/>
    </row>
    <row r="12" spans="1:8" x14ac:dyDescent="0.3">
      <c r="A12" s="47"/>
      <c r="B12" s="49">
        <v>6</v>
      </c>
      <c r="C12" s="65"/>
      <c r="D12" s="52" t="s">
        <v>63</v>
      </c>
      <c r="E12" s="53">
        <f>(SUMIFS(Input!$K:$K,Input!$F:$F,'10.Other mitigating actions'!$A$21,Input!$C:$C,'10.Other mitigating actions'!$C$21,Input!$D:$D,'10.Other mitigating actions'!$D$24,Input!$G:$G,"*"&amp;'10.Other mitigating actions'!$D$26&amp;"*"))/1000000</f>
        <v>0</v>
      </c>
      <c r="F12" s="50" t="str">
        <f t="shared" si="0"/>
        <v/>
      </c>
      <c r="G12" s="51" t="str">
        <f>+IF(E12&gt;0,IF(_xlfn.MAXIFS(Input!$J:$J,Input!$F:$F,'10.Other mitigating actions'!$A$21,Input!$C:$C,'10.Other mitigating actions'!$C$21,Input!$D:$D,'10.Other mitigating actions'!$D$24,Input!$G:$G,"*"&amp;'10.Other mitigating actions'!$D$26&amp;"*")=1,"Si","No"),"")</f>
        <v/>
      </c>
      <c r="H12" s="49"/>
    </row>
    <row r="13" spans="1:8" x14ac:dyDescent="0.3">
      <c r="A13" s="47"/>
      <c r="B13" s="49">
        <v>7</v>
      </c>
      <c r="C13" s="64"/>
      <c r="D13" s="49" t="s">
        <v>64</v>
      </c>
      <c r="E13" s="53">
        <f>(SUMIFS(Input!$K:$K,Input!$F:$F,'10.Other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actions'!$D$21))/1000000</f>
        <v>0</v>
      </c>
      <c r="F13" s="50" t="str">
        <f t="shared" si="0"/>
        <v/>
      </c>
      <c r="G13" s="51" t="str">
        <f>+IF(E13&gt;0,IF(_xlfn.MAXIFS(Input!$J:$J,Input!$F:$F,'10.Other mitigating actions'!$A$21,Input!$C:$C,'10.Other mitigating actions'!$C$21,Input!$D:$D,"&lt;&gt;"&amp;'10.Other mitigating actions'!$D$22,Input!$D:$D,"&lt;&gt;"&amp;'10.Other mitigating actions'!$D$24,Input!$D:$D,"&lt;&gt;"&amp;'10.Other mitigating actions'!$D$21)=1,"Si","No"),"")</f>
        <v/>
      </c>
      <c r="H13" s="49"/>
    </row>
    <row r="14" spans="1:8" ht="14.4" customHeight="1" x14ac:dyDescent="0.3">
      <c r="A14" s="47"/>
      <c r="B14" s="49">
        <v>8</v>
      </c>
      <c r="C14" s="63" t="s">
        <v>65</v>
      </c>
      <c r="D14" s="49" t="s">
        <v>58</v>
      </c>
      <c r="E14" s="53">
        <f>(SUMIFS(Input!$K:$K,Input!$F:$F,'10.Other mitigating actions'!$A$21,Input!$C:$C,'10.Other mitigating actions'!$C$22,Input!$D:$D,'10.Other mitigating actions'!$D$21))/1000000</f>
        <v>373.62511899999998</v>
      </c>
      <c r="F14" s="50" t="str">
        <f t="shared" si="0"/>
        <v>Policy and legal risk</v>
      </c>
      <c r="G14" s="51" t="str">
        <f>+IF(E14&gt;0,IF(_xlfn.MAXIFS(Input!$J:$J,Input!$F:$F,'10.Other mitigating actions'!$A$21,Input!$C:$C,'10.Other mitigating actions'!$C$22,Input!$D:$D,'10.Other mitigating actions'!$D$21)=1,"Si","No"),"")</f>
        <v>Si</v>
      </c>
      <c r="H14" s="49"/>
    </row>
    <row r="15" spans="1:8" x14ac:dyDescent="0.3">
      <c r="A15" s="47"/>
      <c r="B15" s="49">
        <v>9</v>
      </c>
      <c r="C15" s="65"/>
      <c r="D15" s="49" t="s">
        <v>59</v>
      </c>
      <c r="E15" s="53">
        <f>(SUMIFS(Input!$K:$K,Input!$F:$F,'10.Other mitigating actions'!$A$21,Input!$C:$C,'10.Other mitigating actions'!$C$22,Input!$D:$D,'10.Other mitigating actions'!$D$22))/1000000</f>
        <v>1665.390834</v>
      </c>
      <c r="F15" s="50" t="str">
        <f t="shared" si="0"/>
        <v>Policy and legal risk</v>
      </c>
      <c r="G15" s="51" t="str">
        <f>+IF(E15&gt;0,IF(_xlfn.MAXIFS(Input!$J:$J,Input!$F:$F,'10.Other mitigating actions'!$A$21,Input!$C:$C,'10.Other mitigating actions'!$C$22,Input!$D:$D,'10.Other mitigating actions'!$D$22)=1,"Si","No"),"")</f>
        <v>Si</v>
      </c>
      <c r="H15" s="49"/>
    </row>
    <row r="16" spans="1:8" x14ac:dyDescent="0.3">
      <c r="A16" s="47"/>
      <c r="B16" s="49">
        <v>10</v>
      </c>
      <c r="C16" s="65"/>
      <c r="D16" s="52" t="s">
        <v>60</v>
      </c>
      <c r="E16" s="53">
        <f>(SUMIFS(Input!$K:$K,Input!$F:$F,'10.Other mitigating actions'!$A$21,Input!$C:$C,'10.Other mitigating actions'!$C$22,Input!$D:$D,'10.Other mitigating actions'!$D$22,Input!$E:$E,'10.Other mitigating actions'!$D$23))/1000000</f>
        <v>627.05749900000001</v>
      </c>
      <c r="F16" s="50" t="str">
        <f t="shared" si="0"/>
        <v>Policy and legal risk</v>
      </c>
      <c r="G16" s="51" t="str">
        <f>+IF(E16&gt;0,IF(_xlfn.MAXIFS(Input!$J:$J,Input!$F:$F,'10.Other mitigating actions'!$A$21,Input!$C:$C,'10.Other mitigating actions'!$C$22,Input!$D:$D,'10.Other mitigating actions'!$D$22,Input!$E:$E,'10.Other mitigating actions'!$D$23)=1,"Si","No"),"")</f>
        <v>Si</v>
      </c>
      <c r="H16" s="49"/>
    </row>
    <row r="17" spans="1:13" x14ac:dyDescent="0.3">
      <c r="A17" s="47"/>
      <c r="B17" s="49">
        <v>11</v>
      </c>
      <c r="C17" s="65"/>
      <c r="D17" s="49" t="s">
        <v>61</v>
      </c>
      <c r="E17" s="53">
        <f>(SUMIFS(Input!$K:$K,Input!$F:$F,'10.Other mitigating actions'!$A$21,Input!$C:$C,'10.Other mitigating actions'!$C$22,Input!$D:$D,'10.Other mitigating actions'!$D$24))/1000000</f>
        <v>2559.738836</v>
      </c>
      <c r="F17" s="50" t="str">
        <f t="shared" si="0"/>
        <v>Policy and legal risk</v>
      </c>
      <c r="G17" s="51" t="str">
        <f>+IF(E17&gt;0,IF(_xlfn.MAXIFS(Input!$J:$J,Input!$F:$F,'10.Other mitigating actions'!$A$21,Input!$C:$C,'10.Other mitigating actions'!$C$22,Input!$D:$D,'10.Other mitigating actions'!$D$24)=1,"Si","No"),"")</f>
        <v>No</v>
      </c>
      <c r="H17" s="49"/>
    </row>
    <row r="18" spans="1:13" x14ac:dyDescent="0.3">
      <c r="A18" s="47"/>
      <c r="B18" s="49">
        <v>12</v>
      </c>
      <c r="C18" s="65"/>
      <c r="D18" s="52" t="s">
        <v>62</v>
      </c>
      <c r="E18" s="53">
        <f>(SUMIFS(Input!$K:$K,Input!$F:$F,'10.Other mitigating actions'!$A$21,Input!$C:$C,'10.Other mitigating actions'!$C$22,Input!$D:$D,'10.Other mitigating actions'!$D$24,Input!$E:$E,'10.Other mitigating actions'!$D$25))/1000000</f>
        <v>2547.8509119999999</v>
      </c>
      <c r="F18" s="50" t="str">
        <f t="shared" si="0"/>
        <v>Policy and legal risk</v>
      </c>
      <c r="G18" s="51" t="str">
        <f>+IF(E18&gt;0,IF(_xlfn.MAXIFS(Input!$J:$J,Input!$F:$F,'10.Other mitigating actions'!$A$21,Input!$C:$C,'10.Other mitigating actions'!$C$22,Input!$D:$D,'10.Other mitigating actions'!$D$24,Input!$E:$E,'10.Other mitigating actions'!$D$25)=1,"Si","No"),"")</f>
        <v>No</v>
      </c>
      <c r="H18" s="49"/>
    </row>
    <row r="19" spans="1:13" x14ac:dyDescent="0.3">
      <c r="A19" s="47"/>
      <c r="B19" s="49">
        <v>13</v>
      </c>
      <c r="C19" s="65"/>
      <c r="D19" s="52" t="s">
        <v>63</v>
      </c>
      <c r="E19" s="53">
        <f>(SUMIFS(Input!$K:$K,Input!$F:$F,'10.Other mitigating actions'!$A$21,Input!$C:$C,'10.Other mitigating actions'!$C$22,Input!$D:$D,'10.Other mitigating actions'!$D$24,Input!$G:$G,"*"&amp;'10.Other mitigating actions'!$D$26&amp;"*"))/1000000</f>
        <v>11.921419</v>
      </c>
      <c r="F19" s="50" t="str">
        <f t="shared" si="0"/>
        <v>Policy and legal risk</v>
      </c>
      <c r="G19" s="51" t="str">
        <f>+IF(E19&gt;0,IF(_xlfn.MAXIFS(Input!$J:$J,Input!$F:$F,'10.Other mitigating actions'!$A$21,Input!$C:$C,'10.Other mitigating actions'!$C$22,Input!$D:$D,'10.Other mitigating actions'!$D$24,Input!$G:$G,"*"&amp;'10.Other mitigating actions'!$D$26&amp;"*")=1,"Si","No"),"")</f>
        <v>No</v>
      </c>
      <c r="H19" s="49"/>
    </row>
    <row r="20" spans="1:13" x14ac:dyDescent="0.3">
      <c r="A20" s="47"/>
      <c r="B20" s="49">
        <v>14</v>
      </c>
      <c r="C20" s="64"/>
      <c r="D20" s="49" t="s">
        <v>64</v>
      </c>
      <c r="E20" s="50">
        <f>(SUMIFS(Input!$K:$K,Input!$F:$F,'10.Other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actions'!$D$21))/1000000</f>
        <v>15.195228</v>
      </c>
      <c r="F20" s="50" t="str">
        <f t="shared" si="0"/>
        <v>Policy and legal risk</v>
      </c>
      <c r="G20" s="51" t="str">
        <f>+IF(E20&gt;0,IF(_xlfn.MAXIFS(Input!$J:$J,Input!$F:$F,'10.Other mitigating actions'!$A$21,Input!$C:$C,'10.Other mitigating actions'!$C$22,Input!$D:$D,"&lt;&gt;"&amp;'10.Other mitigating actions'!$D$22,Input!$D:$D,"&lt;&gt;"&amp;'10.Other mitigating actions'!$D$24,Input!$D:$D,"&lt;&gt;"&amp;'10.Other mitigating actions'!$D$21)=1,"Si","No"),"")</f>
        <v>No</v>
      </c>
      <c r="H20" s="49"/>
    </row>
    <row r="21" spans="1:13" x14ac:dyDescent="0.3">
      <c r="A21" s="56" t="s">
        <v>45</v>
      </c>
      <c r="B21" s="56"/>
      <c r="C21" s="56" t="s">
        <v>46</v>
      </c>
      <c r="D21" s="56" t="s">
        <v>26</v>
      </c>
      <c r="E21" s="47"/>
      <c r="F21" s="47"/>
      <c r="G21" s="47"/>
      <c r="H21" s="47"/>
      <c r="I21" s="47"/>
    </row>
    <row r="22" spans="1:13" x14ac:dyDescent="0.3">
      <c r="A22" s="56"/>
      <c r="B22" s="56"/>
      <c r="C22" s="56" t="s">
        <v>42</v>
      </c>
      <c r="D22" s="56" t="s">
        <v>27</v>
      </c>
      <c r="E22" s="47"/>
      <c r="F22" s="47"/>
      <c r="G22" s="47"/>
      <c r="H22" s="47"/>
      <c r="I22" s="6"/>
      <c r="J22"/>
      <c r="K22"/>
      <c r="L22"/>
      <c r="M22"/>
    </row>
    <row r="23" spans="1:13" x14ac:dyDescent="0.3">
      <c r="A23" s="56"/>
      <c r="B23" s="56"/>
      <c r="C23" s="56"/>
      <c r="D23" s="41" t="s">
        <v>44</v>
      </c>
      <c r="E23" s="47"/>
      <c r="F23" s="47"/>
      <c r="G23" s="47"/>
      <c r="H23" s="47"/>
      <c r="I23" s="6"/>
      <c r="J23"/>
      <c r="K23"/>
      <c r="L23"/>
      <c r="M23"/>
    </row>
    <row r="24" spans="1:13" x14ac:dyDescent="0.3">
      <c r="A24" s="56"/>
      <c r="B24" s="56"/>
      <c r="C24" s="56"/>
      <c r="D24" s="56" t="s">
        <v>43</v>
      </c>
      <c r="E24" s="47"/>
      <c r="F24" s="47"/>
      <c r="G24" s="47"/>
      <c r="H24" s="47"/>
      <c r="I24" s="6"/>
      <c r="J24"/>
      <c r="K24"/>
      <c r="L24"/>
      <c r="M24"/>
    </row>
    <row r="25" spans="1:13" x14ac:dyDescent="0.3">
      <c r="A25" s="56"/>
      <c r="B25" s="56"/>
      <c r="C25" s="56"/>
      <c r="D25" s="41" t="s">
        <v>48</v>
      </c>
      <c r="E25" s="47"/>
      <c r="F25" s="47"/>
      <c r="G25" s="47"/>
      <c r="H25" s="47"/>
      <c r="I25" s="6"/>
      <c r="J25"/>
      <c r="K25"/>
      <c r="L25"/>
      <c r="M25"/>
    </row>
    <row r="26" spans="1:13" x14ac:dyDescent="0.3">
      <c r="A26" s="56"/>
      <c r="B26" s="56"/>
      <c r="C26" s="56"/>
      <c r="D26" s="56" t="s">
        <v>47</v>
      </c>
      <c r="E26" s="47"/>
      <c r="F26" s="47"/>
      <c r="G26" s="47"/>
      <c r="H26" s="6"/>
      <c r="I26" s="6"/>
      <c r="J26"/>
      <c r="K26"/>
      <c r="L26"/>
      <c r="M26"/>
    </row>
    <row r="27" spans="1:13" x14ac:dyDescent="0.3">
      <c r="A27" s="56"/>
      <c r="B27" s="56"/>
      <c r="C27" s="56"/>
      <c r="D27" s="56"/>
      <c r="E27" s="47"/>
      <c r="F27" s="47"/>
      <c r="G27" s="47"/>
      <c r="H27" s="6"/>
      <c r="I27" s="6"/>
      <c r="J27"/>
      <c r="K27"/>
      <c r="L27"/>
      <c r="M27"/>
    </row>
    <row r="28" spans="1:13" x14ac:dyDescent="0.3">
      <c r="B28" s="47"/>
      <c r="C28" s="47"/>
      <c r="D28" s="47"/>
      <c r="E28" s="47"/>
      <c r="F28" s="47"/>
      <c r="G28" s="47"/>
      <c r="H28" s="6"/>
      <c r="I28" s="6"/>
      <c r="J28"/>
      <c r="K28"/>
      <c r="L28"/>
      <c r="M28"/>
    </row>
    <row r="29" spans="1:13" x14ac:dyDescent="0.3">
      <c r="A29" s="46"/>
      <c r="B29" s="47"/>
      <c r="C29" s="47"/>
      <c r="D29" s="47"/>
      <c r="E29" s="47"/>
      <c r="F29" s="47"/>
      <c r="G29" s="47"/>
      <c r="H29" s="6"/>
      <c r="I29" s="6"/>
      <c r="J29"/>
      <c r="K29"/>
      <c r="L29"/>
      <c r="M29"/>
    </row>
    <row r="30" spans="1:13" x14ac:dyDescent="0.3">
      <c r="B30" s="47"/>
      <c r="C30" s="47"/>
      <c r="D30" s="47"/>
      <c r="E30" s="47"/>
      <c r="F30" s="47"/>
      <c r="G30" s="47"/>
      <c r="H30" s="6"/>
      <c r="I30" s="6"/>
      <c r="J30"/>
      <c r="K30"/>
      <c r="L30"/>
      <c r="M30"/>
    </row>
    <row r="31" spans="1:13" x14ac:dyDescent="0.3">
      <c r="B31" s="47"/>
      <c r="C31" s="47"/>
      <c r="D31" s="47"/>
      <c r="E31" s="47"/>
      <c r="F31" s="47"/>
      <c r="G31" s="47"/>
      <c r="H31" s="6"/>
      <c r="I31" s="6"/>
      <c r="J31"/>
      <c r="K31"/>
      <c r="L31"/>
      <c r="M31"/>
    </row>
    <row r="32" spans="1:13" x14ac:dyDescent="0.3">
      <c r="B32" s="47"/>
      <c r="C32" s="47"/>
      <c r="D32" s="47"/>
      <c r="E32" s="47"/>
      <c r="F32" s="54"/>
      <c r="G32" s="47"/>
      <c r="H32" s="47"/>
      <c r="I32" s="6"/>
      <c r="J32"/>
      <c r="K32"/>
      <c r="L32"/>
      <c r="M32"/>
    </row>
    <row r="33" spans="2:13" x14ac:dyDescent="0.3">
      <c r="B33" s="47"/>
      <c r="C33" s="47"/>
      <c r="D33" s="47"/>
      <c r="E33" s="47"/>
      <c r="F33" s="54"/>
      <c r="G33" s="47"/>
      <c r="H33" s="47"/>
      <c r="I33" s="6"/>
      <c r="J33"/>
      <c r="K33"/>
      <c r="L33"/>
      <c r="M33"/>
    </row>
    <row r="34" spans="2:13" x14ac:dyDescent="0.3">
      <c r="B34" s="47"/>
      <c r="C34" s="47"/>
      <c r="D34" s="47"/>
      <c r="E34" s="47"/>
      <c r="F34" s="55"/>
      <c r="G34" s="47"/>
      <c r="H34" s="47"/>
      <c r="I34" s="47"/>
    </row>
    <row r="35" spans="2:13" x14ac:dyDescent="0.3">
      <c r="B35" s="47"/>
      <c r="C35" s="47"/>
      <c r="D35" s="47"/>
      <c r="E35" s="47"/>
      <c r="F35" s="47"/>
      <c r="G35" s="47"/>
      <c r="H35" s="47"/>
      <c r="I35" s="6"/>
      <c r="J35"/>
      <c r="K35"/>
      <c r="L35"/>
      <c r="M35"/>
    </row>
    <row r="36" spans="2:13" x14ac:dyDescent="0.3">
      <c r="B36" s="47"/>
      <c r="C36" s="47"/>
      <c r="D36" s="47"/>
      <c r="E36" s="47"/>
      <c r="F36" s="47"/>
      <c r="G36" s="47"/>
      <c r="H36" s="47"/>
      <c r="I36" s="6"/>
      <c r="J36"/>
      <c r="K36"/>
      <c r="L36"/>
      <c r="M36"/>
    </row>
    <row r="37" spans="2:13" x14ac:dyDescent="0.3">
      <c r="B37" s="47"/>
      <c r="C37" s="47"/>
      <c r="D37" s="47"/>
      <c r="E37" s="47"/>
      <c r="F37" s="47"/>
      <c r="G37" s="47"/>
      <c r="H37" s="47"/>
      <c r="I37" s="6"/>
      <c r="J37"/>
      <c r="K37"/>
      <c r="L37"/>
      <c r="M37"/>
    </row>
    <row r="38" spans="2:13" ht="33" customHeight="1" x14ac:dyDescent="0.3">
      <c r="B38" s="47"/>
      <c r="C38" s="47"/>
      <c r="D38" s="47"/>
      <c r="E38" s="47"/>
      <c r="F38" s="47"/>
      <c r="G38" s="47"/>
      <c r="H38" s="47"/>
      <c r="I38" s="6"/>
      <c r="J38"/>
      <c r="K38"/>
      <c r="L38"/>
      <c r="M38"/>
    </row>
    <row r="39" spans="2:13" x14ac:dyDescent="0.3">
      <c r="I39"/>
      <c r="J39"/>
      <c r="K39"/>
      <c r="L39"/>
      <c r="M39"/>
    </row>
    <row r="40" spans="2:13" x14ac:dyDescent="0.3">
      <c r="I40"/>
      <c r="J40"/>
      <c r="K40"/>
      <c r="L40"/>
      <c r="M40"/>
    </row>
    <row r="41" spans="2:13" x14ac:dyDescent="0.3">
      <c r="I41"/>
      <c r="J41"/>
      <c r="K41"/>
      <c r="L41"/>
      <c r="M41"/>
    </row>
    <row r="42" spans="2:13" x14ac:dyDescent="0.3">
      <c r="I42"/>
      <c r="J42"/>
      <c r="K42"/>
      <c r="L42"/>
      <c r="M42"/>
    </row>
    <row r="43" spans="2:13" x14ac:dyDescent="0.3">
      <c r="I43"/>
      <c r="J43"/>
      <c r="K43"/>
      <c r="L43"/>
      <c r="M43"/>
    </row>
  </sheetData>
  <mergeCells count="8">
    <mergeCell ref="F5:F6"/>
    <mergeCell ref="G5:G6"/>
    <mergeCell ref="H5:H6"/>
    <mergeCell ref="C7:C13"/>
    <mergeCell ref="C14:C20"/>
    <mergeCell ref="C5:C6"/>
    <mergeCell ref="D5:D6"/>
    <mergeCell ref="E5:E6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B2EC0B2B90E8438FD7BC14926F993E" ma:contentTypeVersion="4" ma:contentTypeDescription="Create a new document." ma:contentTypeScope="" ma:versionID="a801877317c22008161799475e5acc2a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7508d97b502dca93bb7741c221dcb803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E1EB7D-31FE-4435-AF90-7BED1D56978D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schemas.openxmlformats.org/package/2006/metadata/core-properties"/>
    <ds:schemaRef ds:uri="691f81de-e01a-4b25-b573-c3f90f157691"/>
    <ds:schemaRef ds:uri="http://schemas.microsoft.com/sharepoint/v3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10.Other mitigating actions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Diogo Alexandre Escaleira</cp:lastModifiedBy>
  <dcterms:created xsi:type="dcterms:W3CDTF">2021-09-06T12:20:44Z</dcterms:created>
  <dcterms:modified xsi:type="dcterms:W3CDTF">2025-10-20T12:03:38Z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