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3. Template 2/03. Protótipo/"/>
    </mc:Choice>
  </mc:AlternateContent>
  <bookViews>
    <workbookView xWindow="-108" yWindow="-108" windowWidth="23256" windowHeight="10896" activeTab="1"/>
  </bookViews>
  <sheets>
    <sheet name="Input" sheetId="27" r:id="rId1"/>
    <sheet name="2.CC Trans-BB.RE collateral" sheetId="6" r:id="rId2"/>
  </sheets>
  <definedNames>
    <definedName name="_xlnm._FilterDatabase" localSheetId="0" hidden="1">Input!$A$1:$F$353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6" l="1"/>
  <c r="L15" i="6"/>
  <c r="L14" i="6"/>
  <c r="L11" i="6"/>
  <c r="L10" i="6"/>
  <c r="L9" i="6"/>
  <c r="K16" i="6"/>
  <c r="K15" i="6"/>
  <c r="K14" i="6"/>
  <c r="K11" i="6"/>
  <c r="K10" i="6"/>
  <c r="K9" i="6"/>
  <c r="R9" i="6" l="1"/>
  <c r="D12" i="6"/>
  <c r="R17" i="6" l="1"/>
  <c r="S17" i="6" s="1"/>
  <c r="R15" i="6"/>
  <c r="S15" i="6" s="1"/>
  <c r="R16" i="6"/>
  <c r="S16" i="6" s="1"/>
  <c r="R14" i="6"/>
  <c r="S14" i="6" s="1"/>
  <c r="R12" i="6"/>
  <c r="S12" i="6" s="1"/>
  <c r="R10" i="6"/>
  <c r="S10" i="6" s="1"/>
  <c r="R11" i="6"/>
  <c r="S11" i="6" s="1"/>
  <c r="S9" i="6"/>
  <c r="M9" i="6"/>
  <c r="N9" i="6"/>
  <c r="O9" i="6"/>
  <c r="P9" i="6"/>
  <c r="Q9" i="6"/>
  <c r="M10" i="6"/>
  <c r="N10" i="6"/>
  <c r="O10" i="6"/>
  <c r="P10" i="6"/>
  <c r="Q10" i="6"/>
  <c r="M11" i="6"/>
  <c r="N11" i="6"/>
  <c r="O11" i="6"/>
  <c r="P11" i="6"/>
  <c r="Q11" i="6"/>
  <c r="F12" i="6"/>
  <c r="G12" i="6"/>
  <c r="H12" i="6"/>
  <c r="I12" i="6"/>
  <c r="J12" i="6"/>
  <c r="E12" i="6"/>
  <c r="F11" i="6"/>
  <c r="G11" i="6"/>
  <c r="H11" i="6"/>
  <c r="I11" i="6"/>
  <c r="J11" i="6"/>
  <c r="F10" i="6"/>
  <c r="G10" i="6"/>
  <c r="H10" i="6"/>
  <c r="I10" i="6"/>
  <c r="J10" i="6"/>
  <c r="F9" i="6"/>
  <c r="G9" i="6"/>
  <c r="H9" i="6"/>
  <c r="I9" i="6"/>
  <c r="J9" i="6"/>
  <c r="E10" i="6"/>
  <c r="E11" i="6"/>
  <c r="E9" i="6"/>
  <c r="M14" i="6"/>
  <c r="N14" i="6"/>
  <c r="O14" i="6"/>
  <c r="P14" i="6"/>
  <c r="Q14" i="6"/>
  <c r="M15" i="6"/>
  <c r="N15" i="6"/>
  <c r="O15" i="6"/>
  <c r="P15" i="6"/>
  <c r="Q15" i="6"/>
  <c r="M16" i="6"/>
  <c r="N16" i="6"/>
  <c r="O16" i="6"/>
  <c r="P16" i="6"/>
  <c r="Q16" i="6"/>
  <c r="F17" i="6"/>
  <c r="G17" i="6"/>
  <c r="H17" i="6"/>
  <c r="I17" i="6"/>
  <c r="J17" i="6"/>
  <c r="E17" i="6"/>
  <c r="F15" i="6"/>
  <c r="G15" i="6"/>
  <c r="H15" i="6"/>
  <c r="I15" i="6"/>
  <c r="J15" i="6"/>
  <c r="F16" i="6"/>
  <c r="G16" i="6"/>
  <c r="H16" i="6"/>
  <c r="I16" i="6"/>
  <c r="J16" i="6"/>
  <c r="E16" i="6"/>
  <c r="E15" i="6"/>
  <c r="F14" i="6"/>
  <c r="G14" i="6"/>
  <c r="H14" i="6"/>
  <c r="I14" i="6"/>
  <c r="J14" i="6"/>
  <c r="E14" i="6"/>
  <c r="D17" i="6"/>
  <c r="D15" i="6"/>
  <c r="D16" i="6"/>
  <c r="D14" i="6"/>
  <c r="D11" i="6"/>
  <c r="D10" i="6"/>
  <c r="D9" i="6"/>
  <c r="O8" i="6" l="1"/>
  <c r="L8" i="6"/>
  <c r="N8" i="6"/>
  <c r="Q8" i="6"/>
  <c r="P8" i="6"/>
  <c r="M8" i="6"/>
  <c r="R8" i="6"/>
  <c r="S8" i="6" s="1"/>
  <c r="K8" i="6"/>
  <c r="I8" i="6"/>
  <c r="J8" i="6"/>
  <c r="H8" i="6"/>
  <c r="G8" i="6"/>
  <c r="F8" i="6"/>
  <c r="E8" i="6"/>
  <c r="D8" i="6"/>
  <c r="R13" i="6" l="1"/>
  <c r="S13" i="6" s="1"/>
  <c r="Q13" i="6"/>
  <c r="P13" i="6"/>
  <c r="O13" i="6"/>
  <c r="N13" i="6"/>
  <c r="L13" i="6"/>
  <c r="K13" i="6"/>
  <c r="H13" i="6"/>
  <c r="I13" i="6"/>
  <c r="G13" i="6"/>
  <c r="F13" i="6"/>
  <c r="E13" i="6"/>
  <c r="D13" i="6"/>
  <c r="M13" i="6"/>
  <c r="J13" i="6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D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devia ser alterado para ter em conta apenas consumos e EPCs estimados excluindo EP_score e EPC sem dados</t>
        </r>
      </text>
    </comment>
  </commentList>
</comments>
</file>

<file path=xl/sharedStrings.xml><?xml version="1.0" encoding="utf-8"?>
<sst xmlns="http://schemas.openxmlformats.org/spreadsheetml/2006/main" count="1849" uniqueCount="72">
  <si>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</si>
  <si>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</si>
  <si>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</si>
  <si>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</si>
  <si>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</si>
  <si>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</si>
  <si>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</si>
  <si>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</si>
  <si>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</si>
  <si>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</si>
  <si>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</si>
  <si>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</si>
  <si>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Counterparty sector</t>
  </si>
  <si>
    <t>Total gross carrying amount amount (in MEUR)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</si>
  <si>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</si>
  <si>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</si>
  <si>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</si>
  <si>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</si>
  <si>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</si>
  <si>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</si>
  <si>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</si>
  <si>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</si>
  <si>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</si>
  <si>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</si>
  <si>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</si>
  <si>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</si>
  <si>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</si>
  <si>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Level of energy efficiency (EPC label of collateral)</t>
  </si>
  <si>
    <t>m</t>
  </si>
  <si>
    <t>n</t>
  </si>
  <si>
    <t>o</t>
  </si>
  <si>
    <t>p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</si>
  <si>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</si>
  <si>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</si>
  <si>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</si>
  <si>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Total EU area</t>
  </si>
  <si>
    <t>Total non-EU area</t>
  </si>
  <si>
    <t>Without EPC label of collateral</t>
  </si>
  <si>
    <t>Level of energy efficiency (EP score in kWh/m² of collateral)</t>
  </si>
  <si>
    <t>Of which level of energy efficiency (EP score in kWh/m² of collateral) estimated</t>
  </si>
  <si>
    <t>Of which Level of energy efficiency (EP score in kWh/m² of collateral) estimated</t>
  </si>
  <si>
    <t>Template 2: Banking book - Climate change transition risk: Loans collateralised by immovable property - Energy efficiency of the collateral</t>
  </si>
  <si>
    <t>tipo_colateral</t>
  </si>
  <si>
    <t>epc_label</t>
  </si>
  <si>
    <t>ep_score</t>
  </si>
  <si>
    <t>european_union</t>
  </si>
  <si>
    <t>amount</t>
  </si>
  <si>
    <t>Stock</t>
  </si>
  <si>
    <t>menor_200</t>
  </si>
  <si>
    <t>EU-area</t>
  </si>
  <si>
    <t>4-MEDIA</t>
  </si>
  <si>
    <t>1-REAL</t>
  </si>
  <si>
    <t>menor_100</t>
  </si>
  <si>
    <t>menor_400</t>
  </si>
  <si>
    <t>Garantia Residencial</t>
  </si>
  <si>
    <t>menor_500</t>
  </si>
  <si>
    <t>Garantia Comercial</t>
  </si>
  <si>
    <t>5-MEDIA BAJA</t>
  </si>
  <si>
    <t>menor_300</t>
  </si>
  <si>
    <t>2-MUY ALTA</t>
  </si>
  <si>
    <t>SANTANDER</t>
  </si>
  <si>
    <t>6-BAJA</t>
  </si>
  <si>
    <t>3-ALTA</t>
  </si>
  <si>
    <t>Sem dados</t>
  </si>
  <si>
    <t>7-SIN DATO</t>
  </si>
  <si>
    <t>NULL</t>
  </si>
  <si>
    <t>maior_500</t>
  </si>
  <si>
    <t>Sem Garantia</t>
  </si>
  <si>
    <t>quality_score</t>
  </si>
  <si>
    <t>Non EU-area</t>
  </si>
  <si>
    <t>B-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</si>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</sst>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0B050"/>
      <name val="Calibri"/>
      <family val="2"/>
    </font>
    <font>
      <b/>
      <sz val="10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/>
    <xf numFmtId="0" fontId="3" fillId="2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indent="1"/>
    </xf>
    <xf numFmtId="0" fontId="4" fillId="2" borderId="8" xfId="0" applyFont="1" applyFill="1" applyBorder="1" applyAlignment="1">
      <alignment horizontal="left" indent="1"/>
    </xf>
    <xf numFmtId="0" fontId="1" fillId="2" borderId="2" xfId="0" applyFont="1" applyFill="1" applyBorder="1" applyAlignment="1">
      <alignment wrapText="1"/>
    </xf>
    <xf numFmtId="0" fontId="5" fillId="0" borderId="0" xfId="0" applyFont="1"/>
    <xf numFmtId="0" fontId="5" fillId="4" borderId="0" xfId="0" applyFont="1" applyFill="1"/>
    <xf numFmtId="0" fontId="1" fillId="4" borderId="0" xfId="0" applyFont="1" applyFill="1"/>
    <xf numFmtId="0" fontId="7" fillId="4" borderId="0" xfId="0" applyFont="1" applyFill="1"/>
    <xf numFmtId="0" fontId="7" fillId="0" borderId="0" xfId="0" applyFont="1"/>
    <xf numFmtId="3" fontId="3" fillId="5" borderId="8" xfId="0" applyNumberFormat="1" applyFont="1" applyFill="1" applyBorder="1" applyAlignment="1">
      <alignment horizontal="center" vertical="center" wrapText="1"/>
    </xf>
    <xf numFmtId="9" fontId="3" fillId="6" borderId="8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4" fontId="0" fillId="0" borderId="0" xfId="0" applyNumberFormat="1"/>
    <xf numFmtId="165" fontId="11" fillId="7" borderId="8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165" fontId="11" fillId="6" borderId="8" xfId="0" applyNumberFormat="1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4" fontId="11" fillId="6" borderId="2" xfId="0" applyNumberFormat="1" applyFont="1" applyFill="1" applyBorder="1" applyAlignment="1">
      <alignment horizontal="center" vertical="center" wrapText="1"/>
    </xf>
    <xf numFmtId="164" fontId="11" fillId="5" borderId="8" xfId="0" applyNumberFormat="1" applyFont="1" applyFill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3" fontId="11" fillId="6" borderId="8" xfId="0" applyNumberFormat="1" applyFont="1" applyFill="1" applyBorder="1" applyAlignment="1">
      <alignment horizontal="center" vertical="center" wrapText="1"/>
    </xf>
    <xf numFmtId="3" fontId="11" fillId="6" borderId="2" xfId="0" applyNumberFormat="1" applyFont="1" applyFill="1" applyBorder="1" applyAlignment="1">
      <alignment horizontal="center" vertical="center" wrapText="1"/>
    </xf>
    <xf numFmtId="3" fontId="11" fillId="5" borderId="8" xfId="0" applyNumberFormat="1" applyFont="1" applyFill="1" applyBorder="1" applyAlignment="1">
      <alignment horizontal="center" vertical="center" wrapText="1"/>
    </xf>
    <xf numFmtId="4" fontId="11" fillId="6" borderId="8" xfId="0" applyNumberFormat="1" applyFont="1" applyFill="1" applyBorder="1" applyAlignment="1">
      <alignment horizontal="center" vertical="center" wrapText="1"/>
    </xf>
    <xf numFmtId="164" fontId="11" fillId="2" borderId="8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26"/>
  <sheetViews>
    <sheetView workbookViewId="0">
      <selection activeCell="G25" sqref="G25"/>
    </sheetView>
  </sheetViews>
  <sheetFormatPr defaultRowHeight="14.4" x14ac:dyDescent="0.3"/>
  <cols>
    <col min="1" max="1" width="21.33203125" customWidth="1"/>
    <col min="5" max="5" width="14.88671875" bestFit="1" customWidth="1"/>
    <col min="7" max="7" width="18.5546875" bestFit="1" customWidth="1"/>
  </cols>
  <sheetData>
    <row r="1" spans="1:7" x14ac:dyDescent="0.3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68</v>
      </c>
      <c r="G1" s="14"/>
    </row>
    <row r="2" spans="1:7" x14ac:dyDescent="0.3">
      <c r="A2" s="14" t="s">
        <v>54</v>
      </c>
      <c r="B2" s="14" t="s">
        <v>24</v>
      </c>
      <c r="C2" s="14" t="s">
        <v>58</v>
      </c>
      <c r="D2" s="14" t="s">
        <v>49</v>
      </c>
      <c r="E2" s="29">
        <v>29064813</v>
      </c>
      <c r="F2" s="14" t="s">
        <v>59</v>
      </c>
      <c r="G2" s="14"/>
    </row>
    <row r="3" spans="1:7" x14ac:dyDescent="0.3">
      <c r="A3" s="14" t="s">
        <v>54</v>
      </c>
      <c r="B3" s="14" t="s">
        <v>23</v>
      </c>
      <c r="C3" s="14" t="s">
        <v>48</v>
      </c>
      <c r="D3" s="14" t="s">
        <v>69</v>
      </c>
      <c r="E3" s="29">
        <v>100546</v>
      </c>
      <c r="F3" s="14" t="s">
        <v>57</v>
      </c>
      <c r="G3" s="14"/>
    </row>
    <row r="4" spans="1:7" x14ac:dyDescent="0.3">
      <c r="A4" s="14" t="s">
        <v>54</v>
      </c>
      <c r="B4" s="14" t="s">
        <v>22</v>
      </c>
      <c r="C4" s="14" t="s">
        <v>48</v>
      </c>
      <c r="D4" s="14" t="s">
        <v>49</v>
      </c>
      <c r="E4" s="29">
        <v>13743477</v>
      </c>
      <c r="F4" s="14" t="s">
        <v>59</v>
      </c>
      <c r="G4" s="14"/>
    </row>
    <row r="5" spans="1:7" x14ac:dyDescent="0.3">
      <c r="A5" s="14" t="s">
        <v>54</v>
      </c>
      <c r="B5" s="14" t="s">
        <v>22</v>
      </c>
      <c r="C5" s="14" t="s">
        <v>53</v>
      </c>
      <c r="D5" s="14" t="s">
        <v>49</v>
      </c>
      <c r="E5" s="29">
        <v>3609262</v>
      </c>
      <c r="F5" s="14" t="s">
        <v>51</v>
      </c>
      <c r="G5" s="14"/>
    </row>
    <row r="6" spans="1:7" x14ac:dyDescent="0.3">
      <c r="A6" s="14" t="s">
        <v>56</v>
      </c>
      <c r="B6" s="14" t="s">
        <v>26</v>
      </c>
      <c r="C6" s="14" t="s">
        <v>58</v>
      </c>
      <c r="D6" s="14" t="s">
        <v>49</v>
      </c>
      <c r="E6" s="29">
        <v>1529777</v>
      </c>
      <c r="F6" s="14" t="s">
        <v>50</v>
      </c>
      <c r="G6" s="14"/>
    </row>
    <row r="7" spans="1:7" x14ac:dyDescent="0.3">
      <c r="A7" s="14" t="s">
        <v>54</v>
      </c>
      <c r="B7" s="14" t="s">
        <v>23</v>
      </c>
      <c r="C7" s="14" t="s">
        <v>48</v>
      </c>
      <c r="D7" s="14" t="s">
        <v>49</v>
      </c>
      <c r="E7" s="29">
        <v>424037292</v>
      </c>
      <c r="F7" s="14" t="s">
        <v>62</v>
      </c>
      <c r="G7" s="14"/>
    </row>
    <row r="8" spans="1:7" x14ac:dyDescent="0.3">
      <c r="A8" s="14" t="s">
        <v>54</v>
      </c>
      <c r="B8" s="14" t="s">
        <v>23</v>
      </c>
      <c r="C8" s="14" t="s">
        <v>58</v>
      </c>
      <c r="D8" s="14" t="s">
        <v>49</v>
      </c>
      <c r="E8" s="29">
        <v>724417</v>
      </c>
      <c r="F8" s="14" t="s">
        <v>57</v>
      </c>
      <c r="G8" s="14"/>
    </row>
    <row r="9" spans="1:7" x14ac:dyDescent="0.3">
      <c r="A9" s="14" t="s">
        <v>54</v>
      </c>
      <c r="B9" s="14" t="s">
        <v>24</v>
      </c>
      <c r="C9" s="14" t="s">
        <v>48</v>
      </c>
      <c r="D9" s="14" t="s">
        <v>49</v>
      </c>
      <c r="E9" s="29">
        <v>103036305</v>
      </c>
      <c r="F9" s="14" t="s">
        <v>57</v>
      </c>
      <c r="G9" s="14"/>
    </row>
    <row r="10" spans="1:7" x14ac:dyDescent="0.3">
      <c r="A10" s="14" t="s">
        <v>54</v>
      </c>
      <c r="B10" s="14" t="s">
        <v>25</v>
      </c>
      <c r="C10" s="14" t="s">
        <v>55</v>
      </c>
      <c r="D10" s="14" t="s">
        <v>69</v>
      </c>
      <c r="E10" s="29">
        <v>196952</v>
      </c>
      <c r="F10" s="14" t="s">
        <v>51</v>
      </c>
      <c r="G10" s="14"/>
    </row>
    <row r="11" spans="1:7" x14ac:dyDescent="0.3">
      <c r="A11" s="14" t="s">
        <v>54</v>
      </c>
      <c r="B11" s="14" t="s">
        <v>21</v>
      </c>
      <c r="C11" s="14" t="s">
        <v>52</v>
      </c>
      <c r="D11" s="14" t="s">
        <v>49</v>
      </c>
      <c r="E11" s="29">
        <v>9085816</v>
      </c>
      <c r="F11" s="14"/>
      <c r="G11" s="14"/>
    </row>
    <row r="12" spans="1:7" x14ac:dyDescent="0.3">
      <c r="A12" s="14" t="s">
        <v>54</v>
      </c>
      <c r="B12" s="14" t="s">
        <v>63</v>
      </c>
      <c r="C12" s="14" t="s">
        <v>63</v>
      </c>
      <c r="D12" s="14" t="s">
        <v>49</v>
      </c>
      <c r="E12" s="29">
        <v>182218</v>
      </c>
      <c r="F12" s="14" t="s">
        <v>57</v>
      </c>
      <c r="G12" s="14"/>
    </row>
    <row r="13" spans="1:7" x14ac:dyDescent="0.3">
      <c r="A13" s="14" t="s">
        <v>54</v>
      </c>
      <c r="B13" s="14" t="s">
        <v>22</v>
      </c>
      <c r="C13" s="14" t="s">
        <v>52</v>
      </c>
      <c r="D13" s="14" t="s">
        <v>49</v>
      </c>
      <c r="E13" s="29">
        <v>617864584</v>
      </c>
      <c r="F13" s="14" t="s">
        <v>51</v>
      </c>
      <c r="G13" s="14"/>
    </row>
    <row r="14" spans="1:7" x14ac:dyDescent="0.3">
      <c r="A14" s="14" t="s">
        <v>56</v>
      </c>
      <c r="B14" s="14" t="s">
        <v>25</v>
      </c>
      <c r="C14" s="14" t="s">
        <v>53</v>
      </c>
      <c r="D14" s="14" t="s">
        <v>49</v>
      </c>
      <c r="E14" s="29">
        <v>1229491</v>
      </c>
      <c r="F14" s="14" t="s">
        <v>62</v>
      </c>
      <c r="G14" s="14"/>
    </row>
    <row r="15" spans="1:7" x14ac:dyDescent="0.3">
      <c r="A15" s="14" t="s">
        <v>54</v>
      </c>
      <c r="B15" s="14" t="s">
        <v>23</v>
      </c>
      <c r="C15" s="14" t="s">
        <v>52</v>
      </c>
      <c r="D15" s="14" t="s">
        <v>49</v>
      </c>
      <c r="E15" s="29">
        <v>87200803</v>
      </c>
      <c r="F15" s="14" t="s">
        <v>51</v>
      </c>
      <c r="G15" s="14"/>
    </row>
    <row r="16" spans="1:7" x14ac:dyDescent="0.3">
      <c r="A16" s="14" t="s">
        <v>54</v>
      </c>
      <c r="B16" s="14" t="s">
        <v>23</v>
      </c>
      <c r="C16" s="14" t="s">
        <v>58</v>
      </c>
      <c r="D16" s="14" t="s">
        <v>69</v>
      </c>
      <c r="E16" s="29">
        <v>331812</v>
      </c>
      <c r="F16" s="14" t="s">
        <v>51</v>
      </c>
      <c r="G16" s="14"/>
    </row>
    <row r="17" spans="1:7" x14ac:dyDescent="0.3">
      <c r="A17" s="14" t="s">
        <v>54</v>
      </c>
      <c r="B17" s="14" t="s">
        <v>25</v>
      </c>
      <c r="C17" s="14" t="s">
        <v>48</v>
      </c>
      <c r="D17" s="14" t="s">
        <v>49</v>
      </c>
      <c r="E17" s="29">
        <v>15207047</v>
      </c>
      <c r="F17" s="14" t="s">
        <v>57</v>
      </c>
      <c r="G17" s="14"/>
    </row>
    <row r="18" spans="1:7" x14ac:dyDescent="0.3">
      <c r="A18" s="14" t="s">
        <v>54</v>
      </c>
      <c r="B18" s="14" t="s">
        <v>21</v>
      </c>
      <c r="C18" s="14" t="s">
        <v>48</v>
      </c>
      <c r="D18" s="14" t="s">
        <v>49</v>
      </c>
      <c r="E18" s="29">
        <v>11912222</v>
      </c>
      <c r="F18" s="14" t="s">
        <v>51</v>
      </c>
      <c r="G18" s="14"/>
    </row>
    <row r="19" spans="1:7" x14ac:dyDescent="0.3">
      <c r="A19" s="14" t="s">
        <v>54</v>
      </c>
      <c r="B19" s="14" t="s">
        <v>24</v>
      </c>
      <c r="C19" s="14" t="s">
        <v>58</v>
      </c>
      <c r="D19" s="14" t="s">
        <v>69</v>
      </c>
      <c r="E19" s="29">
        <v>277261</v>
      </c>
      <c r="F19" s="14" t="s">
        <v>50</v>
      </c>
      <c r="G19" s="14"/>
    </row>
    <row r="20" spans="1:7" x14ac:dyDescent="0.3">
      <c r="A20" s="14" t="s">
        <v>54</v>
      </c>
      <c r="B20" s="14" t="s">
        <v>25</v>
      </c>
      <c r="C20" s="14" t="s">
        <v>63</v>
      </c>
      <c r="D20" s="14" t="s">
        <v>69</v>
      </c>
      <c r="E20" s="29">
        <v>112415</v>
      </c>
      <c r="F20" s="14" t="s">
        <v>51</v>
      </c>
      <c r="G20" s="14"/>
    </row>
    <row r="21" spans="1:7" x14ac:dyDescent="0.3">
      <c r="A21" s="14" t="s">
        <v>56</v>
      </c>
      <c r="B21" s="14" t="s">
        <v>71</v>
      </c>
      <c r="C21" s="14" t="s">
        <v>48</v>
      </c>
      <c r="D21" s="14" t="s">
        <v>49</v>
      </c>
      <c r="E21" s="29">
        <v>2939711</v>
      </c>
      <c r="F21" s="14" t="s">
        <v>57</v>
      </c>
      <c r="G21" s="14"/>
    </row>
    <row r="22" spans="1:7" x14ac:dyDescent="0.3">
      <c r="A22" s="14" t="s">
        <v>56</v>
      </c>
      <c r="B22" s="14" t="s">
        <v>25</v>
      </c>
      <c r="C22" s="14" t="s">
        <v>52</v>
      </c>
      <c r="D22" s="14" t="s">
        <v>49</v>
      </c>
      <c r="E22" s="29">
        <v>812134</v>
      </c>
      <c r="F22" s="14" t="s">
        <v>51</v>
      </c>
      <c r="G22" s="14"/>
    </row>
    <row r="23" spans="1:7" x14ac:dyDescent="0.3">
      <c r="A23" s="14" t="s">
        <v>54</v>
      </c>
      <c r="B23" s="14" t="s">
        <v>21</v>
      </c>
      <c r="C23" s="14" t="s">
        <v>48</v>
      </c>
      <c r="D23" s="14" t="s">
        <v>49</v>
      </c>
      <c r="E23" s="29">
        <v>209266</v>
      </c>
      <c r="F23" s="14" t="s">
        <v>62</v>
      </c>
      <c r="G23" s="14"/>
    </row>
    <row r="24" spans="1:7" x14ac:dyDescent="0.3">
      <c r="A24" s="14" t="s">
        <v>54</v>
      </c>
      <c r="B24" s="14" t="s">
        <v>23</v>
      </c>
      <c r="C24" s="14" t="s">
        <v>48</v>
      </c>
      <c r="D24" s="14" t="s">
        <v>49</v>
      </c>
      <c r="E24" s="29">
        <v>579100811</v>
      </c>
      <c r="F24" s="14" t="s">
        <v>51</v>
      </c>
      <c r="G24" s="14"/>
    </row>
    <row r="25" spans="1:7" x14ac:dyDescent="0.3">
      <c r="A25" s="14" t="s">
        <v>54</v>
      </c>
      <c r="B25" s="14" t="s">
        <v>22</v>
      </c>
      <c r="C25" s="14" t="s">
        <v>48</v>
      </c>
      <c r="D25" s="14" t="s">
        <v>49</v>
      </c>
      <c r="E25" s="29">
        <v>226519232</v>
      </c>
      <c r="F25" s="14" t="s">
        <v>51</v>
      </c>
      <c r="G25" s="14"/>
    </row>
    <row r="26" spans="1:7" x14ac:dyDescent="0.3">
      <c r="A26" s="14" t="s">
        <v>54</v>
      </c>
      <c r="B26" s="14" t="s">
        <v>23</v>
      </c>
      <c r="C26" s="14" t="s">
        <v>48</v>
      </c>
      <c r="D26" s="14" t="s">
        <v>49</v>
      </c>
      <c r="E26" s="29">
        <v>582641572</v>
      </c>
      <c r="F26" s="14" t="s">
        <v>59</v>
      </c>
      <c r="G26" s="14"/>
    </row>
    <row r="27" spans="1:7" x14ac:dyDescent="0.3">
      <c r="A27" s="14" t="s">
        <v>54</v>
      </c>
      <c r="B27" s="14" t="s">
        <v>21</v>
      </c>
      <c r="C27" s="14" t="s">
        <v>53</v>
      </c>
      <c r="D27" s="14" t="s">
        <v>49</v>
      </c>
      <c r="E27" s="29">
        <v>115362</v>
      </c>
      <c r="F27" s="14" t="s">
        <v>51</v>
      </c>
      <c r="G27" s="14"/>
    </row>
    <row r="28" spans="1:7" x14ac:dyDescent="0.3">
      <c r="A28" s="14" t="s">
        <v>56</v>
      </c>
      <c r="B28" s="14" t="s">
        <v>20</v>
      </c>
      <c r="C28" s="14" t="s">
        <v>52</v>
      </c>
      <c r="D28" s="14" t="s">
        <v>49</v>
      </c>
      <c r="E28" s="29">
        <v>152642022</v>
      </c>
      <c r="F28" s="14" t="s">
        <v>50</v>
      </c>
      <c r="G28" s="14"/>
    </row>
    <row r="29" spans="1:7" x14ac:dyDescent="0.3">
      <c r="A29" s="14" t="s">
        <v>56</v>
      </c>
      <c r="B29" s="14" t="s">
        <v>22</v>
      </c>
      <c r="C29" s="14" t="s">
        <v>48</v>
      </c>
      <c r="D29" s="14" t="s">
        <v>49</v>
      </c>
      <c r="E29" s="29">
        <v>35360937</v>
      </c>
      <c r="F29" s="14" t="s">
        <v>61</v>
      </c>
      <c r="G29" s="14"/>
    </row>
    <row r="30" spans="1:7" x14ac:dyDescent="0.3">
      <c r="A30" s="14" t="s">
        <v>54</v>
      </c>
      <c r="B30" s="14" t="s">
        <v>25</v>
      </c>
      <c r="C30" s="14" t="s">
        <v>55</v>
      </c>
      <c r="D30" s="14" t="s">
        <v>49</v>
      </c>
      <c r="E30" s="29">
        <v>152898</v>
      </c>
      <c r="F30" s="14" t="s">
        <v>57</v>
      </c>
      <c r="G30" s="14"/>
    </row>
    <row r="31" spans="1:7" x14ac:dyDescent="0.3">
      <c r="A31" s="14" t="s">
        <v>54</v>
      </c>
      <c r="B31" s="14" t="s">
        <v>20</v>
      </c>
      <c r="C31" s="14" t="s">
        <v>52</v>
      </c>
      <c r="D31" s="14" t="s">
        <v>69</v>
      </c>
      <c r="E31" s="29">
        <v>226976</v>
      </c>
      <c r="F31" s="14" t="s">
        <v>50</v>
      </c>
      <c r="G31" s="14"/>
    </row>
    <row r="32" spans="1:7" x14ac:dyDescent="0.3">
      <c r="A32" s="14" t="s">
        <v>54</v>
      </c>
      <c r="B32" s="14" t="s">
        <v>24</v>
      </c>
      <c r="C32" s="14" t="s">
        <v>48</v>
      </c>
      <c r="D32" s="14" t="s">
        <v>49</v>
      </c>
      <c r="E32" s="29">
        <v>254957626</v>
      </c>
      <c r="F32" s="14" t="s">
        <v>51</v>
      </c>
      <c r="G32" s="14"/>
    </row>
    <row r="33" spans="1:7" x14ac:dyDescent="0.3">
      <c r="A33" s="14" t="s">
        <v>54</v>
      </c>
      <c r="B33" s="14" t="s">
        <v>25</v>
      </c>
      <c r="C33" s="14" t="s">
        <v>53</v>
      </c>
      <c r="D33" s="14" t="s">
        <v>49</v>
      </c>
      <c r="E33" s="29">
        <v>83949</v>
      </c>
      <c r="F33" s="14" t="s">
        <v>61</v>
      </c>
      <c r="G33" s="14"/>
    </row>
    <row r="34" spans="1:7" x14ac:dyDescent="0.3">
      <c r="A34" s="14" t="s">
        <v>54</v>
      </c>
      <c r="B34" s="14" t="s">
        <v>25</v>
      </c>
      <c r="C34" s="14" t="s">
        <v>52</v>
      </c>
      <c r="D34" s="14" t="s">
        <v>49</v>
      </c>
      <c r="E34" s="29">
        <v>325855</v>
      </c>
      <c r="F34" s="14" t="s">
        <v>50</v>
      </c>
      <c r="G34" s="14"/>
    </row>
    <row r="35" spans="1:7" x14ac:dyDescent="0.3">
      <c r="A35" s="14" t="s">
        <v>54</v>
      </c>
      <c r="B35" s="14" t="s">
        <v>23</v>
      </c>
      <c r="C35" s="14" t="s">
        <v>63</v>
      </c>
      <c r="D35" s="14" t="s">
        <v>69</v>
      </c>
      <c r="E35" s="29">
        <v>444286</v>
      </c>
      <c r="F35" s="14" t="s">
        <v>51</v>
      </c>
      <c r="G35" s="14"/>
    </row>
    <row r="36" spans="1:7" x14ac:dyDescent="0.3">
      <c r="A36" s="14" t="s">
        <v>56</v>
      </c>
      <c r="B36" s="14" t="s">
        <v>24</v>
      </c>
      <c r="C36" s="14" t="s">
        <v>58</v>
      </c>
      <c r="D36" s="14" t="s">
        <v>49</v>
      </c>
      <c r="E36" s="29">
        <v>6162653</v>
      </c>
      <c r="F36" s="14" t="s">
        <v>62</v>
      </c>
      <c r="G36" s="14"/>
    </row>
    <row r="37" spans="1:7" x14ac:dyDescent="0.3">
      <c r="A37" s="14" t="s">
        <v>56</v>
      </c>
      <c r="B37" s="14" t="s">
        <v>24</v>
      </c>
      <c r="C37" s="14" t="s">
        <v>58</v>
      </c>
      <c r="D37" s="14" t="s">
        <v>49</v>
      </c>
      <c r="E37" s="29">
        <v>29185615</v>
      </c>
      <c r="F37" s="14" t="s">
        <v>50</v>
      </c>
      <c r="G37" s="14"/>
    </row>
    <row r="38" spans="1:7" x14ac:dyDescent="0.3">
      <c r="A38" s="14" t="s">
        <v>54</v>
      </c>
      <c r="B38" s="14" t="s">
        <v>25</v>
      </c>
      <c r="C38" s="14" t="s">
        <v>55</v>
      </c>
      <c r="D38" s="14" t="s">
        <v>49</v>
      </c>
      <c r="E38" s="29">
        <v>267815</v>
      </c>
      <c r="F38" s="14" t="s">
        <v>50</v>
      </c>
      <c r="G38" s="14"/>
    </row>
    <row r="39" spans="1:7" x14ac:dyDescent="0.3">
      <c r="A39" s="14" t="s">
        <v>56</v>
      </c>
      <c r="B39" s="14" t="s">
        <v>20</v>
      </c>
      <c r="C39" s="14" t="s">
        <v>53</v>
      </c>
      <c r="D39" s="14" t="s">
        <v>49</v>
      </c>
      <c r="E39" s="29">
        <v>670186</v>
      </c>
      <c r="F39" s="14" t="s">
        <v>51</v>
      </c>
      <c r="G39" s="14"/>
    </row>
    <row r="40" spans="1:7" x14ac:dyDescent="0.3">
      <c r="A40" s="14" t="s">
        <v>56</v>
      </c>
      <c r="B40" s="14" t="s">
        <v>25</v>
      </c>
      <c r="C40" s="14" t="s">
        <v>58</v>
      </c>
      <c r="D40" s="14" t="s">
        <v>49</v>
      </c>
      <c r="E40" s="29">
        <v>52750868</v>
      </c>
      <c r="F40" s="14" t="s">
        <v>50</v>
      </c>
      <c r="G40" s="14"/>
    </row>
    <row r="41" spans="1:7" x14ac:dyDescent="0.3">
      <c r="A41" s="14" t="s">
        <v>56</v>
      </c>
      <c r="B41" s="14" t="s">
        <v>25</v>
      </c>
      <c r="C41" s="14" t="s">
        <v>48</v>
      </c>
      <c r="D41" s="14" t="s">
        <v>49</v>
      </c>
      <c r="E41" s="29">
        <v>526025</v>
      </c>
      <c r="F41" s="14" t="s">
        <v>62</v>
      </c>
      <c r="G41" s="14"/>
    </row>
    <row r="42" spans="1:7" x14ac:dyDescent="0.3">
      <c r="A42" s="14" t="s">
        <v>54</v>
      </c>
      <c r="B42" s="14" t="s">
        <v>24</v>
      </c>
      <c r="C42" s="14" t="s">
        <v>53</v>
      </c>
      <c r="D42" s="14" t="s">
        <v>69</v>
      </c>
      <c r="E42" s="29">
        <v>289252</v>
      </c>
      <c r="F42" s="14" t="s">
        <v>51</v>
      </c>
      <c r="G42" s="14"/>
    </row>
    <row r="43" spans="1:7" x14ac:dyDescent="0.3">
      <c r="A43" s="14" t="s">
        <v>54</v>
      </c>
      <c r="B43" s="14" t="s">
        <v>70</v>
      </c>
      <c r="C43" s="14" t="s">
        <v>48</v>
      </c>
      <c r="D43" s="14" t="s">
        <v>49</v>
      </c>
      <c r="E43" s="29">
        <v>22976968</v>
      </c>
      <c r="F43" s="14" t="s">
        <v>51</v>
      </c>
      <c r="G43" s="14"/>
    </row>
    <row r="44" spans="1:7" x14ac:dyDescent="0.3">
      <c r="A44" s="14" t="s">
        <v>56</v>
      </c>
      <c r="B44" s="14" t="s">
        <v>21</v>
      </c>
      <c r="C44" s="14" t="s">
        <v>58</v>
      </c>
      <c r="D44" s="14" t="s">
        <v>49</v>
      </c>
      <c r="E44" s="29">
        <v>800424</v>
      </c>
      <c r="F44" s="14" t="s">
        <v>51</v>
      </c>
      <c r="G44" s="14"/>
    </row>
    <row r="45" spans="1:7" x14ac:dyDescent="0.3">
      <c r="A45" s="14" t="s">
        <v>54</v>
      </c>
      <c r="B45" s="14" t="s">
        <v>22</v>
      </c>
      <c r="C45" s="14" t="s">
        <v>48</v>
      </c>
      <c r="D45" s="14" t="s">
        <v>69</v>
      </c>
      <c r="E45" s="29">
        <v>1362918</v>
      </c>
      <c r="F45" s="14" t="s">
        <v>51</v>
      </c>
      <c r="G45" s="14"/>
    </row>
    <row r="46" spans="1:7" x14ac:dyDescent="0.3">
      <c r="A46" s="14" t="s">
        <v>54</v>
      </c>
      <c r="B46" s="14" t="s">
        <v>22</v>
      </c>
      <c r="C46" s="14" t="s">
        <v>52</v>
      </c>
      <c r="D46" s="14" t="s">
        <v>49</v>
      </c>
      <c r="E46" s="29">
        <v>1211755399</v>
      </c>
      <c r="F46" s="14" t="s">
        <v>50</v>
      </c>
      <c r="G46" s="14"/>
    </row>
    <row r="47" spans="1:7" x14ac:dyDescent="0.3">
      <c r="A47" s="14" t="s">
        <v>54</v>
      </c>
      <c r="B47" s="14" t="s">
        <v>24</v>
      </c>
      <c r="C47" s="14" t="s">
        <v>52</v>
      </c>
      <c r="D47" s="14" t="s">
        <v>49</v>
      </c>
      <c r="E47" s="29">
        <v>10216821</v>
      </c>
      <c r="F47" s="14" t="s">
        <v>51</v>
      </c>
      <c r="G47" s="14"/>
    </row>
    <row r="48" spans="1:7" x14ac:dyDescent="0.3">
      <c r="A48" s="14" t="s">
        <v>56</v>
      </c>
      <c r="B48" s="14" t="s">
        <v>22</v>
      </c>
      <c r="C48" s="14" t="s">
        <v>48</v>
      </c>
      <c r="D48" s="14" t="s">
        <v>49</v>
      </c>
      <c r="E48" s="29">
        <v>372292589</v>
      </c>
      <c r="F48" s="14" t="s">
        <v>50</v>
      </c>
      <c r="G48" s="14"/>
    </row>
    <row r="49" spans="1:7" x14ac:dyDescent="0.3">
      <c r="A49" s="14" t="s">
        <v>56</v>
      </c>
      <c r="B49" s="14" t="s">
        <v>24</v>
      </c>
      <c r="C49" s="14" t="s">
        <v>48</v>
      </c>
      <c r="D49" s="14" t="s">
        <v>49</v>
      </c>
      <c r="E49" s="29">
        <v>111768272</v>
      </c>
      <c r="F49" s="14" t="s">
        <v>50</v>
      </c>
      <c r="G49" s="14"/>
    </row>
    <row r="50" spans="1:7" x14ac:dyDescent="0.3">
      <c r="A50" s="14" t="s">
        <v>56</v>
      </c>
      <c r="B50" s="14" t="s">
        <v>23</v>
      </c>
      <c r="C50" s="14" t="s">
        <v>58</v>
      </c>
      <c r="D50" s="14" t="s">
        <v>49</v>
      </c>
      <c r="E50" s="29">
        <v>2883068</v>
      </c>
      <c r="F50" s="14" t="s">
        <v>57</v>
      </c>
      <c r="G50" s="14"/>
    </row>
    <row r="51" spans="1:7" x14ac:dyDescent="0.3">
      <c r="A51" s="14" t="s">
        <v>56</v>
      </c>
      <c r="B51" s="14" t="s">
        <v>22</v>
      </c>
      <c r="C51" s="14" t="s">
        <v>48</v>
      </c>
      <c r="D51" s="14" t="s">
        <v>49</v>
      </c>
      <c r="E51" s="29">
        <v>29407467</v>
      </c>
      <c r="F51" s="14" t="s">
        <v>51</v>
      </c>
      <c r="G51" s="14"/>
    </row>
    <row r="52" spans="1:7" x14ac:dyDescent="0.3">
      <c r="A52" s="14" t="s">
        <v>54</v>
      </c>
      <c r="B52" s="14" t="s">
        <v>25</v>
      </c>
      <c r="C52" s="14" t="s">
        <v>66</v>
      </c>
      <c r="D52" s="14" t="s">
        <v>49</v>
      </c>
      <c r="E52" s="29">
        <v>43080351</v>
      </c>
      <c r="F52" s="14" t="s">
        <v>51</v>
      </c>
      <c r="G52" s="14"/>
    </row>
    <row r="53" spans="1:7" x14ac:dyDescent="0.3">
      <c r="A53" s="14" t="s">
        <v>56</v>
      </c>
      <c r="B53" s="14" t="s">
        <v>24</v>
      </c>
      <c r="C53" s="14" t="s">
        <v>52</v>
      </c>
      <c r="D53" s="14" t="s">
        <v>49</v>
      </c>
      <c r="E53" s="29">
        <v>2201251</v>
      </c>
      <c r="F53" s="14" t="s">
        <v>50</v>
      </c>
      <c r="G53" s="14"/>
    </row>
    <row r="54" spans="1:7" x14ac:dyDescent="0.3">
      <c r="A54" s="14" t="s">
        <v>54</v>
      </c>
      <c r="B54" s="14" t="s">
        <v>24</v>
      </c>
      <c r="C54" s="14" t="s">
        <v>58</v>
      </c>
      <c r="D54" s="14" t="s">
        <v>49</v>
      </c>
      <c r="E54" s="29">
        <v>564907</v>
      </c>
      <c r="F54" s="14" t="s">
        <v>61</v>
      </c>
      <c r="G54" s="14"/>
    </row>
    <row r="55" spans="1:7" x14ac:dyDescent="0.3">
      <c r="A55" s="14" t="s">
        <v>54</v>
      </c>
      <c r="B55" s="14" t="s">
        <v>70</v>
      </c>
      <c r="C55" s="14" t="s">
        <v>48</v>
      </c>
      <c r="D55" s="14" t="s">
        <v>49</v>
      </c>
      <c r="E55" s="29">
        <v>613027</v>
      </c>
      <c r="F55" s="14" t="s">
        <v>62</v>
      </c>
      <c r="G55" s="14"/>
    </row>
    <row r="56" spans="1:7" x14ac:dyDescent="0.3">
      <c r="A56" s="14" t="s">
        <v>56</v>
      </c>
      <c r="B56" s="14" t="s">
        <v>21</v>
      </c>
      <c r="C56" s="14" t="s">
        <v>52</v>
      </c>
      <c r="D56" s="14" t="s">
        <v>49</v>
      </c>
      <c r="E56" s="29">
        <v>44854786</v>
      </c>
      <c r="F56" s="14" t="s">
        <v>50</v>
      </c>
      <c r="G56" s="14"/>
    </row>
    <row r="57" spans="1:7" x14ac:dyDescent="0.3">
      <c r="A57" s="14" t="s">
        <v>56</v>
      </c>
      <c r="B57" s="14" t="s">
        <v>63</v>
      </c>
      <c r="C57" s="14" t="s">
        <v>63</v>
      </c>
      <c r="D57" s="14" t="s">
        <v>49</v>
      </c>
      <c r="E57" s="29">
        <v>7408691</v>
      </c>
      <c r="F57" s="14" t="s">
        <v>64</v>
      </c>
      <c r="G57" s="14"/>
    </row>
    <row r="58" spans="1:7" x14ac:dyDescent="0.3">
      <c r="A58" s="14" t="s">
        <v>56</v>
      </c>
      <c r="B58" s="14" t="s">
        <v>23</v>
      </c>
      <c r="C58" s="14" t="s">
        <v>48</v>
      </c>
      <c r="D58" s="14" t="s">
        <v>49</v>
      </c>
      <c r="E58" s="29">
        <v>27266419</v>
      </c>
      <c r="F58" s="14" t="s">
        <v>59</v>
      </c>
      <c r="G58" s="14"/>
    </row>
    <row r="59" spans="1:7" x14ac:dyDescent="0.3">
      <c r="A59" s="14" t="s">
        <v>54</v>
      </c>
      <c r="B59" s="14" t="s">
        <v>25</v>
      </c>
      <c r="C59" s="14" t="s">
        <v>58</v>
      </c>
      <c r="D59" s="14" t="s">
        <v>49</v>
      </c>
      <c r="E59" s="29">
        <v>101019748</v>
      </c>
      <c r="F59" s="14" t="s">
        <v>51</v>
      </c>
      <c r="G59" s="14"/>
    </row>
    <row r="60" spans="1:7" x14ac:dyDescent="0.3">
      <c r="A60" s="14" t="s">
        <v>56</v>
      </c>
      <c r="B60" s="14" t="s">
        <v>70</v>
      </c>
      <c r="C60" s="14" t="s">
        <v>58</v>
      </c>
      <c r="D60" s="14" t="s">
        <v>49</v>
      </c>
      <c r="E60" s="29">
        <v>203213</v>
      </c>
      <c r="F60" s="14" t="s">
        <v>59</v>
      </c>
      <c r="G60" s="14"/>
    </row>
    <row r="61" spans="1:7" x14ac:dyDescent="0.3">
      <c r="A61" s="14" t="s">
        <v>56</v>
      </c>
      <c r="B61" s="14" t="s">
        <v>22</v>
      </c>
      <c r="C61" s="14" t="s">
        <v>52</v>
      </c>
      <c r="D61" s="14" t="s">
        <v>49</v>
      </c>
      <c r="E61" s="29">
        <v>151189320</v>
      </c>
      <c r="F61" s="14" t="s">
        <v>57</v>
      </c>
      <c r="G61" s="14"/>
    </row>
    <row r="62" spans="1:7" x14ac:dyDescent="0.3">
      <c r="A62" s="14" t="s">
        <v>56</v>
      </c>
      <c r="B62" s="14" t="s">
        <v>22</v>
      </c>
      <c r="C62" s="14" t="s">
        <v>52</v>
      </c>
      <c r="D62" s="14" t="s">
        <v>49</v>
      </c>
      <c r="E62" s="29">
        <v>42512390</v>
      </c>
      <c r="F62" s="14" t="s">
        <v>59</v>
      </c>
      <c r="G62" s="14"/>
    </row>
    <row r="63" spans="1:7" x14ac:dyDescent="0.3">
      <c r="A63" s="14" t="s">
        <v>54</v>
      </c>
      <c r="B63" s="14" t="s">
        <v>24</v>
      </c>
      <c r="C63" s="14" t="s">
        <v>63</v>
      </c>
      <c r="D63" s="14" t="s">
        <v>49</v>
      </c>
      <c r="E63" s="29">
        <v>1301053449</v>
      </c>
      <c r="F63" s="14" t="s">
        <v>51</v>
      </c>
      <c r="G63" s="14"/>
    </row>
    <row r="64" spans="1:7" x14ac:dyDescent="0.3">
      <c r="A64" s="14" t="s">
        <v>54</v>
      </c>
      <c r="B64" s="14" t="s">
        <v>24</v>
      </c>
      <c r="C64" s="14" t="s">
        <v>66</v>
      </c>
      <c r="D64" s="14" t="s">
        <v>69</v>
      </c>
      <c r="E64" s="29">
        <v>103313</v>
      </c>
      <c r="F64" s="14" t="s">
        <v>51</v>
      </c>
      <c r="G64" s="14"/>
    </row>
    <row r="65" spans="1:7" x14ac:dyDescent="0.3">
      <c r="A65" s="14" t="s">
        <v>54</v>
      </c>
      <c r="B65" s="14" t="s">
        <v>25</v>
      </c>
      <c r="C65" s="14" t="s">
        <v>58</v>
      </c>
      <c r="D65" s="14" t="s">
        <v>49</v>
      </c>
      <c r="E65" s="29">
        <v>542828249</v>
      </c>
      <c r="F65" s="14" t="s">
        <v>50</v>
      </c>
      <c r="G65" s="14"/>
    </row>
    <row r="66" spans="1:7" x14ac:dyDescent="0.3">
      <c r="A66" s="14" t="s">
        <v>54</v>
      </c>
      <c r="B66" s="14" t="s">
        <v>70</v>
      </c>
      <c r="C66" s="14" t="s">
        <v>52</v>
      </c>
      <c r="D66" s="14" t="s">
        <v>49</v>
      </c>
      <c r="E66" s="29">
        <v>243493515</v>
      </c>
      <c r="F66" s="14" t="s">
        <v>51</v>
      </c>
      <c r="G66" s="14"/>
    </row>
    <row r="67" spans="1:7" x14ac:dyDescent="0.3">
      <c r="A67" s="14" t="s">
        <v>56</v>
      </c>
      <c r="B67" s="14" t="s">
        <v>22</v>
      </c>
      <c r="C67" s="14" t="s">
        <v>58</v>
      </c>
      <c r="D67" s="14" t="s">
        <v>49</v>
      </c>
      <c r="E67" s="29">
        <v>1249922</v>
      </c>
      <c r="F67" s="14" t="s">
        <v>51</v>
      </c>
      <c r="G67" s="14"/>
    </row>
    <row r="68" spans="1:7" x14ac:dyDescent="0.3">
      <c r="A68" s="14" t="s">
        <v>56</v>
      </c>
      <c r="B68" s="14" t="s">
        <v>23</v>
      </c>
      <c r="C68" s="14" t="s">
        <v>58</v>
      </c>
      <c r="D68" s="14" t="s">
        <v>49</v>
      </c>
      <c r="E68" s="29">
        <v>60859</v>
      </c>
      <c r="F68" s="14" t="s">
        <v>59</v>
      </c>
      <c r="G68" s="14"/>
    </row>
    <row r="69" spans="1:7" x14ac:dyDescent="0.3">
      <c r="A69" s="14" t="s">
        <v>54</v>
      </c>
      <c r="B69" s="14" t="s">
        <v>20</v>
      </c>
      <c r="C69" s="14" t="s">
        <v>52</v>
      </c>
      <c r="D69" s="14" t="s">
        <v>49</v>
      </c>
      <c r="E69" s="29">
        <v>55146630</v>
      </c>
      <c r="F69" s="14" t="s">
        <v>59</v>
      </c>
      <c r="G69" s="14"/>
    </row>
    <row r="70" spans="1:7" x14ac:dyDescent="0.3">
      <c r="A70" s="14" t="s">
        <v>54</v>
      </c>
      <c r="B70" s="14" t="s">
        <v>20</v>
      </c>
      <c r="C70" s="14" t="s">
        <v>55</v>
      </c>
      <c r="D70" s="14" t="s">
        <v>49</v>
      </c>
      <c r="E70" s="29">
        <v>255369</v>
      </c>
      <c r="F70" s="14" t="s">
        <v>51</v>
      </c>
      <c r="G70" s="14"/>
    </row>
    <row r="71" spans="1:7" x14ac:dyDescent="0.3">
      <c r="A71" s="14" t="s">
        <v>56</v>
      </c>
      <c r="B71" s="14" t="s">
        <v>20</v>
      </c>
      <c r="C71" s="14" t="s">
        <v>48</v>
      </c>
      <c r="D71" s="14" t="s">
        <v>49</v>
      </c>
      <c r="E71" s="29">
        <v>4555117</v>
      </c>
      <c r="F71" s="14" t="s">
        <v>57</v>
      </c>
      <c r="G71" s="14"/>
    </row>
    <row r="72" spans="1:7" x14ac:dyDescent="0.3">
      <c r="A72" s="14" t="s">
        <v>54</v>
      </c>
      <c r="B72" s="14" t="s">
        <v>20</v>
      </c>
      <c r="C72" s="14" t="s">
        <v>52</v>
      </c>
      <c r="D72" s="14" t="s">
        <v>49</v>
      </c>
      <c r="E72" s="29">
        <v>5358016</v>
      </c>
      <c r="F72" s="14"/>
      <c r="G72" s="14"/>
    </row>
    <row r="73" spans="1:7" x14ac:dyDescent="0.3">
      <c r="A73" s="14" t="s">
        <v>54</v>
      </c>
      <c r="B73" s="14" t="s">
        <v>24</v>
      </c>
      <c r="C73" s="14" t="s">
        <v>48</v>
      </c>
      <c r="D73" s="14" t="s">
        <v>69</v>
      </c>
      <c r="E73" s="29">
        <v>39292</v>
      </c>
      <c r="F73" s="14" t="s">
        <v>50</v>
      </c>
      <c r="G73" s="14"/>
    </row>
    <row r="74" spans="1:7" x14ac:dyDescent="0.3">
      <c r="A74" s="14" t="s">
        <v>54</v>
      </c>
      <c r="B74" s="14" t="s">
        <v>26</v>
      </c>
      <c r="C74" s="14" t="s">
        <v>53</v>
      </c>
      <c r="D74" s="14" t="s">
        <v>49</v>
      </c>
      <c r="E74" s="29">
        <v>113721</v>
      </c>
      <c r="F74" s="14" t="s">
        <v>51</v>
      </c>
      <c r="G74" s="14"/>
    </row>
    <row r="75" spans="1:7" x14ac:dyDescent="0.3">
      <c r="A75" s="14" t="s">
        <v>56</v>
      </c>
      <c r="B75" s="14" t="s">
        <v>21</v>
      </c>
      <c r="C75" s="14" t="s">
        <v>52</v>
      </c>
      <c r="D75" s="14" t="s">
        <v>49</v>
      </c>
      <c r="E75" s="29">
        <v>12776</v>
      </c>
      <c r="F75" s="14" t="s">
        <v>61</v>
      </c>
      <c r="G75" s="14"/>
    </row>
    <row r="76" spans="1:7" x14ac:dyDescent="0.3">
      <c r="A76" s="14" t="s">
        <v>54</v>
      </c>
      <c r="B76" s="14" t="s">
        <v>22</v>
      </c>
      <c r="C76" s="14" t="s">
        <v>66</v>
      </c>
      <c r="D76" s="14" t="s">
        <v>49</v>
      </c>
      <c r="E76" s="29">
        <v>1375324</v>
      </c>
      <c r="F76" s="14" t="s">
        <v>51</v>
      </c>
      <c r="G76" s="14"/>
    </row>
    <row r="77" spans="1:7" x14ac:dyDescent="0.3">
      <c r="A77" s="14" t="s">
        <v>54</v>
      </c>
      <c r="B77" s="14" t="s">
        <v>70</v>
      </c>
      <c r="C77" s="14" t="s">
        <v>52</v>
      </c>
      <c r="D77" s="14" t="s">
        <v>49</v>
      </c>
      <c r="E77" s="29">
        <v>131365353</v>
      </c>
      <c r="F77" s="14" t="s">
        <v>59</v>
      </c>
      <c r="G77" s="14"/>
    </row>
    <row r="78" spans="1:7" x14ac:dyDescent="0.3">
      <c r="A78" s="14" t="s">
        <v>54</v>
      </c>
      <c r="B78" s="14" t="s">
        <v>23</v>
      </c>
      <c r="C78" s="14" t="s">
        <v>63</v>
      </c>
      <c r="D78" s="14" t="s">
        <v>49</v>
      </c>
      <c r="E78" s="29">
        <v>2344618427</v>
      </c>
      <c r="F78" s="14" t="s">
        <v>51</v>
      </c>
      <c r="G78" s="14"/>
    </row>
    <row r="79" spans="1:7" x14ac:dyDescent="0.3">
      <c r="A79" s="14" t="s">
        <v>56</v>
      </c>
      <c r="B79" s="14" t="s">
        <v>23</v>
      </c>
      <c r="C79" s="14" t="s">
        <v>52</v>
      </c>
      <c r="D79" s="14" t="s">
        <v>49</v>
      </c>
      <c r="E79" s="29">
        <v>26124267</v>
      </c>
      <c r="F79" s="14" t="s">
        <v>57</v>
      </c>
      <c r="G79" s="14"/>
    </row>
    <row r="80" spans="1:7" x14ac:dyDescent="0.3">
      <c r="A80" s="14" t="s">
        <v>54</v>
      </c>
      <c r="B80" s="14" t="s">
        <v>25</v>
      </c>
      <c r="C80" s="14" t="s">
        <v>52</v>
      </c>
      <c r="D80" s="14" t="s">
        <v>49</v>
      </c>
      <c r="E80" s="29">
        <v>213726</v>
      </c>
      <c r="F80" s="14" t="s">
        <v>59</v>
      </c>
      <c r="G80" s="14"/>
    </row>
    <row r="81" spans="1:7" x14ac:dyDescent="0.3">
      <c r="A81" s="14" t="s">
        <v>54</v>
      </c>
      <c r="B81" s="14" t="s">
        <v>26</v>
      </c>
      <c r="C81" s="14" t="s">
        <v>58</v>
      </c>
      <c r="D81" s="14" t="s">
        <v>49</v>
      </c>
      <c r="E81" s="29">
        <v>20443985</v>
      </c>
      <c r="F81" s="14" t="s">
        <v>57</v>
      </c>
      <c r="G81" s="14"/>
    </row>
    <row r="82" spans="1:7" x14ac:dyDescent="0.3">
      <c r="A82" s="14" t="s">
        <v>54</v>
      </c>
      <c r="B82" s="14" t="s">
        <v>25</v>
      </c>
      <c r="C82" s="14" t="s">
        <v>55</v>
      </c>
      <c r="D82" s="14" t="s">
        <v>49</v>
      </c>
      <c r="E82" s="29">
        <v>17687982</v>
      </c>
      <c r="F82" s="14" t="s">
        <v>51</v>
      </c>
      <c r="G82" s="14"/>
    </row>
    <row r="83" spans="1:7" x14ac:dyDescent="0.3">
      <c r="A83" s="14" t="s">
        <v>56</v>
      </c>
      <c r="B83" s="14" t="s">
        <v>25</v>
      </c>
      <c r="C83" s="14" t="s">
        <v>48</v>
      </c>
      <c r="D83" s="14" t="s">
        <v>49</v>
      </c>
      <c r="E83" s="29">
        <v>2538805</v>
      </c>
      <c r="F83" s="14" t="s">
        <v>51</v>
      </c>
      <c r="G83" s="14"/>
    </row>
    <row r="84" spans="1:7" x14ac:dyDescent="0.3">
      <c r="A84" s="14" t="s">
        <v>56</v>
      </c>
      <c r="B84" s="14" t="s">
        <v>70</v>
      </c>
      <c r="C84" s="14" t="s">
        <v>52</v>
      </c>
      <c r="D84" s="14" t="s">
        <v>49</v>
      </c>
      <c r="E84" s="29">
        <v>7453732</v>
      </c>
      <c r="F84" s="14" t="s">
        <v>59</v>
      </c>
      <c r="G84" s="14"/>
    </row>
    <row r="85" spans="1:7" x14ac:dyDescent="0.3">
      <c r="A85" s="14" t="s">
        <v>67</v>
      </c>
      <c r="B85" s="14" t="s">
        <v>63</v>
      </c>
      <c r="C85" s="14" t="s">
        <v>63</v>
      </c>
      <c r="D85" s="14" t="s">
        <v>49</v>
      </c>
      <c r="E85" s="29">
        <v>-123809</v>
      </c>
      <c r="F85" s="14" t="s">
        <v>65</v>
      </c>
      <c r="G85" s="14"/>
    </row>
    <row r="86" spans="1:7" x14ac:dyDescent="0.3">
      <c r="A86" s="14" t="s">
        <v>54</v>
      </c>
      <c r="B86" s="14" t="s">
        <v>26</v>
      </c>
      <c r="C86" s="14" t="s">
        <v>58</v>
      </c>
      <c r="D86" s="14" t="s">
        <v>49</v>
      </c>
      <c r="E86" s="29">
        <v>698087</v>
      </c>
      <c r="F86" s="14" t="s">
        <v>51</v>
      </c>
      <c r="G86" s="14"/>
    </row>
    <row r="87" spans="1:7" x14ac:dyDescent="0.3">
      <c r="A87" s="14" t="s">
        <v>56</v>
      </c>
      <c r="B87" s="14" t="s">
        <v>23</v>
      </c>
      <c r="C87" s="14" t="s">
        <v>48</v>
      </c>
      <c r="D87" s="14" t="s">
        <v>49</v>
      </c>
      <c r="E87" s="29">
        <v>2615902</v>
      </c>
      <c r="F87" s="14" t="s">
        <v>61</v>
      </c>
      <c r="G87" s="14"/>
    </row>
    <row r="88" spans="1:7" x14ac:dyDescent="0.3">
      <c r="A88" s="14" t="s">
        <v>54</v>
      </c>
      <c r="B88" s="14" t="s">
        <v>25</v>
      </c>
      <c r="C88" s="14" t="s">
        <v>63</v>
      </c>
      <c r="D88" s="14" t="s">
        <v>49</v>
      </c>
      <c r="E88" s="29">
        <v>561492792</v>
      </c>
      <c r="F88" s="14" t="s">
        <v>51</v>
      </c>
      <c r="G88" s="14"/>
    </row>
    <row r="89" spans="1:7" x14ac:dyDescent="0.3">
      <c r="A89" s="14" t="s">
        <v>56</v>
      </c>
      <c r="B89" s="14" t="s">
        <v>22</v>
      </c>
      <c r="C89" s="14" t="s">
        <v>53</v>
      </c>
      <c r="D89" s="14" t="s">
        <v>49</v>
      </c>
      <c r="E89" s="29">
        <v>440087</v>
      </c>
      <c r="F89" s="14" t="s">
        <v>51</v>
      </c>
      <c r="G89" s="14"/>
    </row>
    <row r="90" spans="1:7" x14ac:dyDescent="0.3">
      <c r="A90" s="14" t="s">
        <v>54</v>
      </c>
      <c r="B90" s="14" t="s">
        <v>63</v>
      </c>
      <c r="C90" s="14" t="s">
        <v>63</v>
      </c>
      <c r="D90" s="14" t="s">
        <v>49</v>
      </c>
      <c r="E90" s="29">
        <v>34908934</v>
      </c>
      <c r="F90" s="14" t="s">
        <v>65</v>
      </c>
      <c r="G90" s="14"/>
    </row>
    <row r="91" spans="1:7" x14ac:dyDescent="0.3">
      <c r="A91" s="14" t="s">
        <v>54</v>
      </c>
      <c r="B91" s="14" t="s">
        <v>25</v>
      </c>
      <c r="C91" s="14" t="s">
        <v>52</v>
      </c>
      <c r="D91" s="14" t="s">
        <v>49</v>
      </c>
      <c r="E91" s="29">
        <v>397362</v>
      </c>
      <c r="F91" s="14" t="s">
        <v>62</v>
      </c>
      <c r="G91" s="14"/>
    </row>
    <row r="92" spans="1:7" x14ac:dyDescent="0.3">
      <c r="A92" s="14" t="s">
        <v>56</v>
      </c>
      <c r="B92" s="14" t="s">
        <v>25</v>
      </c>
      <c r="C92" s="14" t="s">
        <v>53</v>
      </c>
      <c r="D92" s="14" t="s">
        <v>49</v>
      </c>
      <c r="E92" s="29">
        <v>2602480</v>
      </c>
      <c r="F92" s="14" t="s">
        <v>50</v>
      </c>
      <c r="G92" s="14"/>
    </row>
    <row r="93" spans="1:7" x14ac:dyDescent="0.3">
      <c r="A93" s="14" t="s">
        <v>54</v>
      </c>
      <c r="B93" s="14" t="s">
        <v>23</v>
      </c>
      <c r="C93" s="14" t="s">
        <v>52</v>
      </c>
      <c r="D93" s="14" t="s">
        <v>49</v>
      </c>
      <c r="E93" s="29">
        <v>138225617</v>
      </c>
      <c r="F93" s="14" t="s">
        <v>50</v>
      </c>
      <c r="G93" s="14"/>
    </row>
    <row r="94" spans="1:7" x14ac:dyDescent="0.3">
      <c r="A94" s="14" t="s">
        <v>56</v>
      </c>
      <c r="B94" s="14" t="s">
        <v>20</v>
      </c>
      <c r="C94" s="14" t="s">
        <v>52</v>
      </c>
      <c r="D94" s="14" t="s">
        <v>49</v>
      </c>
      <c r="E94" s="29">
        <v>8598753</v>
      </c>
      <c r="F94" s="14" t="s">
        <v>62</v>
      </c>
      <c r="G94" s="14"/>
    </row>
    <row r="95" spans="1:7" x14ac:dyDescent="0.3">
      <c r="A95" s="14" t="s">
        <v>54</v>
      </c>
      <c r="B95" s="14" t="s">
        <v>25</v>
      </c>
      <c r="C95" s="14" t="s">
        <v>53</v>
      </c>
      <c r="D95" s="14" t="s">
        <v>49</v>
      </c>
      <c r="E95" s="29">
        <v>28520637</v>
      </c>
      <c r="F95" s="14" t="s">
        <v>51</v>
      </c>
      <c r="G95" s="14"/>
    </row>
    <row r="96" spans="1:7" x14ac:dyDescent="0.3">
      <c r="A96" s="14" t="s">
        <v>54</v>
      </c>
      <c r="B96" s="14" t="s">
        <v>21</v>
      </c>
      <c r="C96" s="14" t="s">
        <v>52</v>
      </c>
      <c r="D96" s="14" t="s">
        <v>69</v>
      </c>
      <c r="E96" s="29">
        <v>6674375</v>
      </c>
      <c r="F96" s="14" t="s">
        <v>51</v>
      </c>
      <c r="G96" s="14"/>
    </row>
    <row r="97" spans="1:7" x14ac:dyDescent="0.3">
      <c r="A97" s="14" t="s">
        <v>54</v>
      </c>
      <c r="B97" s="14" t="s">
        <v>25</v>
      </c>
      <c r="C97" s="14" t="s">
        <v>58</v>
      </c>
      <c r="D97" s="14" t="s">
        <v>69</v>
      </c>
      <c r="E97" s="29">
        <v>465208</v>
      </c>
      <c r="F97" s="14" t="s">
        <v>51</v>
      </c>
      <c r="G97" s="14"/>
    </row>
    <row r="98" spans="1:7" x14ac:dyDescent="0.3">
      <c r="A98" s="14" t="s">
        <v>56</v>
      </c>
      <c r="B98" s="14" t="s">
        <v>23</v>
      </c>
      <c r="C98" s="14" t="s">
        <v>52</v>
      </c>
      <c r="D98" s="14" t="s">
        <v>49</v>
      </c>
      <c r="E98" s="29">
        <v>3205258</v>
      </c>
      <c r="F98" s="14" t="s">
        <v>59</v>
      </c>
      <c r="G98" s="14"/>
    </row>
    <row r="99" spans="1:7" x14ac:dyDescent="0.3">
      <c r="A99" s="14" t="s">
        <v>56</v>
      </c>
      <c r="B99" s="14" t="s">
        <v>22</v>
      </c>
      <c r="C99" s="14" t="s">
        <v>58</v>
      </c>
      <c r="D99" s="14" t="s">
        <v>49</v>
      </c>
      <c r="E99" s="29">
        <v>675112</v>
      </c>
      <c r="F99" s="14" t="s">
        <v>62</v>
      </c>
      <c r="G99" s="14"/>
    </row>
    <row r="100" spans="1:7" x14ac:dyDescent="0.3">
      <c r="A100" s="14" t="s">
        <v>54</v>
      </c>
      <c r="B100" s="14" t="s">
        <v>21</v>
      </c>
      <c r="C100" s="14" t="s">
        <v>52</v>
      </c>
      <c r="D100" s="14" t="s">
        <v>49</v>
      </c>
      <c r="E100" s="29">
        <v>75936873</v>
      </c>
      <c r="F100" s="14" t="s">
        <v>59</v>
      </c>
      <c r="G100" s="14"/>
    </row>
    <row r="101" spans="1:7" x14ac:dyDescent="0.3">
      <c r="A101" s="14" t="s">
        <v>56</v>
      </c>
      <c r="B101" s="14" t="s">
        <v>25</v>
      </c>
      <c r="C101" s="14" t="s">
        <v>48</v>
      </c>
      <c r="D101" s="14" t="s">
        <v>49</v>
      </c>
      <c r="E101" s="29">
        <v>1128196</v>
      </c>
      <c r="F101" s="14" t="s">
        <v>59</v>
      </c>
      <c r="G101" s="14"/>
    </row>
    <row r="102" spans="1:7" x14ac:dyDescent="0.3">
      <c r="A102" s="14" t="s">
        <v>56</v>
      </c>
      <c r="B102" s="14" t="s">
        <v>70</v>
      </c>
      <c r="C102" s="14" t="s">
        <v>48</v>
      </c>
      <c r="D102" s="14" t="s">
        <v>49</v>
      </c>
      <c r="E102" s="29">
        <v>21373547</v>
      </c>
      <c r="F102" s="14" t="s">
        <v>57</v>
      </c>
      <c r="G102" s="14"/>
    </row>
    <row r="103" spans="1:7" x14ac:dyDescent="0.3">
      <c r="A103" s="14" t="s">
        <v>54</v>
      </c>
      <c r="B103" s="14" t="s">
        <v>22</v>
      </c>
      <c r="C103" s="14" t="s">
        <v>52</v>
      </c>
      <c r="D103" s="14" t="s">
        <v>49</v>
      </c>
      <c r="E103" s="29">
        <v>692081035</v>
      </c>
      <c r="F103" s="14" t="s">
        <v>62</v>
      </c>
      <c r="G103" s="14"/>
    </row>
    <row r="104" spans="1:7" x14ac:dyDescent="0.3">
      <c r="A104" s="14" t="s">
        <v>56</v>
      </c>
      <c r="B104" s="14" t="s">
        <v>25</v>
      </c>
      <c r="C104" s="14" t="s">
        <v>53</v>
      </c>
      <c r="D104" s="14" t="s">
        <v>49</v>
      </c>
      <c r="E104" s="29">
        <v>1052590</v>
      </c>
      <c r="F104" s="14" t="s">
        <v>51</v>
      </c>
      <c r="G104" s="14"/>
    </row>
    <row r="105" spans="1:7" x14ac:dyDescent="0.3">
      <c r="A105" s="14" t="s">
        <v>54</v>
      </c>
      <c r="B105" s="14" t="s">
        <v>70</v>
      </c>
      <c r="C105" s="14" t="s">
        <v>52</v>
      </c>
      <c r="D105" s="14" t="s">
        <v>49</v>
      </c>
      <c r="E105" s="29">
        <v>148040122</v>
      </c>
      <c r="F105" s="14" t="s">
        <v>57</v>
      </c>
      <c r="G105" s="14"/>
    </row>
    <row r="106" spans="1:7" x14ac:dyDescent="0.3">
      <c r="A106" s="14" t="s">
        <v>56</v>
      </c>
      <c r="B106" s="14" t="s">
        <v>21</v>
      </c>
      <c r="C106" s="14" t="s">
        <v>63</v>
      </c>
      <c r="D106" s="14" t="s">
        <v>49</v>
      </c>
      <c r="E106" s="29">
        <v>22777957</v>
      </c>
      <c r="F106" s="14" t="s">
        <v>51</v>
      </c>
      <c r="G106" s="14"/>
    </row>
    <row r="107" spans="1:7" x14ac:dyDescent="0.3">
      <c r="A107" s="14" t="s">
        <v>56</v>
      </c>
      <c r="B107" s="14" t="s">
        <v>25</v>
      </c>
      <c r="C107" s="14" t="s">
        <v>66</v>
      </c>
      <c r="D107" s="14" t="s">
        <v>49</v>
      </c>
      <c r="E107" s="29">
        <v>10613270</v>
      </c>
      <c r="F107" s="14" t="s">
        <v>51</v>
      </c>
      <c r="G107" s="14"/>
    </row>
    <row r="108" spans="1:7" x14ac:dyDescent="0.3">
      <c r="A108" s="14" t="s">
        <v>54</v>
      </c>
      <c r="B108" s="14" t="s">
        <v>25</v>
      </c>
      <c r="C108" s="14" t="s">
        <v>48</v>
      </c>
      <c r="D108" s="14" t="s">
        <v>69</v>
      </c>
      <c r="E108" s="29">
        <v>18847</v>
      </c>
      <c r="F108" s="14" t="s">
        <v>51</v>
      </c>
      <c r="G108" s="14"/>
    </row>
    <row r="109" spans="1:7" x14ac:dyDescent="0.3">
      <c r="A109" s="14" t="s">
        <v>54</v>
      </c>
      <c r="B109" s="14" t="s">
        <v>26</v>
      </c>
      <c r="C109" s="14" t="s">
        <v>63</v>
      </c>
      <c r="D109" s="14" t="s">
        <v>49</v>
      </c>
      <c r="E109" s="29">
        <v>1210453</v>
      </c>
      <c r="F109" s="14" t="s">
        <v>51</v>
      </c>
      <c r="G109" s="14"/>
    </row>
    <row r="110" spans="1:7" x14ac:dyDescent="0.3">
      <c r="A110" s="14" t="s">
        <v>56</v>
      </c>
      <c r="B110" s="14" t="s">
        <v>22</v>
      </c>
      <c r="C110" s="14" t="s">
        <v>48</v>
      </c>
      <c r="D110" s="14" t="s">
        <v>49</v>
      </c>
      <c r="E110" s="29">
        <v>98734467</v>
      </c>
      <c r="F110" s="14" t="s">
        <v>59</v>
      </c>
      <c r="G110" s="14"/>
    </row>
    <row r="111" spans="1:7" x14ac:dyDescent="0.3">
      <c r="A111" s="14" t="s">
        <v>54</v>
      </c>
      <c r="B111" s="14" t="s">
        <v>25</v>
      </c>
      <c r="C111" s="14" t="s">
        <v>58</v>
      </c>
      <c r="D111" s="14" t="s">
        <v>49</v>
      </c>
      <c r="E111" s="29">
        <v>91080150</v>
      </c>
      <c r="F111" s="14" t="s">
        <v>57</v>
      </c>
      <c r="G111" s="14"/>
    </row>
    <row r="112" spans="1:7" x14ac:dyDescent="0.3">
      <c r="A112" s="14" t="s">
        <v>56</v>
      </c>
      <c r="B112" s="14" t="s">
        <v>26</v>
      </c>
      <c r="C112" s="14" t="s">
        <v>58</v>
      </c>
      <c r="D112" s="14" t="s">
        <v>49</v>
      </c>
      <c r="E112" s="29">
        <v>5779</v>
      </c>
      <c r="F112" s="14" t="s">
        <v>59</v>
      </c>
      <c r="G112" s="14"/>
    </row>
    <row r="113" spans="1:7" x14ac:dyDescent="0.3">
      <c r="A113" s="14" t="s">
        <v>54</v>
      </c>
      <c r="B113" s="14" t="s">
        <v>26</v>
      </c>
      <c r="C113" s="14" t="s">
        <v>48</v>
      </c>
      <c r="D113" s="14" t="s">
        <v>49</v>
      </c>
      <c r="E113" s="29">
        <v>3496197</v>
      </c>
      <c r="F113" s="14" t="s">
        <v>57</v>
      </c>
      <c r="G113" s="14"/>
    </row>
    <row r="114" spans="1:7" x14ac:dyDescent="0.3">
      <c r="A114" s="14" t="s">
        <v>54</v>
      </c>
      <c r="B114" s="14" t="s">
        <v>22</v>
      </c>
      <c r="C114" s="14" t="s">
        <v>63</v>
      </c>
      <c r="D114" s="14" t="s">
        <v>49</v>
      </c>
      <c r="E114" s="29">
        <v>2322174353</v>
      </c>
      <c r="F114" s="14" t="s">
        <v>51</v>
      </c>
      <c r="G114" s="14"/>
    </row>
    <row r="115" spans="1:7" x14ac:dyDescent="0.3">
      <c r="A115" s="14" t="s">
        <v>56</v>
      </c>
      <c r="B115" s="14" t="s">
        <v>24</v>
      </c>
      <c r="C115" s="14" t="s">
        <v>52</v>
      </c>
      <c r="D115" s="14" t="s">
        <v>49</v>
      </c>
      <c r="E115" s="29">
        <v>4927</v>
      </c>
      <c r="F115" s="14" t="s">
        <v>62</v>
      </c>
      <c r="G115" s="14"/>
    </row>
    <row r="116" spans="1:7" x14ac:dyDescent="0.3">
      <c r="A116" s="14" t="s">
        <v>56</v>
      </c>
      <c r="B116" s="14" t="s">
        <v>71</v>
      </c>
      <c r="C116" s="14" t="s">
        <v>63</v>
      </c>
      <c r="D116" s="14" t="s">
        <v>49</v>
      </c>
      <c r="E116" s="29">
        <v>25574882</v>
      </c>
      <c r="F116" s="14" t="s">
        <v>51</v>
      </c>
      <c r="G116" s="14"/>
    </row>
    <row r="117" spans="1:7" x14ac:dyDescent="0.3">
      <c r="A117" s="14" t="s">
        <v>56</v>
      </c>
      <c r="B117" s="14" t="s">
        <v>71</v>
      </c>
      <c r="C117" s="14" t="s">
        <v>52</v>
      </c>
      <c r="D117" s="14" t="s">
        <v>49</v>
      </c>
      <c r="E117" s="29">
        <v>1961347</v>
      </c>
      <c r="F117" s="14" t="s">
        <v>59</v>
      </c>
      <c r="G117" s="14"/>
    </row>
    <row r="118" spans="1:7" x14ac:dyDescent="0.3">
      <c r="A118" s="14" t="s">
        <v>54</v>
      </c>
      <c r="B118" s="14" t="s">
        <v>23</v>
      </c>
      <c r="C118" s="14" t="s">
        <v>48</v>
      </c>
      <c r="D118" s="14" t="s">
        <v>69</v>
      </c>
      <c r="E118" s="29">
        <v>996409</v>
      </c>
      <c r="F118" s="14" t="s">
        <v>51</v>
      </c>
      <c r="G118" s="14"/>
    </row>
    <row r="119" spans="1:7" x14ac:dyDescent="0.3">
      <c r="A119" s="14" t="s">
        <v>56</v>
      </c>
      <c r="B119" s="14" t="s">
        <v>24</v>
      </c>
      <c r="C119" s="14" t="s">
        <v>63</v>
      </c>
      <c r="D119" s="14" t="s">
        <v>49</v>
      </c>
      <c r="E119" s="29">
        <v>3850466</v>
      </c>
      <c r="F119" s="14" t="s">
        <v>51</v>
      </c>
      <c r="G119" s="14"/>
    </row>
    <row r="120" spans="1:7" x14ac:dyDescent="0.3">
      <c r="A120" s="14" t="s">
        <v>54</v>
      </c>
      <c r="B120" s="14" t="s">
        <v>21</v>
      </c>
      <c r="C120" s="14" t="s">
        <v>52</v>
      </c>
      <c r="D120" s="14" t="s">
        <v>49</v>
      </c>
      <c r="E120" s="29">
        <v>236185890</v>
      </c>
      <c r="F120" s="14" t="s">
        <v>50</v>
      </c>
      <c r="G120" s="14"/>
    </row>
    <row r="121" spans="1:7" x14ac:dyDescent="0.3">
      <c r="A121" s="14" t="s">
        <v>56</v>
      </c>
      <c r="B121" s="14" t="s">
        <v>71</v>
      </c>
      <c r="C121" s="14" t="s">
        <v>48</v>
      </c>
      <c r="D121" s="14" t="s">
        <v>49</v>
      </c>
      <c r="E121" s="29">
        <v>267418</v>
      </c>
      <c r="F121" s="14" t="s">
        <v>50</v>
      </c>
      <c r="G121" s="14"/>
    </row>
    <row r="122" spans="1:7" x14ac:dyDescent="0.3">
      <c r="A122" s="14" t="s">
        <v>56</v>
      </c>
      <c r="B122" s="14" t="s">
        <v>25</v>
      </c>
      <c r="C122" s="14" t="s">
        <v>53</v>
      </c>
      <c r="D122" s="14" t="s">
        <v>49</v>
      </c>
      <c r="E122" s="29">
        <v>59569</v>
      </c>
      <c r="F122" s="14" t="s">
        <v>59</v>
      </c>
      <c r="G122" s="14"/>
    </row>
    <row r="123" spans="1:7" x14ac:dyDescent="0.3">
      <c r="A123" s="14" t="s">
        <v>54</v>
      </c>
      <c r="B123" s="14" t="s">
        <v>20</v>
      </c>
      <c r="C123" s="14" t="s">
        <v>52</v>
      </c>
      <c r="D123" s="14" t="s">
        <v>49</v>
      </c>
      <c r="E123" s="29">
        <v>692913</v>
      </c>
      <c r="F123" s="14" t="s">
        <v>61</v>
      </c>
      <c r="G123" s="14"/>
    </row>
    <row r="124" spans="1:7" x14ac:dyDescent="0.3">
      <c r="A124" s="14" t="s">
        <v>54</v>
      </c>
      <c r="B124" s="14" t="s">
        <v>26</v>
      </c>
      <c r="C124" s="14" t="s">
        <v>53</v>
      </c>
      <c r="D124" s="14" t="s">
        <v>49</v>
      </c>
      <c r="E124" s="29">
        <v>101581</v>
      </c>
      <c r="F124" s="14" t="s">
        <v>50</v>
      </c>
      <c r="G124" s="14"/>
    </row>
    <row r="125" spans="1:7" x14ac:dyDescent="0.3">
      <c r="A125" s="14" t="s">
        <v>56</v>
      </c>
      <c r="B125" s="14" t="s">
        <v>26</v>
      </c>
      <c r="C125" s="14" t="s">
        <v>55</v>
      </c>
      <c r="D125" s="14" t="s">
        <v>49</v>
      </c>
      <c r="E125" s="29">
        <v>10</v>
      </c>
      <c r="F125" s="14" t="s">
        <v>62</v>
      </c>
      <c r="G125" s="14"/>
    </row>
    <row r="126" spans="1:7" x14ac:dyDescent="0.3">
      <c r="A126" s="14" t="s">
        <v>56</v>
      </c>
      <c r="B126" s="14" t="s">
        <v>71</v>
      </c>
      <c r="C126" s="14" t="s">
        <v>52</v>
      </c>
      <c r="D126" s="14" t="s">
        <v>49</v>
      </c>
      <c r="E126" s="29">
        <v>600325</v>
      </c>
      <c r="F126" s="14" t="s">
        <v>62</v>
      </c>
      <c r="G126" s="14"/>
    </row>
    <row r="127" spans="1:7" x14ac:dyDescent="0.3">
      <c r="A127" s="14" t="s">
        <v>54</v>
      </c>
      <c r="B127" s="14" t="s">
        <v>23</v>
      </c>
      <c r="C127" s="14" t="s">
        <v>48</v>
      </c>
      <c r="D127" s="14" t="s">
        <v>69</v>
      </c>
      <c r="E127" s="29">
        <v>369358</v>
      </c>
      <c r="F127" s="14" t="s">
        <v>50</v>
      </c>
      <c r="G127" s="14"/>
    </row>
    <row r="128" spans="1:7" x14ac:dyDescent="0.3">
      <c r="A128" s="14" t="s">
        <v>56</v>
      </c>
      <c r="B128" s="14" t="s">
        <v>21</v>
      </c>
      <c r="C128" s="14" t="s">
        <v>48</v>
      </c>
      <c r="D128" s="14" t="s">
        <v>49</v>
      </c>
      <c r="E128" s="29">
        <v>4738754</v>
      </c>
      <c r="F128" s="14" t="s">
        <v>59</v>
      </c>
      <c r="G128" s="14"/>
    </row>
    <row r="129" spans="1:7" x14ac:dyDescent="0.3">
      <c r="A129" s="14" t="s">
        <v>54</v>
      </c>
      <c r="B129" s="14" t="s">
        <v>21</v>
      </c>
      <c r="C129" s="14" t="s">
        <v>52</v>
      </c>
      <c r="D129" s="14" t="s">
        <v>69</v>
      </c>
      <c r="E129" s="29">
        <v>25789</v>
      </c>
      <c r="F129" s="14" t="s">
        <v>50</v>
      </c>
      <c r="G129" s="14"/>
    </row>
    <row r="130" spans="1:7" x14ac:dyDescent="0.3">
      <c r="A130" s="14" t="s">
        <v>54</v>
      </c>
      <c r="B130" s="14" t="s">
        <v>21</v>
      </c>
      <c r="C130" s="14" t="s">
        <v>58</v>
      </c>
      <c r="D130" s="14" t="s">
        <v>49</v>
      </c>
      <c r="E130" s="29">
        <v>530785</v>
      </c>
      <c r="F130" s="14" t="s">
        <v>51</v>
      </c>
      <c r="G130" s="14"/>
    </row>
    <row r="131" spans="1:7" x14ac:dyDescent="0.3">
      <c r="A131" s="14" t="s">
        <v>56</v>
      </c>
      <c r="B131" s="14" t="s">
        <v>71</v>
      </c>
      <c r="C131" s="14" t="s">
        <v>48</v>
      </c>
      <c r="D131" s="14" t="s">
        <v>49</v>
      </c>
      <c r="E131" s="29">
        <v>4595</v>
      </c>
      <c r="F131" s="14" t="s">
        <v>62</v>
      </c>
      <c r="G131" s="14"/>
    </row>
    <row r="132" spans="1:7" x14ac:dyDescent="0.3">
      <c r="A132" s="14" t="s">
        <v>56</v>
      </c>
      <c r="B132" s="14" t="s">
        <v>20</v>
      </c>
      <c r="C132" s="14" t="s">
        <v>48</v>
      </c>
      <c r="D132" s="14" t="s">
        <v>49</v>
      </c>
      <c r="E132" s="29">
        <v>2160873</v>
      </c>
      <c r="F132" s="14" t="s">
        <v>50</v>
      </c>
      <c r="G132" s="14"/>
    </row>
    <row r="133" spans="1:7" x14ac:dyDescent="0.3">
      <c r="A133" s="14" t="s">
        <v>54</v>
      </c>
      <c r="B133" s="14" t="s">
        <v>24</v>
      </c>
      <c r="C133" s="14" t="s">
        <v>58</v>
      </c>
      <c r="D133" s="14" t="s">
        <v>49</v>
      </c>
      <c r="E133" s="29">
        <v>35887332</v>
      </c>
      <c r="F133" s="14" t="s">
        <v>62</v>
      </c>
      <c r="G133" s="14"/>
    </row>
    <row r="134" spans="1:7" x14ac:dyDescent="0.3">
      <c r="A134" s="14" t="s">
        <v>56</v>
      </c>
      <c r="B134" s="14" t="s">
        <v>26</v>
      </c>
      <c r="C134" s="14" t="s">
        <v>58</v>
      </c>
      <c r="D134" s="14" t="s">
        <v>49</v>
      </c>
      <c r="E134" s="29">
        <v>1329994</v>
      </c>
      <c r="F134" s="14" t="s">
        <v>62</v>
      </c>
      <c r="G134" s="14"/>
    </row>
    <row r="135" spans="1:7" x14ac:dyDescent="0.3">
      <c r="A135" s="14" t="s">
        <v>54</v>
      </c>
      <c r="B135" s="14" t="s">
        <v>71</v>
      </c>
      <c r="C135" s="14" t="s">
        <v>66</v>
      </c>
      <c r="D135" s="14" t="s">
        <v>49</v>
      </c>
      <c r="E135" s="29">
        <v>292139</v>
      </c>
      <c r="F135" s="14" t="s">
        <v>51</v>
      </c>
      <c r="G135" s="14"/>
    </row>
    <row r="136" spans="1:7" x14ac:dyDescent="0.3">
      <c r="A136" s="14" t="s">
        <v>56</v>
      </c>
      <c r="B136" s="14" t="s">
        <v>23</v>
      </c>
      <c r="C136" s="14" t="s">
        <v>63</v>
      </c>
      <c r="D136" s="14" t="s">
        <v>49</v>
      </c>
      <c r="E136" s="29">
        <v>12803806</v>
      </c>
      <c r="F136" s="14" t="s">
        <v>51</v>
      </c>
      <c r="G136" s="14"/>
    </row>
    <row r="137" spans="1:7" x14ac:dyDescent="0.3">
      <c r="A137" s="14" t="s">
        <v>54</v>
      </c>
      <c r="B137" s="14" t="s">
        <v>20</v>
      </c>
      <c r="C137" s="14" t="s">
        <v>53</v>
      </c>
      <c r="D137" s="14" t="s">
        <v>49</v>
      </c>
      <c r="E137" s="29">
        <v>194868</v>
      </c>
      <c r="F137" s="14" t="s">
        <v>51</v>
      </c>
      <c r="G137" s="14"/>
    </row>
    <row r="138" spans="1:7" x14ac:dyDescent="0.3">
      <c r="A138" s="14" t="s">
        <v>54</v>
      </c>
      <c r="B138" s="14" t="s">
        <v>24</v>
      </c>
      <c r="C138" s="14" t="s">
        <v>48</v>
      </c>
      <c r="D138" s="14" t="s">
        <v>69</v>
      </c>
      <c r="E138" s="29">
        <v>100713</v>
      </c>
      <c r="F138" s="14" t="s">
        <v>62</v>
      </c>
      <c r="G138" s="14"/>
    </row>
    <row r="139" spans="1:7" x14ac:dyDescent="0.3">
      <c r="A139" s="14" t="s">
        <v>54</v>
      </c>
      <c r="B139" s="14" t="s">
        <v>23</v>
      </c>
      <c r="C139" s="14" t="s">
        <v>55</v>
      </c>
      <c r="D139" s="14" t="s">
        <v>69</v>
      </c>
      <c r="E139" s="29">
        <v>83332</v>
      </c>
      <c r="F139" s="14" t="s">
        <v>51</v>
      </c>
      <c r="G139" s="14"/>
    </row>
    <row r="140" spans="1:7" x14ac:dyDescent="0.3">
      <c r="A140" s="14" t="s">
        <v>54</v>
      </c>
      <c r="B140" s="14" t="s">
        <v>70</v>
      </c>
      <c r="C140" s="14" t="s">
        <v>48</v>
      </c>
      <c r="D140" s="14" t="s">
        <v>49</v>
      </c>
      <c r="E140" s="29">
        <v>3721106</v>
      </c>
      <c r="F140" s="14" t="s">
        <v>50</v>
      </c>
      <c r="G140" s="14"/>
    </row>
    <row r="141" spans="1:7" x14ac:dyDescent="0.3">
      <c r="A141" s="14" t="s">
        <v>56</v>
      </c>
      <c r="B141" s="14" t="s">
        <v>70</v>
      </c>
      <c r="C141" s="14" t="s">
        <v>58</v>
      </c>
      <c r="D141" s="14" t="s">
        <v>49</v>
      </c>
      <c r="E141" s="29">
        <v>7791028</v>
      </c>
      <c r="F141" s="14" t="s">
        <v>51</v>
      </c>
      <c r="G141" s="14"/>
    </row>
    <row r="142" spans="1:7" x14ac:dyDescent="0.3">
      <c r="A142" s="14" t="s">
        <v>54</v>
      </c>
      <c r="B142" s="14" t="s">
        <v>22</v>
      </c>
      <c r="C142" s="14" t="s">
        <v>58</v>
      </c>
      <c r="D142" s="14" t="s">
        <v>49</v>
      </c>
      <c r="E142" s="29">
        <v>38497850</v>
      </c>
      <c r="F142" s="14" t="s">
        <v>51</v>
      </c>
      <c r="G142" s="14"/>
    </row>
    <row r="143" spans="1:7" x14ac:dyDescent="0.3">
      <c r="A143" s="14" t="s">
        <v>54</v>
      </c>
      <c r="B143" s="14" t="s">
        <v>71</v>
      </c>
      <c r="C143" s="14" t="s">
        <v>52</v>
      </c>
      <c r="D143" s="14" t="s">
        <v>69</v>
      </c>
      <c r="E143" s="29">
        <v>165165</v>
      </c>
      <c r="F143" s="14" t="s">
        <v>51</v>
      </c>
      <c r="G143" s="14"/>
    </row>
    <row r="144" spans="1:7" x14ac:dyDescent="0.3">
      <c r="A144" s="14" t="s">
        <v>56</v>
      </c>
      <c r="B144" s="14" t="s">
        <v>24</v>
      </c>
      <c r="C144" s="14" t="s">
        <v>58</v>
      </c>
      <c r="D144" s="14" t="s">
        <v>49</v>
      </c>
      <c r="E144" s="29">
        <v>1294454</v>
      </c>
      <c r="F144" s="14" t="s">
        <v>59</v>
      </c>
      <c r="G144" s="14"/>
    </row>
    <row r="145" spans="1:7" x14ac:dyDescent="0.3">
      <c r="A145" s="14" t="s">
        <v>54</v>
      </c>
      <c r="B145" s="14" t="s">
        <v>24</v>
      </c>
      <c r="C145" s="14" t="s">
        <v>48</v>
      </c>
      <c r="D145" s="14" t="s">
        <v>49</v>
      </c>
      <c r="E145" s="29">
        <v>466699141</v>
      </c>
      <c r="F145" s="14" t="s">
        <v>50</v>
      </c>
      <c r="G145" s="14"/>
    </row>
    <row r="146" spans="1:7" x14ac:dyDescent="0.3">
      <c r="A146" s="14" t="s">
        <v>54</v>
      </c>
      <c r="B146" s="14" t="s">
        <v>21</v>
      </c>
      <c r="C146" s="14" t="s">
        <v>52</v>
      </c>
      <c r="D146" s="14" t="s">
        <v>49</v>
      </c>
      <c r="E146" s="29">
        <v>75098</v>
      </c>
      <c r="F146" s="14" t="s">
        <v>61</v>
      </c>
      <c r="G146" s="14"/>
    </row>
    <row r="147" spans="1:7" x14ac:dyDescent="0.3">
      <c r="A147" s="14" t="s">
        <v>54</v>
      </c>
      <c r="B147" s="14" t="s">
        <v>23</v>
      </c>
      <c r="C147" s="14" t="s">
        <v>48</v>
      </c>
      <c r="D147" s="14" t="s">
        <v>49</v>
      </c>
      <c r="E147" s="29">
        <v>803455</v>
      </c>
      <c r="F147" s="14" t="s">
        <v>61</v>
      </c>
      <c r="G147" s="14"/>
    </row>
    <row r="148" spans="1:7" x14ac:dyDescent="0.3">
      <c r="A148" s="14" t="s">
        <v>56</v>
      </c>
      <c r="B148" s="14" t="s">
        <v>23</v>
      </c>
      <c r="C148" s="14" t="s">
        <v>52</v>
      </c>
      <c r="D148" s="14" t="s">
        <v>49</v>
      </c>
      <c r="E148" s="29">
        <v>6940990</v>
      </c>
      <c r="F148" s="14" t="s">
        <v>51</v>
      </c>
      <c r="G148" s="14"/>
    </row>
    <row r="149" spans="1:7" x14ac:dyDescent="0.3">
      <c r="A149" s="14" t="s">
        <v>56</v>
      </c>
      <c r="B149" s="14" t="s">
        <v>25</v>
      </c>
      <c r="C149" s="14" t="s">
        <v>55</v>
      </c>
      <c r="D149" s="14" t="s">
        <v>49</v>
      </c>
      <c r="E149" s="29">
        <v>4844717</v>
      </c>
      <c r="F149" s="14" t="s">
        <v>51</v>
      </c>
      <c r="G149" s="14"/>
    </row>
    <row r="150" spans="1:7" x14ac:dyDescent="0.3">
      <c r="A150" s="14" t="s">
        <v>56</v>
      </c>
      <c r="B150" s="14" t="s">
        <v>26</v>
      </c>
      <c r="C150" s="14" t="s">
        <v>53</v>
      </c>
      <c r="D150" s="14" t="s">
        <v>49</v>
      </c>
      <c r="E150" s="29">
        <v>1787609</v>
      </c>
      <c r="F150" s="14" t="s">
        <v>57</v>
      </c>
      <c r="G150" s="14"/>
    </row>
    <row r="151" spans="1:7" x14ac:dyDescent="0.3">
      <c r="A151" s="14" t="s">
        <v>54</v>
      </c>
      <c r="B151" s="14" t="s">
        <v>25</v>
      </c>
      <c r="C151" s="14" t="s">
        <v>58</v>
      </c>
      <c r="D151" s="14" t="s">
        <v>69</v>
      </c>
      <c r="E151" s="29">
        <v>189004</v>
      </c>
      <c r="F151" s="14" t="s">
        <v>50</v>
      </c>
      <c r="G151" s="14"/>
    </row>
    <row r="152" spans="1:7" x14ac:dyDescent="0.3">
      <c r="A152" s="14" t="s">
        <v>56</v>
      </c>
      <c r="B152" s="14" t="s">
        <v>24</v>
      </c>
      <c r="C152" s="14" t="s">
        <v>53</v>
      </c>
      <c r="D152" s="14" t="s">
        <v>49</v>
      </c>
      <c r="E152" s="29">
        <v>533600</v>
      </c>
      <c r="F152" s="14" t="s">
        <v>51</v>
      </c>
      <c r="G152" s="14"/>
    </row>
    <row r="153" spans="1:7" x14ac:dyDescent="0.3">
      <c r="A153" s="14" t="s">
        <v>56</v>
      </c>
      <c r="B153" s="14" t="s">
        <v>20</v>
      </c>
      <c r="C153" s="14" t="s">
        <v>63</v>
      </c>
      <c r="D153" s="14" t="s">
        <v>49</v>
      </c>
      <c r="E153" s="29">
        <v>36250048</v>
      </c>
      <c r="F153" s="14" t="s">
        <v>51</v>
      </c>
      <c r="G153" s="14"/>
    </row>
    <row r="154" spans="1:7" x14ac:dyDescent="0.3">
      <c r="A154" s="14" t="s">
        <v>54</v>
      </c>
      <c r="B154" s="14" t="s">
        <v>22</v>
      </c>
      <c r="C154" s="14" t="s">
        <v>48</v>
      </c>
      <c r="D154" s="14" t="s">
        <v>49</v>
      </c>
      <c r="E154" s="29">
        <v>19133420</v>
      </c>
      <c r="F154" s="14" t="s">
        <v>62</v>
      </c>
      <c r="G154" s="14"/>
    </row>
    <row r="155" spans="1:7" x14ac:dyDescent="0.3">
      <c r="A155" s="14" t="s">
        <v>56</v>
      </c>
      <c r="B155" s="14" t="s">
        <v>71</v>
      </c>
      <c r="C155" s="14" t="s">
        <v>66</v>
      </c>
      <c r="D155" s="14" t="s">
        <v>49</v>
      </c>
      <c r="E155" s="29">
        <v>238118</v>
      </c>
      <c r="F155" s="14" t="s">
        <v>51</v>
      </c>
      <c r="G155" s="14"/>
    </row>
    <row r="156" spans="1:7" x14ac:dyDescent="0.3">
      <c r="A156" s="14" t="s">
        <v>54</v>
      </c>
      <c r="B156" s="14" t="s">
        <v>22</v>
      </c>
      <c r="C156" s="14" t="s">
        <v>52</v>
      </c>
      <c r="D156" s="14" t="s">
        <v>69</v>
      </c>
      <c r="E156" s="29">
        <v>31725</v>
      </c>
      <c r="F156" s="14" t="s">
        <v>59</v>
      </c>
      <c r="G156" s="14"/>
    </row>
    <row r="157" spans="1:7" x14ac:dyDescent="0.3">
      <c r="A157" s="14" t="s">
        <v>54</v>
      </c>
      <c r="B157" s="14" t="s">
        <v>25</v>
      </c>
      <c r="C157" s="14" t="s">
        <v>58</v>
      </c>
      <c r="D157" s="14" t="s">
        <v>49</v>
      </c>
      <c r="E157" s="29">
        <v>28768764</v>
      </c>
      <c r="F157" s="14" t="s">
        <v>59</v>
      </c>
      <c r="G157" s="14"/>
    </row>
    <row r="158" spans="1:7" x14ac:dyDescent="0.3">
      <c r="A158" s="14" t="s">
        <v>54</v>
      </c>
      <c r="B158" s="14" t="s">
        <v>22</v>
      </c>
      <c r="C158" s="14" t="s">
        <v>48</v>
      </c>
      <c r="D158" s="14" t="s">
        <v>69</v>
      </c>
      <c r="E158" s="29">
        <v>40921</v>
      </c>
      <c r="F158" s="14" t="s">
        <v>62</v>
      </c>
      <c r="G158" s="14"/>
    </row>
    <row r="159" spans="1:7" x14ac:dyDescent="0.3">
      <c r="A159" s="14" t="s">
        <v>54</v>
      </c>
      <c r="B159" s="14" t="s">
        <v>22</v>
      </c>
      <c r="C159" s="14" t="s">
        <v>52</v>
      </c>
      <c r="D159" s="14" t="s">
        <v>49</v>
      </c>
      <c r="E159" s="29">
        <v>504483305</v>
      </c>
      <c r="F159" s="14" t="s">
        <v>57</v>
      </c>
      <c r="G159" s="14"/>
    </row>
    <row r="160" spans="1:7" x14ac:dyDescent="0.3">
      <c r="A160" s="14" t="s">
        <v>54</v>
      </c>
      <c r="B160" s="14" t="s">
        <v>26</v>
      </c>
      <c r="C160" s="14" t="s">
        <v>58</v>
      </c>
      <c r="D160" s="14" t="s">
        <v>49</v>
      </c>
      <c r="E160" s="29">
        <v>67640</v>
      </c>
      <c r="F160" s="14" t="s">
        <v>59</v>
      </c>
      <c r="G160" s="14"/>
    </row>
    <row r="161" spans="1:7" x14ac:dyDescent="0.3">
      <c r="A161" s="14" t="s">
        <v>54</v>
      </c>
      <c r="B161" s="14" t="s">
        <v>63</v>
      </c>
      <c r="C161" s="14" t="s">
        <v>63</v>
      </c>
      <c r="D161" s="14" t="s">
        <v>69</v>
      </c>
      <c r="E161" s="29">
        <v>1674092</v>
      </c>
      <c r="F161" s="14" t="s">
        <v>65</v>
      </c>
      <c r="G161" s="14"/>
    </row>
    <row r="162" spans="1:7" x14ac:dyDescent="0.3">
      <c r="A162" s="14" t="s">
        <v>56</v>
      </c>
      <c r="B162" s="14" t="s">
        <v>21</v>
      </c>
      <c r="C162" s="14" t="s">
        <v>52</v>
      </c>
      <c r="D162" s="14" t="s">
        <v>49</v>
      </c>
      <c r="E162" s="29">
        <v>5358343</v>
      </c>
      <c r="F162" s="14" t="s">
        <v>62</v>
      </c>
      <c r="G162" s="14"/>
    </row>
    <row r="163" spans="1:7" x14ac:dyDescent="0.3">
      <c r="A163" s="14" t="s">
        <v>56</v>
      </c>
      <c r="B163" s="14" t="s">
        <v>23</v>
      </c>
      <c r="C163" s="14" t="s">
        <v>58</v>
      </c>
      <c r="D163" s="14" t="s">
        <v>49</v>
      </c>
      <c r="E163" s="29">
        <v>797930</v>
      </c>
      <c r="F163" s="14" t="s">
        <v>50</v>
      </c>
      <c r="G163" s="14"/>
    </row>
    <row r="164" spans="1:7" x14ac:dyDescent="0.3">
      <c r="A164" s="14" t="s">
        <v>56</v>
      </c>
      <c r="B164" s="14" t="s">
        <v>21</v>
      </c>
      <c r="C164" s="14" t="s">
        <v>58</v>
      </c>
      <c r="D164" s="14" t="s">
        <v>49</v>
      </c>
      <c r="E164" s="29">
        <v>431864</v>
      </c>
      <c r="F164" s="14" t="s">
        <v>50</v>
      </c>
      <c r="G164" s="14"/>
    </row>
    <row r="165" spans="1:7" x14ac:dyDescent="0.3">
      <c r="A165" s="14" t="s">
        <v>56</v>
      </c>
      <c r="B165" s="14" t="s">
        <v>22</v>
      </c>
      <c r="C165" s="14" t="s">
        <v>58</v>
      </c>
      <c r="D165" s="14" t="s">
        <v>49</v>
      </c>
      <c r="E165" s="29">
        <v>95690</v>
      </c>
      <c r="F165" s="14" t="s">
        <v>59</v>
      </c>
      <c r="G165" s="14"/>
    </row>
    <row r="166" spans="1:7" x14ac:dyDescent="0.3">
      <c r="A166" s="14" t="s">
        <v>54</v>
      </c>
      <c r="B166" s="14" t="s">
        <v>22</v>
      </c>
      <c r="C166" s="14" t="s">
        <v>55</v>
      </c>
      <c r="D166" s="14" t="s">
        <v>49</v>
      </c>
      <c r="E166" s="29">
        <v>639910</v>
      </c>
      <c r="F166" s="14" t="s">
        <v>51</v>
      </c>
      <c r="G166" s="14"/>
    </row>
    <row r="167" spans="1:7" x14ac:dyDescent="0.3">
      <c r="A167" s="14" t="s">
        <v>54</v>
      </c>
      <c r="B167" s="14" t="s">
        <v>70</v>
      </c>
      <c r="C167" s="14" t="s">
        <v>48</v>
      </c>
      <c r="D167" s="14" t="s">
        <v>49</v>
      </c>
      <c r="E167" s="29">
        <v>3110420</v>
      </c>
      <c r="F167" s="14" t="s">
        <v>57</v>
      </c>
      <c r="G167" s="14"/>
    </row>
    <row r="168" spans="1:7" x14ac:dyDescent="0.3">
      <c r="A168" s="14" t="s">
        <v>56</v>
      </c>
      <c r="B168" s="14" t="s">
        <v>71</v>
      </c>
      <c r="C168" s="14" t="s">
        <v>52</v>
      </c>
      <c r="D168" s="14" t="s">
        <v>49</v>
      </c>
      <c r="E168" s="29">
        <v>1857727</v>
      </c>
      <c r="F168" s="14" t="s">
        <v>57</v>
      </c>
      <c r="G168" s="14"/>
    </row>
    <row r="169" spans="1:7" x14ac:dyDescent="0.3">
      <c r="A169" s="14" t="s">
        <v>54</v>
      </c>
      <c r="B169" s="14" t="s">
        <v>24</v>
      </c>
      <c r="C169" s="14" t="s">
        <v>55</v>
      </c>
      <c r="D169" s="14" t="s">
        <v>49</v>
      </c>
      <c r="E169" s="29">
        <v>33195549</v>
      </c>
      <c r="F169" s="14" t="s">
        <v>51</v>
      </c>
      <c r="G169" s="14"/>
    </row>
    <row r="170" spans="1:7" x14ac:dyDescent="0.3">
      <c r="A170" s="14" t="s">
        <v>56</v>
      </c>
      <c r="B170" s="14" t="s">
        <v>23</v>
      </c>
      <c r="C170" s="14" t="s">
        <v>53</v>
      </c>
      <c r="D170" s="14" t="s">
        <v>49</v>
      </c>
      <c r="E170" s="29">
        <v>676812</v>
      </c>
      <c r="F170" s="14" t="s">
        <v>51</v>
      </c>
      <c r="G170" s="14"/>
    </row>
    <row r="171" spans="1:7" x14ac:dyDescent="0.3">
      <c r="A171" s="14" t="s">
        <v>54</v>
      </c>
      <c r="B171" s="14" t="s">
        <v>71</v>
      </c>
      <c r="C171" s="14" t="s">
        <v>63</v>
      </c>
      <c r="D171" s="14" t="s">
        <v>69</v>
      </c>
      <c r="E171" s="29">
        <v>480351</v>
      </c>
      <c r="F171" s="14" t="s">
        <v>51</v>
      </c>
      <c r="G171" s="14"/>
    </row>
    <row r="172" spans="1:7" x14ac:dyDescent="0.3">
      <c r="A172" s="14" t="s">
        <v>54</v>
      </c>
      <c r="B172" s="14" t="s">
        <v>22</v>
      </c>
      <c r="C172" s="14" t="s">
        <v>52</v>
      </c>
      <c r="D172" s="14" t="s">
        <v>69</v>
      </c>
      <c r="E172" s="29">
        <v>53889</v>
      </c>
      <c r="F172" s="14" t="s">
        <v>62</v>
      </c>
      <c r="G172" s="14"/>
    </row>
    <row r="173" spans="1:7" x14ac:dyDescent="0.3">
      <c r="A173" s="14" t="s">
        <v>54</v>
      </c>
      <c r="B173" s="14" t="s">
        <v>24</v>
      </c>
      <c r="C173" s="14" t="s">
        <v>58</v>
      </c>
      <c r="D173" s="14" t="s">
        <v>49</v>
      </c>
      <c r="E173" s="29">
        <v>111646303</v>
      </c>
      <c r="F173" s="14" t="s">
        <v>51</v>
      </c>
      <c r="G173" s="14"/>
    </row>
    <row r="174" spans="1:7" x14ac:dyDescent="0.3">
      <c r="A174" s="14" t="s">
        <v>56</v>
      </c>
      <c r="B174" s="14" t="s">
        <v>22</v>
      </c>
      <c r="C174" s="14" t="s">
        <v>48</v>
      </c>
      <c r="D174" s="14" t="s">
        <v>49</v>
      </c>
      <c r="E174" s="29">
        <v>115098473</v>
      </c>
      <c r="F174" s="14" t="s">
        <v>57</v>
      </c>
      <c r="G174" s="14"/>
    </row>
    <row r="175" spans="1:7" x14ac:dyDescent="0.3">
      <c r="A175" s="14" t="s">
        <v>54</v>
      </c>
      <c r="B175" s="14" t="s">
        <v>20</v>
      </c>
      <c r="C175" s="14" t="s">
        <v>52</v>
      </c>
      <c r="D175" s="14" t="s">
        <v>49</v>
      </c>
      <c r="E175" s="29">
        <v>44973450</v>
      </c>
      <c r="F175" s="14" t="s">
        <v>57</v>
      </c>
      <c r="G175" s="14"/>
    </row>
    <row r="176" spans="1:7" x14ac:dyDescent="0.3">
      <c r="A176" s="14" t="s">
        <v>56</v>
      </c>
      <c r="B176" s="14" t="s">
        <v>22</v>
      </c>
      <c r="C176" s="14" t="s">
        <v>63</v>
      </c>
      <c r="D176" s="14" t="s">
        <v>49</v>
      </c>
      <c r="E176" s="29">
        <v>48741178</v>
      </c>
      <c r="F176" s="14" t="s">
        <v>51</v>
      </c>
      <c r="G176" s="14"/>
    </row>
    <row r="177" spans="1:7" x14ac:dyDescent="0.3">
      <c r="A177" s="14" t="s">
        <v>54</v>
      </c>
      <c r="B177" s="14" t="s">
        <v>71</v>
      </c>
      <c r="C177" s="14" t="s">
        <v>52</v>
      </c>
      <c r="D177" s="14" t="s">
        <v>49</v>
      </c>
      <c r="E177" s="29">
        <v>11556476</v>
      </c>
      <c r="F177" s="14" t="s">
        <v>59</v>
      </c>
      <c r="G177" s="14"/>
    </row>
    <row r="178" spans="1:7" x14ac:dyDescent="0.3">
      <c r="A178" s="14" t="s">
        <v>54</v>
      </c>
      <c r="B178" s="14" t="s">
        <v>25</v>
      </c>
      <c r="C178" s="14" t="s">
        <v>58</v>
      </c>
      <c r="D178" s="14" t="s">
        <v>69</v>
      </c>
      <c r="E178" s="29">
        <v>26942</v>
      </c>
      <c r="F178" s="14" t="s">
        <v>59</v>
      </c>
      <c r="G178" s="14"/>
    </row>
    <row r="179" spans="1:7" x14ac:dyDescent="0.3">
      <c r="A179" s="14" t="s">
        <v>54</v>
      </c>
      <c r="B179" s="14" t="s">
        <v>22</v>
      </c>
      <c r="C179" s="14" t="s">
        <v>52</v>
      </c>
      <c r="D179" s="14" t="s">
        <v>69</v>
      </c>
      <c r="E179" s="29">
        <v>854047</v>
      </c>
      <c r="F179" s="14" t="s">
        <v>51</v>
      </c>
      <c r="G179" s="14"/>
    </row>
    <row r="180" spans="1:7" x14ac:dyDescent="0.3">
      <c r="A180" s="14" t="s">
        <v>56</v>
      </c>
      <c r="B180" s="14" t="s">
        <v>25</v>
      </c>
      <c r="C180" s="14" t="s">
        <v>58</v>
      </c>
      <c r="D180" s="14" t="s">
        <v>49</v>
      </c>
      <c r="E180" s="29">
        <v>46195921</v>
      </c>
      <c r="F180" s="14" t="s">
        <v>57</v>
      </c>
      <c r="G180" s="14"/>
    </row>
    <row r="181" spans="1:7" x14ac:dyDescent="0.3">
      <c r="A181" s="14" t="s">
        <v>54</v>
      </c>
      <c r="B181" s="14" t="s">
        <v>24</v>
      </c>
      <c r="C181" s="14" t="s">
        <v>53</v>
      </c>
      <c r="D181" s="14" t="s">
        <v>49</v>
      </c>
      <c r="E181" s="29">
        <v>61093901</v>
      </c>
      <c r="F181" s="14" t="s">
        <v>51</v>
      </c>
      <c r="G181" s="14"/>
    </row>
    <row r="182" spans="1:7" x14ac:dyDescent="0.3">
      <c r="A182" s="14" t="s">
        <v>54</v>
      </c>
      <c r="B182" s="14" t="s">
        <v>70</v>
      </c>
      <c r="C182" s="14" t="s">
        <v>52</v>
      </c>
      <c r="D182" s="14" t="s">
        <v>49</v>
      </c>
      <c r="E182" s="29">
        <v>153918421</v>
      </c>
      <c r="F182" s="14" t="s">
        <v>62</v>
      </c>
      <c r="G182" s="14"/>
    </row>
    <row r="183" spans="1:7" x14ac:dyDescent="0.3">
      <c r="A183" s="14" t="s">
        <v>56</v>
      </c>
      <c r="B183" s="14" t="s">
        <v>23</v>
      </c>
      <c r="C183" s="14" t="s">
        <v>52</v>
      </c>
      <c r="D183" s="14" t="s">
        <v>49</v>
      </c>
      <c r="E183" s="29">
        <v>2042370</v>
      </c>
      <c r="F183" s="14" t="s">
        <v>61</v>
      </c>
      <c r="G183" s="14"/>
    </row>
    <row r="184" spans="1:7" x14ac:dyDescent="0.3">
      <c r="A184" s="14" t="s">
        <v>56</v>
      </c>
      <c r="B184" s="14" t="s">
        <v>25</v>
      </c>
      <c r="C184" s="14" t="s">
        <v>48</v>
      </c>
      <c r="D184" s="14" t="s">
        <v>49</v>
      </c>
      <c r="E184" s="29">
        <v>2836054</v>
      </c>
      <c r="F184" s="14" t="s">
        <v>50</v>
      </c>
      <c r="G184" s="14"/>
    </row>
    <row r="185" spans="1:7" x14ac:dyDescent="0.3">
      <c r="A185" s="14" t="s">
        <v>56</v>
      </c>
      <c r="B185" s="14" t="s">
        <v>70</v>
      </c>
      <c r="C185" s="14" t="s">
        <v>52</v>
      </c>
      <c r="D185" s="14" t="s">
        <v>49</v>
      </c>
      <c r="E185" s="29">
        <v>12099429</v>
      </c>
      <c r="F185" s="14" t="s">
        <v>62</v>
      </c>
      <c r="G185" s="14"/>
    </row>
    <row r="186" spans="1:7" x14ac:dyDescent="0.3">
      <c r="A186" s="14" t="s">
        <v>54</v>
      </c>
      <c r="B186" s="14" t="s">
        <v>24</v>
      </c>
      <c r="C186" s="14" t="s">
        <v>53</v>
      </c>
      <c r="D186" s="14" t="s">
        <v>49</v>
      </c>
      <c r="E186" s="29">
        <v>350357</v>
      </c>
      <c r="F186" s="14" t="s">
        <v>50</v>
      </c>
      <c r="G186" s="14"/>
    </row>
    <row r="187" spans="1:7" x14ac:dyDescent="0.3">
      <c r="A187" s="14" t="s">
        <v>54</v>
      </c>
      <c r="B187" s="14" t="s">
        <v>26</v>
      </c>
      <c r="C187" s="14" t="s">
        <v>48</v>
      </c>
      <c r="D187" s="14" t="s">
        <v>49</v>
      </c>
      <c r="E187" s="29">
        <v>2202293</v>
      </c>
      <c r="F187" s="14" t="s">
        <v>62</v>
      </c>
      <c r="G187" s="14"/>
    </row>
    <row r="188" spans="1:7" x14ac:dyDescent="0.3">
      <c r="A188" s="14" t="s">
        <v>56</v>
      </c>
      <c r="B188" s="14" t="s">
        <v>26</v>
      </c>
      <c r="C188" s="14" t="s">
        <v>58</v>
      </c>
      <c r="D188" s="14" t="s">
        <v>49</v>
      </c>
      <c r="E188" s="29">
        <v>712814</v>
      </c>
      <c r="F188" s="14" t="s">
        <v>51</v>
      </c>
      <c r="G188" s="14"/>
    </row>
    <row r="189" spans="1:7" x14ac:dyDescent="0.3">
      <c r="A189" s="14" t="s">
        <v>56</v>
      </c>
      <c r="B189" s="14" t="s">
        <v>70</v>
      </c>
      <c r="C189" s="14" t="s">
        <v>52</v>
      </c>
      <c r="D189" s="14" t="s">
        <v>49</v>
      </c>
      <c r="E189" s="29">
        <v>13521489</v>
      </c>
      <c r="F189" s="14" t="s">
        <v>50</v>
      </c>
      <c r="G189" s="14"/>
    </row>
    <row r="190" spans="1:7" x14ac:dyDescent="0.3">
      <c r="A190" s="14" t="s">
        <v>54</v>
      </c>
      <c r="B190" s="14" t="s">
        <v>25</v>
      </c>
      <c r="C190" s="14" t="s">
        <v>48</v>
      </c>
      <c r="D190" s="14" t="s">
        <v>49</v>
      </c>
      <c r="E190" s="29">
        <v>32128330</v>
      </c>
      <c r="F190" s="14" t="s">
        <v>51</v>
      </c>
      <c r="G190" s="14"/>
    </row>
    <row r="191" spans="1:7" x14ac:dyDescent="0.3">
      <c r="A191" s="14" t="s">
        <v>54</v>
      </c>
      <c r="B191" s="14" t="s">
        <v>70</v>
      </c>
      <c r="C191" s="14" t="s">
        <v>48</v>
      </c>
      <c r="D191" s="14" t="s">
        <v>49</v>
      </c>
      <c r="E191" s="29">
        <v>885016</v>
      </c>
      <c r="F191" s="14" t="s">
        <v>59</v>
      </c>
      <c r="G191" s="14"/>
    </row>
    <row r="192" spans="1:7" x14ac:dyDescent="0.3">
      <c r="A192" s="14" t="s">
        <v>54</v>
      </c>
      <c r="B192" s="14" t="s">
        <v>25</v>
      </c>
      <c r="C192" s="14" t="s">
        <v>48</v>
      </c>
      <c r="D192" s="14" t="s">
        <v>49</v>
      </c>
      <c r="E192" s="29">
        <v>15853727</v>
      </c>
      <c r="F192" s="14" t="s">
        <v>50</v>
      </c>
      <c r="G192" s="14"/>
    </row>
    <row r="193" spans="1:7" x14ac:dyDescent="0.3">
      <c r="A193" s="14" t="s">
        <v>54</v>
      </c>
      <c r="B193" s="14" t="s">
        <v>23</v>
      </c>
      <c r="C193" s="14" t="s">
        <v>58</v>
      </c>
      <c r="D193" s="14" t="s">
        <v>49</v>
      </c>
      <c r="E193" s="29">
        <v>8745</v>
      </c>
      <c r="F193" s="14" t="s">
        <v>59</v>
      </c>
      <c r="G193" s="14"/>
    </row>
    <row r="194" spans="1:7" x14ac:dyDescent="0.3">
      <c r="A194" s="14" t="s">
        <v>54</v>
      </c>
      <c r="B194" s="14" t="s">
        <v>24</v>
      </c>
      <c r="C194" s="14" t="s">
        <v>58</v>
      </c>
      <c r="D194" s="14" t="s">
        <v>69</v>
      </c>
      <c r="E194" s="29">
        <v>1013797</v>
      </c>
      <c r="F194" s="14" t="s">
        <v>51</v>
      </c>
      <c r="G194" s="14"/>
    </row>
    <row r="195" spans="1:7" x14ac:dyDescent="0.3">
      <c r="A195" s="14" t="s">
        <v>54</v>
      </c>
      <c r="B195" s="14" t="s">
        <v>21</v>
      </c>
      <c r="C195" s="14" t="s">
        <v>48</v>
      </c>
      <c r="D195" s="14" t="s">
        <v>49</v>
      </c>
      <c r="E195" s="29">
        <v>81258</v>
      </c>
      <c r="F195" s="14" t="s">
        <v>50</v>
      </c>
      <c r="G195" s="14"/>
    </row>
    <row r="196" spans="1:7" x14ac:dyDescent="0.3">
      <c r="A196" s="14" t="s">
        <v>56</v>
      </c>
      <c r="B196" s="14" t="s">
        <v>26</v>
      </c>
      <c r="C196" s="14" t="s">
        <v>53</v>
      </c>
      <c r="D196" s="14" t="s">
        <v>49</v>
      </c>
      <c r="E196" s="29">
        <v>30959</v>
      </c>
      <c r="F196" s="14" t="s">
        <v>50</v>
      </c>
      <c r="G196" s="14"/>
    </row>
    <row r="197" spans="1:7" x14ac:dyDescent="0.3">
      <c r="A197" s="14" t="s">
        <v>56</v>
      </c>
      <c r="B197" s="14" t="s">
        <v>23</v>
      </c>
      <c r="C197" s="14" t="s">
        <v>58</v>
      </c>
      <c r="D197" s="14" t="s">
        <v>49</v>
      </c>
      <c r="E197" s="29">
        <v>7863465</v>
      </c>
      <c r="F197" s="14" t="s">
        <v>51</v>
      </c>
      <c r="G197" s="14"/>
    </row>
    <row r="198" spans="1:7" x14ac:dyDescent="0.3">
      <c r="A198" s="14" t="s">
        <v>54</v>
      </c>
      <c r="B198" s="14" t="s">
        <v>70</v>
      </c>
      <c r="C198" s="14" t="s">
        <v>52</v>
      </c>
      <c r="D198" s="14" t="s">
        <v>69</v>
      </c>
      <c r="E198" s="29">
        <v>367464</v>
      </c>
      <c r="F198" s="14" t="s">
        <v>51</v>
      </c>
      <c r="G198" s="14"/>
    </row>
    <row r="199" spans="1:7" x14ac:dyDescent="0.3">
      <c r="A199" s="14" t="s">
        <v>56</v>
      </c>
      <c r="B199" s="14" t="s">
        <v>24</v>
      </c>
      <c r="C199" s="14" t="s">
        <v>52</v>
      </c>
      <c r="D199" s="14" t="s">
        <v>49</v>
      </c>
      <c r="E199" s="29">
        <v>662452</v>
      </c>
      <c r="F199" s="14" t="s">
        <v>51</v>
      </c>
      <c r="G199" s="14"/>
    </row>
    <row r="200" spans="1:7" x14ac:dyDescent="0.3">
      <c r="A200" s="14" t="s">
        <v>54</v>
      </c>
      <c r="B200" s="14" t="s">
        <v>24</v>
      </c>
      <c r="C200" s="14" t="s">
        <v>48</v>
      </c>
      <c r="D200" s="14" t="s">
        <v>49</v>
      </c>
      <c r="E200" s="29">
        <v>89549</v>
      </c>
      <c r="F200" s="14" t="s">
        <v>61</v>
      </c>
      <c r="G200" s="14"/>
    </row>
    <row r="201" spans="1:7" x14ac:dyDescent="0.3">
      <c r="A201" s="14" t="s">
        <v>56</v>
      </c>
      <c r="B201" s="14" t="s">
        <v>22</v>
      </c>
      <c r="C201" s="14" t="s">
        <v>52</v>
      </c>
      <c r="D201" s="14" t="s">
        <v>49</v>
      </c>
      <c r="E201" s="29">
        <v>2440297</v>
      </c>
      <c r="F201" s="14" t="s">
        <v>61</v>
      </c>
      <c r="G201" s="14"/>
    </row>
    <row r="202" spans="1:7" x14ac:dyDescent="0.3">
      <c r="A202" s="14" t="s">
        <v>54</v>
      </c>
      <c r="B202" s="14" t="s">
        <v>24</v>
      </c>
      <c r="C202" s="14" t="s">
        <v>48</v>
      </c>
      <c r="D202" s="14" t="s">
        <v>49</v>
      </c>
      <c r="E202" s="29">
        <v>199185324</v>
      </c>
      <c r="F202" s="14" t="s">
        <v>62</v>
      </c>
      <c r="G202" s="14"/>
    </row>
    <row r="203" spans="1:7" x14ac:dyDescent="0.3">
      <c r="A203" s="14" t="s">
        <v>54</v>
      </c>
      <c r="B203" s="14" t="s">
        <v>70</v>
      </c>
      <c r="C203" s="14" t="s">
        <v>52</v>
      </c>
      <c r="D203" s="14" t="s">
        <v>69</v>
      </c>
      <c r="E203" s="29">
        <v>42089</v>
      </c>
      <c r="F203" s="14" t="s">
        <v>62</v>
      </c>
      <c r="G203" s="14"/>
    </row>
    <row r="204" spans="1:7" x14ac:dyDescent="0.3">
      <c r="A204" s="14" t="s">
        <v>54</v>
      </c>
      <c r="B204" s="14" t="s">
        <v>26</v>
      </c>
      <c r="C204" s="14" t="s">
        <v>58</v>
      </c>
      <c r="D204" s="14" t="s">
        <v>49</v>
      </c>
      <c r="E204" s="29">
        <v>11827517</v>
      </c>
      <c r="F204" s="14" t="s">
        <v>50</v>
      </c>
      <c r="G204" s="14"/>
    </row>
    <row r="205" spans="1:7" x14ac:dyDescent="0.3">
      <c r="A205" s="14" t="s">
        <v>56</v>
      </c>
      <c r="B205" s="14" t="s">
        <v>23</v>
      </c>
      <c r="C205" s="14" t="s">
        <v>48</v>
      </c>
      <c r="D205" s="14" t="s">
        <v>49</v>
      </c>
      <c r="E205" s="29">
        <v>107813701</v>
      </c>
      <c r="F205" s="14" t="s">
        <v>57</v>
      </c>
      <c r="G205" s="14"/>
    </row>
    <row r="206" spans="1:7" x14ac:dyDescent="0.3">
      <c r="A206" s="14" t="s">
        <v>56</v>
      </c>
      <c r="B206" s="14" t="s">
        <v>71</v>
      </c>
      <c r="C206" s="14" t="s">
        <v>52</v>
      </c>
      <c r="D206" s="14" t="s">
        <v>49</v>
      </c>
      <c r="E206" s="29">
        <v>7132637</v>
      </c>
      <c r="F206" s="14" t="s">
        <v>50</v>
      </c>
      <c r="G206" s="14"/>
    </row>
    <row r="207" spans="1:7" x14ac:dyDescent="0.3">
      <c r="A207" s="14" t="s">
        <v>54</v>
      </c>
      <c r="B207" s="14" t="s">
        <v>25</v>
      </c>
      <c r="C207" s="14" t="s">
        <v>53</v>
      </c>
      <c r="D207" s="14" t="s">
        <v>49</v>
      </c>
      <c r="E207" s="29">
        <v>5731233</v>
      </c>
      <c r="F207" s="14" t="s">
        <v>62</v>
      </c>
      <c r="G207" s="14"/>
    </row>
    <row r="208" spans="1:7" x14ac:dyDescent="0.3">
      <c r="A208" s="14" t="s">
        <v>54</v>
      </c>
      <c r="B208" s="14" t="s">
        <v>70</v>
      </c>
      <c r="C208" s="14" t="s">
        <v>52</v>
      </c>
      <c r="D208" s="14" t="s">
        <v>49</v>
      </c>
      <c r="E208" s="29">
        <v>157207971</v>
      </c>
      <c r="F208" s="14" t="s">
        <v>50</v>
      </c>
      <c r="G208" s="14"/>
    </row>
    <row r="209" spans="1:7" x14ac:dyDescent="0.3">
      <c r="A209" s="14" t="s">
        <v>56</v>
      </c>
      <c r="B209" s="14" t="s">
        <v>70</v>
      </c>
      <c r="C209" s="14" t="s">
        <v>63</v>
      </c>
      <c r="D209" s="14" t="s">
        <v>49</v>
      </c>
      <c r="E209" s="29">
        <v>50413783</v>
      </c>
      <c r="F209" s="14" t="s">
        <v>51</v>
      </c>
      <c r="G209" s="14"/>
    </row>
    <row r="210" spans="1:7" x14ac:dyDescent="0.3">
      <c r="A210" s="14" t="s">
        <v>56</v>
      </c>
      <c r="B210" s="14" t="s">
        <v>22</v>
      </c>
      <c r="C210" s="14" t="s">
        <v>52</v>
      </c>
      <c r="D210" s="14" t="s">
        <v>49</v>
      </c>
      <c r="E210" s="29">
        <v>27205879</v>
      </c>
      <c r="F210" s="14" t="s">
        <v>51</v>
      </c>
      <c r="G210" s="14"/>
    </row>
    <row r="211" spans="1:7" x14ac:dyDescent="0.3">
      <c r="A211" s="14" t="s">
        <v>54</v>
      </c>
      <c r="B211" s="14" t="s">
        <v>25</v>
      </c>
      <c r="C211" s="14" t="s">
        <v>58</v>
      </c>
      <c r="D211" s="14" t="s">
        <v>69</v>
      </c>
      <c r="E211" s="29">
        <v>18355</v>
      </c>
      <c r="F211" s="14" t="s">
        <v>57</v>
      </c>
      <c r="G211" s="14"/>
    </row>
    <row r="212" spans="1:7" x14ac:dyDescent="0.3">
      <c r="A212" s="14" t="s">
        <v>56</v>
      </c>
      <c r="B212" s="14" t="s">
        <v>70</v>
      </c>
      <c r="C212" s="14" t="s">
        <v>53</v>
      </c>
      <c r="D212" s="14" t="s">
        <v>49</v>
      </c>
      <c r="E212" s="29">
        <v>144287</v>
      </c>
      <c r="F212" s="14" t="s">
        <v>51</v>
      </c>
      <c r="G212" s="14"/>
    </row>
    <row r="213" spans="1:7" x14ac:dyDescent="0.3">
      <c r="A213" s="14" t="s">
        <v>56</v>
      </c>
      <c r="B213" s="14" t="s">
        <v>21</v>
      </c>
      <c r="C213" s="14" t="s">
        <v>48</v>
      </c>
      <c r="D213" s="14" t="s">
        <v>49</v>
      </c>
      <c r="E213" s="29">
        <v>18713524</v>
      </c>
      <c r="F213" s="14" t="s">
        <v>62</v>
      </c>
      <c r="G213" s="14"/>
    </row>
    <row r="214" spans="1:7" x14ac:dyDescent="0.3">
      <c r="A214" s="14" t="s">
        <v>56</v>
      </c>
      <c r="B214" s="14" t="s">
        <v>24</v>
      </c>
      <c r="C214" s="14" t="s">
        <v>48</v>
      </c>
      <c r="D214" s="14" t="s">
        <v>49</v>
      </c>
      <c r="E214" s="29">
        <v>23063568</v>
      </c>
      <c r="F214" s="14" t="s">
        <v>51</v>
      </c>
      <c r="G214" s="14"/>
    </row>
    <row r="215" spans="1:7" x14ac:dyDescent="0.3">
      <c r="A215" s="14" t="s">
        <v>56</v>
      </c>
      <c r="B215" s="14" t="s">
        <v>22</v>
      </c>
      <c r="C215" s="14" t="s">
        <v>48</v>
      </c>
      <c r="D215" s="14" t="s">
        <v>49</v>
      </c>
      <c r="E215" s="29">
        <v>40321167</v>
      </c>
      <c r="F215" s="14" t="s">
        <v>62</v>
      </c>
      <c r="G215" s="14"/>
    </row>
    <row r="216" spans="1:7" x14ac:dyDescent="0.3">
      <c r="A216" s="14" t="s">
        <v>56</v>
      </c>
      <c r="B216" s="14" t="s">
        <v>70</v>
      </c>
      <c r="C216" s="14" t="s">
        <v>52</v>
      </c>
      <c r="D216" s="14" t="s">
        <v>49</v>
      </c>
      <c r="E216" s="29">
        <v>41340081</v>
      </c>
      <c r="F216" s="14" t="s">
        <v>57</v>
      </c>
      <c r="G216" s="14"/>
    </row>
    <row r="217" spans="1:7" x14ac:dyDescent="0.3">
      <c r="A217" s="14" t="s">
        <v>56</v>
      </c>
      <c r="B217" s="14" t="s">
        <v>25</v>
      </c>
      <c r="C217" s="14" t="s">
        <v>53</v>
      </c>
      <c r="D217" s="14" t="s">
        <v>49</v>
      </c>
      <c r="E217" s="29">
        <v>986845</v>
      </c>
      <c r="F217" s="14" t="s">
        <v>57</v>
      </c>
      <c r="G217" s="14"/>
    </row>
    <row r="218" spans="1:7" x14ac:dyDescent="0.3">
      <c r="A218" s="14" t="s">
        <v>54</v>
      </c>
      <c r="B218" s="14" t="s">
        <v>70</v>
      </c>
      <c r="C218" s="14" t="s">
        <v>52</v>
      </c>
      <c r="D218" s="14" t="s">
        <v>69</v>
      </c>
      <c r="E218" s="29">
        <v>61409</v>
      </c>
      <c r="F218" s="14" t="s">
        <v>50</v>
      </c>
      <c r="G218" s="14"/>
    </row>
    <row r="219" spans="1:7" x14ac:dyDescent="0.3">
      <c r="A219" s="14" t="s">
        <v>54</v>
      </c>
      <c r="B219" s="14" t="s">
        <v>23</v>
      </c>
      <c r="C219" s="14" t="s">
        <v>58</v>
      </c>
      <c r="D219" s="14" t="s">
        <v>49</v>
      </c>
      <c r="E219" s="29">
        <v>278742</v>
      </c>
      <c r="F219" s="14" t="s">
        <v>62</v>
      </c>
      <c r="G219" s="14"/>
    </row>
    <row r="220" spans="1:7" x14ac:dyDescent="0.3">
      <c r="A220" s="14" t="s">
        <v>56</v>
      </c>
      <c r="B220" s="14" t="s">
        <v>24</v>
      </c>
      <c r="C220" s="14" t="s">
        <v>48</v>
      </c>
      <c r="D220" s="14" t="s">
        <v>49</v>
      </c>
      <c r="E220" s="29">
        <v>40446118</v>
      </c>
      <c r="F220" s="14" t="s">
        <v>57</v>
      </c>
      <c r="G220" s="14"/>
    </row>
    <row r="221" spans="1:7" x14ac:dyDescent="0.3">
      <c r="A221" s="14" t="s">
        <v>54</v>
      </c>
      <c r="B221" s="14" t="s">
        <v>23</v>
      </c>
      <c r="C221" s="14" t="s">
        <v>48</v>
      </c>
      <c r="D221" s="14" t="s">
        <v>49</v>
      </c>
      <c r="E221" s="29">
        <v>1282795964</v>
      </c>
      <c r="F221" s="14" t="s">
        <v>50</v>
      </c>
      <c r="G221" s="14"/>
    </row>
    <row r="222" spans="1:7" x14ac:dyDescent="0.3">
      <c r="A222" s="14" t="s">
        <v>56</v>
      </c>
      <c r="B222" s="14" t="s">
        <v>70</v>
      </c>
      <c r="C222" s="14" t="s">
        <v>48</v>
      </c>
      <c r="D222" s="14" t="s">
        <v>49</v>
      </c>
      <c r="E222" s="29">
        <v>55591046</v>
      </c>
      <c r="F222" s="14" t="s">
        <v>50</v>
      </c>
      <c r="G222" s="14"/>
    </row>
    <row r="223" spans="1:7" x14ac:dyDescent="0.3">
      <c r="A223" s="14" t="s">
        <v>54</v>
      </c>
      <c r="B223" s="14" t="s">
        <v>20</v>
      </c>
      <c r="C223" s="14" t="s">
        <v>52</v>
      </c>
      <c r="D223" s="14" t="s">
        <v>49</v>
      </c>
      <c r="E223" s="29">
        <v>78248995</v>
      </c>
      <c r="F223" s="14" t="s">
        <v>62</v>
      </c>
      <c r="G223" s="14"/>
    </row>
    <row r="224" spans="1:7" x14ac:dyDescent="0.3">
      <c r="A224" s="14" t="s">
        <v>54</v>
      </c>
      <c r="B224" s="14" t="s">
        <v>20</v>
      </c>
      <c r="C224" s="14" t="s">
        <v>63</v>
      </c>
      <c r="D224" s="14" t="s">
        <v>69</v>
      </c>
      <c r="E224" s="29">
        <v>374510</v>
      </c>
      <c r="F224" s="14" t="s">
        <v>51</v>
      </c>
      <c r="G224" s="14"/>
    </row>
    <row r="225" spans="1:7" x14ac:dyDescent="0.3">
      <c r="A225" s="14" t="s">
        <v>54</v>
      </c>
      <c r="B225" s="14" t="s">
        <v>25</v>
      </c>
      <c r="C225" s="14" t="s">
        <v>58</v>
      </c>
      <c r="D225" s="14" t="s">
        <v>49</v>
      </c>
      <c r="E225" s="29">
        <v>23067</v>
      </c>
      <c r="F225" s="14" t="s">
        <v>61</v>
      </c>
      <c r="G225" s="14"/>
    </row>
    <row r="226" spans="1:7" x14ac:dyDescent="0.3">
      <c r="A226" s="14" t="s">
        <v>56</v>
      </c>
      <c r="B226" s="14" t="s">
        <v>70</v>
      </c>
      <c r="C226" s="14" t="s">
        <v>48</v>
      </c>
      <c r="D226" s="14" t="s">
        <v>49</v>
      </c>
      <c r="E226" s="29">
        <v>30811234</v>
      </c>
      <c r="F226" s="14" t="s">
        <v>51</v>
      </c>
      <c r="G226" s="14"/>
    </row>
    <row r="227" spans="1:7" x14ac:dyDescent="0.3">
      <c r="A227" s="14" t="s">
        <v>54</v>
      </c>
      <c r="B227" s="14" t="s">
        <v>23</v>
      </c>
      <c r="C227" s="14" t="s">
        <v>52</v>
      </c>
      <c r="D227" s="14" t="s">
        <v>49</v>
      </c>
      <c r="E227" s="29">
        <v>8300893</v>
      </c>
      <c r="F227" s="14" t="s">
        <v>61</v>
      </c>
      <c r="G227" s="14"/>
    </row>
    <row r="228" spans="1:7" x14ac:dyDescent="0.3">
      <c r="A228" s="14" t="s">
        <v>54</v>
      </c>
      <c r="B228" s="14" t="s">
        <v>22</v>
      </c>
      <c r="C228" s="14" t="s">
        <v>52</v>
      </c>
      <c r="D228" s="14" t="s">
        <v>49</v>
      </c>
      <c r="E228" s="29">
        <v>879154484</v>
      </c>
      <c r="F228" s="14" t="s">
        <v>59</v>
      </c>
      <c r="G228" s="14"/>
    </row>
    <row r="229" spans="1:7" x14ac:dyDescent="0.3">
      <c r="A229" s="14" t="s">
        <v>54</v>
      </c>
      <c r="B229" s="14" t="s">
        <v>71</v>
      </c>
      <c r="C229" s="14" t="s">
        <v>52</v>
      </c>
      <c r="D229" s="14" t="s">
        <v>69</v>
      </c>
      <c r="E229" s="29">
        <v>80866</v>
      </c>
      <c r="F229" s="14" t="s">
        <v>50</v>
      </c>
      <c r="G229" s="14"/>
    </row>
    <row r="230" spans="1:7" x14ac:dyDescent="0.3">
      <c r="A230" s="14" t="s">
        <v>54</v>
      </c>
      <c r="B230" s="14" t="s">
        <v>71</v>
      </c>
      <c r="C230" s="14" t="s">
        <v>52</v>
      </c>
      <c r="D230" s="14" t="s">
        <v>49</v>
      </c>
      <c r="E230" s="29">
        <v>188018825</v>
      </c>
      <c r="F230" s="14" t="s">
        <v>51</v>
      </c>
      <c r="G230" s="14"/>
    </row>
    <row r="231" spans="1:7" x14ac:dyDescent="0.3">
      <c r="A231" s="14" t="s">
        <v>56</v>
      </c>
      <c r="B231" s="14" t="s">
        <v>25</v>
      </c>
      <c r="C231" s="14" t="s">
        <v>63</v>
      </c>
      <c r="D231" s="14" t="s">
        <v>49</v>
      </c>
      <c r="E231" s="29">
        <v>9110017</v>
      </c>
      <c r="F231" s="14" t="s">
        <v>51</v>
      </c>
      <c r="G231" s="14"/>
    </row>
    <row r="232" spans="1:7" x14ac:dyDescent="0.3">
      <c r="A232" s="14" t="s">
        <v>54</v>
      </c>
      <c r="B232" s="14" t="s">
        <v>24</v>
      </c>
      <c r="C232" s="14" t="s">
        <v>66</v>
      </c>
      <c r="D232" s="14" t="s">
        <v>49</v>
      </c>
      <c r="E232" s="29">
        <v>24322007</v>
      </c>
      <c r="F232" s="14" t="s">
        <v>51</v>
      </c>
      <c r="G232" s="14"/>
    </row>
    <row r="233" spans="1:7" x14ac:dyDescent="0.3">
      <c r="A233" s="14" t="s">
        <v>54</v>
      </c>
      <c r="B233" s="14" t="s">
        <v>23</v>
      </c>
      <c r="C233" s="14" t="s">
        <v>52</v>
      </c>
      <c r="D233" s="14" t="s">
        <v>49</v>
      </c>
      <c r="E233" s="29">
        <v>422116054</v>
      </c>
      <c r="F233" s="14" t="s">
        <v>57</v>
      </c>
      <c r="G233" s="14"/>
    </row>
    <row r="234" spans="1:7" x14ac:dyDescent="0.3">
      <c r="A234" s="14" t="s">
        <v>54</v>
      </c>
      <c r="B234" s="14" t="s">
        <v>26</v>
      </c>
      <c r="C234" s="14" t="s">
        <v>48</v>
      </c>
      <c r="D234" s="14" t="s">
        <v>49</v>
      </c>
      <c r="E234" s="29">
        <v>3831809</v>
      </c>
      <c r="F234" s="14" t="s">
        <v>50</v>
      </c>
      <c r="G234" s="14"/>
    </row>
    <row r="235" spans="1:7" x14ac:dyDescent="0.3">
      <c r="A235" s="14" t="s">
        <v>56</v>
      </c>
      <c r="B235" s="14" t="s">
        <v>21</v>
      </c>
      <c r="C235" s="14" t="s">
        <v>48</v>
      </c>
      <c r="D235" s="14" t="s">
        <v>49</v>
      </c>
      <c r="E235" s="29">
        <v>19070412</v>
      </c>
      <c r="F235" s="14" t="s">
        <v>51</v>
      </c>
      <c r="G235" s="14"/>
    </row>
    <row r="236" spans="1:7" x14ac:dyDescent="0.3">
      <c r="A236" s="14" t="s">
        <v>56</v>
      </c>
      <c r="B236" s="14" t="s">
        <v>26</v>
      </c>
      <c r="C236" s="14" t="s">
        <v>48</v>
      </c>
      <c r="D236" s="14" t="s">
        <v>49</v>
      </c>
      <c r="E236" s="29">
        <v>458889</v>
      </c>
      <c r="F236" s="14" t="s">
        <v>57</v>
      </c>
      <c r="G236" s="14"/>
    </row>
    <row r="237" spans="1:7" x14ac:dyDescent="0.3">
      <c r="A237" s="14" t="s">
        <v>54</v>
      </c>
      <c r="B237" s="14" t="s">
        <v>22</v>
      </c>
      <c r="C237" s="14" t="s">
        <v>48</v>
      </c>
      <c r="D237" s="14" t="s">
        <v>49</v>
      </c>
      <c r="E237" s="29">
        <v>30062476</v>
      </c>
      <c r="F237" s="14" t="s">
        <v>57</v>
      </c>
      <c r="G237" s="14"/>
    </row>
    <row r="238" spans="1:7" x14ac:dyDescent="0.3">
      <c r="A238" s="14" t="s">
        <v>56</v>
      </c>
      <c r="B238" s="14" t="s">
        <v>20</v>
      </c>
      <c r="C238" s="14" t="s">
        <v>52</v>
      </c>
      <c r="D238" s="14" t="s">
        <v>49</v>
      </c>
      <c r="E238" s="29">
        <v>10315500</v>
      </c>
      <c r="F238" s="14" t="s">
        <v>57</v>
      </c>
      <c r="G238" s="14"/>
    </row>
    <row r="239" spans="1:7" x14ac:dyDescent="0.3">
      <c r="A239" s="14" t="s">
        <v>56</v>
      </c>
      <c r="B239" s="14" t="s">
        <v>20</v>
      </c>
      <c r="C239" s="14" t="s">
        <v>58</v>
      </c>
      <c r="D239" s="14" t="s">
        <v>49</v>
      </c>
      <c r="E239" s="29">
        <v>27879</v>
      </c>
      <c r="F239" s="14" t="s">
        <v>50</v>
      </c>
      <c r="G239" s="14"/>
    </row>
    <row r="240" spans="1:7" x14ac:dyDescent="0.3">
      <c r="A240" s="14" t="s">
        <v>56</v>
      </c>
      <c r="B240" s="14" t="s">
        <v>63</v>
      </c>
      <c r="C240" s="14" t="s">
        <v>63</v>
      </c>
      <c r="D240" s="14" t="s">
        <v>49</v>
      </c>
      <c r="E240" s="29">
        <v>216908651</v>
      </c>
      <c r="F240" s="14" t="s">
        <v>65</v>
      </c>
      <c r="G240" s="14"/>
    </row>
    <row r="241" spans="1:7" x14ac:dyDescent="0.3">
      <c r="A241" s="14" t="s">
        <v>56</v>
      </c>
      <c r="B241" s="14" t="s">
        <v>22</v>
      </c>
      <c r="C241" s="14" t="s">
        <v>52</v>
      </c>
      <c r="D241" s="14" t="s">
        <v>49</v>
      </c>
      <c r="E241" s="29">
        <v>418178957</v>
      </c>
      <c r="F241" s="14" t="s">
        <v>50</v>
      </c>
      <c r="G241" s="14"/>
    </row>
    <row r="242" spans="1:7" x14ac:dyDescent="0.3">
      <c r="A242" s="14" t="s">
        <v>54</v>
      </c>
      <c r="B242" s="14" t="s">
        <v>24</v>
      </c>
      <c r="C242" s="14" t="s">
        <v>52</v>
      </c>
      <c r="D242" s="14" t="s">
        <v>49</v>
      </c>
      <c r="E242" s="29">
        <v>7459785</v>
      </c>
      <c r="F242" s="14" t="s">
        <v>59</v>
      </c>
      <c r="G242" s="14"/>
    </row>
    <row r="243" spans="1:7" x14ac:dyDescent="0.3">
      <c r="A243" s="14" t="s">
        <v>56</v>
      </c>
      <c r="B243" s="14" t="s">
        <v>20</v>
      </c>
      <c r="C243" s="14" t="s">
        <v>48</v>
      </c>
      <c r="D243" s="14" t="s">
        <v>49</v>
      </c>
      <c r="E243" s="29">
        <v>115201</v>
      </c>
      <c r="F243" s="14" t="s">
        <v>59</v>
      </c>
      <c r="G243" s="14"/>
    </row>
    <row r="244" spans="1:7" x14ac:dyDescent="0.3">
      <c r="A244" s="14" t="s">
        <v>56</v>
      </c>
      <c r="B244" s="14" t="s">
        <v>26</v>
      </c>
      <c r="C244" s="14" t="s">
        <v>52</v>
      </c>
      <c r="D244" s="14" t="s">
        <v>49</v>
      </c>
      <c r="E244" s="29">
        <v>29570</v>
      </c>
      <c r="F244" s="14" t="s">
        <v>62</v>
      </c>
      <c r="G244" s="14"/>
    </row>
    <row r="245" spans="1:7" x14ac:dyDescent="0.3">
      <c r="A245" s="14" t="s">
        <v>54</v>
      </c>
      <c r="B245" s="14" t="s">
        <v>24</v>
      </c>
      <c r="C245" s="14" t="s">
        <v>58</v>
      </c>
      <c r="D245" s="14" t="s">
        <v>49</v>
      </c>
      <c r="E245" s="29">
        <v>267035969</v>
      </c>
      <c r="F245" s="14" t="s">
        <v>50</v>
      </c>
      <c r="G245" s="14"/>
    </row>
    <row r="246" spans="1:7" x14ac:dyDescent="0.3">
      <c r="A246" s="14" t="s">
        <v>54</v>
      </c>
      <c r="B246" s="14" t="s">
        <v>22</v>
      </c>
      <c r="C246" s="14" t="s">
        <v>58</v>
      </c>
      <c r="D246" s="14" t="s">
        <v>49</v>
      </c>
      <c r="E246" s="29">
        <v>1311262</v>
      </c>
      <c r="F246" s="14" t="s">
        <v>50</v>
      </c>
      <c r="G246" s="14"/>
    </row>
    <row r="247" spans="1:7" x14ac:dyDescent="0.3">
      <c r="A247" s="14" t="s">
        <v>56</v>
      </c>
      <c r="B247" s="14" t="s">
        <v>20</v>
      </c>
      <c r="C247" s="14" t="s">
        <v>52</v>
      </c>
      <c r="D247" s="14" t="s">
        <v>49</v>
      </c>
      <c r="E247" s="29">
        <v>11635902</v>
      </c>
      <c r="F247" s="14" t="s">
        <v>51</v>
      </c>
      <c r="G247" s="14"/>
    </row>
    <row r="248" spans="1:7" x14ac:dyDescent="0.3">
      <c r="A248" s="14" t="s">
        <v>54</v>
      </c>
      <c r="B248" s="14" t="s">
        <v>21</v>
      </c>
      <c r="C248" s="14" t="s">
        <v>52</v>
      </c>
      <c r="D248" s="14" t="s">
        <v>49</v>
      </c>
      <c r="E248" s="29">
        <v>114513673</v>
      </c>
      <c r="F248" s="14" t="s">
        <v>62</v>
      </c>
      <c r="G248" s="14"/>
    </row>
    <row r="249" spans="1:7" x14ac:dyDescent="0.3">
      <c r="A249" s="14" t="s">
        <v>54</v>
      </c>
      <c r="B249" s="14" t="s">
        <v>71</v>
      </c>
      <c r="C249" s="14" t="s">
        <v>52</v>
      </c>
      <c r="D249" s="14" t="s">
        <v>49</v>
      </c>
      <c r="E249" s="29">
        <v>27021205</v>
      </c>
      <c r="F249" s="14" t="s">
        <v>57</v>
      </c>
      <c r="G249" s="14"/>
    </row>
    <row r="250" spans="1:7" x14ac:dyDescent="0.3">
      <c r="A250" s="14" t="s">
        <v>56</v>
      </c>
      <c r="B250" s="14" t="s">
        <v>25</v>
      </c>
      <c r="C250" s="14" t="s">
        <v>58</v>
      </c>
      <c r="D250" s="14" t="s">
        <v>49</v>
      </c>
      <c r="E250" s="29">
        <v>4145732</v>
      </c>
      <c r="F250" s="14" t="s">
        <v>51</v>
      </c>
      <c r="G250" s="14"/>
    </row>
    <row r="251" spans="1:7" x14ac:dyDescent="0.3">
      <c r="A251" s="14" t="s">
        <v>54</v>
      </c>
      <c r="B251" s="14" t="s">
        <v>24</v>
      </c>
      <c r="C251" s="14" t="s">
        <v>55</v>
      </c>
      <c r="D251" s="14" t="s">
        <v>69</v>
      </c>
      <c r="E251" s="29">
        <v>157690</v>
      </c>
      <c r="F251" s="14" t="s">
        <v>51</v>
      </c>
      <c r="G251" s="14"/>
    </row>
    <row r="252" spans="1:7" x14ac:dyDescent="0.3">
      <c r="A252" s="14" t="s">
        <v>56</v>
      </c>
      <c r="B252" s="14" t="s">
        <v>70</v>
      </c>
      <c r="C252" s="14" t="s">
        <v>58</v>
      </c>
      <c r="D252" s="14" t="s">
        <v>49</v>
      </c>
      <c r="E252" s="29">
        <v>173582</v>
      </c>
      <c r="F252" s="14" t="s">
        <v>62</v>
      </c>
      <c r="G252" s="14"/>
    </row>
    <row r="253" spans="1:7" x14ac:dyDescent="0.3">
      <c r="A253" s="14" t="s">
        <v>56</v>
      </c>
      <c r="B253" s="14" t="s">
        <v>22</v>
      </c>
      <c r="C253" s="14" t="s">
        <v>58</v>
      </c>
      <c r="D253" s="14" t="s">
        <v>49</v>
      </c>
      <c r="E253" s="29">
        <v>1816596</v>
      </c>
      <c r="F253" s="14" t="s">
        <v>50</v>
      </c>
      <c r="G253" s="14"/>
    </row>
    <row r="254" spans="1:7" x14ac:dyDescent="0.3">
      <c r="A254" s="14" t="s">
        <v>56</v>
      </c>
      <c r="B254" s="14" t="s">
        <v>24</v>
      </c>
      <c r="C254" s="14" t="s">
        <v>52</v>
      </c>
      <c r="D254" s="14" t="s">
        <v>49</v>
      </c>
      <c r="E254" s="29">
        <v>4376016</v>
      </c>
      <c r="F254" s="14" t="s">
        <v>57</v>
      </c>
      <c r="G254" s="14"/>
    </row>
    <row r="255" spans="1:7" x14ac:dyDescent="0.3">
      <c r="A255" s="14" t="s">
        <v>54</v>
      </c>
      <c r="B255" s="14" t="s">
        <v>24</v>
      </c>
      <c r="C255" s="14" t="s">
        <v>48</v>
      </c>
      <c r="D255" s="14" t="s">
        <v>69</v>
      </c>
      <c r="E255" s="29">
        <v>232749</v>
      </c>
      <c r="F255" s="14" t="s">
        <v>51</v>
      </c>
      <c r="G255" s="14"/>
    </row>
    <row r="256" spans="1:7" x14ac:dyDescent="0.3">
      <c r="A256" s="14" t="s">
        <v>56</v>
      </c>
      <c r="B256" s="14" t="s">
        <v>20</v>
      </c>
      <c r="C256" s="14" t="s">
        <v>48</v>
      </c>
      <c r="D256" s="14" t="s">
        <v>49</v>
      </c>
      <c r="E256" s="29">
        <v>3852350</v>
      </c>
      <c r="F256" s="14" t="s">
        <v>62</v>
      </c>
      <c r="G256" s="14"/>
    </row>
    <row r="257" spans="1:7" x14ac:dyDescent="0.3">
      <c r="A257" s="14" t="s">
        <v>54</v>
      </c>
      <c r="B257" s="14" t="s">
        <v>23</v>
      </c>
      <c r="C257" s="14" t="s">
        <v>58</v>
      </c>
      <c r="D257" s="14" t="s">
        <v>49</v>
      </c>
      <c r="E257" s="29">
        <v>2485657</v>
      </c>
      <c r="F257" s="14" t="s">
        <v>50</v>
      </c>
      <c r="G257" s="14"/>
    </row>
    <row r="258" spans="1:7" x14ac:dyDescent="0.3">
      <c r="A258" s="14" t="s">
        <v>54</v>
      </c>
      <c r="B258" s="14" t="s">
        <v>70</v>
      </c>
      <c r="C258" s="14" t="s">
        <v>53</v>
      </c>
      <c r="D258" s="14" t="s">
        <v>49</v>
      </c>
      <c r="E258" s="29">
        <v>66672</v>
      </c>
      <c r="F258" s="14" t="s">
        <v>51</v>
      </c>
      <c r="G258" s="14"/>
    </row>
    <row r="259" spans="1:7" x14ac:dyDescent="0.3">
      <c r="A259" s="14" t="s">
        <v>54</v>
      </c>
      <c r="B259" s="14" t="s">
        <v>25</v>
      </c>
      <c r="C259" s="14" t="s">
        <v>58</v>
      </c>
      <c r="D259" s="14" t="s">
        <v>49</v>
      </c>
      <c r="E259" s="29">
        <v>90338753</v>
      </c>
      <c r="F259" s="14" t="s">
        <v>62</v>
      </c>
      <c r="G259" s="14"/>
    </row>
    <row r="260" spans="1:7" x14ac:dyDescent="0.3">
      <c r="A260" s="14" t="s">
        <v>56</v>
      </c>
      <c r="B260" s="14" t="s">
        <v>20</v>
      </c>
      <c r="C260" s="14" t="s">
        <v>58</v>
      </c>
      <c r="D260" s="14" t="s">
        <v>49</v>
      </c>
      <c r="E260" s="29">
        <v>56987</v>
      </c>
      <c r="F260" s="14" t="s">
        <v>57</v>
      </c>
      <c r="G260" s="14"/>
    </row>
    <row r="261" spans="1:7" x14ac:dyDescent="0.3">
      <c r="A261" s="14" t="s">
        <v>56</v>
      </c>
      <c r="B261" s="14" t="s">
        <v>21</v>
      </c>
      <c r="C261" s="14" t="s">
        <v>48</v>
      </c>
      <c r="D261" s="14" t="s">
        <v>49</v>
      </c>
      <c r="E261" s="29">
        <v>18809894</v>
      </c>
      <c r="F261" s="14" t="s">
        <v>50</v>
      </c>
      <c r="G261" s="14"/>
    </row>
    <row r="262" spans="1:7" x14ac:dyDescent="0.3">
      <c r="A262" s="14" t="s">
        <v>56</v>
      </c>
      <c r="B262" s="14" t="s">
        <v>20</v>
      </c>
      <c r="C262" s="14" t="s">
        <v>52</v>
      </c>
      <c r="D262" s="14" t="s">
        <v>49</v>
      </c>
      <c r="E262" s="29">
        <v>98093</v>
      </c>
      <c r="F262" s="14" t="s">
        <v>61</v>
      </c>
      <c r="G262" s="14"/>
    </row>
    <row r="263" spans="1:7" x14ac:dyDescent="0.3">
      <c r="A263" s="14" t="s">
        <v>54</v>
      </c>
      <c r="B263" s="14" t="s">
        <v>25</v>
      </c>
      <c r="C263" s="14" t="s">
        <v>53</v>
      </c>
      <c r="D263" s="14" t="s">
        <v>49</v>
      </c>
      <c r="E263" s="29">
        <v>11507209</v>
      </c>
      <c r="F263" s="14" t="s">
        <v>57</v>
      </c>
      <c r="G263" s="14"/>
    </row>
    <row r="264" spans="1:7" x14ac:dyDescent="0.3">
      <c r="A264" s="14" t="s">
        <v>54</v>
      </c>
      <c r="B264" s="14" t="s">
        <v>21</v>
      </c>
      <c r="C264" s="14" t="s">
        <v>63</v>
      </c>
      <c r="D264" s="14" t="s">
        <v>49</v>
      </c>
      <c r="E264" s="29">
        <v>507546732</v>
      </c>
      <c r="F264" s="14" t="s">
        <v>51</v>
      </c>
      <c r="G264" s="14"/>
    </row>
    <row r="265" spans="1:7" x14ac:dyDescent="0.3">
      <c r="A265" s="14" t="s">
        <v>56</v>
      </c>
      <c r="B265" s="14" t="s">
        <v>26</v>
      </c>
      <c r="C265" s="14" t="s">
        <v>48</v>
      </c>
      <c r="D265" s="14" t="s">
        <v>49</v>
      </c>
      <c r="E265" s="29">
        <v>210201</v>
      </c>
      <c r="F265" s="14" t="s">
        <v>62</v>
      </c>
      <c r="G265" s="14"/>
    </row>
    <row r="266" spans="1:7" x14ac:dyDescent="0.3">
      <c r="A266" s="14" t="s">
        <v>54</v>
      </c>
      <c r="B266" s="14" t="s">
        <v>26</v>
      </c>
      <c r="C266" s="14" t="s">
        <v>53</v>
      </c>
      <c r="D266" s="14" t="s">
        <v>49</v>
      </c>
      <c r="E266" s="29">
        <v>1837042</v>
      </c>
      <c r="F266" s="14" t="s">
        <v>57</v>
      </c>
      <c r="G266" s="14"/>
    </row>
    <row r="267" spans="1:7" x14ac:dyDescent="0.3">
      <c r="A267" s="14" t="s">
        <v>56</v>
      </c>
      <c r="B267" s="14" t="s">
        <v>24</v>
      </c>
      <c r="C267" s="14" t="s">
        <v>48</v>
      </c>
      <c r="D267" s="14" t="s">
        <v>49</v>
      </c>
      <c r="E267" s="29">
        <v>11465159</v>
      </c>
      <c r="F267" s="14" t="s">
        <v>59</v>
      </c>
      <c r="G267" s="14"/>
    </row>
    <row r="268" spans="1:7" x14ac:dyDescent="0.3">
      <c r="A268" s="14" t="s">
        <v>56</v>
      </c>
      <c r="B268" s="14" t="s">
        <v>20</v>
      </c>
      <c r="C268" s="14" t="s">
        <v>48</v>
      </c>
      <c r="D268" s="14" t="s">
        <v>49</v>
      </c>
      <c r="E268" s="29">
        <v>32742</v>
      </c>
      <c r="F268" s="14" t="s">
        <v>51</v>
      </c>
      <c r="G268" s="14"/>
    </row>
    <row r="269" spans="1:7" x14ac:dyDescent="0.3">
      <c r="A269" s="14" t="s">
        <v>54</v>
      </c>
      <c r="B269" s="14" t="s">
        <v>23</v>
      </c>
      <c r="C269" s="14" t="s">
        <v>48</v>
      </c>
      <c r="D269" s="14" t="s">
        <v>49</v>
      </c>
      <c r="E269" s="29">
        <v>281618223</v>
      </c>
      <c r="F269" s="14" t="s">
        <v>57</v>
      </c>
      <c r="G269" s="14"/>
    </row>
    <row r="270" spans="1:7" x14ac:dyDescent="0.3">
      <c r="A270" s="14" t="s">
        <v>54</v>
      </c>
      <c r="B270" s="14" t="s">
        <v>24</v>
      </c>
      <c r="C270" s="14" t="s">
        <v>52</v>
      </c>
      <c r="D270" s="14" t="s">
        <v>49</v>
      </c>
      <c r="E270" s="29">
        <v>6137100</v>
      </c>
      <c r="F270" s="14" t="s">
        <v>62</v>
      </c>
      <c r="G270" s="14"/>
    </row>
    <row r="271" spans="1:7" x14ac:dyDescent="0.3">
      <c r="A271" s="14" t="s">
        <v>54</v>
      </c>
      <c r="B271" s="14" t="s">
        <v>23</v>
      </c>
      <c r="C271" s="14" t="s">
        <v>52</v>
      </c>
      <c r="D271" s="14" t="s">
        <v>69</v>
      </c>
      <c r="E271" s="29">
        <v>125169</v>
      </c>
      <c r="F271" s="14" t="s">
        <v>51</v>
      </c>
      <c r="G271" s="14"/>
    </row>
    <row r="272" spans="1:7" x14ac:dyDescent="0.3">
      <c r="A272" s="14" t="s">
        <v>54</v>
      </c>
      <c r="B272" s="14" t="s">
        <v>20</v>
      </c>
      <c r="C272" s="14" t="s">
        <v>58</v>
      </c>
      <c r="D272" s="14" t="s">
        <v>49</v>
      </c>
      <c r="E272" s="29">
        <v>19771</v>
      </c>
      <c r="F272" s="14" t="s">
        <v>51</v>
      </c>
      <c r="G272" s="14"/>
    </row>
    <row r="273" spans="1:7" x14ac:dyDescent="0.3">
      <c r="A273" s="14" t="s">
        <v>56</v>
      </c>
      <c r="B273" s="14" t="s">
        <v>21</v>
      </c>
      <c r="C273" s="14" t="s">
        <v>48</v>
      </c>
      <c r="D273" s="14" t="s">
        <v>49</v>
      </c>
      <c r="E273" s="29">
        <v>14518082</v>
      </c>
      <c r="F273" s="14" t="s">
        <v>57</v>
      </c>
      <c r="G273" s="14"/>
    </row>
    <row r="274" spans="1:7" x14ac:dyDescent="0.3">
      <c r="A274" s="14" t="s">
        <v>56</v>
      </c>
      <c r="B274" s="14" t="s">
        <v>22</v>
      </c>
      <c r="C274" s="14" t="s">
        <v>58</v>
      </c>
      <c r="D274" s="14" t="s">
        <v>49</v>
      </c>
      <c r="E274" s="29">
        <v>614675</v>
      </c>
      <c r="F274" s="14" t="s">
        <v>57</v>
      </c>
      <c r="G274" s="14"/>
    </row>
    <row r="275" spans="1:7" x14ac:dyDescent="0.3">
      <c r="A275" s="14" t="s">
        <v>54</v>
      </c>
      <c r="B275" s="14" t="s">
        <v>23</v>
      </c>
      <c r="C275" s="14" t="s">
        <v>48</v>
      </c>
      <c r="D275" s="14" t="s">
        <v>69</v>
      </c>
      <c r="E275" s="29">
        <v>255852</v>
      </c>
      <c r="F275" s="14" t="s">
        <v>59</v>
      </c>
      <c r="G275" s="14"/>
    </row>
    <row r="276" spans="1:7" x14ac:dyDescent="0.3">
      <c r="A276" s="14" t="s">
        <v>54</v>
      </c>
      <c r="B276" s="14" t="s">
        <v>24</v>
      </c>
      <c r="C276" s="14" t="s">
        <v>52</v>
      </c>
      <c r="D276" s="14" t="s">
        <v>49</v>
      </c>
      <c r="E276" s="29">
        <v>28778485</v>
      </c>
      <c r="F276" s="14" t="s">
        <v>50</v>
      </c>
      <c r="G276" s="14"/>
    </row>
    <row r="277" spans="1:7" x14ac:dyDescent="0.3">
      <c r="A277" s="14" t="s">
        <v>54</v>
      </c>
      <c r="B277" s="14" t="s">
        <v>20</v>
      </c>
      <c r="C277" s="14" t="s">
        <v>52</v>
      </c>
      <c r="D277" s="14" t="s">
        <v>49</v>
      </c>
      <c r="E277" s="29">
        <v>322814571</v>
      </c>
      <c r="F277" s="14" t="s">
        <v>50</v>
      </c>
      <c r="G277" s="14"/>
    </row>
    <row r="278" spans="1:7" x14ac:dyDescent="0.3">
      <c r="A278" s="14" t="s">
        <v>54</v>
      </c>
      <c r="B278" s="14" t="s">
        <v>63</v>
      </c>
      <c r="C278" s="14" t="s">
        <v>63</v>
      </c>
      <c r="D278" s="14" t="s">
        <v>49</v>
      </c>
      <c r="E278" s="29">
        <v>544549</v>
      </c>
      <c r="F278" s="14" t="s">
        <v>64</v>
      </c>
      <c r="G278" s="14"/>
    </row>
    <row r="279" spans="1:7" x14ac:dyDescent="0.3">
      <c r="A279" s="14" t="s">
        <v>56</v>
      </c>
      <c r="B279" s="14" t="s">
        <v>26</v>
      </c>
      <c r="C279" s="14" t="s">
        <v>53</v>
      </c>
      <c r="D279" s="14" t="s">
        <v>49</v>
      </c>
      <c r="E279" s="29">
        <v>248014</v>
      </c>
      <c r="F279" s="14" t="s">
        <v>62</v>
      </c>
      <c r="G279" s="14"/>
    </row>
    <row r="280" spans="1:7" x14ac:dyDescent="0.3">
      <c r="A280" s="14" t="s">
        <v>54</v>
      </c>
      <c r="B280" s="14" t="s">
        <v>23</v>
      </c>
      <c r="C280" s="14" t="s">
        <v>52</v>
      </c>
      <c r="D280" s="14" t="s">
        <v>49</v>
      </c>
      <c r="E280" s="29">
        <v>41641986</v>
      </c>
      <c r="F280" s="14" t="s">
        <v>62</v>
      </c>
      <c r="G280" s="14"/>
    </row>
    <row r="281" spans="1:7" x14ac:dyDescent="0.3">
      <c r="A281" s="14" t="s">
        <v>54</v>
      </c>
      <c r="B281" s="14" t="s">
        <v>26</v>
      </c>
      <c r="C281" s="14" t="s">
        <v>58</v>
      </c>
      <c r="D281" s="14" t="s">
        <v>49</v>
      </c>
      <c r="E281" s="29">
        <v>3033808</v>
      </c>
      <c r="F281" s="14" t="s">
        <v>62</v>
      </c>
      <c r="G281" s="14"/>
    </row>
    <row r="282" spans="1:7" x14ac:dyDescent="0.3">
      <c r="A282" s="14" t="s">
        <v>56</v>
      </c>
      <c r="B282" s="14" t="s">
        <v>21</v>
      </c>
      <c r="C282" s="14" t="s">
        <v>52</v>
      </c>
      <c r="D282" s="14" t="s">
        <v>49</v>
      </c>
      <c r="E282" s="29">
        <v>8702236</v>
      </c>
      <c r="F282" s="14" t="s">
        <v>57</v>
      </c>
      <c r="G282" s="14"/>
    </row>
    <row r="283" spans="1:7" x14ac:dyDescent="0.3">
      <c r="A283" s="14" t="s">
        <v>56</v>
      </c>
      <c r="B283" s="14" t="s">
        <v>23</v>
      </c>
      <c r="C283" s="14" t="s">
        <v>55</v>
      </c>
      <c r="D283" s="14" t="s">
        <v>49</v>
      </c>
      <c r="E283" s="29">
        <v>121400</v>
      </c>
      <c r="F283" s="14" t="s">
        <v>51</v>
      </c>
      <c r="G283" s="14"/>
    </row>
    <row r="284" spans="1:7" x14ac:dyDescent="0.3">
      <c r="A284" s="14" t="s">
        <v>54</v>
      </c>
      <c r="B284" s="14" t="s">
        <v>20</v>
      </c>
      <c r="C284" s="14" t="s">
        <v>52</v>
      </c>
      <c r="D284" s="14" t="s">
        <v>69</v>
      </c>
      <c r="E284" s="29">
        <v>14998</v>
      </c>
      <c r="F284" s="14" t="s">
        <v>57</v>
      </c>
      <c r="G284" s="14"/>
    </row>
    <row r="285" spans="1:7" x14ac:dyDescent="0.3">
      <c r="A285" s="14" t="s">
        <v>54</v>
      </c>
      <c r="B285" s="14" t="s">
        <v>26</v>
      </c>
      <c r="C285" s="14" t="s">
        <v>48</v>
      </c>
      <c r="D285" s="14" t="s">
        <v>49</v>
      </c>
      <c r="E285" s="29">
        <v>303089</v>
      </c>
      <c r="F285" s="14" t="s">
        <v>59</v>
      </c>
      <c r="G285" s="14"/>
    </row>
    <row r="286" spans="1:7" x14ac:dyDescent="0.3">
      <c r="A286" s="14" t="s">
        <v>56</v>
      </c>
      <c r="B286" s="14" t="s">
        <v>24</v>
      </c>
      <c r="C286" s="14" t="s">
        <v>55</v>
      </c>
      <c r="D286" s="14" t="s">
        <v>49</v>
      </c>
      <c r="E286" s="29">
        <v>447315</v>
      </c>
      <c r="F286" s="14" t="s">
        <v>51</v>
      </c>
      <c r="G286" s="14"/>
    </row>
    <row r="287" spans="1:7" x14ac:dyDescent="0.3">
      <c r="A287" s="14" t="s">
        <v>54</v>
      </c>
      <c r="B287" s="14" t="s">
        <v>71</v>
      </c>
      <c r="C287" s="14" t="s">
        <v>53</v>
      </c>
      <c r="D287" s="14" t="s">
        <v>49</v>
      </c>
      <c r="E287" s="29">
        <v>931341</v>
      </c>
      <c r="F287" s="14" t="s">
        <v>51</v>
      </c>
      <c r="G287" s="14"/>
    </row>
    <row r="288" spans="1:7" x14ac:dyDescent="0.3">
      <c r="A288" s="14" t="s">
        <v>54</v>
      </c>
      <c r="B288" s="14" t="s">
        <v>24</v>
      </c>
      <c r="C288" s="14" t="s">
        <v>58</v>
      </c>
      <c r="D288" s="14" t="s">
        <v>49</v>
      </c>
      <c r="E288" s="29">
        <v>60404007</v>
      </c>
      <c r="F288" s="14" t="s">
        <v>57</v>
      </c>
      <c r="G288" s="14"/>
    </row>
    <row r="289" spans="1:7" x14ac:dyDescent="0.3">
      <c r="A289" s="14" t="s">
        <v>54</v>
      </c>
      <c r="B289" s="14" t="s">
        <v>20</v>
      </c>
      <c r="C289" s="14" t="s">
        <v>66</v>
      </c>
      <c r="D289" s="14" t="s">
        <v>49</v>
      </c>
      <c r="E289" s="29">
        <v>104626</v>
      </c>
      <c r="F289" s="14" t="s">
        <v>51</v>
      </c>
      <c r="G289" s="14"/>
    </row>
    <row r="290" spans="1:7" x14ac:dyDescent="0.3">
      <c r="A290" s="14" t="s">
        <v>54</v>
      </c>
      <c r="B290" s="14" t="s">
        <v>71</v>
      </c>
      <c r="C290" s="14" t="s">
        <v>52</v>
      </c>
      <c r="D290" s="14" t="s">
        <v>49</v>
      </c>
      <c r="E290" s="29">
        <v>31295036</v>
      </c>
      <c r="F290" s="14" t="s">
        <v>62</v>
      </c>
      <c r="G290" s="14"/>
    </row>
    <row r="291" spans="1:7" x14ac:dyDescent="0.3">
      <c r="A291" s="14" t="s">
        <v>56</v>
      </c>
      <c r="B291" s="14" t="s">
        <v>25</v>
      </c>
      <c r="C291" s="14" t="s">
        <v>58</v>
      </c>
      <c r="D291" s="14" t="s">
        <v>49</v>
      </c>
      <c r="E291" s="29">
        <v>7050978</v>
      </c>
      <c r="F291" s="14" t="s">
        <v>59</v>
      </c>
      <c r="G291" s="14"/>
    </row>
    <row r="292" spans="1:7" x14ac:dyDescent="0.3">
      <c r="A292" s="14" t="s">
        <v>54</v>
      </c>
      <c r="B292" s="14" t="s">
        <v>23</v>
      </c>
      <c r="C292" s="14" t="s">
        <v>66</v>
      </c>
      <c r="D292" s="14" t="s">
        <v>49</v>
      </c>
      <c r="E292" s="29">
        <v>4207024</v>
      </c>
      <c r="F292" s="14" t="s">
        <v>51</v>
      </c>
      <c r="G292" s="14"/>
    </row>
    <row r="293" spans="1:7" x14ac:dyDescent="0.3">
      <c r="A293" s="14" t="s">
        <v>54</v>
      </c>
      <c r="B293" s="14" t="s">
        <v>25</v>
      </c>
      <c r="C293" s="14" t="s">
        <v>52</v>
      </c>
      <c r="D293" s="14" t="s">
        <v>49</v>
      </c>
      <c r="E293" s="29">
        <v>4805027</v>
      </c>
      <c r="F293" s="14" t="s">
        <v>51</v>
      </c>
      <c r="G293" s="14"/>
    </row>
    <row r="294" spans="1:7" x14ac:dyDescent="0.3">
      <c r="A294" s="14" t="s">
        <v>54</v>
      </c>
      <c r="B294" s="14" t="s">
        <v>22</v>
      </c>
      <c r="C294" s="14" t="s">
        <v>52</v>
      </c>
      <c r="D294" s="14" t="s">
        <v>49</v>
      </c>
      <c r="E294" s="29">
        <v>689629</v>
      </c>
      <c r="F294" s="14" t="s">
        <v>61</v>
      </c>
      <c r="G294" s="14"/>
    </row>
    <row r="295" spans="1:7" x14ac:dyDescent="0.3">
      <c r="A295" s="14" t="s">
        <v>54</v>
      </c>
      <c r="B295" s="14" t="s">
        <v>25</v>
      </c>
      <c r="C295" s="14" t="s">
        <v>53</v>
      </c>
      <c r="D295" s="14" t="s">
        <v>49</v>
      </c>
      <c r="E295" s="29">
        <v>70418589</v>
      </c>
      <c r="F295" s="14" t="s">
        <v>50</v>
      </c>
      <c r="G295" s="14"/>
    </row>
    <row r="296" spans="1:7" x14ac:dyDescent="0.3">
      <c r="A296" s="14" t="s">
        <v>56</v>
      </c>
      <c r="B296" s="14" t="s">
        <v>26</v>
      </c>
      <c r="C296" s="14" t="s">
        <v>48</v>
      </c>
      <c r="D296" s="14" t="s">
        <v>49</v>
      </c>
      <c r="E296" s="29">
        <v>1524365</v>
      </c>
      <c r="F296" s="14" t="s">
        <v>50</v>
      </c>
      <c r="G296" s="14"/>
    </row>
    <row r="297" spans="1:7" x14ac:dyDescent="0.3">
      <c r="A297" s="14" t="s">
        <v>54</v>
      </c>
      <c r="B297" s="14" t="s">
        <v>24</v>
      </c>
      <c r="C297" s="14" t="s">
        <v>63</v>
      </c>
      <c r="D297" s="14" t="s">
        <v>69</v>
      </c>
      <c r="E297" s="29">
        <v>572507</v>
      </c>
      <c r="F297" s="14" t="s">
        <v>51</v>
      </c>
      <c r="G297" s="14"/>
    </row>
    <row r="298" spans="1:7" x14ac:dyDescent="0.3">
      <c r="A298" s="14" t="s">
        <v>54</v>
      </c>
      <c r="B298" s="14" t="s">
        <v>23</v>
      </c>
      <c r="C298" s="14" t="s">
        <v>58</v>
      </c>
      <c r="D298" s="14" t="s">
        <v>49</v>
      </c>
      <c r="E298" s="29">
        <v>130852566</v>
      </c>
      <c r="F298" s="14" t="s">
        <v>51</v>
      </c>
      <c r="G298" s="14"/>
    </row>
    <row r="299" spans="1:7" x14ac:dyDescent="0.3">
      <c r="A299" s="14" t="s">
        <v>56</v>
      </c>
      <c r="B299" s="14" t="s">
        <v>25</v>
      </c>
      <c r="C299" s="14" t="s">
        <v>48</v>
      </c>
      <c r="D299" s="14" t="s">
        <v>49</v>
      </c>
      <c r="E299" s="29">
        <v>5441893</v>
      </c>
      <c r="F299" s="14" t="s">
        <v>57</v>
      </c>
      <c r="G299" s="14"/>
    </row>
    <row r="300" spans="1:7" x14ac:dyDescent="0.3">
      <c r="A300" s="14" t="s">
        <v>54</v>
      </c>
      <c r="B300" s="14" t="s">
        <v>21</v>
      </c>
      <c r="C300" s="14" t="s">
        <v>52</v>
      </c>
      <c r="D300" s="14" t="s">
        <v>49</v>
      </c>
      <c r="E300" s="29">
        <v>262993996</v>
      </c>
      <c r="F300" s="14" t="s">
        <v>51</v>
      </c>
      <c r="G300" s="14"/>
    </row>
    <row r="301" spans="1:7" x14ac:dyDescent="0.3">
      <c r="A301" s="14" t="s">
        <v>54</v>
      </c>
      <c r="B301" s="14" t="s">
        <v>71</v>
      </c>
      <c r="C301" s="14" t="s">
        <v>48</v>
      </c>
      <c r="D301" s="14" t="s">
        <v>49</v>
      </c>
      <c r="E301" s="29">
        <v>3129316</v>
      </c>
      <c r="F301" s="14" t="s">
        <v>51</v>
      </c>
      <c r="G301" s="14"/>
    </row>
    <row r="302" spans="1:7" x14ac:dyDescent="0.3">
      <c r="A302" s="14" t="s">
        <v>56</v>
      </c>
      <c r="B302" s="14" t="s">
        <v>24</v>
      </c>
      <c r="C302" s="14" t="s">
        <v>66</v>
      </c>
      <c r="D302" s="14" t="s">
        <v>49</v>
      </c>
      <c r="E302" s="29">
        <v>2492152</v>
      </c>
      <c r="F302" s="14" t="s">
        <v>51</v>
      </c>
      <c r="G302" s="14"/>
    </row>
    <row r="303" spans="1:7" x14ac:dyDescent="0.3">
      <c r="A303" s="14" t="s">
        <v>56</v>
      </c>
      <c r="B303" s="14" t="s">
        <v>70</v>
      </c>
      <c r="C303" s="14" t="s">
        <v>58</v>
      </c>
      <c r="D303" s="14" t="s">
        <v>49</v>
      </c>
      <c r="E303" s="29">
        <v>233700</v>
      </c>
      <c r="F303" s="14" t="s">
        <v>50</v>
      </c>
      <c r="G303" s="14"/>
    </row>
    <row r="304" spans="1:7" x14ac:dyDescent="0.3">
      <c r="A304" s="14" t="s">
        <v>56</v>
      </c>
      <c r="B304" s="14" t="s">
        <v>24</v>
      </c>
      <c r="C304" s="14" t="s">
        <v>58</v>
      </c>
      <c r="D304" s="14" t="s">
        <v>49</v>
      </c>
      <c r="E304" s="29">
        <v>5324644</v>
      </c>
      <c r="F304" s="14" t="s">
        <v>51</v>
      </c>
      <c r="G304" s="14"/>
    </row>
    <row r="305" spans="1:7" x14ac:dyDescent="0.3">
      <c r="A305" s="14" t="s">
        <v>54</v>
      </c>
      <c r="B305" s="14" t="s">
        <v>71</v>
      </c>
      <c r="C305" s="14" t="s">
        <v>63</v>
      </c>
      <c r="D305" s="14" t="s">
        <v>49</v>
      </c>
      <c r="E305" s="29">
        <v>303801018</v>
      </c>
      <c r="F305" s="14" t="s">
        <v>51</v>
      </c>
      <c r="G305" s="14"/>
    </row>
    <row r="306" spans="1:7" x14ac:dyDescent="0.3">
      <c r="A306" s="14" t="s">
        <v>54</v>
      </c>
      <c r="B306" s="14" t="s">
        <v>70</v>
      </c>
      <c r="C306" s="14" t="s">
        <v>63</v>
      </c>
      <c r="D306" s="14" t="s">
        <v>49</v>
      </c>
      <c r="E306" s="29">
        <v>592764370</v>
      </c>
      <c r="F306" s="14" t="s">
        <v>51</v>
      </c>
      <c r="G306" s="14"/>
    </row>
    <row r="307" spans="1:7" x14ac:dyDescent="0.3">
      <c r="A307" s="14" t="s">
        <v>56</v>
      </c>
      <c r="B307" s="14" t="s">
        <v>23</v>
      </c>
      <c r="C307" s="14" t="s">
        <v>52</v>
      </c>
      <c r="D307" s="14" t="s">
        <v>49</v>
      </c>
      <c r="E307" s="29">
        <v>28957576</v>
      </c>
      <c r="F307" s="14" t="s">
        <v>50</v>
      </c>
      <c r="G307" s="14"/>
    </row>
    <row r="308" spans="1:7" x14ac:dyDescent="0.3">
      <c r="A308" s="14" t="s">
        <v>54</v>
      </c>
      <c r="B308" s="14" t="s">
        <v>20</v>
      </c>
      <c r="C308" s="14" t="s">
        <v>52</v>
      </c>
      <c r="D308" s="14" t="s">
        <v>69</v>
      </c>
      <c r="E308" s="29">
        <v>4998</v>
      </c>
      <c r="F308" s="14" t="s">
        <v>62</v>
      </c>
      <c r="G308" s="14"/>
    </row>
    <row r="309" spans="1:7" x14ac:dyDescent="0.3">
      <c r="A309" s="14" t="s">
        <v>56</v>
      </c>
      <c r="B309" s="14" t="s">
        <v>21</v>
      </c>
      <c r="C309" s="14" t="s">
        <v>52</v>
      </c>
      <c r="D309" s="14" t="s">
        <v>49</v>
      </c>
      <c r="E309" s="29">
        <v>9374725</v>
      </c>
      <c r="F309" s="14" t="s">
        <v>59</v>
      </c>
      <c r="G309" s="14"/>
    </row>
    <row r="310" spans="1:7" x14ac:dyDescent="0.3">
      <c r="A310" s="14" t="s">
        <v>56</v>
      </c>
      <c r="B310" s="14" t="s">
        <v>24</v>
      </c>
      <c r="C310" s="14" t="s">
        <v>48</v>
      </c>
      <c r="D310" s="14" t="s">
        <v>49</v>
      </c>
      <c r="E310" s="29">
        <v>21338137</v>
      </c>
      <c r="F310" s="14" t="s">
        <v>62</v>
      </c>
      <c r="G310" s="14"/>
    </row>
    <row r="311" spans="1:7" x14ac:dyDescent="0.3">
      <c r="A311" s="14" t="s">
        <v>54</v>
      </c>
      <c r="B311" s="14" t="s">
        <v>20</v>
      </c>
      <c r="C311" s="14" t="s">
        <v>48</v>
      </c>
      <c r="D311" s="14" t="s">
        <v>49</v>
      </c>
      <c r="E311" s="29">
        <v>1623976</v>
      </c>
      <c r="F311" s="14" t="s">
        <v>51</v>
      </c>
      <c r="G311" s="14"/>
    </row>
    <row r="312" spans="1:7" x14ac:dyDescent="0.3">
      <c r="A312" s="14" t="s">
        <v>56</v>
      </c>
      <c r="B312" s="14" t="s">
        <v>25</v>
      </c>
      <c r="C312" s="14" t="s">
        <v>58</v>
      </c>
      <c r="D312" s="14" t="s">
        <v>49</v>
      </c>
      <c r="E312" s="29">
        <v>6731660</v>
      </c>
      <c r="F312" s="14" t="s">
        <v>62</v>
      </c>
      <c r="G312" s="14"/>
    </row>
    <row r="313" spans="1:7" x14ac:dyDescent="0.3">
      <c r="A313" s="14" t="s">
        <v>54</v>
      </c>
      <c r="B313" s="14" t="s">
        <v>70</v>
      </c>
      <c r="C313" s="14" t="s">
        <v>58</v>
      </c>
      <c r="D313" s="14" t="s">
        <v>49</v>
      </c>
      <c r="E313" s="29">
        <v>1324383</v>
      </c>
      <c r="F313" s="14" t="s">
        <v>51</v>
      </c>
      <c r="G313" s="14"/>
    </row>
    <row r="314" spans="1:7" x14ac:dyDescent="0.3">
      <c r="A314" s="14" t="s">
        <v>54</v>
      </c>
      <c r="B314" s="14" t="s">
        <v>23</v>
      </c>
      <c r="C314" s="14" t="s">
        <v>53</v>
      </c>
      <c r="D314" s="14" t="s">
        <v>49</v>
      </c>
      <c r="E314" s="29">
        <v>52625417</v>
      </c>
      <c r="F314" s="14" t="s">
        <v>51</v>
      </c>
      <c r="G314" s="14"/>
    </row>
    <row r="315" spans="1:7" x14ac:dyDescent="0.3">
      <c r="A315" s="14" t="s">
        <v>54</v>
      </c>
      <c r="B315" s="14" t="s">
        <v>25</v>
      </c>
      <c r="C315" s="14" t="s">
        <v>48</v>
      </c>
      <c r="D315" s="14" t="s">
        <v>49</v>
      </c>
      <c r="E315" s="29">
        <v>8222525</v>
      </c>
      <c r="F315" s="14" t="s">
        <v>59</v>
      </c>
      <c r="G315" s="14"/>
    </row>
    <row r="316" spans="1:7" x14ac:dyDescent="0.3">
      <c r="A316" s="14" t="s">
        <v>56</v>
      </c>
      <c r="B316" s="14" t="s">
        <v>23</v>
      </c>
      <c r="C316" s="14" t="s">
        <v>52</v>
      </c>
      <c r="D316" s="14" t="s">
        <v>49</v>
      </c>
      <c r="E316" s="29">
        <v>10016328</v>
      </c>
      <c r="F316" s="14" t="s">
        <v>62</v>
      </c>
      <c r="G316" s="14"/>
    </row>
    <row r="317" spans="1:7" x14ac:dyDescent="0.3">
      <c r="A317" s="14" t="s">
        <v>54</v>
      </c>
      <c r="B317" s="14" t="s">
        <v>25</v>
      </c>
      <c r="C317" s="14" t="s">
        <v>48</v>
      </c>
      <c r="D317" s="14" t="s">
        <v>49</v>
      </c>
      <c r="E317" s="29">
        <v>22527210</v>
      </c>
      <c r="F317" s="14" t="s">
        <v>62</v>
      </c>
      <c r="G317" s="14"/>
    </row>
    <row r="318" spans="1:7" x14ac:dyDescent="0.3">
      <c r="A318" s="14" t="s">
        <v>54</v>
      </c>
      <c r="B318" s="14" t="s">
        <v>20</v>
      </c>
      <c r="C318" s="14" t="s">
        <v>52</v>
      </c>
      <c r="D318" s="14" t="s">
        <v>49</v>
      </c>
      <c r="E318" s="29">
        <v>361076018</v>
      </c>
      <c r="F318" s="14" t="s">
        <v>51</v>
      </c>
      <c r="G318" s="14"/>
    </row>
    <row r="319" spans="1:7" x14ac:dyDescent="0.3">
      <c r="A319" s="14" t="s">
        <v>54</v>
      </c>
      <c r="B319" s="14" t="s">
        <v>71</v>
      </c>
      <c r="C319" s="14" t="s">
        <v>52</v>
      </c>
      <c r="D319" s="14" t="s">
        <v>49</v>
      </c>
      <c r="E319" s="29">
        <v>117142918</v>
      </c>
      <c r="F319" s="14" t="s">
        <v>50</v>
      </c>
      <c r="G319" s="14"/>
    </row>
    <row r="320" spans="1:7" x14ac:dyDescent="0.3">
      <c r="A320" s="14" t="s">
        <v>56</v>
      </c>
      <c r="B320" s="14" t="s">
        <v>70</v>
      </c>
      <c r="C320" s="14" t="s">
        <v>48</v>
      </c>
      <c r="D320" s="14" t="s">
        <v>49</v>
      </c>
      <c r="E320" s="29">
        <v>31396995</v>
      </c>
      <c r="F320" s="14" t="s">
        <v>62</v>
      </c>
      <c r="G320" s="14"/>
    </row>
    <row r="321" spans="1:7" x14ac:dyDescent="0.3">
      <c r="A321" s="14" t="s">
        <v>54</v>
      </c>
      <c r="B321" s="14" t="s">
        <v>25</v>
      </c>
      <c r="C321" s="14" t="s">
        <v>53</v>
      </c>
      <c r="D321" s="14" t="s">
        <v>69</v>
      </c>
      <c r="E321" s="29">
        <v>400250</v>
      </c>
      <c r="F321" s="14" t="s">
        <v>51</v>
      </c>
      <c r="G321" s="14"/>
    </row>
    <row r="322" spans="1:7" x14ac:dyDescent="0.3">
      <c r="A322" s="14" t="s">
        <v>56</v>
      </c>
      <c r="B322" s="14" t="s">
        <v>23</v>
      </c>
      <c r="C322" s="14" t="s">
        <v>48</v>
      </c>
      <c r="D322" s="14" t="s">
        <v>49</v>
      </c>
      <c r="E322" s="29">
        <v>47594318</v>
      </c>
      <c r="F322" s="14" t="s">
        <v>51</v>
      </c>
      <c r="G322" s="14"/>
    </row>
    <row r="323" spans="1:7" x14ac:dyDescent="0.3">
      <c r="A323" s="14" t="s">
        <v>54</v>
      </c>
      <c r="B323" s="14" t="s">
        <v>22</v>
      </c>
      <c r="C323" s="14" t="s">
        <v>52</v>
      </c>
      <c r="D323" s="14" t="s">
        <v>69</v>
      </c>
      <c r="E323" s="29">
        <v>40717</v>
      </c>
      <c r="F323" s="14" t="s">
        <v>57</v>
      </c>
      <c r="G323" s="14"/>
    </row>
    <row r="324" spans="1:7" x14ac:dyDescent="0.3">
      <c r="A324" s="14" t="s">
        <v>54</v>
      </c>
      <c r="B324" s="14" t="s">
        <v>22</v>
      </c>
      <c r="C324" s="14" t="s">
        <v>52</v>
      </c>
      <c r="D324" s="14" t="s">
        <v>69</v>
      </c>
      <c r="E324" s="29">
        <v>118601</v>
      </c>
      <c r="F324" s="14" t="s">
        <v>50</v>
      </c>
      <c r="G324" s="14"/>
    </row>
    <row r="325" spans="1:7" x14ac:dyDescent="0.3">
      <c r="A325" s="14" t="s">
        <v>56</v>
      </c>
      <c r="B325" s="14" t="s">
        <v>22</v>
      </c>
      <c r="C325" s="14" t="s">
        <v>52</v>
      </c>
      <c r="D325" s="14" t="s">
        <v>49</v>
      </c>
      <c r="E325" s="29">
        <v>73244262</v>
      </c>
      <c r="F325" s="14" t="s">
        <v>62</v>
      </c>
      <c r="G325" s="14"/>
    </row>
    <row r="326" spans="1:7" x14ac:dyDescent="0.3">
      <c r="A326" s="14" t="s">
        <v>56</v>
      </c>
      <c r="B326" s="14" t="s">
        <v>23</v>
      </c>
      <c r="C326" s="14" t="s">
        <v>48</v>
      </c>
      <c r="D326" s="14" t="s">
        <v>49</v>
      </c>
      <c r="E326" s="29">
        <v>28802947</v>
      </c>
      <c r="F326" s="14" t="s">
        <v>62</v>
      </c>
      <c r="G326" s="14"/>
    </row>
    <row r="327" spans="1:7" x14ac:dyDescent="0.3">
      <c r="A327" s="14" t="s">
        <v>54</v>
      </c>
      <c r="B327" s="14" t="s">
        <v>22</v>
      </c>
      <c r="C327" s="14" t="s">
        <v>48</v>
      </c>
      <c r="D327" s="14" t="s">
        <v>49</v>
      </c>
      <c r="E327" s="29">
        <v>65602847</v>
      </c>
      <c r="F327" s="14" t="s">
        <v>50</v>
      </c>
      <c r="G327" s="14"/>
    </row>
    <row r="328" spans="1:7" x14ac:dyDescent="0.3">
      <c r="A328" s="14" t="s">
        <v>54</v>
      </c>
      <c r="B328" s="14" t="s">
        <v>24</v>
      </c>
      <c r="C328" s="14" t="s">
        <v>52</v>
      </c>
      <c r="D328" s="14" t="s">
        <v>49</v>
      </c>
      <c r="E328" s="29">
        <v>11702013</v>
      </c>
      <c r="F328" s="14" t="s">
        <v>57</v>
      </c>
      <c r="G328" s="14"/>
    </row>
    <row r="329" spans="1:7" x14ac:dyDescent="0.3">
      <c r="A329" s="14" t="s">
        <v>54</v>
      </c>
      <c r="B329" s="14" t="s">
        <v>25</v>
      </c>
      <c r="C329" s="14" t="s">
        <v>66</v>
      </c>
      <c r="D329" s="14" t="s">
        <v>69</v>
      </c>
      <c r="E329" s="29">
        <v>32010</v>
      </c>
      <c r="F329" s="14" t="s">
        <v>51</v>
      </c>
      <c r="G329" s="14"/>
    </row>
    <row r="330" spans="1:7" x14ac:dyDescent="0.3">
      <c r="A330" s="14" t="s">
        <v>54</v>
      </c>
      <c r="B330" s="14" t="s">
        <v>23</v>
      </c>
      <c r="C330" s="14" t="s">
        <v>53</v>
      </c>
      <c r="D330" s="14" t="s">
        <v>69</v>
      </c>
      <c r="E330" s="29">
        <v>122439</v>
      </c>
      <c r="F330" s="14" t="s">
        <v>51</v>
      </c>
      <c r="G330" s="14"/>
    </row>
    <row r="331" spans="1:7" x14ac:dyDescent="0.3">
      <c r="A331" s="14" t="s">
        <v>54</v>
      </c>
      <c r="B331" s="14" t="s">
        <v>25</v>
      </c>
      <c r="C331" s="14" t="s">
        <v>53</v>
      </c>
      <c r="D331" s="14" t="s">
        <v>69</v>
      </c>
      <c r="E331" s="29">
        <v>129448</v>
      </c>
      <c r="F331" s="14" t="s">
        <v>50</v>
      </c>
      <c r="G331" s="14"/>
    </row>
    <row r="332" spans="1:7" x14ac:dyDescent="0.3">
      <c r="A332" s="14" t="s">
        <v>56</v>
      </c>
      <c r="B332" s="14" t="s">
        <v>23</v>
      </c>
      <c r="C332" s="14" t="s">
        <v>48</v>
      </c>
      <c r="D332" s="14" t="s">
        <v>49</v>
      </c>
      <c r="E332" s="29">
        <v>318800406</v>
      </c>
      <c r="F332" s="14" t="s">
        <v>50</v>
      </c>
      <c r="G332" s="14"/>
    </row>
    <row r="333" spans="1:7" x14ac:dyDescent="0.3">
      <c r="A333" s="14" t="s">
        <v>54</v>
      </c>
      <c r="B333" s="14" t="s">
        <v>24</v>
      </c>
      <c r="C333" s="14" t="s">
        <v>58</v>
      </c>
      <c r="D333" s="14" t="s">
        <v>69</v>
      </c>
      <c r="E333" s="29">
        <v>96861</v>
      </c>
      <c r="F333" s="14" t="s">
        <v>57</v>
      </c>
      <c r="G333" s="14"/>
    </row>
    <row r="334" spans="1:7" x14ac:dyDescent="0.3">
      <c r="A334" s="14" t="s">
        <v>54</v>
      </c>
      <c r="B334" s="14" t="s">
        <v>71</v>
      </c>
      <c r="C334" s="14" t="s">
        <v>58</v>
      </c>
      <c r="D334" s="14" t="s">
        <v>49</v>
      </c>
      <c r="E334" s="29">
        <v>1632319</v>
      </c>
      <c r="F334" s="14" t="s">
        <v>51</v>
      </c>
      <c r="G334" s="14"/>
    </row>
    <row r="335" spans="1:7" x14ac:dyDescent="0.3">
      <c r="A335" s="14" t="s">
        <v>54</v>
      </c>
      <c r="B335" s="14" t="s">
        <v>22</v>
      </c>
      <c r="C335" s="14" t="s">
        <v>63</v>
      </c>
      <c r="D335" s="14" t="s">
        <v>69</v>
      </c>
      <c r="E335" s="29">
        <v>137918</v>
      </c>
      <c r="F335" s="14" t="s">
        <v>51</v>
      </c>
      <c r="G335" s="14"/>
    </row>
    <row r="336" spans="1:7" x14ac:dyDescent="0.3">
      <c r="A336" s="14" t="s">
        <v>56</v>
      </c>
      <c r="B336" s="14" t="s">
        <v>71</v>
      </c>
      <c r="C336" s="14" t="s">
        <v>52</v>
      </c>
      <c r="D336" s="14" t="s">
        <v>49</v>
      </c>
      <c r="E336" s="29">
        <v>2537062</v>
      </c>
      <c r="F336" s="14" t="s">
        <v>51</v>
      </c>
      <c r="G336" s="14"/>
    </row>
    <row r="337" spans="1:7" x14ac:dyDescent="0.3">
      <c r="A337" s="14" t="s">
        <v>56</v>
      </c>
      <c r="B337" s="14" t="s">
        <v>70</v>
      </c>
      <c r="C337" s="14" t="s">
        <v>52</v>
      </c>
      <c r="D337" s="14" t="s">
        <v>49</v>
      </c>
      <c r="E337" s="29">
        <v>22315683</v>
      </c>
      <c r="F337" s="14" t="s">
        <v>51</v>
      </c>
      <c r="G337" s="14"/>
    </row>
    <row r="338" spans="1:7" x14ac:dyDescent="0.3">
      <c r="A338" s="14" t="s">
        <v>56</v>
      </c>
      <c r="B338" s="14" t="s">
        <v>20</v>
      </c>
      <c r="C338" s="14" t="s">
        <v>52</v>
      </c>
      <c r="D338" s="14" t="s">
        <v>49</v>
      </c>
      <c r="E338" s="29">
        <v>26640785</v>
      </c>
      <c r="F338" s="14" t="s">
        <v>59</v>
      </c>
      <c r="G338" s="14"/>
    </row>
    <row r="339" spans="1:7" x14ac:dyDescent="0.3">
      <c r="A339" s="14" t="s">
        <v>56</v>
      </c>
      <c r="B339" s="14" t="s">
        <v>70</v>
      </c>
      <c r="C339" s="14" t="s">
        <v>48</v>
      </c>
      <c r="D339" s="14" t="s">
        <v>49</v>
      </c>
      <c r="E339" s="29">
        <v>21523409</v>
      </c>
      <c r="F339" s="14" t="s">
        <v>59</v>
      </c>
      <c r="G339" s="14"/>
    </row>
    <row r="340" spans="1:7" x14ac:dyDescent="0.3">
      <c r="A340" s="14" t="s">
        <v>54</v>
      </c>
      <c r="B340" s="14" t="s">
        <v>24</v>
      </c>
      <c r="C340" s="14" t="s">
        <v>48</v>
      </c>
      <c r="D340" s="14" t="s">
        <v>49</v>
      </c>
      <c r="E340" s="29">
        <v>215081131</v>
      </c>
      <c r="F340" s="14" t="s">
        <v>59</v>
      </c>
      <c r="G340" s="14"/>
    </row>
    <row r="341" spans="1:7" x14ac:dyDescent="0.3">
      <c r="A341" s="14" t="s">
        <v>54</v>
      </c>
      <c r="B341" s="14" t="s">
        <v>26</v>
      </c>
      <c r="C341" s="14" t="s">
        <v>53</v>
      </c>
      <c r="D341" s="14" t="s">
        <v>49</v>
      </c>
      <c r="E341" s="29">
        <v>881</v>
      </c>
      <c r="F341" s="14" t="s">
        <v>62</v>
      </c>
      <c r="G341" s="14"/>
    </row>
    <row r="342" spans="1:7" x14ac:dyDescent="0.3">
      <c r="A342" s="14" t="s">
        <v>54</v>
      </c>
      <c r="B342" s="14" t="s">
        <v>25</v>
      </c>
      <c r="C342" s="14" t="s">
        <v>53</v>
      </c>
      <c r="D342" s="14" t="s">
        <v>49</v>
      </c>
      <c r="E342" s="29">
        <v>2051125</v>
      </c>
      <c r="F342" s="14" t="s">
        <v>59</v>
      </c>
      <c r="G342" s="14"/>
    </row>
    <row r="343" spans="1:7" x14ac:dyDescent="0.3">
      <c r="A343" s="14" t="s">
        <v>54</v>
      </c>
      <c r="B343" s="14" t="s">
        <v>21</v>
      </c>
      <c r="C343" s="14" t="s">
        <v>52</v>
      </c>
      <c r="D343" s="14" t="s">
        <v>49</v>
      </c>
      <c r="E343" s="29">
        <v>137069310</v>
      </c>
      <c r="F343" s="14" t="s">
        <v>57</v>
      </c>
      <c r="G343" s="14"/>
    </row>
    <row r="344" spans="1:7" x14ac:dyDescent="0.3">
      <c r="A344" s="14" t="s">
        <v>54</v>
      </c>
      <c r="B344" s="14" t="s">
        <v>20</v>
      </c>
      <c r="C344" s="14" t="s">
        <v>63</v>
      </c>
      <c r="D344" s="14" t="s">
        <v>49</v>
      </c>
      <c r="E344" s="29">
        <v>801497627</v>
      </c>
      <c r="F344" s="14" t="s">
        <v>51</v>
      </c>
      <c r="G344" s="14"/>
    </row>
    <row r="345" spans="1:7" x14ac:dyDescent="0.3">
      <c r="A345" s="14" t="s">
        <v>54</v>
      </c>
      <c r="B345" s="14" t="s">
        <v>70</v>
      </c>
      <c r="C345" s="14" t="s">
        <v>66</v>
      </c>
      <c r="D345" s="14" t="s">
        <v>49</v>
      </c>
      <c r="E345" s="29">
        <v>629282</v>
      </c>
      <c r="F345" s="14" t="s">
        <v>51</v>
      </c>
      <c r="G345" s="14"/>
    </row>
    <row r="346" spans="1:7" x14ac:dyDescent="0.3">
      <c r="A346" s="14" t="s">
        <v>54</v>
      </c>
      <c r="B346" s="14" t="s">
        <v>71</v>
      </c>
      <c r="C346" s="14" t="s">
        <v>55</v>
      </c>
      <c r="D346" s="14" t="s">
        <v>49</v>
      </c>
      <c r="E346" s="29">
        <v>601374</v>
      </c>
      <c r="F346" s="14" t="s">
        <v>51</v>
      </c>
      <c r="G346" s="14"/>
    </row>
    <row r="347" spans="1:7" x14ac:dyDescent="0.3">
      <c r="A347" s="14" t="s">
        <v>56</v>
      </c>
      <c r="B347" s="14" t="s">
        <v>21</v>
      </c>
      <c r="C347" s="14" t="s">
        <v>52</v>
      </c>
      <c r="D347" s="14" t="s">
        <v>49</v>
      </c>
      <c r="E347" s="29">
        <v>6591527</v>
      </c>
      <c r="F347" s="14" t="s">
        <v>51</v>
      </c>
      <c r="G347" s="14"/>
    </row>
    <row r="348" spans="1:7" x14ac:dyDescent="0.3">
      <c r="A348" s="14" t="s">
        <v>54</v>
      </c>
      <c r="B348" s="14" t="s">
        <v>20</v>
      </c>
      <c r="C348" s="14" t="s">
        <v>52</v>
      </c>
      <c r="D348" s="14" t="s">
        <v>69</v>
      </c>
      <c r="E348" s="29">
        <v>2043664</v>
      </c>
      <c r="F348" s="14" t="s">
        <v>51</v>
      </c>
      <c r="G348" s="14"/>
    </row>
    <row r="349" spans="1:7" x14ac:dyDescent="0.3">
      <c r="A349" s="14" t="s">
        <v>54</v>
      </c>
      <c r="B349" s="14" t="s">
        <v>23</v>
      </c>
      <c r="C349" s="14" t="s">
        <v>55</v>
      </c>
      <c r="D349" s="14" t="s">
        <v>49</v>
      </c>
      <c r="E349" s="29">
        <v>15116437</v>
      </c>
      <c r="F349" s="14" t="s">
        <v>51</v>
      </c>
      <c r="G349" s="14"/>
    </row>
    <row r="350" spans="1:7" x14ac:dyDescent="0.3">
      <c r="A350" s="14" t="s">
        <v>56</v>
      </c>
      <c r="B350" s="14" t="s">
        <v>24</v>
      </c>
      <c r="C350" s="14" t="s">
        <v>58</v>
      </c>
      <c r="D350" s="14" t="s">
        <v>49</v>
      </c>
      <c r="E350" s="29">
        <v>12899000</v>
      </c>
      <c r="F350" s="14" t="s">
        <v>57</v>
      </c>
      <c r="G350" s="14"/>
    </row>
    <row r="351" spans="1:7" x14ac:dyDescent="0.3">
      <c r="A351" s="14" t="s">
        <v>54</v>
      </c>
      <c r="B351" s="14" t="s">
        <v>23</v>
      </c>
      <c r="C351" s="14" t="s">
        <v>52</v>
      </c>
      <c r="D351" s="14" t="s">
        <v>49</v>
      </c>
      <c r="E351" s="29">
        <v>59924160</v>
      </c>
      <c r="F351" s="14" t="s">
        <v>59</v>
      </c>
      <c r="G351" s="14"/>
    </row>
    <row r="352" spans="1:7" x14ac:dyDescent="0.3">
      <c r="A352" s="14" t="s">
        <v>54</v>
      </c>
      <c r="B352" s="14" t="s">
        <v>26</v>
      </c>
      <c r="C352" s="14" t="s">
        <v>52</v>
      </c>
      <c r="D352" s="14" t="s">
        <v>49</v>
      </c>
      <c r="E352" s="29">
        <v>244099</v>
      </c>
      <c r="F352" s="14" t="s">
        <v>51</v>
      </c>
      <c r="G352" s="14"/>
    </row>
    <row r="353" spans="1:7" x14ac:dyDescent="0.3">
      <c r="A353" s="14" t="s">
        <v>56</v>
      </c>
      <c r="B353" s="14" t="s">
        <v>26</v>
      </c>
      <c r="C353" s="14" t="s">
        <v>58</v>
      </c>
      <c r="D353" s="14" t="s">
        <v>49</v>
      </c>
      <c r="E353" s="29">
        <v>7155764</v>
      </c>
      <c r="F353" s="14" t="s">
        <v>57</v>
      </c>
      <c r="G353" s="14"/>
    </row>
    <row r="354" spans="1:7" x14ac:dyDescent="0.3">
      <c r="A354" s="14"/>
      <c r="B354" s="14"/>
      <c r="C354" s="14"/>
      <c r="D354" s="14"/>
      <c r="E354" s="29"/>
      <c r="F354" s="14"/>
      <c r="G354" s="14"/>
    </row>
    <row r="355" spans="1:7" x14ac:dyDescent="0.3">
      <c r="A355" s="14"/>
      <c r="B355" s="14"/>
      <c r="C355" s="14"/>
      <c r="D355" s="14"/>
      <c r="E355" s="29"/>
      <c r="F355" s="14"/>
      <c r="G355" s="14"/>
    </row>
    <row r="356" spans="1:7" x14ac:dyDescent="0.3">
      <c r="A356" s="14"/>
      <c r="B356" s="14"/>
      <c r="C356" s="14"/>
      <c r="D356" s="14"/>
      <c r="E356" s="29"/>
      <c r="F356" s="14"/>
      <c r="G356" s="14"/>
    </row>
    <row r="357" spans="1:7" x14ac:dyDescent="0.3">
      <c r="A357" s="14"/>
      <c r="B357" s="14"/>
      <c r="C357" s="14"/>
      <c r="D357" s="14"/>
      <c r="E357" s="29"/>
      <c r="F357" s="14"/>
      <c r="G357" s="14"/>
    </row>
    <row r="358" spans="1:7" x14ac:dyDescent="0.3">
      <c r="A358" s="14"/>
      <c r="B358" s="14"/>
      <c r="C358" s="14"/>
      <c r="D358" s="14"/>
      <c r="E358" s="29"/>
      <c r="F358" s="14"/>
      <c r="G358" s="14"/>
    </row>
    <row r="359" spans="1:7" x14ac:dyDescent="0.3">
      <c r="A359" s="14"/>
      <c r="B359" s="14"/>
      <c r="C359" s="14"/>
      <c r="D359" s="14"/>
      <c r="E359" s="29"/>
      <c r="F359" s="14"/>
      <c r="G359" s="14"/>
    </row>
    <row r="360" spans="1:7" x14ac:dyDescent="0.3">
      <c r="A360" s="14"/>
      <c r="B360" s="14"/>
      <c r="C360" s="14"/>
      <c r="D360" s="14"/>
      <c r="E360" s="29"/>
      <c r="F360" s="14"/>
      <c r="G360" s="14"/>
    </row>
    <row r="361" spans="1:7" x14ac:dyDescent="0.3">
      <c r="A361" s="14"/>
      <c r="B361" s="14"/>
      <c r="C361" s="14"/>
      <c r="D361" s="14"/>
      <c r="E361" s="29"/>
      <c r="F361" s="14"/>
      <c r="G361" s="14"/>
    </row>
    <row r="362" spans="1:7" x14ac:dyDescent="0.3">
      <c r="A362" s="14"/>
      <c r="B362" s="14"/>
      <c r="C362" s="14"/>
      <c r="D362" s="14"/>
      <c r="E362" s="29"/>
      <c r="F362" s="14"/>
      <c r="G362" s="14"/>
    </row>
    <row r="363" spans="1:7" x14ac:dyDescent="0.3">
      <c r="A363" s="14"/>
      <c r="B363" s="14"/>
      <c r="C363" s="14"/>
      <c r="D363" s="14"/>
      <c r="E363" s="29"/>
      <c r="F363" s="14"/>
      <c r="G363" s="14"/>
    </row>
    <row r="364" spans="1:7" x14ac:dyDescent="0.3">
      <c r="A364" s="14"/>
      <c r="B364" s="14"/>
      <c r="C364" s="14"/>
      <c r="D364" s="14"/>
      <c r="E364" s="29"/>
      <c r="F364" s="14"/>
      <c r="G364" s="14"/>
    </row>
    <row r="365" spans="1:7" x14ac:dyDescent="0.3">
      <c r="A365" s="14"/>
      <c r="B365" s="14"/>
      <c r="C365" s="14"/>
      <c r="D365" s="14"/>
      <c r="E365" s="29"/>
      <c r="F365" s="14"/>
      <c r="G365" s="14"/>
    </row>
    <row r="366" spans="1:7" x14ac:dyDescent="0.3">
      <c r="A366" s="14"/>
      <c r="B366" s="14"/>
      <c r="C366" s="14"/>
      <c r="D366" s="14"/>
      <c r="E366" s="29"/>
      <c r="F366" s="14"/>
      <c r="G366" s="14"/>
    </row>
    <row r="367" spans="1:7" x14ac:dyDescent="0.3">
      <c r="A367" s="14"/>
      <c r="B367" s="14"/>
      <c r="C367" s="14"/>
      <c r="D367" s="14"/>
      <c r="E367" s="29"/>
      <c r="F367" s="14"/>
      <c r="G367" s="14"/>
    </row>
    <row r="368" spans="1:7" x14ac:dyDescent="0.3">
      <c r="A368" s="14"/>
      <c r="B368" s="14"/>
      <c r="C368" s="14"/>
      <c r="D368" s="14"/>
      <c r="E368" s="29"/>
      <c r="F368" s="14"/>
      <c r="G368" s="14"/>
    </row>
    <row r="369" spans="1:7" x14ac:dyDescent="0.3">
      <c r="A369" s="14"/>
      <c r="B369" s="14"/>
      <c r="C369" s="14"/>
      <c r="D369" s="14"/>
      <c r="E369" s="29"/>
      <c r="F369" s="14"/>
      <c r="G369" s="14"/>
    </row>
    <row r="370" spans="1:7" x14ac:dyDescent="0.3">
      <c r="A370" s="14"/>
      <c r="B370" s="14"/>
      <c r="C370" s="14"/>
      <c r="D370" s="14"/>
      <c r="E370" s="29"/>
      <c r="F370" s="14"/>
      <c r="G370" s="14"/>
    </row>
    <row r="371" spans="1:7" x14ac:dyDescent="0.3">
      <c r="A371" s="14"/>
      <c r="B371" s="14"/>
      <c r="C371" s="14"/>
      <c r="D371" s="14"/>
      <c r="E371" s="29"/>
      <c r="F371" s="14"/>
      <c r="G371" s="14"/>
    </row>
    <row r="372" spans="1:7" x14ac:dyDescent="0.3">
      <c r="A372" s="14"/>
      <c r="B372" s="14"/>
      <c r="C372" s="14"/>
      <c r="D372" s="14"/>
      <c r="E372" s="29"/>
      <c r="F372" s="14"/>
      <c r="G372" s="14"/>
    </row>
    <row r="373" spans="1:7" x14ac:dyDescent="0.3">
      <c r="A373" s="14"/>
      <c r="B373" s="14"/>
      <c r="C373" s="14"/>
      <c r="D373" s="14"/>
      <c r="E373" s="29"/>
      <c r="F373" s="14"/>
      <c r="G373" s="14"/>
    </row>
    <row r="374" spans="1:7" x14ac:dyDescent="0.3">
      <c r="A374" s="14"/>
      <c r="B374" s="14"/>
      <c r="C374" s="14"/>
      <c r="D374" s="14"/>
      <c r="E374" s="29"/>
      <c r="F374" s="14"/>
      <c r="G374" s="14"/>
    </row>
    <row r="375" spans="1:7" x14ac:dyDescent="0.3">
      <c r="A375" s="14"/>
      <c r="B375" s="14"/>
      <c r="C375" s="14"/>
      <c r="D375" s="14"/>
      <c r="E375" s="29"/>
      <c r="F375" s="14"/>
      <c r="G375" s="14"/>
    </row>
    <row r="376" spans="1:7" x14ac:dyDescent="0.3">
      <c r="A376" s="14"/>
      <c r="B376" s="14"/>
      <c r="C376" s="14"/>
      <c r="D376" s="14"/>
      <c r="E376" s="29"/>
      <c r="F376" s="14"/>
      <c r="G376" s="14"/>
    </row>
    <row r="377" spans="1:7" x14ac:dyDescent="0.3">
      <c r="A377" s="14"/>
      <c r="B377" s="14"/>
      <c r="C377" s="14"/>
      <c r="D377" s="14"/>
      <c r="E377" s="29"/>
      <c r="F377" s="14"/>
      <c r="G377" s="14"/>
    </row>
    <row r="378" spans="1:7" x14ac:dyDescent="0.3">
      <c r="A378" s="14"/>
      <c r="B378" s="14"/>
      <c r="C378" s="14"/>
      <c r="D378" s="14"/>
      <c r="E378" s="29"/>
      <c r="F378" s="14"/>
      <c r="G378" s="14"/>
    </row>
    <row r="379" spans="1:7" x14ac:dyDescent="0.3">
      <c r="A379" s="14"/>
      <c r="B379" s="14"/>
      <c r="C379" s="14"/>
      <c r="D379" s="14"/>
      <c r="E379" s="29"/>
      <c r="F379" s="14"/>
      <c r="G379" s="14"/>
    </row>
    <row r="380" spans="1:7" x14ac:dyDescent="0.3">
      <c r="A380" s="14"/>
      <c r="B380" s="14"/>
      <c r="C380" s="14"/>
      <c r="D380" s="14"/>
      <c r="E380" s="29"/>
      <c r="F380" s="14"/>
      <c r="G380" s="14"/>
    </row>
    <row r="381" spans="1:7" x14ac:dyDescent="0.3">
      <c r="A381" s="14"/>
      <c r="B381" s="14"/>
      <c r="C381" s="14"/>
      <c r="D381" s="14"/>
      <c r="E381" s="29"/>
      <c r="F381" s="14"/>
      <c r="G381" s="14"/>
    </row>
    <row r="382" spans="1:7" x14ac:dyDescent="0.3">
      <c r="A382" s="14"/>
      <c r="B382" s="14"/>
      <c r="C382" s="14"/>
      <c r="D382" s="14"/>
      <c r="E382" s="29"/>
      <c r="F382" s="14"/>
      <c r="G382" s="14"/>
    </row>
    <row r="383" spans="1:7" x14ac:dyDescent="0.3">
      <c r="A383" s="14"/>
      <c r="B383" s="14"/>
      <c r="C383" s="14"/>
      <c r="D383" s="14"/>
      <c r="E383" s="29"/>
      <c r="F383" s="14"/>
      <c r="G383" s="14"/>
    </row>
    <row r="384" spans="1:7" x14ac:dyDescent="0.3">
      <c r="A384" s="14"/>
      <c r="B384" s="14"/>
      <c r="C384" s="14"/>
      <c r="D384" s="14"/>
      <c r="E384" s="29"/>
      <c r="F384" s="14"/>
      <c r="G384" s="14"/>
    </row>
    <row r="385" spans="1:7" x14ac:dyDescent="0.3">
      <c r="A385" s="14"/>
      <c r="B385" s="14"/>
      <c r="C385" s="14"/>
      <c r="D385" s="14"/>
      <c r="E385" s="29"/>
      <c r="F385" s="14"/>
      <c r="G385" s="14"/>
    </row>
    <row r="386" spans="1:7" x14ac:dyDescent="0.3">
      <c r="A386" s="14"/>
      <c r="B386" s="14"/>
      <c r="C386" s="14"/>
      <c r="D386" s="14"/>
      <c r="E386" s="29"/>
      <c r="F386" s="14"/>
      <c r="G386" s="14"/>
    </row>
    <row r="387" spans="1:7" x14ac:dyDescent="0.3">
      <c r="A387" s="14"/>
      <c r="B387" s="14"/>
      <c r="C387" s="14"/>
      <c r="D387" s="14"/>
      <c r="E387" s="29"/>
      <c r="F387" s="14"/>
      <c r="G387" s="14"/>
    </row>
    <row r="388" spans="1:7" x14ac:dyDescent="0.3">
      <c r="A388" s="14"/>
      <c r="B388" s="14"/>
      <c r="C388" s="14"/>
      <c r="D388" s="14"/>
      <c r="E388" s="29"/>
      <c r="F388" s="14"/>
      <c r="G388" s="14"/>
    </row>
    <row r="389" spans="1:7" x14ac:dyDescent="0.3">
      <c r="A389" s="14"/>
      <c r="B389" s="14"/>
      <c r="C389" s="14"/>
      <c r="D389" s="14"/>
      <c r="E389" s="29"/>
      <c r="F389" s="14"/>
      <c r="G389" s="14"/>
    </row>
    <row r="390" spans="1:7" x14ac:dyDescent="0.3">
      <c r="A390" s="14"/>
      <c r="B390" s="14"/>
      <c r="C390" s="14"/>
      <c r="D390" s="14"/>
      <c r="E390" s="29"/>
      <c r="F390" s="14"/>
      <c r="G390" s="14"/>
    </row>
    <row r="391" spans="1:7" x14ac:dyDescent="0.3">
      <c r="A391" s="14"/>
      <c r="B391" s="14"/>
      <c r="C391" s="14"/>
      <c r="D391" s="14"/>
      <c r="E391" s="29"/>
      <c r="F391" s="14"/>
      <c r="G391" s="14"/>
    </row>
    <row r="392" spans="1:7" x14ac:dyDescent="0.3">
      <c r="A392" s="14"/>
      <c r="B392" s="14"/>
      <c r="C392" s="14"/>
      <c r="D392" s="14"/>
      <c r="E392" s="29"/>
      <c r="F392" s="14"/>
      <c r="G392" s="14"/>
    </row>
    <row r="393" spans="1:7" x14ac:dyDescent="0.3">
      <c r="A393" s="14"/>
      <c r="B393" s="14"/>
      <c r="C393" s="14"/>
      <c r="D393" s="14"/>
      <c r="E393" s="29"/>
      <c r="F393" s="14"/>
      <c r="G393" s="14"/>
    </row>
    <row r="394" spans="1:7" x14ac:dyDescent="0.3">
      <c r="A394" s="14"/>
      <c r="B394" s="14"/>
      <c r="C394" s="14"/>
      <c r="D394" s="14"/>
      <c r="E394" s="29"/>
      <c r="F394" s="14"/>
      <c r="G394" s="14"/>
    </row>
    <row r="395" spans="1:7" x14ac:dyDescent="0.3">
      <c r="A395" s="14"/>
      <c r="B395" s="14"/>
      <c r="C395" s="14"/>
      <c r="D395" s="14"/>
      <c r="E395" s="29"/>
      <c r="F395" s="14"/>
      <c r="G395" s="14"/>
    </row>
    <row r="396" spans="1:7" x14ac:dyDescent="0.3">
      <c r="A396" s="14"/>
      <c r="B396" s="14"/>
      <c r="C396" s="14"/>
      <c r="D396" s="14"/>
      <c r="E396" s="29"/>
      <c r="F396" s="14"/>
      <c r="G396" s="14"/>
    </row>
    <row r="397" spans="1:7" x14ac:dyDescent="0.3">
      <c r="A397" s="14"/>
      <c r="B397" s="14"/>
      <c r="C397" s="14"/>
      <c r="D397" s="14"/>
      <c r="E397" s="29"/>
      <c r="F397" s="14"/>
      <c r="G397" s="14"/>
    </row>
    <row r="398" spans="1:7" x14ac:dyDescent="0.3">
      <c r="A398" s="14"/>
      <c r="B398" s="14"/>
      <c r="C398" s="14"/>
      <c r="D398" s="14"/>
      <c r="E398" s="29"/>
      <c r="F398" s="14"/>
      <c r="G398" s="14"/>
    </row>
    <row r="399" spans="1:7" x14ac:dyDescent="0.3">
      <c r="A399" s="14"/>
      <c r="B399" s="14"/>
      <c r="C399" s="14"/>
      <c r="D399" s="14"/>
      <c r="E399" s="29"/>
      <c r="F399" s="14"/>
      <c r="G399" s="14"/>
    </row>
    <row r="400" spans="1:7" x14ac:dyDescent="0.3">
      <c r="A400" s="14"/>
      <c r="B400" s="14"/>
      <c r="C400" s="14"/>
      <c r="D400" s="14"/>
      <c r="E400" s="29"/>
      <c r="F400" s="14"/>
      <c r="G400" s="14"/>
    </row>
    <row r="401" spans="1:7" x14ac:dyDescent="0.3">
      <c r="A401" s="14"/>
      <c r="B401" s="14"/>
      <c r="C401" s="14"/>
      <c r="D401" s="14"/>
      <c r="E401" s="29"/>
      <c r="F401" s="14"/>
      <c r="G401" s="14"/>
    </row>
    <row r="402" spans="1:7" x14ac:dyDescent="0.3">
      <c r="A402" s="14"/>
      <c r="B402" s="14"/>
      <c r="C402" s="14"/>
      <c r="D402" s="14"/>
      <c r="E402" s="29"/>
      <c r="F402" s="14"/>
      <c r="G402" s="14"/>
    </row>
    <row r="403" spans="1:7" x14ac:dyDescent="0.3">
      <c r="A403" s="14"/>
      <c r="B403" s="14"/>
      <c r="C403" s="14"/>
      <c r="D403" s="14"/>
      <c r="E403" s="29"/>
      <c r="F403" s="14"/>
      <c r="G403" s="14"/>
    </row>
    <row r="404" spans="1:7" x14ac:dyDescent="0.3">
      <c r="A404" s="14"/>
      <c r="B404" s="14"/>
      <c r="C404" s="14"/>
      <c r="D404" s="14"/>
      <c r="E404" s="29"/>
      <c r="F404" s="14"/>
      <c r="G404" s="14"/>
    </row>
    <row r="405" spans="1:7" x14ac:dyDescent="0.3">
      <c r="A405" s="14"/>
      <c r="B405" s="14"/>
      <c r="C405" s="14"/>
      <c r="D405" s="14"/>
      <c r="E405" s="29"/>
      <c r="F405" s="14"/>
      <c r="G405" s="14"/>
    </row>
    <row r="406" spans="1:7" x14ac:dyDescent="0.3">
      <c r="A406" s="14"/>
      <c r="B406" s="14"/>
      <c r="C406" s="14"/>
      <c r="D406" s="14"/>
      <c r="E406" s="29"/>
      <c r="F406" s="14"/>
      <c r="G406" s="14"/>
    </row>
    <row r="407" spans="1:7" x14ac:dyDescent="0.3">
      <c r="A407" s="14"/>
      <c r="B407" s="14"/>
      <c r="C407" s="14"/>
      <c r="D407" s="14"/>
      <c r="E407" s="29"/>
      <c r="F407" s="14"/>
      <c r="G407" s="14"/>
    </row>
    <row r="408" spans="1:7" x14ac:dyDescent="0.3">
      <c r="A408" s="14"/>
      <c r="B408" s="14"/>
      <c r="C408" s="14"/>
      <c r="D408" s="14"/>
      <c r="E408" s="29"/>
      <c r="F408" s="14"/>
      <c r="G408" s="14"/>
    </row>
    <row r="409" spans="1:7" x14ac:dyDescent="0.3">
      <c r="A409" s="14"/>
      <c r="B409" s="14"/>
      <c r="C409" s="14"/>
      <c r="D409" s="14"/>
      <c r="E409" s="29"/>
      <c r="F409" s="14"/>
      <c r="G409" s="14"/>
    </row>
    <row r="410" spans="1:7" x14ac:dyDescent="0.3">
      <c r="A410" s="14"/>
      <c r="B410" s="14"/>
      <c r="C410" s="14"/>
      <c r="D410" s="14"/>
      <c r="E410" s="29"/>
      <c r="F410" s="14"/>
      <c r="G410" s="14"/>
    </row>
    <row r="411" spans="1:7" x14ac:dyDescent="0.3">
      <c r="A411" s="14"/>
      <c r="B411" s="14"/>
      <c r="C411" s="14"/>
      <c r="D411" s="14"/>
      <c r="E411" s="29"/>
      <c r="F411" s="14"/>
      <c r="G411" s="14"/>
    </row>
    <row r="412" spans="1:7" x14ac:dyDescent="0.3">
      <c r="A412" s="14"/>
      <c r="B412" s="14"/>
      <c r="C412" s="14"/>
      <c r="D412" s="14"/>
      <c r="E412" s="29"/>
      <c r="F412" s="14"/>
      <c r="G412" s="14"/>
    </row>
    <row r="413" spans="1:7" x14ac:dyDescent="0.3">
      <c r="A413" s="14"/>
      <c r="B413" s="14"/>
      <c r="C413" s="14"/>
      <c r="D413" s="14"/>
      <c r="E413" s="29"/>
      <c r="F413" s="14"/>
      <c r="G413" s="14"/>
    </row>
    <row r="414" spans="1:7" x14ac:dyDescent="0.3">
      <c r="A414" s="14"/>
      <c r="B414" s="14"/>
      <c r="C414" s="14"/>
      <c r="D414" s="14"/>
      <c r="E414" s="29"/>
      <c r="F414" s="14"/>
      <c r="G414" s="14"/>
    </row>
    <row r="415" spans="1:7" x14ac:dyDescent="0.3">
      <c r="A415" s="14"/>
      <c r="B415" s="14"/>
      <c r="C415" s="14"/>
      <c r="D415" s="14"/>
      <c r="E415" s="29"/>
      <c r="F415" s="14"/>
      <c r="G415" s="14"/>
    </row>
    <row r="416" spans="1:7" x14ac:dyDescent="0.3">
      <c r="A416" s="14"/>
      <c r="B416" s="14"/>
      <c r="C416" s="14"/>
      <c r="D416" s="14"/>
      <c r="E416" s="29"/>
      <c r="F416" s="14"/>
      <c r="G416" s="14"/>
    </row>
    <row r="417" spans="1:7" x14ac:dyDescent="0.3">
      <c r="A417" s="14"/>
      <c r="B417" s="14"/>
      <c r="C417" s="14"/>
      <c r="D417" s="14"/>
      <c r="E417" s="29"/>
      <c r="F417" s="14"/>
      <c r="G417" s="14"/>
    </row>
    <row r="418" spans="1:7" x14ac:dyDescent="0.3">
      <c r="A418" s="14"/>
      <c r="B418" s="14"/>
      <c r="C418" s="14"/>
      <c r="D418" s="14"/>
      <c r="E418" s="29"/>
      <c r="F418" s="14"/>
      <c r="G418" s="14"/>
    </row>
    <row r="419" spans="1:7" x14ac:dyDescent="0.3">
      <c r="A419" s="14"/>
      <c r="B419" s="14"/>
      <c r="C419" s="14"/>
      <c r="D419" s="14"/>
      <c r="E419" s="29"/>
      <c r="F419" s="14"/>
      <c r="G419" s="14"/>
    </row>
    <row r="420" spans="1:7" x14ac:dyDescent="0.3">
      <c r="A420" s="14"/>
      <c r="B420" s="14"/>
      <c r="C420" s="14"/>
      <c r="D420" s="14"/>
      <c r="E420" s="29"/>
      <c r="F420" s="14"/>
      <c r="G420" s="14"/>
    </row>
    <row r="421" spans="1:7" x14ac:dyDescent="0.3">
      <c r="A421" s="14"/>
      <c r="B421" s="14"/>
      <c r="C421" s="14"/>
      <c r="D421" s="14"/>
      <c r="E421" s="29"/>
      <c r="F421" s="14"/>
      <c r="G421" s="14"/>
    </row>
    <row r="422" spans="1:7" x14ac:dyDescent="0.3">
      <c r="A422" s="14"/>
      <c r="B422" s="14"/>
      <c r="C422" s="14"/>
      <c r="D422" s="14"/>
      <c r="E422" s="29"/>
      <c r="F422" s="14"/>
      <c r="G422" s="14"/>
    </row>
    <row r="423" spans="1:7" x14ac:dyDescent="0.3">
      <c r="A423" s="14"/>
      <c r="B423" s="14"/>
      <c r="C423" s="14"/>
      <c r="D423" s="14"/>
      <c r="E423" s="29"/>
      <c r="F423" s="14"/>
      <c r="G423" s="14"/>
    </row>
    <row r="424" spans="1:7" x14ac:dyDescent="0.3">
      <c r="A424" s="14"/>
      <c r="B424" s="14"/>
      <c r="C424" s="14"/>
      <c r="D424" s="14"/>
      <c r="E424" s="29"/>
      <c r="F424" s="14"/>
      <c r="G424" s="14"/>
    </row>
    <row r="425" spans="1:7" x14ac:dyDescent="0.3">
      <c r="A425" s="14"/>
      <c r="B425" s="14"/>
      <c r="C425" s="14"/>
      <c r="D425" s="14"/>
      <c r="E425" s="29"/>
      <c r="F425" s="14"/>
      <c r="G425" s="14"/>
    </row>
    <row r="426" spans="1:7" x14ac:dyDescent="0.3">
      <c r="A426" s="14"/>
      <c r="B426" s="14"/>
      <c r="C426" s="14"/>
      <c r="D426" s="14"/>
      <c r="E426" s="29"/>
      <c r="F426" s="14"/>
      <c r="G426" s="14"/>
    </row>
  </sheetData>
  <autoFilter ref="A1:F35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20"/>
  <sheetViews>
    <sheetView tabSelected="1" zoomScale="90" zoomScaleNormal="90" workbookViewId="0">
      <selection activeCell="A4" sqref="A4"/>
    </sheetView>
  </sheetViews>
  <sheetFormatPr defaultColWidth="8.88671875" defaultRowHeight="14.4" x14ac:dyDescent="0.3"/>
  <cols>
    <col min="1" max="1" width="16.77734375" style="8" bestFit="1" customWidth="1"/>
    <col min="2" max="2" width="3" style="8" bestFit="1" customWidth="1"/>
    <col min="3" max="3" width="84.33203125" style="8" bestFit="1" customWidth="1"/>
    <col min="4" max="6" width="13.44140625" style="8" bestFit="1" customWidth="1"/>
    <col min="7" max="7" width="12.33203125" style="8" bestFit="1" customWidth="1"/>
    <col min="8" max="8" width="11.5546875" style="8" bestFit="1" customWidth="1"/>
    <col min="9" max="9" width="11.109375" style="8" bestFit="1" customWidth="1"/>
    <col min="10" max="10" width="10.44140625" style="8" bestFit="1" customWidth="1"/>
    <col min="11" max="11" width="13.44140625" style="8" bestFit="1" customWidth="1"/>
    <col min="12" max="15" width="12.33203125" style="8" bestFit="1" customWidth="1"/>
    <col min="16" max="16" width="11.33203125" style="8" customWidth="1"/>
    <col min="17" max="17" width="11.5546875" style="8" customWidth="1"/>
    <col min="18" max="18" width="13.44140625" style="8" bestFit="1" customWidth="1"/>
    <col min="19" max="19" width="27.44140625" style="8" bestFit="1" customWidth="1"/>
    <col min="20" max="16384" width="8.88671875" style="8"/>
  </cols>
  <sheetData>
    <row r="1" spans="1:24" s="1" customFormat="1" ht="13.8" x14ac:dyDescent="0.3">
      <c r="D1" s="6"/>
      <c r="E1" s="6"/>
    </row>
    <row r="2" spans="1:24" s="1" customFormat="1" x14ac:dyDescent="0.3">
      <c r="C2" s="2" t="s">
        <v>41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x14ac:dyDescent="0.3">
      <c r="C3" s="2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13.8" x14ac:dyDescent="0.3"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28</v>
      </c>
      <c r="Q4" s="3" t="s">
        <v>29</v>
      </c>
      <c r="R4" s="3" t="s">
        <v>30</v>
      </c>
      <c r="S4" s="3" t="s">
        <v>31</v>
      </c>
    </row>
    <row r="5" spans="1:24" s="1" customFormat="1" ht="24" customHeight="1" x14ac:dyDescent="0.3">
      <c r="C5" s="4" t="s">
        <v>12</v>
      </c>
      <c r="D5" s="47" t="s">
        <v>13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9"/>
      <c r="T5" s="9"/>
    </row>
    <row r="6" spans="1:24" s="1" customFormat="1" ht="24" customHeight="1" x14ac:dyDescent="0.3">
      <c r="C6" s="10"/>
      <c r="D6" s="11"/>
      <c r="E6" s="44" t="s">
        <v>38</v>
      </c>
      <c r="F6" s="45"/>
      <c r="G6" s="45"/>
      <c r="H6" s="45"/>
      <c r="I6" s="45"/>
      <c r="J6" s="45"/>
      <c r="K6" s="44" t="s">
        <v>27</v>
      </c>
      <c r="L6" s="45"/>
      <c r="M6" s="45"/>
      <c r="N6" s="45"/>
      <c r="O6" s="45"/>
      <c r="P6" s="45"/>
      <c r="Q6" s="46"/>
      <c r="R6" s="47" t="s">
        <v>37</v>
      </c>
      <c r="S6" s="49"/>
      <c r="T6" s="9"/>
    </row>
    <row r="7" spans="1:24" s="1" customFormat="1" ht="43.65" customHeight="1" x14ac:dyDescent="0.3">
      <c r="C7" s="5"/>
      <c r="D7" s="12"/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24</v>
      </c>
      <c r="P7" s="12" t="s">
        <v>25</v>
      </c>
      <c r="Q7" s="12" t="s">
        <v>26</v>
      </c>
      <c r="R7" s="15"/>
      <c r="S7" s="20" t="s">
        <v>39</v>
      </c>
      <c r="T7" s="9"/>
    </row>
    <row r="8" spans="1:24" s="1" customFormat="1" ht="13.8" x14ac:dyDescent="0.3">
      <c r="B8" s="3">
        <v>1</v>
      </c>
      <c r="C8" s="17" t="s">
        <v>35</v>
      </c>
      <c r="D8" s="30">
        <f>SUM(D9:D11)</f>
        <v>26833.996932000002</v>
      </c>
      <c r="E8" s="31">
        <f>+SUM(E9:E11)</f>
        <v>8842.7385169999998</v>
      </c>
      <c r="F8" s="31">
        <f>+SUM(F9:F11)</f>
        <v>6594.4720259999995</v>
      </c>
      <c r="G8" s="31">
        <f>+SUM(G9:G11)</f>
        <v>1780.651243</v>
      </c>
      <c r="H8" s="31">
        <f>+SUM(H9:H11)</f>
        <v>249.815676</v>
      </c>
      <c r="I8" s="31">
        <f t="shared" ref="I8:J8" si="0">+SUM(I9:I11)</f>
        <v>73.330776</v>
      </c>
      <c r="J8" s="31">
        <f t="shared" si="0"/>
        <v>87.354292999999998</v>
      </c>
      <c r="K8" s="43">
        <f>+SUM(K9:K11)</f>
        <v>1745.475543</v>
      </c>
      <c r="L8" s="43">
        <f t="shared" ref="L8:Q8" si="1">+SUM(L9:L11)</f>
        <v>1814.156438</v>
      </c>
      <c r="M8" s="43">
        <f t="shared" si="1"/>
        <v>3317.7250480000002</v>
      </c>
      <c r="N8" s="43">
        <f t="shared" si="1"/>
        <v>3289.722276</v>
      </c>
      <c r="O8" s="43">
        <f t="shared" si="1"/>
        <v>1832.8598530000002</v>
      </c>
      <c r="P8" s="43">
        <f t="shared" si="1"/>
        <v>821.85213199999998</v>
      </c>
      <c r="Q8" s="43">
        <f t="shared" si="1"/>
        <v>2.979174</v>
      </c>
      <c r="R8" s="41">
        <f>SUM(R9:R11)</f>
        <v>14009.226467999999</v>
      </c>
      <c r="S8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collateral'!$D$18))/1000000)/R8</f>
        <v>0.98145716142191219</v>
      </c>
      <c r="T8" s="9"/>
    </row>
    <row r="9" spans="1:24" s="1" customFormat="1" ht="13.8" x14ac:dyDescent="0.3">
      <c r="A9" s="21" t="s">
        <v>56</v>
      </c>
      <c r="B9" s="3">
        <v>2</v>
      </c>
      <c r="C9" s="18" t="s">
        <v>32</v>
      </c>
      <c r="D9" s="41">
        <f>IFERROR(SUMIFS(Input!$E:$E,Input!$A:$A,'2.CC Trans-BB.RE collateral'!$A9,Input!$D:$D,'2.CC Trans-BB.RE collateral'!$D$18)/1000000,0)</f>
        <v>3564.42922</v>
      </c>
      <c r="E9" s="34">
        <f>IFERROR(SUMIFS(Input!$E:$E,Input!$A:$A,'2.CC Trans-BB.RE collateral'!$A9,Input!$C:$C,'2.CC Trans-BB.RE collateral'!E$18,Input!$D:$D,'2.CC Trans-BB.RE collateral'!$D$18)/1000000,0)</f>
        <v>1195.7892039999999</v>
      </c>
      <c r="F9" s="34">
        <f>IFERROR(SUMIFS(Input!$E:$E,Input!$A:$A,'2.CC Trans-BB.RE collateral'!$A9,Input!$C:$C,'2.CC Trans-BB.RE collateral'!F$18,Input!$D:$D,'2.CC Trans-BB.RE collateral'!$D$18)/1000000,0)</f>
        <v>1697.329379</v>
      </c>
      <c r="G9" s="34">
        <f>IFERROR(SUMIFS(Input!$E:$E,Input!$A:$A,'2.CC Trans-BB.RE collateral'!$A9,Input!$C:$C,'2.CC Trans-BB.RE collateral'!G$18,Input!$D:$D,'2.CC Trans-BB.RE collateral'!$D$18)/1000000,0)</f>
        <v>208.25164699999999</v>
      </c>
      <c r="H9" s="34">
        <f>IFERROR(SUMIFS(Input!$E:$E,Input!$A:$A,'2.CC Trans-BB.RE collateral'!$A9,Input!$C:$C,'2.CC Trans-BB.RE collateral'!H$18,Input!$D:$D,'2.CC Trans-BB.RE collateral'!$D$18)/1000000,0)</f>
        <v>10.462529</v>
      </c>
      <c r="I9" s="34">
        <f>IFERROR(SUMIFS(Input!$E:$E,Input!$A:$A,'2.CC Trans-BB.RE collateral'!$A9,Input!$C:$C,'2.CC Trans-BB.RE collateral'!I$18,Input!$D:$D,'2.CC Trans-BB.RE collateral'!$D$18)/1000000,0)</f>
        <v>5.4134419999999999</v>
      </c>
      <c r="J9" s="34">
        <f>IFERROR(SUMIFS(Input!$E:$E,Input!$A:$A,'2.CC Trans-BB.RE collateral'!$A9,Input!$C:$C,'2.CC Trans-BB.RE collateral'!J$18,Input!$D:$D,'2.CC Trans-BB.RE collateral'!$D$18)/1000000,0)</f>
        <v>13.343540000000001</v>
      </c>
      <c r="K9" s="36">
        <f>IFERROR(SUM(SUMIFS(Input!$E:$E,Input!$A:$A,'2.CC Trans-BB.RE collateral'!$A9,Input!$B:$B,'2.CC Trans-BB.RE collateral'!K$7&amp;"*",Input!$F:$F,{"1-REAL";"SANTANDER";""},Input!$D:$D,'2.CC Trans-BB.RE collateral'!$D$18))/1000000,0)</f>
        <v>76.938940000000002</v>
      </c>
      <c r="L9" s="36">
        <f>IFERROR(SUM(SUMIFS(Input!$E:$E,Input!$A:$A,'2.CC Trans-BB.RE collateral'!$A9,Input!$B:$B,'2.CC Trans-BB.RE collateral'!L$7&amp;"*",Input!$F:$F,{"1-REAL";"SANTANDER";""},Input!$D:$D,'2.CC Trans-BB.RE collateral'!$D$18))/1000000,0)</f>
        <v>160.71633499999999</v>
      </c>
      <c r="M9" s="36">
        <f>IFERROR(SUM(SUMIFS(Input!$E:$E,Input!$A:$A,'2.CC Trans-BB.RE collateral'!$A9,Input!$B:$B,'2.CC Trans-BB.RE collateral'!M$7,Input!$F:$F,{"1-REAL";"SANTANDER";""},Input!$D:$D,'2.CC Trans-BB.RE collateral'!$D$18))/1000000,0)</f>
        <v>107.044533</v>
      </c>
      <c r="N9" s="36">
        <f>IFERROR(SUM(SUMIFS(Input!$E:$E,Input!$A:$A,'2.CC Trans-BB.RE collateral'!$A9,Input!$B:$B,'2.CC Trans-BB.RE collateral'!N$7,Input!$F:$F,{"1-REAL";"SANTANDER";""},Input!$D:$D,'2.CC Trans-BB.RE collateral'!$D$18))/1000000,0)</f>
        <v>76.000791000000007</v>
      </c>
      <c r="O9" s="36">
        <f>IFERROR(SUM(SUMIFS(Input!$E:$E,Input!$A:$A,'2.CC Trans-BB.RE collateral'!$A9,Input!$B:$B,'2.CC Trans-BB.RE collateral'!O$7,Input!$F:$F,{"1-REAL";"SANTANDER";""},Input!$D:$D,'2.CC Trans-BB.RE collateral'!$D$18))/1000000,0)</f>
        <v>36.374197000000002</v>
      </c>
      <c r="P9" s="36">
        <f>IFERROR(SUM(SUMIFS(Input!$E:$E,Input!$A:$A,'2.CC Trans-BB.RE collateral'!$A9,Input!$B:$B,'2.CC Trans-BB.RE collateral'!P$7,Input!$F:$F,{"1-REAL";"SANTANDER";""},Input!$D:$D,'2.CC Trans-BB.RE collateral'!$D$18))/1000000,0)</f>
        <v>33.117265000000003</v>
      </c>
      <c r="Q9" s="36">
        <f>IFERROR(SUM(SUMIFS(Input!$E:$E,Input!$A:$A,'2.CC Trans-BB.RE collateral'!$A9,Input!$B:$B,'2.CC Trans-BB.RE collateral'!Q$7,Input!$F:$F,{"1-REAL";"SANTANDER";""},Input!$D:$D,'2.CC Trans-BB.RE collateral'!$D$18))/1000000,0)</f>
        <v>0.71281399999999995</v>
      </c>
      <c r="R9" s="41">
        <f>IFERROR(SUMIFS(Input!$E:$E,Input!$A:$A,'2.CC Trans-BB.RE collateral'!A9,Input!$F:$F,"&lt;&gt;"&amp;K$18,Input!$F:$F,"&lt;&gt;"&amp;K$19,Input!$F:$F,"&lt;&gt;"&amp;"",Input!$D:$D,'2.CC Trans-BB.RE collateral'!$D$18)/1000000,0)</f>
        <v>3073.5243449999998</v>
      </c>
      <c r="S9" s="28">
        <f>((SUMIFS(Input!$E:$E,Input!$A:$A,$A9,Input!$F:$F,"&lt;&gt;"&amp;M$18,Input!$F:$F,"&lt;&gt;",Input!$F:$F,"&lt;&gt;"&amp;S$18,Input!$F:$F,"&lt;&gt;"&amp;$M$19,Input!$F:$F,"&lt;&gt;"&amp;$M$20,Input!$D:$D,'2.CC Trans-BB.RE collateral'!$D$18))/1000000)/R9</f>
        <v>0.92701624688123307</v>
      </c>
      <c r="T9" s="9"/>
    </row>
    <row r="10" spans="1:24" s="1" customFormat="1" ht="13.8" x14ac:dyDescent="0.3">
      <c r="A10" s="21" t="s">
        <v>54</v>
      </c>
      <c r="B10" s="3">
        <v>3</v>
      </c>
      <c r="C10" s="18" t="s">
        <v>33</v>
      </c>
      <c r="D10" s="41">
        <f>IFERROR(SUMIFS(Input!$E:$E,Input!$A:$A,'2.CC Trans-BB.RE collateral'!$A10,Input!$D:$D,'2.CC Trans-BB.RE collateral'!$D$18)/1000000,0)</f>
        <v>23269.567712</v>
      </c>
      <c r="E10" s="34">
        <f>IFERROR(SUMIFS(Input!$E:$E,Input!$A:$A,'2.CC Trans-BB.RE collateral'!$A10,Input!$C:$C,'2.CC Trans-BB.RE collateral'!E$18,Input!$D:$D,'2.CC Trans-BB.RE collateral'!$D$18)/1000000,0)</f>
        <v>7646.9493130000001</v>
      </c>
      <c r="F10" s="34">
        <f>IFERROR(SUMIFS(Input!$E:$E,Input!$A:$A,'2.CC Trans-BB.RE collateral'!$A10,Input!$C:$C,'2.CC Trans-BB.RE collateral'!F$18,Input!$D:$D,'2.CC Trans-BB.RE collateral'!$D$18)/1000000,0)</f>
        <v>4897.1426469999997</v>
      </c>
      <c r="G10" s="34">
        <f>IFERROR(SUMIFS(Input!$E:$E,Input!$A:$A,'2.CC Trans-BB.RE collateral'!$A10,Input!$C:$C,'2.CC Trans-BB.RE collateral'!G$18,Input!$D:$D,'2.CC Trans-BB.RE collateral'!$D$18)/1000000,0)</f>
        <v>1572.399596</v>
      </c>
      <c r="H10" s="34">
        <f>IFERROR(SUMIFS(Input!$E:$E,Input!$A:$A,'2.CC Trans-BB.RE collateral'!$A10,Input!$C:$C,'2.CC Trans-BB.RE collateral'!H$18,Input!$D:$D,'2.CC Trans-BB.RE collateral'!$D$18)/1000000,0)</f>
        <v>239.35314700000001</v>
      </c>
      <c r="I10" s="34">
        <f>IFERROR(SUMIFS(Input!$E:$E,Input!$A:$A,'2.CC Trans-BB.RE collateral'!$A10,Input!$C:$C,'2.CC Trans-BB.RE collateral'!I$18,Input!$D:$D,'2.CC Trans-BB.RE collateral'!$D$18)/1000000,0)</f>
        <v>67.917333999999997</v>
      </c>
      <c r="J10" s="34">
        <f>IFERROR(SUMIFS(Input!$E:$E,Input!$A:$A,'2.CC Trans-BB.RE collateral'!$A10,Input!$C:$C,'2.CC Trans-BB.RE collateral'!J$18,Input!$D:$D,'2.CC Trans-BB.RE collateral'!$D$18)/1000000,0)</f>
        <v>74.010752999999994</v>
      </c>
      <c r="K10" s="41">
        <f>IFERROR(SUM(SUMIFS(Input!$E:$E,Input!$A:$A,'2.CC Trans-BB.RE collateral'!$A10,Input!$B:$B,'2.CC Trans-BB.RE collateral'!K$7&amp;"*",Input!$F:$F,{"1-REAL";"SANTANDER";""},Input!$D:$D,'2.CC Trans-BB.RE collateral'!$D$18))/1000000,0)</f>
        <v>1668.536603</v>
      </c>
      <c r="L10" s="41">
        <f>IFERROR(SUM(SUMIFS(Input!$E:$E,Input!$A:$A,'2.CC Trans-BB.RE collateral'!$A10,Input!$B:$B,'2.CC Trans-BB.RE collateral'!L$7&amp;"*",Input!$F:$F,{"1-REAL";"SANTANDER";""},Input!$D:$D,'2.CC Trans-BB.RE collateral'!$D$18))/1000000,0)</f>
        <v>1653.4401029999999</v>
      </c>
      <c r="M10" s="41">
        <f>IFERROR(SUM(SUMIFS(Input!$E:$E,Input!$A:$A,'2.CC Trans-BB.RE collateral'!$A10,Input!$B:$B,'2.CC Trans-BB.RE collateral'!M$7,Input!$F:$F,{"1-REAL";"SANTANDER";""},Input!$D:$D,'2.CC Trans-BB.RE collateral'!$D$18))/1000000,0)</f>
        <v>3210.680515</v>
      </c>
      <c r="N10" s="41">
        <f>IFERROR(SUM(SUMIFS(Input!$E:$E,Input!$A:$A,'2.CC Trans-BB.RE collateral'!$A10,Input!$B:$B,'2.CC Trans-BB.RE collateral'!N$7,Input!$F:$F,{"1-REAL";"SANTANDER";""},Input!$D:$D,'2.CC Trans-BB.RE collateral'!$D$18))/1000000,0)</f>
        <v>3213.721485</v>
      </c>
      <c r="O10" s="41">
        <f>IFERROR(SUM(SUMIFS(Input!$E:$E,Input!$A:$A,'2.CC Trans-BB.RE collateral'!$A10,Input!$B:$B,'2.CC Trans-BB.RE collateral'!O$7,Input!$F:$F,{"1-REAL";"SANTANDER";""},Input!$D:$D,'2.CC Trans-BB.RE collateral'!$D$18))/1000000,0)</f>
        <v>1796.4856560000001</v>
      </c>
      <c r="P10" s="41">
        <f>IFERROR(SUM(SUMIFS(Input!$E:$E,Input!$A:$A,'2.CC Trans-BB.RE collateral'!$A10,Input!$B:$B,'2.CC Trans-BB.RE collateral'!P$7,Input!$F:$F,{"1-REAL";"SANTANDER";""},Input!$D:$D,'2.CC Trans-BB.RE collateral'!$D$18))/1000000,0)</f>
        <v>788.73486700000001</v>
      </c>
      <c r="Q10" s="41">
        <f>IFERROR(SUM(SUMIFS(Input!$E:$E,Input!$A:$A,'2.CC Trans-BB.RE collateral'!$A10,Input!$B:$B,'2.CC Trans-BB.RE collateral'!Q$7,Input!$F:$F,{"1-REAL";"SANTANDER";""},Input!$D:$D,'2.CC Trans-BB.RE collateral'!$D$18))/1000000,0)</f>
        <v>2.2663600000000002</v>
      </c>
      <c r="R10" s="41">
        <f>IFERROR(SUMIFS(Input!$E:$E,Input!$A:$A,'2.CC Trans-BB.RE collateral'!A10,Input!$F:$F,"&lt;&gt;"&amp;K$18,Input!$F:$F,"&lt;&gt;"&amp;K$19,Input!$F:$F,"&lt;&gt;"&amp;"",Input!$D:$D,'2.CC Trans-BB.RE collateral'!$D$18)/1000000,0)</f>
        <v>10935.702122999999</v>
      </c>
      <c r="S10" s="28">
        <f>((SUMIFS(Input!$E:$E,Input!$A:$A,$A10,Input!$F:$F,"&lt;&gt;"&amp;M$18,Input!$F:$F,"&lt;&gt;",Input!$F:$F,"&lt;&gt;"&amp;S$18,Input!$F:$F,"&lt;&gt;"&amp;$M$19,Input!$F:$F,"&lt;&gt;"&amp;$M$20,Input!$D:$D,'2.CC Trans-BB.RE collateral'!$D$18))/1000000)/R10</f>
        <v>0.99675800578680418</v>
      </c>
      <c r="T10" s="9"/>
    </row>
    <row r="11" spans="1:24" s="1" customFormat="1" ht="13.8" x14ac:dyDescent="0.3">
      <c r="A11" s="22" t="s">
        <v>47</v>
      </c>
      <c r="B11" s="3">
        <v>4</v>
      </c>
      <c r="C11" s="18" t="s">
        <v>34</v>
      </c>
      <c r="D11" s="41">
        <f>IFERROR(SUMIFS(Input!$E:$E,Input!$A:$A,'2.CC Trans-BB.RE collateral'!$A11,Input!$D:$D,'2.CC Trans-BB.RE collateral'!$D$18)/1000000,0)</f>
        <v>0</v>
      </c>
      <c r="E11" s="34">
        <f>IFERROR(SUMIFS(Input!$E:$E,Input!$A:$A,'2.CC Trans-BB.RE collateral'!$A11,Input!$C:$C,'2.CC Trans-BB.RE collateral'!E$18,Input!$D:$D,'2.CC Trans-BB.RE collateral'!$D$18)/1000000,0)</f>
        <v>0</v>
      </c>
      <c r="F11" s="34">
        <f>IFERROR(SUMIFS(Input!$E:$E,Input!$A:$A,'2.CC Trans-BB.RE collateral'!$A11,Input!$C:$C,'2.CC Trans-BB.RE collateral'!F$18,Input!$D:$D,'2.CC Trans-BB.RE collateral'!$D$18)/1000000,0)</f>
        <v>0</v>
      </c>
      <c r="G11" s="34">
        <f>IFERROR(SUMIFS(Input!$E:$E,Input!$A:$A,'2.CC Trans-BB.RE collateral'!$A11,Input!$C:$C,'2.CC Trans-BB.RE collateral'!G$18,Input!$D:$D,'2.CC Trans-BB.RE collateral'!$D$18)/1000000,0)</f>
        <v>0</v>
      </c>
      <c r="H11" s="34">
        <f>IFERROR(SUMIFS(Input!$E:$E,Input!$A:$A,'2.CC Trans-BB.RE collateral'!$A11,Input!$C:$C,'2.CC Trans-BB.RE collateral'!H$18,Input!$D:$D,'2.CC Trans-BB.RE collateral'!$D$18)/1000000,0)</f>
        <v>0</v>
      </c>
      <c r="I11" s="34">
        <f>IFERROR(SUMIFS(Input!$E:$E,Input!$A:$A,'2.CC Trans-BB.RE collateral'!$A11,Input!$C:$C,'2.CC Trans-BB.RE collateral'!I$18,Input!$D:$D,'2.CC Trans-BB.RE collateral'!$D$18)/1000000,0)</f>
        <v>0</v>
      </c>
      <c r="J11" s="34">
        <f>IFERROR(SUMIFS(Input!$E:$E,Input!$A:$A,'2.CC Trans-BB.RE collateral'!$A11,Input!$C:$C,'2.CC Trans-BB.RE collateral'!J$18,Input!$D:$D,'2.CC Trans-BB.RE collateral'!$D$18)/1000000,0)</f>
        <v>0</v>
      </c>
      <c r="K11" s="26">
        <f>IFERROR(SUM(SUMIFS(Input!$E:$E,Input!$A:$A,'2.CC Trans-BB.RE collateral'!$A11,Input!$B:$B,'2.CC Trans-BB.RE collateral'!K$7&amp;"*",Input!$F:$F,{"1-REAL";"SANTANDER";""},Input!$D:$D,'2.CC Trans-BB.RE collateral'!$D$18))/1000000,0)</f>
        <v>0</v>
      </c>
      <c r="L11" s="26">
        <f>IFERROR(SUM(SUMIFS(Input!$E:$E,Input!$A:$A,'2.CC Trans-BB.RE collateral'!$A11,Input!$B:$B,'2.CC Trans-BB.RE collateral'!L$7&amp;"*",Input!$F:$F,{"1-REAL";"SANTANDER";""},Input!$D:$D,'2.CC Trans-BB.RE collateral'!$D$18))/1000000,0)</f>
        <v>0</v>
      </c>
      <c r="M11" s="26">
        <f>IFERROR(SUM(SUMIFS(Input!$E:$E,Input!$A:$A,'2.CC Trans-BB.RE collateral'!$A11,Input!$B:$B,'2.CC Trans-BB.RE collateral'!M$7,Input!$F:$F,{"1-REAL";"SANTANDER";""},Input!$D:$D,'2.CC Trans-BB.RE collateral'!$D$18))/1000000,0)</f>
        <v>0</v>
      </c>
      <c r="N11" s="26">
        <f>IFERROR(SUM(SUMIFS(Input!$E:$E,Input!$A:$A,'2.CC Trans-BB.RE collateral'!$A11,Input!$B:$B,'2.CC Trans-BB.RE collateral'!N$7,Input!$F:$F,{"1-REAL";"SANTANDER";""},Input!$D:$D,'2.CC Trans-BB.RE collateral'!$D$18))/1000000,0)</f>
        <v>0</v>
      </c>
      <c r="O11" s="26">
        <f>IFERROR(SUM(SUMIFS(Input!$E:$E,Input!$A:$A,'2.CC Trans-BB.RE collateral'!$A11,Input!$B:$B,'2.CC Trans-BB.RE collateral'!O$7,Input!$F:$F,{"1-REAL";"SANTANDER";""},Input!$D:$D,'2.CC Trans-BB.RE collateral'!$D$18))/1000000,0)</f>
        <v>0</v>
      </c>
      <c r="P11" s="26">
        <f>IFERROR(SUM(SUMIFS(Input!$E:$E,Input!$A:$A,'2.CC Trans-BB.RE collateral'!$A11,Input!$B:$B,'2.CC Trans-BB.RE collateral'!P$7,Input!$F:$F,{"1-REAL";"SANTANDER";""},Input!$D:$D,'2.CC Trans-BB.RE collateral'!$D$18))/1000000,0)</f>
        <v>0</v>
      </c>
      <c r="Q11" s="26">
        <f>IFERROR(SUM(SUMIFS(Input!$E:$E,Input!$A:$A,'2.CC Trans-BB.RE collateral'!$A11,Input!$B:$B,'2.CC Trans-BB.RE collateral'!Q$7,Input!$F:$F,{"1-REAL";"SANTANDER";""},Input!$D:$D,'2.CC Trans-BB.RE collateral'!$D$18))/1000000,0)</f>
        <v>0</v>
      </c>
      <c r="R11" s="41">
        <f>IFERROR(SUMIFS(Input!$E:$E,Input!$A:$A,'2.CC Trans-BB.RE collateral'!A11,Input!$F:$F,"&lt;&gt;"&amp;K$18,Input!$F:$F,"&lt;&gt;"&amp;K$19,Input!$F:$F,"&lt;&gt;"&amp;"",Input!$D:$D,'2.CC Trans-BB.RE collateral'!$D$18)/1000000,0)</f>
        <v>0</v>
      </c>
      <c r="S11" s="28">
        <f>IFERROR(((SUMIFS(Input!$E:$E,Input!$A:$A,$A11,Input!$F:$F,"&lt;&gt;"&amp;M$18,Input!$F:$F,"&lt;&gt;",Input!$F:$F,"&lt;&gt;"&amp;S$18,Input!$F:$F,"&lt;&gt;"&amp;$M$19,Input!$F:$F,"&lt;&gt;"&amp;$M$20,Input!$D:$D,'2.CC Trans-BB.RE collateral'!$D$18))/1000000)/R11,0)</f>
        <v>0</v>
      </c>
      <c r="T11" s="9"/>
    </row>
    <row r="12" spans="1:24" s="1" customFormat="1" ht="13.8" x14ac:dyDescent="0.3">
      <c r="A12" s="22" t="s">
        <v>63</v>
      </c>
      <c r="B12" s="3">
        <v>5</v>
      </c>
      <c r="C12" s="19" t="s">
        <v>40</v>
      </c>
      <c r="D12" s="36">
        <f>IFERROR(SUM(SUMIFS(Input!E:E,Input!A:A,{"Garantia Comercial";"Garantia Residencial";"Stock"},Input!C:C,"&lt;&gt;"&amp;'2.CC Trans-BB.RE collateral'!$A12,Input!$D:$D,'2.CC Trans-BB.RE collateral'!$D$18))/1000000,0)</f>
        <v>17628.362530999999</v>
      </c>
      <c r="E12" s="34">
        <f>IFERROR(SUM(SUMIFS(Input!$E:$E,Input!$A:$A,{"Garantia Comercial";"Garantia Residencial";"Stock"},Input!$C:$C,"&lt;&gt;"&amp;$A$12,Input!$C:$C,E$18,Input!$D:$D,'2.CC Trans-BB.RE collateral'!$D$18))/1000000,0)</f>
        <v>8842.7385169999998</v>
      </c>
      <c r="F12" s="34">
        <f>IFERROR(SUM(SUMIFS(Input!$E:$E,Input!$A:$A,{"Garantia Comercial";"Garantia Residencial";"Stock"},Input!$C:$C,"&lt;&gt;"&amp;$A$12,Input!$C:$C,F$18,Input!$D:$D,'2.CC Trans-BB.RE collateral'!$D$18))/1000000,0)</f>
        <v>6594.4720260000004</v>
      </c>
      <c r="G12" s="34">
        <f>IFERROR(SUM(SUMIFS(Input!$E:$E,Input!$A:$A,{"Garantia Comercial";"Garantia Residencial";"Stock"},Input!$C:$C,"&lt;&gt;"&amp;$A$12,Input!$C:$C,G$18,Input!$D:$D,'2.CC Trans-BB.RE collateral'!$D$18))/1000000,0)</f>
        <v>1780.651243</v>
      </c>
      <c r="H12" s="34">
        <f>IFERROR(SUM(SUMIFS(Input!$E:$E,Input!$A:$A,{"Garantia Comercial";"Garantia Residencial";"Stock"},Input!$C:$C,"&lt;&gt;"&amp;$A$12,Input!$C:$C,H$18,Input!$D:$D,'2.CC Trans-BB.RE collateral'!$D$18))/1000000,0)</f>
        <v>249.815676</v>
      </c>
      <c r="I12" s="34">
        <f>IFERROR(SUM(SUMIFS(Input!$E:$E,Input!$A:$A,{"Garantia Comercial";"Garantia Residencial";"Stock"},Input!$C:$C,"&lt;&gt;"&amp;$A$12,Input!$C:$C,I$18,Input!$D:$D,'2.CC Trans-BB.RE collateral'!$D$18))/1000000,0)</f>
        <v>73.330776</v>
      </c>
      <c r="J12" s="34">
        <f>IFERROR(SUM(SUMIFS(Input!$E:$E,Input!$A:$A,{"Garantia Comercial";"Garantia Residencial";"Stock"},Input!$C:$C,"&lt;&gt;"&amp;$A$12,Input!$C:$C,J$18,Input!$D:$D,'2.CC Trans-BB.RE collateral'!$D$18))/1000000,0)</f>
        <v>87.354292999999998</v>
      </c>
      <c r="K12" s="16"/>
      <c r="L12" s="16"/>
      <c r="M12" s="16"/>
      <c r="N12" s="16"/>
      <c r="O12" s="16"/>
      <c r="P12" s="16"/>
      <c r="Q12" s="16"/>
      <c r="R12" s="41">
        <f>IFERROR(SUM(SUMIFS(Input!$E:$E,Input!$A:$A,{"Garantia Comercial";"Garantia Residencial";"Stock"},Input!$F:$F,"&lt;&gt;"&amp;M$18,Input!$F:$F,"&lt;&gt;",Input!$F:$F,"&lt;&gt;"&amp;$M$19,Input!$C:$C,"&lt;&gt;"&amp;$A$12,Input!$D:$D,'2.CC Trans-BB.RE collateral'!$D$18))/1000000,0)</f>
        <v>13749.273424999999</v>
      </c>
      <c r="S12" s="28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collateral'!$D$18))/1000000)/R12</f>
        <v>1.0000132529184902</v>
      </c>
      <c r="T12" s="9"/>
    </row>
    <row r="13" spans="1:24" s="1" customFormat="1" ht="13.8" x14ac:dyDescent="0.3">
      <c r="A13" s="23"/>
      <c r="B13" s="3">
        <v>6</v>
      </c>
      <c r="C13" s="17" t="s">
        <v>36</v>
      </c>
      <c r="D13" s="32">
        <f>SUM(D14:D16)</f>
        <v>22.179551</v>
      </c>
      <c r="E13" s="33">
        <f>+SUM(E14:E16)</f>
        <v>10.931941</v>
      </c>
      <c r="F13" s="33">
        <f>+SUM(F14:F16)</f>
        <v>3.5176050000000001</v>
      </c>
      <c r="G13" s="33">
        <f>+SUM(G14:G16)</f>
        <v>2.4192399999999998</v>
      </c>
      <c r="H13" s="33">
        <f>+SUM(H14:H16)</f>
        <v>0.94138900000000003</v>
      </c>
      <c r="I13" s="33">
        <f t="shared" ref="I13:J13" si="2">+SUM(I14:I16)</f>
        <v>0.43797399999999997</v>
      </c>
      <c r="J13" s="33">
        <f t="shared" si="2"/>
        <v>0.135323</v>
      </c>
      <c r="K13" s="33">
        <f>+SUM(K14:K16)</f>
        <v>3.0636899999999998</v>
      </c>
      <c r="L13" s="33">
        <f t="shared" ref="L13:Q13" si="3">+SUM(L14:L16)</f>
        <v>7.0418390000000004</v>
      </c>
      <c r="M13" s="33">
        <f t="shared" si="3"/>
        <v>2.3548830000000001</v>
      </c>
      <c r="N13" s="33">
        <f t="shared" si="3"/>
        <v>2.1034470000000001</v>
      </c>
      <c r="O13" s="33">
        <f t="shared" si="3"/>
        <v>2.3693080000000002</v>
      </c>
      <c r="P13" s="33">
        <f t="shared" si="3"/>
        <v>1.2256819999999999</v>
      </c>
      <c r="Q13" s="33">
        <f t="shared" si="3"/>
        <v>0</v>
      </c>
      <c r="R13" s="39">
        <f>SUM(R14:R16)</f>
        <v>4.020702</v>
      </c>
      <c r="S13" s="27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collateral'!$D$19))/1000000)/R13</f>
        <v>0.58363191303409212</v>
      </c>
    </row>
    <row r="14" spans="1:24" x14ac:dyDescent="0.3">
      <c r="A14" s="21" t="s">
        <v>56</v>
      </c>
      <c r="B14" s="3">
        <v>7</v>
      </c>
      <c r="C14" s="18" t="s">
        <v>32</v>
      </c>
      <c r="D14" s="39">
        <f>IFERROR(SUMIFS(Input!$E:$E,Input!$A:$A,'2.CC Trans-BB.RE collateral'!$A14,Input!$D:$D,'2.CC Trans-BB.RE collateral'!$D$19)/1000000,0)</f>
        <v>0</v>
      </c>
      <c r="E14" s="38">
        <f>IFERROR(SUMIFS(Input!$E:$E,Input!$A:$A,'2.CC Trans-BB.RE collateral'!$A14,Input!$C:$C,'2.CC Trans-BB.RE collateral'!E$18,Input!$D:$D,'2.CC Trans-BB.RE collateral'!$D$19)/1000000,0)</f>
        <v>0</v>
      </c>
      <c r="F14" s="38">
        <f>IFERROR(SUMIFS(Input!$E:$E,Input!$A:$A,'2.CC Trans-BB.RE collateral'!$A14,Input!$C:$C,'2.CC Trans-BB.RE collateral'!F$18,Input!$D:$D,'2.CC Trans-BB.RE collateral'!$D$19)/1000000,0)</f>
        <v>0</v>
      </c>
      <c r="G14" s="38">
        <f>IFERROR(SUMIFS(Input!$E:$E,Input!$A:$A,'2.CC Trans-BB.RE collateral'!$A14,Input!$C:$C,'2.CC Trans-BB.RE collateral'!G$18,Input!$D:$D,'2.CC Trans-BB.RE collateral'!$D$19)/1000000,0)</f>
        <v>0</v>
      </c>
      <c r="H14" s="38">
        <f>IFERROR(SUMIFS(Input!$E:$E,Input!$A:$A,'2.CC Trans-BB.RE collateral'!$A14,Input!$C:$C,'2.CC Trans-BB.RE collateral'!H$18,Input!$D:$D,'2.CC Trans-BB.RE collateral'!$D$19)/1000000,0)</f>
        <v>0</v>
      </c>
      <c r="I14" s="38">
        <f>IFERROR(SUMIFS(Input!$E:$E,Input!$A:$A,'2.CC Trans-BB.RE collateral'!$A14,Input!$C:$C,'2.CC Trans-BB.RE collateral'!I$18,Input!$D:$D,'2.CC Trans-BB.RE collateral'!$D$19)/1000000,0)</f>
        <v>0</v>
      </c>
      <c r="J14" s="38">
        <f>IFERROR(SUMIFS(Input!$E:$E,Input!$A:$A,'2.CC Trans-BB.RE collateral'!$A14,Input!$C:$C,'2.CC Trans-BB.RE collateral'!J$18,Input!$D:$D,'2.CC Trans-BB.RE collateral'!$D$19)/1000000,0)</f>
        <v>0</v>
      </c>
      <c r="K14" s="37">
        <f>IFERROR(SUM(SUMIFS(Input!$E:$E,Input!$A:$A,'2.CC Trans-BB.RE collateral'!$A14,Input!$B:$B,'2.CC Trans-BB.RE collateral'!K$7&amp;"*",Input!$F:$F,{"1-REAL";"SANTANDER";""},Input!$D:$D,'2.CC Trans-BB.RE collateral'!$D$19))/1000000,0)</f>
        <v>0</v>
      </c>
      <c r="L14" s="37">
        <f>IFERROR(SUM(SUMIFS(Input!$E:$E,Input!$A:$A,'2.CC Trans-BB.RE collateral'!$A14,Input!$B:$B,'2.CC Trans-BB.RE collateral'!L$7&amp;"*",Input!$F:$F,{"1-REAL";"SANTANDER";""},Input!$D:$D,'2.CC Trans-BB.RE collateral'!$D$19))/1000000,0)</f>
        <v>0</v>
      </c>
      <c r="M14" s="37">
        <f>IFERROR(SUM(SUMIFS(Input!$E:$E,Input!$A:$A,'2.CC Trans-BB.RE collateral'!$A14,Input!$B:$B,'2.CC Trans-BB.RE collateral'!M$7,Input!$F:$F,{"1-REAL";"SANTANDER";""},Input!$D:$D,'2.CC Trans-BB.RE collateral'!$D$19))/1000000,0)</f>
        <v>0</v>
      </c>
      <c r="N14" s="37">
        <f>IFERROR(SUM(SUMIFS(Input!$E:$E,Input!$A:$A,'2.CC Trans-BB.RE collateral'!$A14,Input!$B:$B,'2.CC Trans-BB.RE collateral'!N$7,Input!$F:$F,{"1-REAL";"SANTANDER";""},Input!$D:$D,'2.CC Trans-BB.RE collateral'!$D$19))/1000000,0)</f>
        <v>0</v>
      </c>
      <c r="O14" s="37">
        <f>IFERROR(SUM(SUMIFS(Input!$E:$E,Input!$A:$A,'2.CC Trans-BB.RE collateral'!$A14,Input!$B:$B,'2.CC Trans-BB.RE collateral'!O$7,Input!$F:$F,{"1-REAL";"SANTANDER";""},Input!$D:$D,'2.CC Trans-BB.RE collateral'!$D$19))/1000000,0)</f>
        <v>0</v>
      </c>
      <c r="P14" s="37">
        <f>IFERROR(SUM(SUMIFS(Input!$E:$E,Input!$A:$A,'2.CC Trans-BB.RE collateral'!$A14,Input!$B:$B,'2.CC Trans-BB.RE collateral'!P$7,Input!$F:$F,{"1-REAL";"SANTANDER";""},Input!$D:$D,'2.CC Trans-BB.RE collateral'!$D$19))/1000000,0)</f>
        <v>0</v>
      </c>
      <c r="Q14" s="37">
        <f>IFERROR(SUM(SUMIFS(Input!$E:$E,Input!$A:$A,'2.CC Trans-BB.RE collateral'!$A14,Input!$B:$B,'2.CC Trans-BB.RE collateral'!Q$7,Input!$F:$F,{"1-REAL";"SANTANDER";""},Input!$D:$D,'2.CC Trans-BB.RE collateral'!$D$19))/1000000,0)</f>
        <v>0</v>
      </c>
      <c r="R14" s="39">
        <f>IFERROR(SUMIFS(Input!$E:$E,Input!$A:$A,'2.CC Trans-BB.RE collateral'!A14,Input!$F:$F,"&lt;&gt;"&amp;K$18,Input!$F:$F,"&lt;&gt;"&amp;K$19,Input!$F:$F,"&lt;&gt;"&amp;"",Input!$D:$D,'2.CC Trans-BB.RE collateral'!$D$19)/1000000,0)</f>
        <v>0</v>
      </c>
      <c r="S14" s="27">
        <f>IFERROR(((SUMIFS(Input!$E:$E,Input!$A:$A,$A14,Input!$F:$F,"&lt;&gt;"&amp;M$18,Input!$F:$F,"&lt;&gt;",Input!$F:$F,"&lt;&gt;"&amp;S$18,Input!$F:$F,"&lt;&gt;"&amp;$M$19,Input!$F:$F,"&lt;&gt;"&amp;$M$20,Input!$D:$D,'2.CC Trans-BB.RE collateral'!$D$19))/1000000)/R14,0)</f>
        <v>0</v>
      </c>
    </row>
    <row r="15" spans="1:24" x14ac:dyDescent="0.3">
      <c r="A15" s="21" t="s">
        <v>54</v>
      </c>
      <c r="B15" s="3">
        <v>8</v>
      </c>
      <c r="C15" s="18" t="s">
        <v>33</v>
      </c>
      <c r="D15" s="42">
        <f>IFERROR(SUMIFS(Input!$E:$E,Input!$A:$A,'2.CC Trans-BB.RE collateral'!$A15,Input!$D:$D,'2.CC Trans-BB.RE collateral'!$D$19)/1000000,0)</f>
        <v>22.179551</v>
      </c>
      <c r="E15" s="35">
        <f>IFERROR(SUMIFS(Input!$E:$E,Input!$A:$A,'2.CC Trans-BB.RE collateral'!$A15,Input!$C:$C,'2.CC Trans-BB.RE collateral'!E$18,Input!$D:$D,'2.CC Trans-BB.RE collateral'!$D$19)/1000000,0)</f>
        <v>10.931941</v>
      </c>
      <c r="F15" s="35">
        <f>IFERROR(SUMIFS(Input!$E:$E,Input!$A:$A,'2.CC Trans-BB.RE collateral'!$A15,Input!$C:$C,'2.CC Trans-BB.RE collateral'!F$18,Input!$D:$D,'2.CC Trans-BB.RE collateral'!$D$19)/1000000,0)</f>
        <v>3.5176050000000001</v>
      </c>
      <c r="G15" s="35">
        <f>IFERROR(SUMIFS(Input!$E:$E,Input!$A:$A,'2.CC Trans-BB.RE collateral'!$A15,Input!$C:$C,'2.CC Trans-BB.RE collateral'!G$18,Input!$D:$D,'2.CC Trans-BB.RE collateral'!$D$19)/1000000,0)</f>
        <v>2.4192399999999998</v>
      </c>
      <c r="H15" s="35">
        <f>IFERROR(SUMIFS(Input!$E:$E,Input!$A:$A,'2.CC Trans-BB.RE collateral'!$A15,Input!$C:$C,'2.CC Trans-BB.RE collateral'!H$18,Input!$D:$D,'2.CC Trans-BB.RE collateral'!$D$19)/1000000,0)</f>
        <v>0.94138900000000003</v>
      </c>
      <c r="I15" s="35">
        <f>IFERROR(SUMIFS(Input!$E:$E,Input!$A:$A,'2.CC Trans-BB.RE collateral'!$A15,Input!$C:$C,'2.CC Trans-BB.RE collateral'!I$18,Input!$D:$D,'2.CC Trans-BB.RE collateral'!$D$19)/1000000,0)</f>
        <v>0.43797399999999997</v>
      </c>
      <c r="J15" s="35">
        <f>IFERROR(SUMIFS(Input!$E:$E,Input!$A:$A,'2.CC Trans-BB.RE collateral'!$A15,Input!$C:$C,'2.CC Trans-BB.RE collateral'!J$18,Input!$D:$D,'2.CC Trans-BB.RE collateral'!$D$19)/1000000,0)</f>
        <v>0.135323</v>
      </c>
      <c r="K15" s="33">
        <f>IFERROR(SUM(SUMIFS(Input!$E:$E,Input!$A:$A,'2.CC Trans-BB.RE collateral'!$A15,Input!$B:$B,'2.CC Trans-BB.RE collateral'!K$7&amp;"*",Input!$F:$F,{"1-REAL";"SANTANDER";""},Input!$D:$D,'2.CC Trans-BB.RE collateral'!$D$19))/1000000,0)</f>
        <v>3.0636899999999998</v>
      </c>
      <c r="L15" s="33">
        <f>IFERROR(SUM(SUMIFS(Input!$E:$E,Input!$A:$A,'2.CC Trans-BB.RE collateral'!$A15,Input!$B:$B,'2.CC Trans-BB.RE collateral'!L$7&amp;"*",Input!$F:$F,{"1-REAL";"SANTANDER";""},Input!$D:$D,'2.CC Trans-BB.RE collateral'!$D$19))/1000000,0)</f>
        <v>7.0418390000000004</v>
      </c>
      <c r="M15" s="33">
        <f>IFERROR(SUM(SUMIFS(Input!$E:$E,Input!$A:$A,'2.CC Trans-BB.RE collateral'!$A15,Input!$B:$B,'2.CC Trans-BB.RE collateral'!M$7,Input!$F:$F,{"1-REAL";"SANTANDER";""},Input!$D:$D,'2.CC Trans-BB.RE collateral'!$D$19))/1000000,0)</f>
        <v>2.3548830000000001</v>
      </c>
      <c r="N15" s="33">
        <f>IFERROR(SUM(SUMIFS(Input!$E:$E,Input!$A:$A,'2.CC Trans-BB.RE collateral'!$A15,Input!$B:$B,'2.CC Trans-BB.RE collateral'!N$7,Input!$F:$F,{"1-REAL";"SANTANDER";""},Input!$D:$D,'2.CC Trans-BB.RE collateral'!$D$19))/1000000,0)</f>
        <v>2.1034470000000001</v>
      </c>
      <c r="O15" s="33">
        <f>IFERROR(SUM(SUMIFS(Input!$E:$E,Input!$A:$A,'2.CC Trans-BB.RE collateral'!$A15,Input!$B:$B,'2.CC Trans-BB.RE collateral'!O$7,Input!$F:$F,{"1-REAL";"SANTANDER";""},Input!$D:$D,'2.CC Trans-BB.RE collateral'!$D$19))/1000000,0)</f>
        <v>2.3693080000000002</v>
      </c>
      <c r="P15" s="33">
        <f>IFERROR(SUM(SUMIFS(Input!$E:$E,Input!$A:$A,'2.CC Trans-BB.RE collateral'!$A15,Input!$B:$B,'2.CC Trans-BB.RE collateral'!P$7,Input!$F:$F,{"1-REAL";"SANTANDER";""},Input!$D:$D,'2.CC Trans-BB.RE collateral'!$D$19))/1000000,0)</f>
        <v>1.2256819999999999</v>
      </c>
      <c r="Q15" s="33">
        <f>IFERROR(SUM(SUMIFS(Input!$E:$E,Input!$A:$A,'2.CC Trans-BB.RE collateral'!$A15,Input!$B:$B,'2.CC Trans-BB.RE collateral'!Q$7,Input!$F:$F,{"1-REAL";"SANTANDER";""},Input!$D:$D,'2.CC Trans-BB.RE collateral'!$D$19))/1000000,0)</f>
        <v>0</v>
      </c>
      <c r="R15" s="39">
        <f>IFERROR(SUMIFS(Input!$E:$E,Input!$A:$A,'2.CC Trans-BB.RE collateral'!A15,Input!$F:$F,"&lt;&gt;"&amp;K$18,Input!$F:$F,"&lt;&gt;"&amp;K$19,Input!$F:$F,"&lt;&gt;"&amp;"",Input!$D:$D,'2.CC Trans-BB.RE collateral'!$D$19)/1000000,0)</f>
        <v>4.020702</v>
      </c>
      <c r="S15" s="27">
        <f>IFERROR(((SUMIFS(Input!$E:$E,Input!$A:$A,$A15,Input!$F:$F,"&lt;&gt;"&amp;M$18,Input!$F:$F,"&lt;&gt;",Input!$F:$F,"&lt;&gt;"&amp;S$18,Input!$F:$F,"&lt;&gt;"&amp;$M$19,Input!$F:$F,"&lt;&gt;"&amp;$M$20,Input!$D:$D,'2.CC Trans-BB.RE collateral'!$D$19))/1000000)/R15,0)</f>
        <v>0.58363191303409212</v>
      </c>
    </row>
    <row r="16" spans="1:24" s="1" customFormat="1" ht="13.8" x14ac:dyDescent="0.3">
      <c r="A16" s="22" t="s">
        <v>47</v>
      </c>
      <c r="B16" s="3">
        <v>9</v>
      </c>
      <c r="C16" s="18" t="s">
        <v>34</v>
      </c>
      <c r="D16" s="39">
        <f>IFERROR(SUMIFS(Input!$E:$E,Input!$A:$A,'2.CC Trans-BB.RE collateral'!$A16,Input!$D:$D,'2.CC Trans-BB.RE collateral'!$D$19)/1000000,0)</f>
        <v>0</v>
      </c>
      <c r="E16" s="38">
        <f>IFERROR(SUMIFS(Input!$E:$E,Input!$A:$A,'2.CC Trans-BB.RE collateral'!$A16,Input!$C:$C,'2.CC Trans-BB.RE collateral'!E$18,Input!$D:$D,'2.CC Trans-BB.RE collateral'!$D$19)/1000000,0)</f>
        <v>0</v>
      </c>
      <c r="F16" s="38">
        <f>IFERROR(SUMIFS(Input!$E:$E,Input!$A:$A,'2.CC Trans-BB.RE collateral'!$A16,Input!$C:$C,'2.CC Trans-BB.RE collateral'!F$18,Input!$D:$D,'2.CC Trans-BB.RE collateral'!$D$19)/1000000,0)</f>
        <v>0</v>
      </c>
      <c r="G16" s="38">
        <f>IFERROR(SUMIFS(Input!$E:$E,Input!$A:$A,'2.CC Trans-BB.RE collateral'!$A16,Input!$C:$C,'2.CC Trans-BB.RE collateral'!G$18,Input!$D:$D,'2.CC Trans-BB.RE collateral'!$D$19)/1000000,0)</f>
        <v>0</v>
      </c>
      <c r="H16" s="38">
        <f>IFERROR(SUMIFS(Input!$E:$E,Input!$A:$A,'2.CC Trans-BB.RE collateral'!$A16,Input!$C:$C,'2.CC Trans-BB.RE collateral'!H$18,Input!$D:$D,'2.CC Trans-BB.RE collateral'!$D$19)/1000000,0)</f>
        <v>0</v>
      </c>
      <c r="I16" s="38">
        <f>IFERROR(SUMIFS(Input!$E:$E,Input!$A:$A,'2.CC Trans-BB.RE collateral'!$A16,Input!$C:$C,'2.CC Trans-BB.RE collateral'!I$18,Input!$D:$D,'2.CC Trans-BB.RE collateral'!$D$19)/1000000,0)</f>
        <v>0</v>
      </c>
      <c r="J16" s="38">
        <f>IFERROR(SUMIFS(Input!$E:$E,Input!$A:$A,'2.CC Trans-BB.RE collateral'!$A16,Input!$C:$C,'2.CC Trans-BB.RE collateral'!J$18,Input!$D:$D,'2.CC Trans-BB.RE collateral'!$D$19)/1000000,0)</f>
        <v>0</v>
      </c>
      <c r="K16" s="37">
        <f>IFERROR(SUM(SUMIFS(Input!$E:$E,Input!$A:$A,'2.CC Trans-BB.RE collateral'!$A16,Input!$B:$B,'2.CC Trans-BB.RE collateral'!K$7&amp;"*",Input!$F:$F,{"1-REAL";"SANTANDER";""},Input!$D:$D,'2.CC Trans-BB.RE collateral'!$D$19))/1000000,0)</f>
        <v>0</v>
      </c>
      <c r="L16" s="37">
        <f>IFERROR(SUM(SUMIFS(Input!$E:$E,Input!$A:$A,'2.CC Trans-BB.RE collateral'!$A16,Input!$B:$B,'2.CC Trans-BB.RE collateral'!L$7&amp;"*",Input!$F:$F,{"1-REAL";"SANTANDER";""},Input!$D:$D,'2.CC Trans-BB.RE collateral'!$D$19))/1000000,0)</f>
        <v>0</v>
      </c>
      <c r="M16" s="37">
        <f>IFERROR(SUM(SUMIFS(Input!$E:$E,Input!$A:$A,'2.CC Trans-BB.RE collateral'!$A16,Input!$B:$B,'2.CC Trans-BB.RE collateral'!M$7,Input!$F:$F,{"1-REAL";"SANTANDER";""},Input!$D:$D,'2.CC Trans-BB.RE collateral'!$D$19))/1000000,0)</f>
        <v>0</v>
      </c>
      <c r="N16" s="37">
        <f>IFERROR(SUM(SUMIFS(Input!$E:$E,Input!$A:$A,'2.CC Trans-BB.RE collateral'!$A16,Input!$B:$B,'2.CC Trans-BB.RE collateral'!N$7,Input!$F:$F,{"1-REAL";"SANTANDER";""},Input!$D:$D,'2.CC Trans-BB.RE collateral'!$D$19))/1000000,0)</f>
        <v>0</v>
      </c>
      <c r="O16" s="37">
        <f>IFERROR(SUM(SUMIFS(Input!$E:$E,Input!$A:$A,'2.CC Trans-BB.RE collateral'!$A16,Input!$B:$B,'2.CC Trans-BB.RE collateral'!O$7,Input!$F:$F,{"1-REAL";"SANTANDER";""},Input!$D:$D,'2.CC Trans-BB.RE collateral'!$D$19))/1000000,0)</f>
        <v>0</v>
      </c>
      <c r="P16" s="37">
        <f>IFERROR(SUM(SUMIFS(Input!$E:$E,Input!$A:$A,'2.CC Trans-BB.RE collateral'!$A16,Input!$B:$B,'2.CC Trans-BB.RE collateral'!P$7,Input!$F:$F,{"1-REAL";"SANTANDER";""},Input!$D:$D,'2.CC Trans-BB.RE collateral'!$D$19))/1000000,0)</f>
        <v>0</v>
      </c>
      <c r="Q16" s="37">
        <f>IFERROR(SUM(SUMIFS(Input!$E:$E,Input!$A:$A,'2.CC Trans-BB.RE collateral'!$A16,Input!$B:$B,'2.CC Trans-BB.RE collateral'!Q$7,Input!$F:$F,{"1-REAL";"SANTANDER";""},Input!$D:$D,'2.CC Trans-BB.RE collateral'!$D$19))/1000000,0)</f>
        <v>0</v>
      </c>
      <c r="R16" s="39">
        <f>IFERROR(SUMIFS(Input!$E:$E,Input!$A:$A,'2.CC Trans-BB.RE collateral'!A16,Input!$F:$F,"&lt;&gt;"&amp;K$18,Input!$F:$F,"&lt;&gt;"&amp;K$19,Input!$F:$F,"&lt;&gt;"&amp;"",Input!$D:$D,'2.CC Trans-BB.RE collateral'!$D$19)/1000000,0)</f>
        <v>0</v>
      </c>
      <c r="S16" s="27">
        <f>IFERROR(((SUMIFS(Input!$E:$E,Input!$A:$A,$A16,Input!$F:$F,"&lt;&gt;"&amp;M$18,Input!$F:$F,"&lt;&gt;",Input!$F:$F,"&lt;&gt;"&amp;S$18,Input!$F:$F,"&lt;&gt;"&amp;$M$19,Input!$F:$F,"&lt;&gt;"&amp;$M$20,Input!$D:$D,'2.CC Trans-BB.RE collateral'!$D$19))/1000000)/R16,0)</f>
        <v>0</v>
      </c>
      <c r="T16" s="9"/>
    </row>
    <row r="17" spans="1:20" s="1" customFormat="1" ht="13.8" x14ac:dyDescent="0.3">
      <c r="A17" s="22" t="s">
        <v>63</v>
      </c>
      <c r="B17" s="3">
        <v>10</v>
      </c>
      <c r="C17" s="19" t="s">
        <v>40</v>
      </c>
      <c r="D17" s="39">
        <f>IFERROR(SUM(SUMIFS(Input!E:E,Input!A:A,{"Garantia Comercial";"Garantia Residencial";"Stock"},Input!C:C,"&lt;&gt;"&amp;'2.CC Trans-BB.RE collateral'!$A17,Input!$D:$D,'2.CC Trans-BB.RE collateral'!$D$19))/1000000,0)</f>
        <v>18.383472000000001</v>
      </c>
      <c r="E17" s="40">
        <f>IFERROR(SUM(SUMIFS(Input!$E:$E,Input!$A:$A,{"Garantia Comercial";"Garantia Residencial";"Stock"},Input!$C:$C,"&lt;&gt;"&amp;$A$12,Input!$C:$C,E$18,Input!$D:$D,'2.CC Trans-BB.RE collateral'!$D$19))/1000000,0)</f>
        <v>10.931941</v>
      </c>
      <c r="F17" s="40">
        <f>IFERROR(SUM(SUMIFS(Input!$E:$E,Input!$A:$A,{"Garantia Comercial";"Garantia Residencial";"Stock"},Input!$C:$C,"&lt;&gt;"&amp;$A$12,Input!$C:$C,F$18,Input!$D:$D,'2.CC Trans-BB.RE collateral'!$D$19))/1000000,0)</f>
        <v>3.5176050000000001</v>
      </c>
      <c r="G17" s="40">
        <f>IFERROR(SUM(SUMIFS(Input!$E:$E,Input!$A:$A,{"Garantia Comercial";"Garantia Residencial";"Stock"},Input!$C:$C,"&lt;&gt;"&amp;$A$12,Input!$C:$C,G$18,Input!$D:$D,'2.CC Trans-BB.RE collateral'!$D$19))/1000000,0)</f>
        <v>2.4192399999999998</v>
      </c>
      <c r="H17" s="40">
        <f>IFERROR(SUM(SUMIFS(Input!$E:$E,Input!$A:$A,{"Garantia Comercial";"Garantia Residencial";"Stock"},Input!$C:$C,"&lt;&gt;"&amp;$A$12,Input!$C:$C,H$18,Input!$D:$D,'2.CC Trans-BB.RE collateral'!$D$19))/1000000,0)</f>
        <v>0.94138900000000003</v>
      </c>
      <c r="I17" s="40">
        <f>IFERROR(SUM(SUMIFS(Input!$E:$E,Input!$A:$A,{"Garantia Comercial";"Garantia Residencial";"Stock"},Input!$C:$C,"&lt;&gt;"&amp;$A$12,Input!$C:$C,I$18,Input!$D:$D,'2.CC Trans-BB.RE collateral'!$D$19))/1000000,0)</f>
        <v>0.43797399999999997</v>
      </c>
      <c r="J17" s="40">
        <f>IFERROR(SUM(SUMIFS(Input!$E:$E,Input!$A:$A,{"Garantia Comercial";"Garantia Residencial";"Stock"},Input!$C:$C,"&lt;&gt;"&amp;$A$12,Input!$C:$C,J$18,Input!$D:$D,'2.CC Trans-BB.RE collateral'!$D$19))/1000000,0)</f>
        <v>0.135323</v>
      </c>
      <c r="K17" s="16"/>
      <c r="L17" s="16"/>
      <c r="M17" s="16"/>
      <c r="N17" s="16"/>
      <c r="O17" s="16"/>
      <c r="P17" s="16"/>
      <c r="Q17" s="16"/>
      <c r="R17" s="39">
        <f>IFERROR(SUM(SUMIFS(Input!$E:$E,Input!$A:$A,{"Garantia Comercial";"Garantia Residencial";"Stock"},Input!$F:$F,"&lt;&gt;"&amp;M$18,Input!$F:$F,"&lt;&gt;",Input!$F:$F,"&lt;&gt;"&amp;$M$19,Input!$C:$C,"&lt;&gt;"&amp;$A$12,Input!$D:$D,'2.CC Trans-BB.RE collateral'!$D$19))/1000000,0)</f>
        <v>2.3466100000000001</v>
      </c>
      <c r="S17" s="27">
        <f>(SUM(SUMIFS(Input!$E:$E,Input!$A:$A,{"Garantia Comercial";"Garantia Residencial";"Stock"},Input!$F:$F,"&lt;&gt;"&amp;M$18,Input!$F:$F,"&lt;&gt;",Input!$F:$F,"&lt;&gt;"&amp;S$18,Input!$F:$F,"&lt;&gt;"&amp;$M$19,Input!$F:$F,"&lt;&gt;"&amp;$M$20,Input!$D:$D,'2.CC Trans-BB.RE collateral'!$D$19))/1000000)/R17</f>
        <v>1</v>
      </c>
      <c r="T17" s="9"/>
    </row>
    <row r="18" spans="1:20" x14ac:dyDescent="0.3">
      <c r="D18" s="24" t="s">
        <v>49</v>
      </c>
      <c r="E18" s="24" t="s">
        <v>52</v>
      </c>
      <c r="F18" s="24" t="s">
        <v>48</v>
      </c>
      <c r="G18" s="24" t="s">
        <v>58</v>
      </c>
      <c r="H18" s="24" t="s">
        <v>53</v>
      </c>
      <c r="I18" s="24" t="s">
        <v>55</v>
      </c>
      <c r="J18" s="24" t="s">
        <v>66</v>
      </c>
      <c r="K18" s="25" t="s">
        <v>51</v>
      </c>
      <c r="L18" s="25" t="s">
        <v>51</v>
      </c>
      <c r="M18" s="25" t="s">
        <v>51</v>
      </c>
      <c r="N18" s="25" t="s">
        <v>51</v>
      </c>
      <c r="O18" s="25" t="s">
        <v>51</v>
      </c>
      <c r="P18" s="25" t="s">
        <v>51</v>
      </c>
      <c r="Q18" s="25" t="s">
        <v>51</v>
      </c>
      <c r="R18" s="24" t="s">
        <v>63</v>
      </c>
      <c r="S18" s="25" t="s">
        <v>64</v>
      </c>
    </row>
    <row r="19" spans="1:20" x14ac:dyDescent="0.3">
      <c r="D19" s="24" t="s">
        <v>69</v>
      </c>
      <c r="K19" s="24" t="s">
        <v>60</v>
      </c>
      <c r="L19" s="24" t="s">
        <v>60</v>
      </c>
      <c r="M19" s="24" t="s">
        <v>60</v>
      </c>
      <c r="N19" s="24" t="s">
        <v>60</v>
      </c>
      <c r="O19" s="24" t="s">
        <v>60</v>
      </c>
      <c r="P19" s="24" t="s">
        <v>60</v>
      </c>
      <c r="Q19" s="24" t="s">
        <v>60</v>
      </c>
    </row>
    <row r="20" spans="1:20" x14ac:dyDescent="0.3">
      <c r="K20" s="24" t="s">
        <v>65</v>
      </c>
      <c r="L20" s="24" t="s">
        <v>65</v>
      </c>
      <c r="M20" s="24" t="s">
        <v>65</v>
      </c>
      <c r="N20" s="24" t="s">
        <v>65</v>
      </c>
      <c r="O20" s="24" t="s">
        <v>65</v>
      </c>
      <c r="P20" s="24" t="s">
        <v>65</v>
      </c>
      <c r="Q20" s="24" t="s">
        <v>65</v>
      </c>
      <c r="R20" s="24"/>
    </row>
  </sheetData>
  <mergeCells count="4">
    <mergeCell ref="E6:J6"/>
    <mergeCell ref="K6:Q6"/>
    <mergeCell ref="D5:S5"/>
    <mergeCell ref="R6:S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AA08FF-BA12-4D0A-8953-9C151DD9864F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572bdb13-c576-4166-8827-65186753b8b5"/>
  </ds:schemaRefs>
</ds:datastoreItem>
</file>

<file path=customXml/itemProps2.xml><?xml version="1.0" encoding="utf-8"?>
<ds:datastoreItem xmlns:ds="http://schemas.openxmlformats.org/officeDocument/2006/customXml" ds:itemID="{A9D9D941-653F-4C84-BDC6-D17161F5D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775A2-8578-4A71-86F9-987810456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2.CC Trans-BB.RE collateral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Erbilgic</dc:creator>
  <cp:lastModifiedBy>João Ricardo Galhardo Almeida Costa</cp:lastModifiedBy>
  <dcterms:created xsi:type="dcterms:W3CDTF">2021-09-06T12:20:44Z</dcterms:created>
  <dcterms:modified xsi:type="dcterms:W3CDTF">2025-05-13T09:20:43Z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7eb9de-735b-4a68-8fe4-c9c62709b012_Enabled">
    <vt:lpwstr>true</vt:lpwstr>
  </property>
  <property fmtid="{D5CDD505-2E9C-101B-9397-08002B2CF9AE}" pid="3" name="MSIP_Label_5c7eb9de-735b-4a68-8fe4-c9c62709b012_SetDate">
    <vt:lpwstr>2022-01-21T17:39:01Z</vt:lpwstr>
  </property>
  <property fmtid="{D5CDD505-2E9C-101B-9397-08002B2CF9AE}" pid="4" name="MSIP_Label_5c7eb9de-735b-4a68-8fe4-c9c62709b012_Method">
    <vt:lpwstr>Standard</vt:lpwstr>
  </property>
  <property fmtid="{D5CDD505-2E9C-101B-9397-08002B2CF9AE}" pid="5" name="MSIP_Label_5c7eb9de-735b-4a68-8fe4-c9c62709b012_Name">
    <vt:lpwstr>EBA Regular Use</vt:lpwstr>
  </property>
  <property fmtid="{D5CDD505-2E9C-101B-9397-08002B2CF9AE}" pid="6" name="MSIP_Label_5c7eb9de-735b-4a68-8fe4-c9c62709b012_SiteId">
    <vt:lpwstr>3bacb4ff-f1a2-4c92-b96c-e99fec826b68</vt:lpwstr>
  </property>
  <property fmtid="{D5CDD505-2E9C-101B-9397-08002B2CF9AE}" pid="7" name="MSIP_Label_5c7eb9de-735b-4a68-8fe4-c9c62709b012_ActionId">
    <vt:lpwstr>fa8f39f0-0683-49bc-a5fb-f7e8065c8bb0</vt:lpwstr>
  </property>
  <property fmtid="{D5CDD505-2E9C-101B-9397-08002B2CF9AE}" pid="8" name="MSIP_Label_5c7eb9de-735b-4a68-8fe4-c9c62709b012_ContentBits">
    <vt:lpwstr>1</vt:lpwstr>
  </property>
  <property fmtid="{D5CDD505-2E9C-101B-9397-08002B2CF9AE}" pid="9" name="MSIP_Label_0c2abd79-57a9-4473-8700-c843f76a1e37_Enabled">
    <vt:lpwstr>true</vt:lpwstr>
  </property>
  <property fmtid="{D5CDD505-2E9C-101B-9397-08002B2CF9AE}" pid="10" name="MSIP_Label_0c2abd79-57a9-4473-8700-c843f76a1e37_SetDate">
    <vt:lpwstr>2024-08-30T17:58:50Z</vt:lpwstr>
  </property>
  <property fmtid="{D5CDD505-2E9C-101B-9397-08002B2CF9AE}" pid="11" name="MSIP_Label_0c2abd79-57a9-4473-8700-c843f76a1e37_Method">
    <vt:lpwstr>Privileged</vt:lpwstr>
  </property>
  <property fmtid="{D5CDD505-2E9C-101B-9397-08002B2CF9AE}" pid="12" name="MSIP_Label_0c2abd79-57a9-4473-8700-c843f76a1e37_Name">
    <vt:lpwstr>Internal</vt:lpwstr>
  </property>
  <property fmtid="{D5CDD505-2E9C-101B-9397-08002B2CF9AE}" pid="13" name="MSIP_Label_0c2abd79-57a9-4473-8700-c843f76a1e37_SiteId">
    <vt:lpwstr>35595a02-4d6d-44ac-99e1-f9ab4cd872db</vt:lpwstr>
  </property>
  <property fmtid="{D5CDD505-2E9C-101B-9397-08002B2CF9AE}" pid="14" name="MSIP_Label_0c2abd79-57a9-4473-8700-c843f76a1e37_ActionId">
    <vt:lpwstr>64835263-9657-4bbb-a53e-5d22ef78f475</vt:lpwstr>
  </property>
  <property fmtid="{D5CDD505-2E9C-101B-9397-08002B2CF9AE}" pid="15" name="MSIP_Label_0c2abd79-57a9-4473-8700-c843f76a1e37_ContentBits">
    <vt:lpwstr>0</vt:lpwstr>
  </property>
  <property fmtid="{D5CDD505-2E9C-101B-9397-08002B2CF9AE}" pid="16" name="ContentTypeId">
    <vt:lpwstr>0x010100FCB2EC0B2B90E8438FD7BC14926F993E</vt:lpwstr>
  </property>
</Properties>
</file>