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omparativos granulares" sheetId="19" r:id="rId1"/>
    <sheet name="Aux" sheetId="17" r:id="rId2"/>
    <sheet name="Overview Gráfica" sheetId="16" r:id="rId3"/>
    <sheet name="Variação Absoluta" sheetId="1" r:id="rId4"/>
    <sheet name="Variação Percentual (pp)" sheetId="15" r:id="rId5"/>
    <sheet name="Input &gt;&gt;" sheetId="18" r:id="rId6"/>
    <sheet name="Paralelo" sheetId="13" r:id="rId7"/>
    <sheet name="Dez24" sheetId="14" r:id="rId8"/>
  </sheets>
  <externalReferences>
    <externalReference r:id="rId9"/>
  </externalReferences>
  <definedNames>
    <definedName name="_xlnm._FilterDatabase" localSheetId="1" hidden="1">Aux!$I$9:$O$490</definedName>
    <definedName name="_xlnm._FilterDatabase" localSheetId="0" hidden="1">'Comparativos granulares'!$B$8:$E$98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12" i="15" l="1"/>
  <c r="BW13" i="15"/>
  <c r="BW14" i="15"/>
  <c r="BW15" i="15"/>
  <c r="BW16" i="15"/>
  <c r="BW17" i="15"/>
  <c r="BW18" i="15"/>
  <c r="BW19" i="15"/>
  <c r="BU12" i="15"/>
  <c r="BU13" i="15"/>
  <c r="BU14" i="15"/>
  <c r="BU15" i="15"/>
  <c r="BU16" i="15"/>
  <c r="BU17" i="15"/>
  <c r="BU18" i="15"/>
  <c r="BU19" i="15"/>
  <c r="BR12" i="15"/>
  <c r="BR13" i="15"/>
  <c r="BR14" i="15"/>
  <c r="BR15" i="15"/>
  <c r="BR16" i="15"/>
  <c r="BR17" i="15"/>
  <c r="BR18" i="15"/>
  <c r="BR19" i="15"/>
  <c r="BP12" i="15"/>
  <c r="BP13" i="15"/>
  <c r="BP14" i="15"/>
  <c r="BP15" i="15"/>
  <c r="BP16" i="15"/>
  <c r="BP17" i="15"/>
  <c r="BP18" i="15"/>
  <c r="BP19" i="15"/>
  <c r="BM19" i="15"/>
  <c r="BM18" i="15"/>
  <c r="BM17" i="15"/>
  <c r="BM16" i="15"/>
  <c r="BM15" i="15"/>
  <c r="BM14" i="15"/>
  <c r="BM13" i="15"/>
  <c r="BM12" i="15"/>
  <c r="BK12" i="15"/>
  <c r="BK13" i="15"/>
  <c r="BK14" i="15"/>
  <c r="BK15" i="15"/>
  <c r="BK16" i="15"/>
  <c r="BK17" i="15"/>
  <c r="BK18" i="15"/>
  <c r="BK19" i="15"/>
  <c r="BH12" i="15"/>
  <c r="BH13" i="15"/>
  <c r="BH14" i="15"/>
  <c r="BH15" i="15"/>
  <c r="BH16" i="15"/>
  <c r="BH17" i="15"/>
  <c r="BH18" i="15"/>
  <c r="BH19" i="15"/>
  <c r="BF12" i="15"/>
  <c r="BF13" i="15"/>
  <c r="BF14" i="15"/>
  <c r="BF15" i="15"/>
  <c r="BF16" i="15"/>
  <c r="BF17" i="15"/>
  <c r="BF18" i="15"/>
  <c r="BF19" i="15"/>
  <c r="BC12" i="15"/>
  <c r="BC13" i="15"/>
  <c r="BC14" i="15"/>
  <c r="BC15" i="15"/>
  <c r="BC16" i="15"/>
  <c r="BC17" i="15"/>
  <c r="BC18" i="15"/>
  <c r="BC19" i="15"/>
  <c r="BA12" i="15"/>
  <c r="BA13" i="15"/>
  <c r="BA14" i="15"/>
  <c r="BA15" i="15"/>
  <c r="BA16" i="15"/>
  <c r="BA17" i="15"/>
  <c r="BA18" i="15"/>
  <c r="BA19" i="15"/>
  <c r="AZ12" i="15"/>
  <c r="AZ13" i="15"/>
  <c r="AZ14" i="15"/>
  <c r="AX12" i="15"/>
  <c r="AX13" i="15"/>
  <c r="AX14" i="15"/>
  <c r="AX15" i="15"/>
  <c r="AX16" i="15"/>
  <c r="AX17" i="15"/>
  <c r="AX18" i="15"/>
  <c r="AX19" i="15"/>
  <c r="AV12" i="15"/>
  <c r="AV13" i="15"/>
  <c r="AV14" i="15"/>
  <c r="AV15" i="15"/>
  <c r="AV16" i="15"/>
  <c r="AV17" i="15"/>
  <c r="AV18" i="15"/>
  <c r="AV19" i="15"/>
  <c r="AS12" i="15"/>
  <c r="AS13" i="15"/>
  <c r="AS14" i="15"/>
  <c r="AS15" i="15"/>
  <c r="AS16" i="15"/>
  <c r="AS17" i="15"/>
  <c r="AS18" i="15"/>
  <c r="AS19" i="15"/>
  <c r="AQ12" i="15"/>
  <c r="AQ13" i="15"/>
  <c r="AQ14" i="15"/>
  <c r="AQ15" i="15"/>
  <c r="AQ16" i="15"/>
  <c r="AQ17" i="15"/>
  <c r="AQ18" i="15"/>
  <c r="AQ19" i="15"/>
  <c r="AN12" i="15"/>
  <c r="AN13" i="15"/>
  <c r="AN14" i="15"/>
  <c r="AN15" i="15"/>
  <c r="AN16" i="15"/>
  <c r="AN17" i="15"/>
  <c r="AN18" i="15"/>
  <c r="AN19" i="15"/>
  <c r="AL12" i="15"/>
  <c r="AL13" i="15"/>
  <c r="AL14" i="15"/>
  <c r="AL15" i="15"/>
  <c r="AL16" i="15"/>
  <c r="AL17" i="15"/>
  <c r="AL18" i="15"/>
  <c r="AL19" i="15"/>
  <c r="AI12" i="15"/>
  <c r="AI13" i="15"/>
  <c r="AI14" i="15"/>
  <c r="AI15" i="15"/>
  <c r="AI16" i="15"/>
  <c r="AI17" i="15"/>
  <c r="AI18" i="15"/>
  <c r="AI19" i="15"/>
  <c r="AG12" i="15"/>
  <c r="AG13" i="15"/>
  <c r="AG14" i="15"/>
  <c r="AG15" i="15"/>
  <c r="AG16" i="15"/>
  <c r="AG17" i="15"/>
  <c r="AG18" i="15"/>
  <c r="AG19" i="15"/>
  <c r="AD12" i="15"/>
  <c r="AD13" i="15"/>
  <c r="AD14" i="15"/>
  <c r="AD15" i="15"/>
  <c r="AD16" i="15"/>
  <c r="AD17" i="15"/>
  <c r="AD18" i="15"/>
  <c r="AD19" i="15"/>
  <c r="AB12" i="15"/>
  <c r="AB13" i="15"/>
  <c r="AB14" i="15"/>
  <c r="AB15" i="15"/>
  <c r="AB16" i="15"/>
  <c r="AB17" i="15"/>
  <c r="AB18" i="15"/>
  <c r="AB19" i="15"/>
  <c r="Y12" i="15"/>
  <c r="Y13" i="15"/>
  <c r="Y14" i="15"/>
  <c r="Y15" i="15"/>
  <c r="Y16" i="15"/>
  <c r="Y17" i="15"/>
  <c r="Y18" i="15"/>
  <c r="Y19" i="15"/>
  <c r="W12" i="15"/>
  <c r="W13" i="15"/>
  <c r="W14" i="15"/>
  <c r="W15" i="15"/>
  <c r="W16" i="15"/>
  <c r="W17" i="15"/>
  <c r="W18" i="15"/>
  <c r="W19" i="15"/>
  <c r="T12" i="15"/>
  <c r="T13" i="15"/>
  <c r="T14" i="15"/>
  <c r="T15" i="15"/>
  <c r="T16" i="15"/>
  <c r="T17" i="15"/>
  <c r="T18" i="15"/>
  <c r="T19" i="15"/>
  <c r="R12" i="15"/>
  <c r="R13" i="15"/>
  <c r="R14" i="15"/>
  <c r="R15" i="15"/>
  <c r="R16" i="15"/>
  <c r="R17" i="15"/>
  <c r="R18" i="15"/>
  <c r="R19" i="15"/>
  <c r="O12" i="15"/>
  <c r="O13" i="15"/>
  <c r="O14" i="15"/>
  <c r="O15" i="15"/>
  <c r="O16" i="15"/>
  <c r="O17" i="15"/>
  <c r="O18" i="15"/>
  <c r="O19" i="15"/>
  <c r="M12" i="15"/>
  <c r="M13" i="15"/>
  <c r="M14" i="15"/>
  <c r="M15" i="15"/>
  <c r="M16" i="15"/>
  <c r="M17" i="15"/>
  <c r="M18" i="15"/>
  <c r="M19" i="15"/>
  <c r="J12" i="15"/>
  <c r="J13" i="15"/>
  <c r="J14" i="15"/>
  <c r="J15" i="15"/>
  <c r="J16" i="15"/>
  <c r="J17" i="15"/>
  <c r="J18" i="15"/>
  <c r="J19" i="15"/>
  <c r="H12" i="15"/>
  <c r="H13" i="15"/>
  <c r="H14" i="15"/>
  <c r="H15" i="15"/>
  <c r="H16" i="15"/>
  <c r="H17" i="15"/>
  <c r="H18" i="15"/>
  <c r="H19" i="15"/>
  <c r="E12" i="15"/>
  <c r="E13" i="15"/>
  <c r="E14" i="15"/>
  <c r="E15" i="15"/>
  <c r="E16" i="15"/>
  <c r="E17" i="15"/>
  <c r="E18" i="15"/>
  <c r="E19" i="15"/>
  <c r="C12" i="15"/>
  <c r="C13" i="15"/>
  <c r="C14" i="15"/>
  <c r="C15" i="15"/>
  <c r="C16" i="15"/>
  <c r="C17" i="15"/>
  <c r="C18" i="15"/>
  <c r="C19" i="15"/>
  <c r="D12" i="1"/>
  <c r="E12" i="1" s="1"/>
  <c r="F12" i="1"/>
  <c r="G12" i="1"/>
  <c r="H12" i="1"/>
  <c r="I12" i="1"/>
  <c r="J12" i="1"/>
  <c r="K12" i="1"/>
  <c r="L12" i="1"/>
  <c r="M12" i="1"/>
  <c r="N12" i="1" s="1"/>
  <c r="O12" i="1"/>
  <c r="P12" i="1"/>
  <c r="Q12" i="1" s="1"/>
  <c r="R12" i="1"/>
  <c r="S12" i="1"/>
  <c r="T12" i="1" s="1"/>
  <c r="U12" i="1"/>
  <c r="V12" i="1"/>
  <c r="W12" i="1" s="1"/>
  <c r="X12" i="1"/>
  <c r="Y12" i="1"/>
  <c r="Z12" i="1" s="1"/>
  <c r="AA12" i="1"/>
  <c r="AB12" i="1"/>
  <c r="AC12" i="1" s="1"/>
  <c r="AD12" i="1"/>
  <c r="AE12" i="1"/>
  <c r="AF12" i="1"/>
  <c r="AG12" i="1"/>
  <c r="AH12" i="1"/>
  <c r="AI12" i="1"/>
  <c r="AJ12" i="1"/>
  <c r="AK12" i="1"/>
  <c r="AL12" i="1" s="1"/>
  <c r="AM12" i="1"/>
  <c r="AN12" i="1"/>
  <c r="AO12" i="1" s="1"/>
  <c r="AP12" i="1"/>
  <c r="AQ12" i="1"/>
  <c r="AR12" i="1" s="1"/>
  <c r="AS12" i="1"/>
  <c r="AU12" i="1" s="1"/>
  <c r="AT12" i="1"/>
  <c r="D13" i="1"/>
  <c r="E13" i="1" s="1"/>
  <c r="F13" i="1"/>
  <c r="G13" i="1"/>
  <c r="H13" i="1" s="1"/>
  <c r="I13" i="1"/>
  <c r="K13" i="1" s="1"/>
  <c r="J13" i="1"/>
  <c r="L13" i="1"/>
  <c r="M13" i="1"/>
  <c r="N13" i="1" s="1"/>
  <c r="O13" i="1"/>
  <c r="P13" i="1"/>
  <c r="Q13" i="1" s="1"/>
  <c r="R13" i="1"/>
  <c r="S13" i="1"/>
  <c r="T13" i="1"/>
  <c r="U13" i="1"/>
  <c r="V13" i="1"/>
  <c r="W13" i="1"/>
  <c r="X13" i="1"/>
  <c r="Y13" i="1"/>
  <c r="Z13" i="1" s="1"/>
  <c r="AA13" i="1"/>
  <c r="AB13" i="1"/>
  <c r="AC13" i="1" s="1"/>
  <c r="AD13" i="1"/>
  <c r="AE13" i="1"/>
  <c r="AF13" i="1" s="1"/>
  <c r="AG13" i="1"/>
  <c r="AI13" i="1" s="1"/>
  <c r="AH13" i="1"/>
  <c r="AJ13" i="1"/>
  <c r="AK13" i="1"/>
  <c r="AL13" i="1" s="1"/>
  <c r="AM13" i="1"/>
  <c r="AN13" i="1"/>
  <c r="AO13" i="1" s="1"/>
  <c r="AP13" i="1"/>
  <c r="AQ13" i="1"/>
  <c r="AR13" i="1"/>
  <c r="AS13" i="1"/>
  <c r="AT13" i="1"/>
  <c r="AU13" i="1"/>
  <c r="D14" i="1"/>
  <c r="E14" i="1" s="1"/>
  <c r="F14" i="1"/>
  <c r="G14" i="1"/>
  <c r="H14" i="1"/>
  <c r="I14" i="1"/>
  <c r="J14" i="1"/>
  <c r="K14" i="1"/>
  <c r="L14" i="1"/>
  <c r="M14" i="1"/>
  <c r="N14" i="1" s="1"/>
  <c r="O14" i="1"/>
  <c r="P14" i="1"/>
  <c r="Q14" i="1" s="1"/>
  <c r="R14" i="1"/>
  <c r="S14" i="1"/>
  <c r="T14" i="1" s="1"/>
  <c r="U14" i="1"/>
  <c r="W14" i="1" s="1"/>
  <c r="V14" i="1"/>
  <c r="AS14" i="1"/>
  <c r="AU14" i="1" s="1"/>
  <c r="AT14" i="1"/>
  <c r="D15" i="1"/>
  <c r="E15" i="1" s="1"/>
  <c r="F15" i="1"/>
  <c r="G15" i="1"/>
  <c r="H15" i="1" s="1"/>
  <c r="I15" i="1"/>
  <c r="K15" i="1" s="1"/>
  <c r="J15" i="1"/>
  <c r="L15" i="1"/>
  <c r="M15" i="1"/>
  <c r="N15" i="1" s="1"/>
  <c r="O15" i="1"/>
  <c r="P15" i="1"/>
  <c r="Q15" i="1" s="1"/>
  <c r="R15" i="1"/>
  <c r="S15" i="1"/>
  <c r="T15" i="1"/>
  <c r="U15" i="1"/>
  <c r="V15" i="1"/>
  <c r="W15" i="1"/>
  <c r="X15" i="1"/>
  <c r="Y15" i="1"/>
  <c r="Z15" i="1" s="1"/>
  <c r="AA15" i="1"/>
  <c r="AB15" i="1"/>
  <c r="AC15" i="1" s="1"/>
  <c r="AD15" i="1"/>
  <c r="AE15" i="1"/>
  <c r="AF15" i="1" s="1"/>
  <c r="AG15" i="1"/>
  <c r="AI15" i="1" s="1"/>
  <c r="AH15" i="1"/>
  <c r="AJ15" i="1"/>
  <c r="AK15" i="1"/>
  <c r="AL15" i="1" s="1"/>
  <c r="AM15" i="1"/>
  <c r="AN15" i="1"/>
  <c r="AO15" i="1" s="1"/>
  <c r="AP15" i="1"/>
  <c r="AQ15" i="1"/>
  <c r="AR15" i="1"/>
  <c r="AS15" i="1"/>
  <c r="AT15" i="1"/>
  <c r="AU15" i="1"/>
  <c r="D16" i="1"/>
  <c r="E16" i="1" s="1"/>
  <c r="F16" i="1"/>
  <c r="G16" i="1"/>
  <c r="H16" i="1"/>
  <c r="I16" i="1"/>
  <c r="J16" i="1"/>
  <c r="K16" i="1"/>
  <c r="L16" i="1"/>
  <c r="M16" i="1"/>
  <c r="N16" i="1" s="1"/>
  <c r="O16" i="1"/>
  <c r="P16" i="1"/>
  <c r="Q16" i="1" s="1"/>
  <c r="R16" i="1"/>
  <c r="S16" i="1"/>
  <c r="T16" i="1" s="1"/>
  <c r="U16" i="1"/>
  <c r="W16" i="1" s="1"/>
  <c r="V16" i="1"/>
  <c r="X16" i="1"/>
  <c r="Y16" i="1"/>
  <c r="Z16" i="1" s="1"/>
  <c r="AA16" i="1"/>
  <c r="AB16" i="1"/>
  <c r="AC16" i="1" s="1"/>
  <c r="AD16" i="1"/>
  <c r="AE16" i="1"/>
  <c r="AF16" i="1"/>
  <c r="AG16" i="1"/>
  <c r="AH16" i="1"/>
  <c r="AI16" i="1"/>
  <c r="AJ16" i="1"/>
  <c r="AK16" i="1"/>
  <c r="AL16" i="1" s="1"/>
  <c r="AM16" i="1"/>
  <c r="AN16" i="1"/>
  <c r="AO16" i="1" s="1"/>
  <c r="AP16" i="1"/>
  <c r="AQ16" i="1"/>
  <c r="AR16" i="1" s="1"/>
  <c r="AS16" i="1"/>
  <c r="AU16" i="1" s="1"/>
  <c r="AT16" i="1"/>
  <c r="D17" i="1"/>
  <c r="E17" i="1" s="1"/>
  <c r="F17" i="1"/>
  <c r="G17" i="1"/>
  <c r="H17" i="1" s="1"/>
  <c r="I17" i="1"/>
  <c r="K17" i="1" s="1"/>
  <c r="J17" i="1"/>
  <c r="L17" i="1"/>
  <c r="M17" i="1"/>
  <c r="N17" i="1" s="1"/>
  <c r="O17" i="1"/>
  <c r="P17" i="1"/>
  <c r="Q17" i="1" s="1"/>
  <c r="R17" i="1"/>
  <c r="S17" i="1"/>
  <c r="T17" i="1"/>
  <c r="U17" i="1"/>
  <c r="V17" i="1"/>
  <c r="W17" i="1"/>
  <c r="X17" i="1"/>
  <c r="Y17" i="1"/>
  <c r="Z17" i="1" s="1"/>
  <c r="AA17" i="1"/>
  <c r="AB17" i="1"/>
  <c r="AC17" i="1" s="1"/>
  <c r="AD17" i="1"/>
  <c r="AE17" i="1"/>
  <c r="AF17" i="1" s="1"/>
  <c r="AG17" i="1"/>
  <c r="AI17" i="1" s="1"/>
  <c r="AH17" i="1"/>
  <c r="AJ17" i="1"/>
  <c r="AL17" i="1" s="1"/>
  <c r="AK17" i="1"/>
  <c r="AM17" i="1"/>
  <c r="AN17" i="1"/>
  <c r="AO17" i="1" s="1"/>
  <c r="AP17" i="1"/>
  <c r="AQ17" i="1"/>
  <c r="AR17" i="1"/>
  <c r="AS17" i="1"/>
  <c r="AT17" i="1"/>
  <c r="AU17" i="1"/>
  <c r="D18" i="1"/>
  <c r="E18" i="1" s="1"/>
  <c r="F18" i="1"/>
  <c r="G18" i="1"/>
  <c r="H18" i="1"/>
  <c r="I18" i="1"/>
  <c r="J18" i="1"/>
  <c r="K18" i="1"/>
  <c r="L18" i="1"/>
  <c r="M18" i="1"/>
  <c r="N18" i="1" s="1"/>
  <c r="O18" i="1"/>
  <c r="P18" i="1"/>
  <c r="Q18" i="1" s="1"/>
  <c r="R18" i="1"/>
  <c r="S18" i="1"/>
  <c r="T18" i="1" s="1"/>
  <c r="U18" i="1"/>
  <c r="W18" i="1" s="1"/>
  <c r="V18" i="1"/>
  <c r="X18" i="1"/>
  <c r="Z18" i="1" s="1"/>
  <c r="Y18" i="1"/>
  <c r="AA18" i="1"/>
  <c r="AB18" i="1"/>
  <c r="AC18" i="1" s="1"/>
  <c r="AD18" i="1"/>
  <c r="AE18" i="1"/>
  <c r="AF18" i="1"/>
  <c r="AG18" i="1"/>
  <c r="AH18" i="1"/>
  <c r="AI18" i="1"/>
  <c r="AJ18" i="1"/>
  <c r="AK18" i="1"/>
  <c r="AL18" i="1" s="1"/>
  <c r="AM18" i="1"/>
  <c r="AN18" i="1"/>
  <c r="AO18" i="1" s="1"/>
  <c r="AP18" i="1"/>
  <c r="AQ18" i="1"/>
  <c r="AR18" i="1" s="1"/>
  <c r="AS18" i="1"/>
  <c r="AU18" i="1" s="1"/>
  <c r="AT18" i="1"/>
  <c r="D19" i="1"/>
  <c r="E19" i="1" s="1"/>
  <c r="F19" i="1"/>
  <c r="G19" i="1"/>
  <c r="H19" i="1" s="1"/>
  <c r="I19" i="1"/>
  <c r="K19" i="1" s="1"/>
  <c r="J19" i="1"/>
  <c r="L19" i="1"/>
  <c r="N19" i="1" s="1"/>
  <c r="M19" i="1"/>
  <c r="O19" i="1"/>
  <c r="P19" i="1"/>
  <c r="Q19" i="1" s="1"/>
  <c r="R19" i="1"/>
  <c r="S19" i="1"/>
  <c r="T19" i="1"/>
  <c r="U19" i="1"/>
  <c r="V19" i="1"/>
  <c r="W19" i="1"/>
  <c r="AS19" i="1"/>
  <c r="AT19" i="1"/>
  <c r="AU19" i="1"/>
  <c r="C12" i="1"/>
  <c r="C13" i="1"/>
  <c r="C14" i="1"/>
  <c r="C15" i="1"/>
  <c r="C16" i="1"/>
  <c r="C17" i="1"/>
  <c r="C18" i="1"/>
  <c r="C19" i="1"/>
  <c r="C34" i="17" l="1"/>
  <c r="C35" i="17"/>
  <c r="C36" i="17"/>
  <c r="C37" i="17"/>
  <c r="C38" i="17"/>
  <c r="C39" i="17"/>
  <c r="C40" i="17"/>
  <c r="C25" i="17" l="1"/>
  <c r="C23" i="17"/>
  <c r="C10" i="17" l="1"/>
  <c r="BW11" i="15" l="1"/>
  <c r="BW10" i="15"/>
  <c r="BR11" i="15"/>
  <c r="BR10" i="15"/>
  <c r="BM11" i="15"/>
  <c r="BM10" i="15"/>
  <c r="BH11" i="15"/>
  <c r="BH10" i="15"/>
  <c r="BC11" i="15"/>
  <c r="BC10" i="15"/>
  <c r="AX11" i="15"/>
  <c r="AX10" i="15"/>
  <c r="AS11" i="15"/>
  <c r="AS10" i="15"/>
  <c r="AN11" i="15"/>
  <c r="AN10" i="15"/>
  <c r="AI11" i="15"/>
  <c r="AI10" i="15"/>
  <c r="AD11" i="15" l="1"/>
  <c r="AD10" i="15"/>
  <c r="Y11" i="15"/>
  <c r="Z13" i="15"/>
  <c r="Y10" i="15"/>
  <c r="T11" i="15"/>
  <c r="T10" i="15"/>
  <c r="O11" i="15"/>
  <c r="O10" i="15"/>
  <c r="J11" i="15"/>
  <c r="J10" i="15"/>
  <c r="E11" i="15"/>
  <c r="E10" i="15"/>
  <c r="AT11" i="1"/>
  <c r="AT10" i="1"/>
  <c r="AQ11" i="1"/>
  <c r="AQ10" i="1"/>
  <c r="AN11" i="1"/>
  <c r="AN10" i="1"/>
  <c r="AK11" i="1"/>
  <c r="AK10" i="1"/>
  <c r="AH11" i="1"/>
  <c r="AH10" i="1"/>
  <c r="AE11" i="1"/>
  <c r="AE10" i="1"/>
  <c r="AB11" i="1"/>
  <c r="AB10" i="1"/>
  <c r="Y11" i="1"/>
  <c r="Y10" i="1"/>
  <c r="V11" i="1"/>
  <c r="V10" i="1"/>
  <c r="S11" i="1"/>
  <c r="S10" i="1"/>
  <c r="P11" i="1"/>
  <c r="P10" i="1"/>
  <c r="M11" i="1"/>
  <c r="M10" i="1"/>
  <c r="J11" i="1"/>
  <c r="J10" i="1"/>
  <c r="G11" i="1"/>
  <c r="G10" i="1"/>
  <c r="D11" i="1"/>
  <c r="D10" i="1"/>
  <c r="AS11" i="1" l="1"/>
  <c r="AS10" i="1"/>
  <c r="AP11" i="1"/>
  <c r="AP10" i="1"/>
  <c r="AM11" i="1"/>
  <c r="AM10" i="1"/>
  <c r="AJ11" i="1"/>
  <c r="AJ10" i="1"/>
  <c r="AG11" i="1"/>
  <c r="AG10" i="1"/>
  <c r="AD11" i="1"/>
  <c r="AD10" i="1"/>
  <c r="AA11" i="1"/>
  <c r="AA10" i="1"/>
  <c r="X11" i="1"/>
  <c r="X10" i="1"/>
  <c r="U11" i="1"/>
  <c r="U10" i="1"/>
  <c r="R11" i="1"/>
  <c r="R10" i="1"/>
  <c r="O11" i="1"/>
  <c r="O10" i="1"/>
  <c r="L11" i="1"/>
  <c r="L10" i="1"/>
  <c r="I11" i="1"/>
  <c r="I10" i="1"/>
  <c r="F11" i="1"/>
  <c r="F10" i="1"/>
  <c r="C11" i="1"/>
  <c r="C10" i="1"/>
  <c r="BU11" i="15"/>
  <c r="BU10" i="15"/>
  <c r="BP11" i="15"/>
  <c r="BP10" i="15"/>
  <c r="BK11" i="15"/>
  <c r="BK10" i="15"/>
  <c r="BF11" i="15"/>
  <c r="BF10" i="15"/>
  <c r="BA11" i="15"/>
  <c r="BA10" i="15"/>
  <c r="AV11" i="15"/>
  <c r="AV10" i="15"/>
  <c r="AQ11" i="15"/>
  <c r="AQ10" i="15"/>
  <c r="AL11" i="15"/>
  <c r="AL10" i="15"/>
  <c r="AG11" i="15"/>
  <c r="AG10" i="15"/>
  <c r="AB11" i="15"/>
  <c r="AB10" i="15"/>
  <c r="W11" i="15"/>
  <c r="W10" i="15"/>
  <c r="R11" i="15"/>
  <c r="R10" i="15"/>
  <c r="M11" i="15"/>
  <c r="M10" i="15"/>
  <c r="H11" i="15"/>
  <c r="H10" i="15"/>
  <c r="C11" i="15"/>
  <c r="C10" i="15"/>
  <c r="D13" i="15" l="1"/>
  <c r="D16" i="15"/>
  <c r="D17" i="15"/>
  <c r="D19" i="15"/>
  <c r="D18" i="15"/>
  <c r="D12" i="15"/>
  <c r="D14" i="15"/>
  <c r="D11" i="15"/>
  <c r="C9" i="17" l="1"/>
  <c r="C31" i="17"/>
  <c r="C30" i="17"/>
  <c r="C29" i="17"/>
  <c r="C28" i="17"/>
  <c r="C27" i="17"/>
  <c r="C26" i="17"/>
  <c r="C24" i="17"/>
  <c r="C22" i="17"/>
  <c r="E11" i="17"/>
  <c r="E10" i="17"/>
  <c r="E9" i="17"/>
  <c r="D11" i="17"/>
  <c r="D10" i="17"/>
  <c r="D9" i="17"/>
  <c r="C11" i="17"/>
  <c r="C32" i="17" l="1"/>
  <c r="C41" i="17"/>
  <c r="F34" i="17" s="1"/>
  <c r="BD12" i="15"/>
  <c r="BD16" i="15"/>
  <c r="BD17" i="15"/>
  <c r="BD18" i="15"/>
  <c r="BD19" i="15"/>
  <c r="AY11" i="15"/>
  <c r="AY16" i="15"/>
  <c r="AY17" i="15"/>
  <c r="AY18" i="15"/>
  <c r="AY19" i="15"/>
  <c r="AT12" i="15"/>
  <c r="AT16" i="15"/>
  <c r="AT17" i="15"/>
  <c r="AT18" i="15"/>
  <c r="AT19" i="15"/>
  <c r="BX16" i="15"/>
  <c r="BX11" i="15"/>
  <c r="BV16" i="15"/>
  <c r="BV12" i="15"/>
  <c r="BV11" i="15"/>
  <c r="BS12" i="15"/>
  <c r="BQ19" i="15"/>
  <c r="BQ18" i="15"/>
  <c r="BQ16" i="15"/>
  <c r="BQ13" i="15"/>
  <c r="BN14" i="15"/>
  <c r="BN11" i="15"/>
  <c r="BL16" i="15"/>
  <c r="BL11" i="15"/>
  <c r="BI16" i="15"/>
  <c r="BI13" i="15"/>
  <c r="BI12" i="15"/>
  <c r="BD14" i="15"/>
  <c r="BD13" i="15"/>
  <c r="BD11" i="15"/>
  <c r="BB16" i="15"/>
  <c r="BB11" i="15"/>
  <c r="AY14" i="15"/>
  <c r="AY13" i="15"/>
  <c r="AY12" i="15"/>
  <c r="AW13" i="15"/>
  <c r="AT14" i="15"/>
  <c r="AT13" i="15"/>
  <c r="AT11" i="15"/>
  <c r="AR16" i="15"/>
  <c r="AR11" i="15"/>
  <c r="AO16" i="15"/>
  <c r="AJ16" i="15"/>
  <c r="AJ14" i="15"/>
  <c r="AH16" i="15"/>
  <c r="AH11" i="15"/>
  <c r="AE16" i="15"/>
  <c r="AC13" i="15"/>
  <c r="Z16" i="15"/>
  <c r="Z14" i="15"/>
  <c r="X16" i="15"/>
  <c r="U16" i="15"/>
  <c r="U14" i="15"/>
  <c r="U13" i="15"/>
  <c r="U12" i="15"/>
  <c r="U19" i="15"/>
  <c r="U18" i="15"/>
  <c r="U17" i="15"/>
  <c r="BX19" i="15"/>
  <c r="BX18" i="15"/>
  <c r="BX17" i="15"/>
  <c r="BX14" i="15"/>
  <c r="BV19" i="15"/>
  <c r="BV18" i="15"/>
  <c r="BV17" i="15"/>
  <c r="BS19" i="15"/>
  <c r="BS18" i="15"/>
  <c r="BS17" i="15"/>
  <c r="BS16" i="15"/>
  <c r="BS13" i="15"/>
  <c r="BS11" i="15"/>
  <c r="BQ17" i="15"/>
  <c r="BQ12" i="15"/>
  <c r="BN19" i="15"/>
  <c r="BN18" i="15"/>
  <c r="BN17" i="15"/>
  <c r="BN16" i="15"/>
  <c r="BN13" i="15"/>
  <c r="BL19" i="15"/>
  <c r="BO19" i="15" s="1"/>
  <c r="BL18" i="15"/>
  <c r="BL17" i="15"/>
  <c r="BI19" i="15"/>
  <c r="BI18" i="15"/>
  <c r="BI17" i="15"/>
  <c r="BG19" i="15"/>
  <c r="BG18" i="15"/>
  <c r="BG17" i="15"/>
  <c r="BG16" i="15"/>
  <c r="BB19" i="15"/>
  <c r="BB18" i="15"/>
  <c r="BB17" i="15"/>
  <c r="AW19" i="15"/>
  <c r="AW18" i="15"/>
  <c r="AW17" i="15"/>
  <c r="AW16" i="15"/>
  <c r="AR19" i="15"/>
  <c r="AR18" i="15"/>
  <c r="AU18" i="15" s="1"/>
  <c r="AR17" i="15"/>
  <c r="AO19" i="15"/>
  <c r="AO18" i="15"/>
  <c r="AO17" i="15"/>
  <c r="AM19" i="15"/>
  <c r="AM18" i="15"/>
  <c r="AM17" i="15"/>
  <c r="AM16" i="15"/>
  <c r="AJ19" i="15"/>
  <c r="AJ18" i="15"/>
  <c r="AJ17" i="15"/>
  <c r="AJ11" i="15"/>
  <c r="AH19" i="15"/>
  <c r="AH18" i="15"/>
  <c r="AH17" i="15"/>
  <c r="AE19" i="15"/>
  <c r="AE18" i="15"/>
  <c r="AE17" i="15"/>
  <c r="AE13" i="15"/>
  <c r="AE12" i="15"/>
  <c r="AC19" i="15"/>
  <c r="AC18" i="15"/>
  <c r="AC17" i="15"/>
  <c r="AC16" i="15"/>
  <c r="Z19" i="15"/>
  <c r="Z18" i="15"/>
  <c r="Z17" i="15"/>
  <c r="X19" i="15"/>
  <c r="X18" i="15"/>
  <c r="X17" i="15"/>
  <c r="X11" i="15"/>
  <c r="S19" i="15"/>
  <c r="S18" i="15"/>
  <c r="S17" i="15"/>
  <c r="S16" i="15"/>
  <c r="V16" i="15" s="1"/>
  <c r="P19" i="15"/>
  <c r="P18" i="15"/>
  <c r="P17" i="15"/>
  <c r="P16" i="15"/>
  <c r="P11" i="15"/>
  <c r="P14" i="15"/>
  <c r="P13" i="15"/>
  <c r="P12" i="15"/>
  <c r="N16" i="15"/>
  <c r="N14" i="15"/>
  <c r="N11" i="15"/>
  <c r="N19" i="15"/>
  <c r="N18" i="15"/>
  <c r="N17" i="15"/>
  <c r="N13" i="15"/>
  <c r="K19" i="15"/>
  <c r="K18" i="15"/>
  <c r="K17" i="15"/>
  <c r="K16" i="15"/>
  <c r="K13" i="15"/>
  <c r="K14" i="15"/>
  <c r="K12" i="15"/>
  <c r="K11" i="15"/>
  <c r="I16" i="15"/>
  <c r="I14" i="15"/>
  <c r="I12" i="15"/>
  <c r="I19" i="15"/>
  <c r="I18" i="15"/>
  <c r="I17" i="15"/>
  <c r="F19" i="15"/>
  <c r="G19" i="15" s="1"/>
  <c r="F18" i="15"/>
  <c r="G18" i="15" s="1"/>
  <c r="F17" i="15"/>
  <c r="G17" i="15" s="1"/>
  <c r="F16" i="15"/>
  <c r="G16" i="15" s="1"/>
  <c r="F14" i="15"/>
  <c r="BX13" i="15"/>
  <c r="BS14" i="15"/>
  <c r="BN12" i="15"/>
  <c r="BI14" i="15"/>
  <c r="AO11" i="15"/>
  <c r="AJ13" i="15"/>
  <c r="AE11" i="15"/>
  <c r="Z11" i="15"/>
  <c r="U11" i="15"/>
  <c r="BV14" i="15"/>
  <c r="BL13" i="15"/>
  <c r="BG14" i="15"/>
  <c r="BB13" i="15"/>
  <c r="AW11" i="15"/>
  <c r="AR14" i="15"/>
  <c r="AM14" i="15"/>
  <c r="AH14" i="15"/>
  <c r="X14" i="15"/>
  <c r="S14" i="15"/>
  <c r="N12" i="15"/>
  <c r="F13" i="15"/>
  <c r="F12" i="15"/>
  <c r="F11" i="15"/>
  <c r="BE17" i="15" l="1"/>
  <c r="BE16" i="15"/>
  <c r="AK18" i="15"/>
  <c r="AF18" i="15"/>
  <c r="AZ18" i="15"/>
  <c r="AU17" i="15"/>
  <c r="BE19" i="15"/>
  <c r="BY19" i="15"/>
  <c r="BY17" i="15"/>
  <c r="BY18" i="15"/>
  <c r="BT17" i="15"/>
  <c r="AK17" i="15"/>
  <c r="F28" i="17"/>
  <c r="F23" i="17"/>
  <c r="F25" i="17"/>
  <c r="AZ11" i="15"/>
  <c r="AZ19" i="15"/>
  <c r="BJ16" i="15"/>
  <c r="AA11" i="15"/>
  <c r="AP16" i="15"/>
  <c r="AZ17" i="15"/>
  <c r="L17" i="15"/>
  <c r="Q16" i="15"/>
  <c r="AF16" i="15"/>
  <c r="BO17" i="15"/>
  <c r="AF17" i="15"/>
  <c r="Q18" i="15"/>
  <c r="AA19" i="15"/>
  <c r="BJ19" i="15"/>
  <c r="AA17" i="15"/>
  <c r="BO16" i="15"/>
  <c r="BT16" i="15"/>
  <c r="L18" i="15"/>
  <c r="AP17" i="15"/>
  <c r="L19" i="15"/>
  <c r="Q17" i="15"/>
  <c r="AP19" i="15"/>
  <c r="BE18" i="15"/>
  <c r="AU16" i="15"/>
  <c r="F38" i="17"/>
  <c r="BY16" i="15"/>
  <c r="BT18" i="15"/>
  <c r="BT19" i="15"/>
  <c r="BT13" i="15"/>
  <c r="BO18" i="15"/>
  <c r="BO13" i="15"/>
  <c r="BJ17" i="15"/>
  <c r="BJ18" i="15"/>
  <c r="AZ16" i="15"/>
  <c r="AU19" i="15"/>
  <c r="AP18" i="15"/>
  <c r="AK19" i="15"/>
  <c r="AK16" i="15"/>
  <c r="AK11" i="15"/>
  <c r="AF19" i="15"/>
  <c r="AF13" i="15"/>
  <c r="AA16" i="15"/>
  <c r="AA18" i="15"/>
  <c r="V19" i="15"/>
  <c r="V17" i="15"/>
  <c r="V18" i="15"/>
  <c r="Q19" i="15"/>
  <c r="L16" i="15"/>
  <c r="F35" i="17"/>
  <c r="F36" i="17"/>
  <c r="F29" i="17"/>
  <c r="F40" i="17"/>
  <c r="F37" i="17"/>
  <c r="F30" i="17"/>
  <c r="F24" i="17"/>
  <c r="F31" i="17"/>
  <c r="F27" i="17"/>
  <c r="F26" i="17"/>
  <c r="F39" i="17"/>
  <c r="F22" i="17"/>
  <c r="G13" i="15"/>
  <c r="AA14" i="15"/>
  <c r="G11" i="15"/>
  <c r="BI11" i="15"/>
  <c r="BY14" i="15"/>
  <c r="Q14" i="15"/>
  <c r="AO13" i="15"/>
  <c r="Q12" i="15"/>
  <c r="AK14" i="15"/>
  <c r="BE13" i="15"/>
  <c r="Q13" i="15"/>
  <c r="Q11" i="15"/>
  <c r="AE14" i="15"/>
  <c r="AO14" i="15"/>
  <c r="AP14" i="15" s="1"/>
  <c r="BT12" i="15"/>
  <c r="Z12" i="15"/>
  <c r="AJ12" i="15"/>
  <c r="BX12" i="15"/>
  <c r="BY12" i="15" s="1"/>
  <c r="AU14" i="15"/>
  <c r="AO12" i="15"/>
  <c r="AU11" i="15"/>
  <c r="BE11" i="15"/>
  <c r="BO11" i="15"/>
  <c r="BY11" i="15"/>
  <c r="G14" i="15"/>
  <c r="L12" i="15"/>
  <c r="G12" i="15"/>
  <c r="V14" i="15"/>
  <c r="BJ14" i="15"/>
  <c r="L14" i="15"/>
  <c r="S12" i="15"/>
  <c r="V12" i="15" s="1"/>
  <c r="BG13" i="15"/>
  <c r="BJ13" i="15" s="1"/>
  <c r="I13" i="15"/>
  <c r="L13" i="15" s="1"/>
  <c r="AC14" i="15"/>
  <c r="AC11" i="15"/>
  <c r="AF11" i="15" s="1"/>
  <c r="AR13" i="15"/>
  <c r="AU13" i="15" s="1"/>
  <c r="BB14" i="15"/>
  <c r="BE14" i="15" s="1"/>
  <c r="AM13" i="15"/>
  <c r="S13" i="15"/>
  <c r="V13" i="15" s="1"/>
  <c r="BL14" i="15"/>
  <c r="BO14" i="15" s="1"/>
  <c r="I11" i="15"/>
  <c r="L11" i="15" s="1"/>
  <c r="S11" i="15"/>
  <c r="V11" i="15" s="1"/>
  <c r="X13" i="15"/>
  <c r="AM11" i="15"/>
  <c r="AP11" i="15" s="1"/>
  <c r="BV13" i="15"/>
  <c r="BY13" i="15" s="1"/>
  <c r="X12" i="15"/>
  <c r="AH12" i="15"/>
  <c r="AR12" i="15"/>
  <c r="AU12" i="15" s="1"/>
  <c r="AW14" i="15"/>
  <c r="BB12" i="15"/>
  <c r="BE12" i="15" s="1"/>
  <c r="BL12" i="15"/>
  <c r="BO12" i="15" s="1"/>
  <c r="BQ14" i="15"/>
  <c r="BT14" i="15" s="1"/>
  <c r="BG11" i="15"/>
  <c r="AH13" i="15"/>
  <c r="AK13" i="15" s="1"/>
  <c r="BQ11" i="15"/>
  <c r="BT11" i="15" s="1"/>
  <c r="AC12" i="15"/>
  <c r="AF12" i="15" s="1"/>
  <c r="AM12" i="15"/>
  <c r="AW12" i="15"/>
  <c r="BG12" i="15"/>
  <c r="BJ12" i="15" s="1"/>
  <c r="BJ11" i="15" l="1"/>
  <c r="AA13" i="15"/>
  <c r="AP12" i="15"/>
  <c r="AK12" i="15"/>
  <c r="AA12" i="15"/>
  <c r="AP13" i="15"/>
  <c r="AF14" i="15"/>
  <c r="AU11" i="1"/>
  <c r="AU10" i="1"/>
  <c r="AR11" i="1"/>
  <c r="AR10" i="1"/>
  <c r="AO11" i="1"/>
  <c r="AO10" i="1"/>
  <c r="AL11" i="1" l="1"/>
  <c r="AI11" i="1"/>
  <c r="AI10" i="1"/>
  <c r="AF11" i="1"/>
  <c r="AF10" i="1"/>
  <c r="AC10" i="1"/>
  <c r="Z11" i="1"/>
  <c r="Z10" i="1"/>
  <c r="W11" i="1"/>
  <c r="W10" i="1"/>
  <c r="T11" i="1"/>
  <c r="T10" i="1"/>
  <c r="Q11" i="1"/>
  <c r="Q10" i="1"/>
  <c r="AL10" i="1"/>
  <c r="N10" i="1"/>
  <c r="E10" i="1" l="1"/>
  <c r="H11" i="1"/>
  <c r="K11" i="1"/>
  <c r="N11" i="1"/>
  <c r="E11" i="1"/>
  <c r="AC11" i="1"/>
  <c r="H10" i="1"/>
  <c r="K10" i="1"/>
  <c r="C12" i="17" l="1"/>
  <c r="D15" i="17" l="1"/>
  <c r="E15" i="17"/>
  <c r="C15" i="17"/>
  <c r="D17" i="17"/>
  <c r="E16" i="17"/>
  <c r="E18" i="17"/>
  <c r="C18" i="17"/>
  <c r="C17" i="17"/>
  <c r="D16" i="17"/>
  <c r="D18" i="17"/>
  <c r="E17" i="17"/>
  <c r="C16" i="17"/>
  <c r="C19" i="17" l="1"/>
</calcChain>
</file>

<file path=xl/comments1.xml><?xml version="1.0" encoding="utf-8"?>
<comments xmlns="http://schemas.openxmlformats.org/spreadsheetml/2006/main">
  <authors>
    <author>Author</author>
  </authors>
  <commentList>
    <comment ref="Z12" authorId="0" shapeId="0">
      <text>
        <r>
          <rPr>
            <sz val="9"/>
            <color indexed="81"/>
            <rFont val="Tahoma"/>
            <family val="2"/>
          </rPr>
          <t>Alteração de EPC associado aos bens (+98M no total)
Alteração da marcação european union (-3M)</t>
        </r>
      </text>
    </comment>
    <comment ref="AC12" authorId="0" shapeId="0">
      <text>
        <r>
          <rPr>
            <sz val="9"/>
            <color indexed="81"/>
            <rFont val="Tahoma"/>
            <family val="2"/>
          </rPr>
          <t>Alteração de EPC associado aos bens (+88M no total)
Alteração da marcação european union (-7M)</t>
        </r>
      </text>
    </comment>
    <comment ref="AU12" authorId="0" shapeId="0">
      <text>
        <r>
          <rPr>
            <sz val="9"/>
            <color indexed="81"/>
            <rFont val="Tahoma"/>
            <family val="2"/>
          </rPr>
          <t xml:space="preserve">-Efeito da diminuição da exposição associada a casos de EPCs estimados (ou seja, agora temos mais certificados reais) 
- 4M do montante foi para Non EU
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Esta diferença reflete-se maioritariamente nos buckets &lt;=100 e &lt;=200, devido à quantidade de EP "Sem dados", 4,8Bis e 3,4Bis, respetivamente, face ao reporte de dez24.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- 11M do montante foi para Non EU
- Não está a ser considerado o universo de adjudicados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- 4M do montante foi para Non EU
- Não está a ser considerado o universo de adjudicados</t>
        </r>
      </text>
    </comment>
    <comment ref="AU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- 2,3M do montante foi para Non EU
- Não está a ser considerado o universo de adjudicados</t>
        </r>
      </text>
    </comment>
    <comment ref="B15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MBI.</t>
        </r>
      </text>
    </comment>
  </commentList>
</comments>
</file>

<file path=xl/sharedStrings.xml><?xml version="1.0" encoding="utf-8"?>
<sst xmlns="http://schemas.openxmlformats.org/spreadsheetml/2006/main" count="4171" uniqueCount="186">
  <si>
    <t>∆</t>
  </si>
  <si>
    <t xml:space="preserve">Exposição 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</si>
  <si>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</si>
  <si>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</si>
  <si>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</si>
  <si>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</si>
  <si>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</si>
  <si>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</si>
  <si>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</si>
  <si>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</si>
  <si>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</si>
  <si>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</si>
  <si>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</si>
  <si>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</si>
  <si>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</si>
  <si>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Without EPC label of collateral</t>
  </si>
  <si>
    <t>peso dez24</t>
  </si>
  <si>
    <t>∆ (pp)</t>
  </si>
  <si>
    <t>Total EU area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</si>
  <si>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</si>
  <si>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</si>
  <si>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</si>
  <si>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Of which Level of energy efficiency (EP score in kWh/m² of collateral) estimated</t>
  </si>
  <si>
    <t>Total non-EU area</t>
  </si>
  <si>
    <t>Template 2: Banking book - Climate change transition risk: Loans collateralised by immovable property - Energy efficiency of the collateral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</si>
  <si>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</si>
  <si>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</si>
  <si>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</si>
  <si>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</si>
  <si>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</si>
  <si>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</si>
  <si>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</si>
  <si>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</si>
  <si>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</si>
  <si>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</si>
  <si>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</si>
  <si>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</si>
  <si>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</si>
  <si>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</si>
  <si>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</si>
  <si>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</si>
  <si>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Counterparty sector</t>
  </si>
  <si>
    <t>Total gross carrying amount amount (in MEUR)</t>
  </si>
  <si>
    <t>Level of energy efficiency (EP score in kWh/m² of collateral)</t>
  </si>
  <si>
    <t>Level of energy efficiency (EPC label of collateral)</t>
  </si>
  <si>
    <t>Of which level of energy efficiency (EP score in kWh/m² of collateral) estimated</t>
  </si>
  <si>
    <t xml:space="preserve">Real </t>
  </si>
  <si>
    <t>Estimado</t>
  </si>
  <si>
    <t>Sem dados</t>
  </si>
  <si>
    <t>Garantia Comercial</t>
  </si>
  <si>
    <t>tipo_colateral</t>
  </si>
  <si>
    <t>epc_label</t>
  </si>
  <si>
    <t>ep_score</t>
  </si>
  <si>
    <t>european_union</t>
  </si>
  <si>
    <t>amount</t>
  </si>
  <si>
    <t>Garantia Residencial</t>
  </si>
  <si>
    <t>Stock</t>
  </si>
  <si>
    <t>B-</t>
  </si>
  <si>
    <t>menor_100</t>
  </si>
  <si>
    <t>EU-area</t>
  </si>
  <si>
    <t>1-REAL</t>
  </si>
  <si>
    <t>Stock Adjudicados</t>
  </si>
  <si>
    <t>TOTAL</t>
  </si>
  <si>
    <t>4-MEDIA</t>
  </si>
  <si>
    <t>Totta URBE</t>
  </si>
  <si>
    <t>menor_500</t>
  </si>
  <si>
    <t>RESIDENCIAL</t>
  </si>
  <si>
    <t>5-MEDIA BAJA</t>
  </si>
  <si>
    <t>COMERCIAL</t>
  </si>
  <si>
    <t>menor_300</t>
  </si>
  <si>
    <t>2-MUY ALTA</t>
  </si>
  <si>
    <t>menor_200</t>
  </si>
  <si>
    <t>menor_400</t>
  </si>
  <si>
    <t>SANTANDER</t>
  </si>
  <si>
    <t>Etiqueta energética</t>
  </si>
  <si>
    <t>A+</t>
  </si>
  <si>
    <t>6-BAJA</t>
  </si>
  <si>
    <t>3-ALTA</t>
  </si>
  <si>
    <t>Sem Dados</t>
  </si>
  <si>
    <t>maior_500</t>
  </si>
  <si>
    <t>7-SIN DATO</t>
  </si>
  <si>
    <t>-</t>
  </si>
  <si>
    <t>NULL</t>
  </si>
  <si>
    <t>Stock IFIC</t>
  </si>
  <si>
    <t>Sem Garantia</t>
  </si>
  <si>
    <t>OUTROS</t>
  </si>
  <si>
    <t>peso abr25</t>
  </si>
  <si>
    <t>Métrica</t>
  </si>
  <si>
    <t>Casuística</t>
  </si>
  <si>
    <t>Montante</t>
  </si>
  <si>
    <t>EPC_label</t>
  </si>
  <si>
    <t>Atualização dos certificados tabela da property</t>
  </si>
  <si>
    <t>Antes era B agora é A</t>
  </si>
  <si>
    <t>Antes era C agora é A</t>
  </si>
  <si>
    <t>Antes era D agora é A</t>
  </si>
  <si>
    <t>Antes era E agora é A</t>
  </si>
  <si>
    <t>Antes era F agora é A</t>
  </si>
  <si>
    <t>Antes era G agora é A</t>
  </si>
  <si>
    <t>Antes era A agora é B</t>
  </si>
  <si>
    <t>atualizações GLOVAL</t>
  </si>
  <si>
    <t>Antes era C agora é B</t>
  </si>
  <si>
    <t>Antes era D agora é B</t>
  </si>
  <si>
    <t>Antes era E agora é B</t>
  </si>
  <si>
    <t>Antes era F agora é B</t>
  </si>
  <si>
    <t>Antes era G agora é B</t>
  </si>
  <si>
    <t>Antes era A agora é C</t>
  </si>
  <si>
    <t>Antes era B agora é C</t>
  </si>
  <si>
    <t>Antes era D agora é C</t>
  </si>
  <si>
    <t>Antes era E agora é C</t>
  </si>
  <si>
    <t>Antes era F agora é C</t>
  </si>
  <si>
    <t>Antes era G agora é C</t>
  </si>
  <si>
    <t>Antes era A agora é D</t>
  </si>
  <si>
    <t>Antes era B agora é D</t>
  </si>
  <si>
    <t>Antes era C agora é D</t>
  </si>
  <si>
    <t>Antes era E agora é D</t>
  </si>
  <si>
    <t>Antes era F agora é D</t>
  </si>
  <si>
    <t>Antes era G agora é D</t>
  </si>
  <si>
    <t>Antes era 'Sem dados' agora é D</t>
  </si>
  <si>
    <t>Antes era A agora é E</t>
  </si>
  <si>
    <t>Antes era B agora é E</t>
  </si>
  <si>
    <t>Antes era C agora é E</t>
  </si>
  <si>
    <t>Antes era D agora é E</t>
  </si>
  <si>
    <t>Antes era F agora é E</t>
  </si>
  <si>
    <t>Antes era G agora é E</t>
  </si>
  <si>
    <t>Antes era A agora é 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</si>
  <si>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</si>
  <si>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</si>
  <si>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</si>
  <si>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</si>
  <si>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</si>
  <si>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A agora é G</t>
  </si>
  <si>
    <t>Antes era B agora é G</t>
  </si>
  <si>
    <t>Antes era C agora é G</t>
  </si>
  <si>
    <t>Antes era D agora é G</t>
  </si>
  <si>
    <t>Antes era F agora é G</t>
  </si>
  <si>
    <t>Antes era E agora é G</t>
  </si>
  <si>
    <t>Antes era A agora é Sem dados</t>
  </si>
  <si>
    <t>Antes era B agora é Sem dados</t>
  </si>
  <si>
    <t>Antes era C agora é Sem dados</t>
  </si>
  <si>
    <t>Antes era D agora é Sem dados</t>
  </si>
  <si>
    <t>Antes era E agora é Sem dados</t>
  </si>
  <si>
    <t>Antes era F agora é Sem dados</t>
  </si>
  <si>
    <t>Antes era G agora é Sem dados</t>
  </si>
  <si>
    <t>EP_score</t>
  </si>
  <si>
    <t>Antes era menor_200 agora é menor_100</t>
  </si>
  <si>
    <t>Antes era menor_300 agora é menor_100</t>
  </si>
  <si>
    <t>Antes era menor_400 agora é menor_100</t>
  </si>
  <si>
    <t>Antes era menor_500 agora é menor_100</t>
  </si>
  <si>
    <t>Antes era maior_500 agora é menor_100</t>
  </si>
  <si>
    <t>Antes era menor_100 agora é menor_200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</si>
  <si>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</si>
  <si>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</si>
  <si>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</si>
  <si>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</si>
  <si>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'Sem dados' agora é menor_200</t>
  </si>
  <si>
    <t>Antes era menor_100 agora é menor_300</t>
  </si>
  <si>
    <t>Antes era menor_200 agora é menor_300</t>
  </si>
  <si>
    <t>Antes era menor_400 agora é menor_300</t>
  </si>
  <si>
    <t>Antes era menor_500 agora é menor_300</t>
  </si>
  <si>
    <t>Antes era maior_500 agora é menor_300</t>
  </si>
  <si>
    <t>Antes era menor_100 agora é menor_400</t>
  </si>
  <si>
    <t>Antes era menor_200 agora é menor_400</t>
  </si>
  <si>
    <t>Antes era menor_300 agora é menor_400</t>
  </si>
  <si>
    <t>Antes era menor_500 agora é menor_400</t>
  </si>
  <si>
    <t>Antes era maior_500 agora é menor_400</t>
  </si>
  <si>
    <t>Antes era menor_100 agora é menor_500</t>
  </si>
  <si>
    <t>Antes era menor_200 agora é menor_500</t>
  </si>
  <si>
    <t>Antes era menor_300 agora é menor_500</t>
  </si>
  <si>
    <t>Antes era menor_400 agora é menor_500</t>
  </si>
  <si>
    <t>Antes era maior_500 agora é menor_500</t>
  </si>
  <si>
    <t>Antes era menor_100 agora é maior_500</t>
  </si>
  <si>
    <t>Antes era menor_200 agora é maior_500</t>
  </si>
  <si>
    <t>Antes era menor_300 agora é maior_500</t>
  </si>
  <si>
    <t>Antes era menor_400 agora é maior_500</t>
  </si>
  <si>
    <t>Antes era menor_500 agora é maior_500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</si>
  <si>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</si>
  <si>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</si>
  <si>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</si>
  <si>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</si>
  <si>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</si>
  <si>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</si>
  <si>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>European_union</t>
  </si>
  <si>
    <t>Alteração de marcação do país do colateral</t>
  </si>
  <si>
    <t xml:space="preserve"> </t>
  </si>
  <si>
    <t>quality_score</t>
  </si>
  <si>
    <t>Non EU-area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</si>
</sst>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92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164" fontId="3" fillId="0" borderId="1" xfId="0" applyNumberFormat="1" applyFont="1" applyBorder="1"/>
    <xf numFmtId="164" fontId="0" fillId="0" borderId="1" xfId="0" applyNumberFormat="1" applyBorder="1"/>
    <xf numFmtId="0" fontId="8" fillId="6" borderId="0" xfId="0" applyFont="1" applyFill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wrapText="1"/>
    </xf>
    <xf numFmtId="0" fontId="14" fillId="6" borderId="0" xfId="0" applyFont="1" applyFill="1"/>
    <xf numFmtId="0" fontId="11" fillId="6" borderId="8" xfId="0" applyFont="1" applyFill="1" applyBorder="1" applyAlignment="1">
      <alignment vertical="center" wrapText="1"/>
    </xf>
    <xf numFmtId="9" fontId="13" fillId="6" borderId="8" xfId="1" applyFont="1" applyFill="1" applyBorder="1" applyAlignment="1">
      <alignment horizontal="right" wrapText="1"/>
    </xf>
    <xf numFmtId="0" fontId="10" fillId="6" borderId="3" xfId="0" applyFont="1" applyFill="1" applyBorder="1" applyAlignment="1">
      <alignment horizontal="left" indent="1"/>
    </xf>
    <xf numFmtId="0" fontId="10" fillId="6" borderId="8" xfId="0" applyFont="1" applyFill="1" applyBorder="1" applyAlignment="1">
      <alignment horizontal="left" indent="1"/>
    </xf>
    <xf numFmtId="0" fontId="0" fillId="6" borderId="0" xfId="0" applyFill="1"/>
    <xf numFmtId="0" fontId="13" fillId="7" borderId="8" xfId="0" applyFont="1" applyFill="1" applyBorder="1" applyAlignment="1">
      <alignment horizontal="center" vertical="center" wrapText="1"/>
    </xf>
    <xf numFmtId="0" fontId="4" fillId="6" borderId="0" xfId="0" applyFont="1" applyFill="1"/>
    <xf numFmtId="0" fontId="4" fillId="0" borderId="0" xfId="0" applyFont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0" xfId="0" applyNumberFormat="1" applyFont="1"/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/>
    </xf>
    <xf numFmtId="9" fontId="0" fillId="0" borderId="0" xfId="1" applyFont="1" applyAlignment="1">
      <alignment horizontal="center" vertical="center"/>
    </xf>
    <xf numFmtId="9" fontId="3" fillId="0" borderId="0" xfId="1" applyFont="1"/>
    <xf numFmtId="0" fontId="3" fillId="0" borderId="0" xfId="0" applyFont="1" applyAlignment="1">
      <alignment horizontal="right" vertical="center"/>
    </xf>
    <xf numFmtId="9" fontId="0" fillId="0" borderId="0" xfId="1" applyFont="1"/>
    <xf numFmtId="4" fontId="0" fillId="0" borderId="1" xfId="0" applyNumberFormat="1" applyBorder="1" applyAlignment="1">
      <alignment horizontal="right"/>
    </xf>
    <xf numFmtId="4" fontId="13" fillId="6" borderId="8" xfId="0" applyNumberFormat="1" applyFont="1" applyFill="1" applyBorder="1" applyAlignment="1">
      <alignment horizontal="center" vertical="center" wrapText="1"/>
    </xf>
    <xf numFmtId="4" fontId="13" fillId="7" borderId="8" xfId="0" applyNumberFormat="1" applyFont="1" applyFill="1" applyBorder="1" applyAlignment="1">
      <alignment horizontal="center" vertical="center" wrapText="1"/>
    </xf>
    <xf numFmtId="4" fontId="0" fillId="6" borderId="0" xfId="0" applyNumberFormat="1" applyFill="1"/>
    <xf numFmtId="0" fontId="0" fillId="0" borderId="0" xfId="0" quotePrefix="1"/>
    <xf numFmtId="9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right"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3" fontId="13" fillId="6" borderId="8" xfId="0" applyNumberFormat="1" applyFont="1" applyFill="1" applyBorder="1" applyAlignment="1">
      <alignment horizontal="center" vertical="center" wrapText="1"/>
    </xf>
    <xf numFmtId="3" fontId="13" fillId="7" borderId="8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wrapText="1"/>
    </xf>
    <xf numFmtId="0" fontId="0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7" fillId="0" borderId="18" xfId="0" applyFont="1" applyBorder="1" applyAlignment="1">
      <alignment horizontal="center" vertical="center"/>
    </xf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left" vertical="center"/>
    </xf>
    <xf numFmtId="0" fontId="18" fillId="0" borderId="22" xfId="0" applyFont="1" applyBorder="1"/>
    <xf numFmtId="4" fontId="18" fillId="0" borderId="23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4" fontId="0" fillId="8" borderId="1" xfId="0" applyNumberFormat="1" applyFill="1" applyBorder="1"/>
    <xf numFmtId="4" fontId="0" fillId="7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0" fontId="0" fillId="0" borderId="0" xfId="0" applyNumberFormat="1"/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DA2626"/>
      <color rgb="FFFF010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por tipologia de colateral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C3B-47F3-B9ED-1118CEEADFE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C3B-47F3-B9ED-1118CEEADF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AB-4DC8-AC5E-1CAA2C5BE278}"/>
              </c:ext>
            </c:extLst>
          </c:dPt>
          <c:dLbls>
            <c:dLbl>
              <c:idx val="0"/>
              <c:layout>
                <c:manualLayout>
                  <c:x val="-7.6764081634047229E-3"/>
                  <c:y val="-1.3586849331694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EC3B-47F3-B9ED-1118CEEADFE2}"/>
                </c:ext>
              </c:extLst>
            </c:dLbl>
            <c:dLbl>
              <c:idx val="1"/>
              <c:layout>
                <c:manualLayout>
                  <c:x val="-3.7993502442881656E-3"/>
                  <c:y val="-3.35555960129261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EC3B-47F3-B9ED-1118CEEADF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noFill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Aux!$C$14:$E$14</c:f>
              <c:strCache>
                <c:ptCount val="3"/>
                <c:pt idx="0">
                  <c:v>Real </c:v>
                </c:pt>
                <c:pt idx="1">
                  <c:v>Estimado</c:v>
                </c:pt>
                <c:pt idx="2">
                  <c:v>Sem dados</c:v>
                </c:pt>
              </c:strCache>
            </c:strRef>
          </c:cat>
          <c:val>
            <c:numRef>
              <c:f>Aux!$C$15:$E$15</c:f>
              <c:numCache>
                <c:formatCode>0%</c:formatCode>
                <c:ptCount val="3"/>
                <c:pt idx="0">
                  <c:v>0.36827195467422097</c:v>
                </c:pt>
                <c:pt idx="1">
                  <c:v>0.61756373937677056</c:v>
                </c:pt>
                <c:pt idx="2">
                  <c:v>1.4164305949008499E-2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C3B-47F3-B9ED-1118CEEAD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tx1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1-151B-475A-8110-8B54378BF2BB}"/>
                    </c:ext>
                  </c:extLst>
                </c:dPt>
                <c:dPt>
                  <c:idx val="1"/>
                  <c:bubble3D val="0"/>
                  <c:spPr>
                    <a:solidFill>
                      <a:srgbClr val="FF000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151B-475A-8110-8B54378BF2B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151B-475A-8110-8B54378BF2B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Aux!$C$14:$E$14</c15:sqref>
                        </c15:formulaRef>
                      </c:ext>
                    </c:extLst>
                    <c:strCache>
                      <c:ptCount val="3"/>
                      <c:pt idx="0">
                        <c:v>Real </c:v>
                      </c:pt>
                      <c:pt idx="1">
                        <c:v>Estimado</c:v>
                      </c:pt>
                      <c:pt idx="2">
                        <c:v>Sem dados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Aux!$C$16:$E$16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0.12181303116147309</c:v>
                      </c:pt>
                      <c:pt idx="1">
                        <c:v>0.28611898016997167</c:v>
                      </c:pt>
                      <c:pt idx="2">
                        <c:v>5.6657223796033997E-3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51B-475A-8110-8B54378BF2BB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8-151B-475A-8110-8B54378BF2B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A-151B-475A-8110-8B54378BF2B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151B-475A-8110-8B54378BF2B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Aux!$C$14:$E$14</c15:sqref>
                        </c15:formulaRef>
                      </c:ext>
                    </c:extLst>
                    <c:strCache>
                      <c:ptCount val="3"/>
                      <c:pt idx="0">
                        <c:v>Real </c:v>
                      </c:pt>
                      <c:pt idx="1">
                        <c:v>Estimado</c:v>
                      </c:pt>
                      <c:pt idx="2">
                        <c:v>Sem dados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Aux!$C$17:$E$17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0.24645892351274787</c:v>
                      </c:pt>
                      <c:pt idx="1">
                        <c:v>0.33144475920679889</c:v>
                      </c:pt>
                      <c:pt idx="2">
                        <c:v>8.4985835694051E-3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51B-475A-8110-8B54378BF2BB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151B-475A-8110-8B54378BF2B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151B-475A-8110-8B54378BF2B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151B-475A-8110-8B54378BF2B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Aux!$C$14:$E$14</c15:sqref>
                        </c15:formulaRef>
                      </c:ext>
                    </c:extLst>
                    <c:strCache>
                      <c:ptCount val="3"/>
                      <c:pt idx="0">
                        <c:v>Real </c:v>
                      </c:pt>
                      <c:pt idx="1">
                        <c:v>Estimado</c:v>
                      </c:pt>
                      <c:pt idx="2">
                        <c:v>Sem dados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Aux!$C$18:$E$18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151B-475A-8110-8B54378BF2B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Distribuição por EPC Label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60-4D2E-808A-A9582BBDB364}"/>
              </c:ext>
            </c:extLst>
          </c:dPt>
          <c:dPt>
            <c:idx val="1"/>
            <c:invertIfNegative val="0"/>
            <c:bubble3D val="0"/>
            <c:spPr>
              <a:solidFill>
                <a:srgbClr val="DA262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60-4D2E-808A-A9582BBDB364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60-4D2E-808A-A9582BBDB364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60-4D2E-808A-A9582BBDB3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160-4D2E-808A-A9582BBDB364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160-4D2E-808A-A9582BBDB364}"/>
              </c:ext>
            </c:extLst>
          </c:dPt>
          <c:dPt>
            <c:idx val="6"/>
            <c:invertIfNegative val="0"/>
            <c:bubble3D val="0"/>
            <c:spPr>
              <a:solidFill>
                <a:srgbClr val="FFC1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160-4D2E-808A-A9582BBDB36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160-4D2E-808A-A9582BBDB364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7DA-4FD8-87B2-D5E4B42DBF5C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7DA-4FD8-87B2-D5E4B42DBF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Aux!$E$22:$E$31</c:f>
              <c:strCache>
                <c:ptCount val="10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B-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  <c:pt idx="7">
                  <c:v>F</c:v>
                </c:pt>
                <c:pt idx="8">
                  <c:v>G</c:v>
                </c:pt>
                <c:pt idx="9">
                  <c:v>Sem Dados</c:v>
                </c:pt>
              </c:strCache>
            </c:strRef>
          </c:cat>
          <c:val>
            <c:numRef>
              <c:f>Aux!$F$22:$F$31</c:f>
              <c:numCache>
                <c:formatCode>0%</c:formatCode>
                <c:ptCount val="10"/>
                <c:pt idx="0">
                  <c:v>9.3220338983050849E-2</c:v>
                </c:pt>
                <c:pt idx="1">
                  <c:v>6.7796610169491525E-2</c:v>
                </c:pt>
                <c:pt idx="2">
                  <c:v>8.1920903954802254E-2</c:v>
                </c:pt>
                <c:pt idx="3">
                  <c:v>9.3220338983050849E-2</c:v>
                </c:pt>
                <c:pt idx="4">
                  <c:v>0.12429378531073447</c:v>
                </c:pt>
                <c:pt idx="5">
                  <c:v>0.1384180790960452</c:v>
                </c:pt>
                <c:pt idx="6">
                  <c:v>0.14124293785310735</c:v>
                </c:pt>
                <c:pt idx="7">
                  <c:v>0.15536723163841809</c:v>
                </c:pt>
                <c:pt idx="8">
                  <c:v>7.909604519774012E-2</c:v>
                </c:pt>
                <c:pt idx="9">
                  <c:v>2.5423728813559324E-2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60-4D2E-808A-A9582BBDB3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5462224"/>
        <c:axId val="1725450160"/>
      </c:barChart>
      <c:catAx>
        <c:axId val="172546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5450160"/>
        <c:crosses val="autoZero"/>
        <c:auto val="1"/>
        <c:lblAlgn val="ctr"/>
        <c:lblOffset val="100"/>
        <c:noMultiLvlLbl val="0"/>
      </c:catAx>
      <c:valAx>
        <c:axId val="172545016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546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Distribuição</a:t>
            </a:r>
            <a:r>
              <a:rPr lang="pt-PT" baseline="0"/>
              <a:t> por EP Score (kWh/m</a:t>
            </a:r>
            <a:r>
              <a:rPr lang="pt-PT" baseline="30000"/>
              <a:t>2</a:t>
            </a:r>
            <a:r>
              <a:rPr lang="pt-PT" baseline="0"/>
              <a:t>)</a:t>
            </a:r>
            <a:endParaRPr lang="pt-PT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67-4CD7-B6A0-17BE25EC2AC1}"/>
              </c:ext>
            </c:extLst>
          </c:dPt>
          <c:dPt>
            <c:idx val="1"/>
            <c:invertIfNegative val="0"/>
            <c:bubble3D val="0"/>
            <c:spPr>
              <a:solidFill>
                <a:srgbClr val="FFC1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67-4CD7-B6A0-17BE25EC2AC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67-4CD7-B6A0-17BE25EC2AC1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67-4CD7-B6A0-17BE25EC2AC1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67-4CD7-B6A0-17BE25EC2AC1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67-4CD7-B6A0-17BE25EC2AC1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867-4CD7-B6A0-17BE25EC2A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Aux!$E$34:$E$40</c:f>
              <c:strCache>
                <c:ptCount val="7"/>
                <c:pt idx="0">
                  <c:v>0; &lt;= 100</c:v>
                </c:pt>
                <c:pt idx="1">
                  <c:v>&gt; 100; &lt;= 200</c:v>
                </c:pt>
                <c:pt idx="2">
                  <c:v>&gt; 200; &lt;= 300</c:v>
                </c:pt>
                <c:pt idx="3">
                  <c:v>&gt; 300; &lt;= 400</c:v>
                </c:pt>
                <c:pt idx="4">
                  <c:v>&gt; 400; &lt;= 500</c:v>
                </c:pt>
                <c:pt idx="5">
                  <c:v>&gt; 500</c:v>
                </c:pt>
                <c:pt idx="6">
                  <c:v>Sem dados</c:v>
                </c:pt>
              </c:strCache>
            </c:strRef>
          </c:cat>
          <c:val>
            <c:numRef>
              <c:f>Aux!$F$34:$F$40</c:f>
              <c:numCache>
                <c:formatCode>0%</c:formatCode>
                <c:ptCount val="7"/>
                <c:pt idx="0">
                  <c:v>0.29096045197740111</c:v>
                </c:pt>
                <c:pt idx="1">
                  <c:v>0.25141242937853109</c:v>
                </c:pt>
                <c:pt idx="2">
                  <c:v>0.19209039548022599</c:v>
                </c:pt>
                <c:pt idx="3">
                  <c:v>9.8870056497175146E-2</c:v>
                </c:pt>
                <c:pt idx="4">
                  <c:v>4.2372881355932202E-2</c:v>
                </c:pt>
                <c:pt idx="5">
                  <c:v>3.3898305084745763E-2</c:v>
                </c:pt>
                <c:pt idx="6">
                  <c:v>9.03954802259887E-2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67-4CD7-B6A0-17BE25EC2A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0397296"/>
        <c:axId val="1960398544"/>
      </c:barChart>
      <c:catAx>
        <c:axId val="196039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60398544"/>
        <c:crosses val="autoZero"/>
        <c:auto val="1"/>
        <c:lblAlgn val="ctr"/>
        <c:lblOffset val="100"/>
        <c:noMultiLvlLbl val="0"/>
      </c:catAx>
      <c:valAx>
        <c:axId val="19603985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6039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</xdr:row>
      <xdr:rowOff>7620</xdr:rowOff>
    </xdr:from>
    <xdr:to>
      <xdr:col>2</xdr:col>
      <xdr:colOff>575267</xdr:colOff>
      <xdr:row>4</xdr:row>
      <xdr:rowOff>3887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81940" y="99060"/>
          <a:ext cx="2023067" cy="339167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723177</xdr:colOff>
      <xdr:row>3</xdr:row>
      <xdr:rowOff>86502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247650" y="95250"/>
          <a:ext cx="2056677" cy="34367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983976</xdr:colOff>
      <xdr:row>3</xdr:row>
      <xdr:rowOff>81934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51460" y="91440"/>
          <a:ext cx="2050776" cy="33339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7</xdr:row>
      <xdr:rowOff>23091</xdr:rowOff>
    </xdr:from>
    <xdr:to>
      <xdr:col>3</xdr:col>
      <xdr:colOff>554182</xdr:colOff>
      <xdr:row>21</xdr:row>
      <xdr:rowOff>99291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744681</xdr:colOff>
      <xdr:row>7</xdr:row>
      <xdr:rowOff>0</xdr:rowOff>
    </xdr:from>
    <xdr:to>
      <xdr:col>6</xdr:col>
      <xdr:colOff>173181</xdr:colOff>
      <xdr:row>21</xdr:row>
      <xdr:rowOff>69273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121228</xdr:colOff>
      <xdr:row>7</xdr:row>
      <xdr:rowOff>0</xdr:rowOff>
    </xdr:from>
    <xdr:to>
      <xdr:col>15</xdr:col>
      <xdr:colOff>0</xdr:colOff>
      <xdr:row>21</xdr:row>
      <xdr:rowOff>43296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2023067" cy="33916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1</xdr:row>
      <xdr:rowOff>0</xdr:rowOff>
    </xdr:from>
    <xdr:to>
      <xdr:col>1</xdr:col>
      <xdr:colOff>2015447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43840" y="91440"/>
          <a:ext cx="202306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8828\Downloads\BS%20-%20Paralelos%20STE2%20Dez24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s granulares"/>
      <sheetName val="Variação "/>
      <sheetName val="Input &gt;&gt;"/>
      <sheetName val="Paralelo"/>
      <sheetName val="Dez24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showGridLines="0" tabSelected="1" workbookViewId="0"/>
  </sheetViews>
  <sheetFormatPr defaultColWidth="0" defaultRowHeight="14.4" customHeight="1" zeroHeight="1" outlineLevelRow="1" x14ac:dyDescent="0.3"/>
  <cols>
    <col min="1" max="1" width="3.6640625" customWidth="1"/>
    <col min="2" max="2" width="21.5546875" bestFit="1" customWidth="1"/>
    <col min="3" max="3" width="40" bestFit="1" customWidth="1"/>
    <col min="4" max="4" width="21.5546875" customWidth="1"/>
    <col min="5" max="5" width="3.6640625" style="39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69" customFormat="1" x14ac:dyDescent="0.3">
      <c r="E7" s="39"/>
    </row>
    <row r="8" spans="1:5" s="69" customFormat="1" x14ac:dyDescent="0.3">
      <c r="B8" s="70" t="s">
        <v>87</v>
      </c>
      <c r="C8" s="71" t="s">
        <v>88</v>
      </c>
      <c r="D8" s="72" t="s">
        <v>89</v>
      </c>
      <c r="E8" s="39"/>
    </row>
    <row r="9" spans="1:5" s="69" customFormat="1" x14ac:dyDescent="0.3">
      <c r="B9" s="73" t="s">
        <v>90</v>
      </c>
      <c r="C9" s="74" t="s">
        <v>91</v>
      </c>
      <c r="D9" s="75">
        <v>336733286.351717</v>
      </c>
      <c r="E9" s="39"/>
    </row>
    <row r="10" spans="1:5" s="69" customFormat="1" hidden="1" outlineLevel="1" x14ac:dyDescent="0.3">
      <c r="B10" s="76" t="s">
        <v>8</v>
      </c>
      <c r="C10" s="77" t="s">
        <v>92</v>
      </c>
      <c r="D10" s="75">
        <v>8201154.9400000004</v>
      </c>
      <c r="E10" s="78"/>
    </row>
    <row r="11" spans="1:5" s="69" customFormat="1" hidden="1" outlineLevel="1" x14ac:dyDescent="0.3">
      <c r="B11" s="79"/>
      <c r="C11" s="77" t="s">
        <v>93</v>
      </c>
      <c r="D11" s="75">
        <v>27617019.5102446</v>
      </c>
      <c r="E11" s="78"/>
    </row>
    <row r="12" spans="1:5" s="69" customFormat="1" hidden="1" outlineLevel="1" x14ac:dyDescent="0.3">
      <c r="B12" s="79"/>
      <c r="C12" s="77" t="s">
        <v>94</v>
      </c>
      <c r="D12" s="75">
        <v>33051637.359999999</v>
      </c>
      <c r="E12" s="39"/>
    </row>
    <row r="13" spans="1:5" s="69" customFormat="1" hidden="1" outlineLevel="1" x14ac:dyDescent="0.3">
      <c r="B13" s="79"/>
      <c r="C13" s="77" t="s">
        <v>95</v>
      </c>
      <c r="D13" s="75">
        <v>15249717.960000001</v>
      </c>
      <c r="E13" s="39"/>
    </row>
    <row r="14" spans="1:5" s="69" customFormat="1" hidden="1" outlineLevel="1" x14ac:dyDescent="0.3">
      <c r="B14" s="79"/>
      <c r="C14" s="77" t="s">
        <v>96</v>
      </c>
      <c r="D14" s="75">
        <v>14576645.140000001</v>
      </c>
      <c r="E14" s="39"/>
    </row>
    <row r="15" spans="1:5" s="69" customFormat="1" hidden="1" outlineLevel="1" x14ac:dyDescent="0.3">
      <c r="B15" s="80"/>
      <c r="C15" s="77" t="s">
        <v>97</v>
      </c>
      <c r="D15" s="75">
        <v>130808.94</v>
      </c>
      <c r="E15" s="39"/>
    </row>
    <row r="16" spans="1:5" s="69" customFormat="1" hidden="1" outlineLevel="1" x14ac:dyDescent="0.3">
      <c r="B16" s="76" t="s">
        <v>9</v>
      </c>
      <c r="C16" s="77" t="s">
        <v>98</v>
      </c>
      <c r="D16" s="75">
        <v>7101374.6992175998</v>
      </c>
      <c r="E16" s="39" t="s">
        <v>99</v>
      </c>
    </row>
    <row r="17" spans="2:5" s="69" customFormat="1" hidden="1" outlineLevel="1" x14ac:dyDescent="0.3">
      <c r="B17" s="79"/>
      <c r="C17" s="77" t="s">
        <v>100</v>
      </c>
      <c r="D17" s="75">
        <v>43621693.310883299</v>
      </c>
      <c r="E17" s="39"/>
    </row>
    <row r="18" spans="2:5" s="69" customFormat="1" hidden="1" outlineLevel="1" x14ac:dyDescent="0.3">
      <c r="B18" s="79"/>
      <c r="C18" s="77" t="s">
        <v>101</v>
      </c>
      <c r="D18" s="75">
        <v>19951301.955625799</v>
      </c>
      <c r="E18" s="39"/>
    </row>
    <row r="19" spans="2:5" s="69" customFormat="1" hidden="1" outlineLevel="1" x14ac:dyDescent="0.3">
      <c r="B19" s="79"/>
      <c r="C19" s="77" t="s">
        <v>102</v>
      </c>
      <c r="D19" s="75">
        <v>10045172.51</v>
      </c>
      <c r="E19" s="39"/>
    </row>
    <row r="20" spans="2:5" s="69" customFormat="1" hidden="1" outlineLevel="1" x14ac:dyDescent="0.3">
      <c r="B20" s="79"/>
      <c r="C20" s="77" t="s">
        <v>103</v>
      </c>
      <c r="D20" s="75">
        <v>6835478.75</v>
      </c>
      <c r="E20" s="39"/>
    </row>
    <row r="21" spans="2:5" s="69" customFormat="1" hidden="1" outlineLevel="1" x14ac:dyDescent="0.3">
      <c r="B21" s="80"/>
      <c r="C21" s="77" t="s">
        <v>104</v>
      </c>
      <c r="D21" s="75">
        <v>433251.01</v>
      </c>
      <c r="E21" s="39"/>
    </row>
    <row r="22" spans="2:5" s="69" customFormat="1" hidden="1" outlineLevel="1" x14ac:dyDescent="0.3">
      <c r="B22" s="76" t="s">
        <v>10</v>
      </c>
      <c r="C22" s="77" t="s">
        <v>105</v>
      </c>
      <c r="D22" s="75">
        <v>3973022.5121983299</v>
      </c>
      <c r="E22" s="39" t="s">
        <v>99</v>
      </c>
    </row>
    <row r="23" spans="2:5" s="69" customFormat="1" hidden="1" outlineLevel="1" x14ac:dyDescent="0.3">
      <c r="B23" s="79"/>
      <c r="C23" s="77" t="s">
        <v>106</v>
      </c>
      <c r="D23" s="75">
        <v>7609426.8442382803</v>
      </c>
      <c r="E23" s="39" t="s">
        <v>99</v>
      </c>
    </row>
    <row r="24" spans="2:5" s="69" customFormat="1" hidden="1" outlineLevel="1" x14ac:dyDescent="0.3">
      <c r="B24" s="79"/>
      <c r="C24" s="77" t="s">
        <v>107</v>
      </c>
      <c r="D24" s="75">
        <v>27387868.630245298</v>
      </c>
      <c r="E24" s="39"/>
    </row>
    <row r="25" spans="2:5" s="69" customFormat="1" hidden="1" outlineLevel="1" x14ac:dyDescent="0.3">
      <c r="B25" s="79"/>
      <c r="C25" s="77" t="s">
        <v>108</v>
      </c>
      <c r="D25" s="75">
        <v>8798801.4669140596</v>
      </c>
      <c r="E25" s="39"/>
    </row>
    <row r="26" spans="2:5" s="69" customFormat="1" hidden="1" outlineLevel="1" x14ac:dyDescent="0.3">
      <c r="B26" s="79"/>
      <c r="C26" s="77" t="s">
        <v>109</v>
      </c>
      <c r="D26" s="75">
        <v>3136827.9534089998</v>
      </c>
      <c r="E26" s="39"/>
    </row>
    <row r="27" spans="2:5" s="69" customFormat="1" hidden="1" outlineLevel="1" x14ac:dyDescent="0.3">
      <c r="B27" s="80"/>
      <c r="C27" s="77" t="s">
        <v>110</v>
      </c>
      <c r="D27" s="75">
        <v>239684.33</v>
      </c>
      <c r="E27" s="39"/>
    </row>
    <row r="28" spans="2:5" s="69" customFormat="1" hidden="1" outlineLevel="1" x14ac:dyDescent="0.3">
      <c r="B28" s="76" t="s">
        <v>11</v>
      </c>
      <c r="C28" s="77" t="s">
        <v>111</v>
      </c>
      <c r="D28" s="75">
        <v>3401058.26</v>
      </c>
      <c r="E28" s="39" t="s">
        <v>99</v>
      </c>
    </row>
    <row r="29" spans="2:5" s="69" customFormat="1" hidden="1" outlineLevel="1" x14ac:dyDescent="0.3">
      <c r="B29" s="79"/>
      <c r="C29" s="77" t="s">
        <v>112</v>
      </c>
      <c r="D29" s="75">
        <v>3964789.3650983898</v>
      </c>
      <c r="E29" s="39" t="s">
        <v>99</v>
      </c>
    </row>
    <row r="30" spans="2:5" s="69" customFormat="1" hidden="1" outlineLevel="1" x14ac:dyDescent="0.3">
      <c r="B30" s="79"/>
      <c r="C30" s="77" t="s">
        <v>113</v>
      </c>
      <c r="D30" s="75">
        <v>29827746.356943801</v>
      </c>
      <c r="E30" s="39" t="s">
        <v>99</v>
      </c>
    </row>
    <row r="31" spans="2:5" s="69" customFormat="1" hidden="1" outlineLevel="1" x14ac:dyDescent="0.3">
      <c r="B31" s="79"/>
      <c r="C31" s="77" t="s">
        <v>114</v>
      </c>
      <c r="D31" s="75">
        <v>6667194.2088691201</v>
      </c>
      <c r="E31" s="39"/>
    </row>
    <row r="32" spans="2:5" s="69" customFormat="1" hidden="1" outlineLevel="1" x14ac:dyDescent="0.3">
      <c r="B32" s="79"/>
      <c r="C32" s="77" t="s">
        <v>115</v>
      </c>
      <c r="D32" s="75">
        <v>2844654.68</v>
      </c>
      <c r="E32" s="39"/>
    </row>
    <row r="33" spans="2:5" s="69" customFormat="1" hidden="1" outlineLevel="1" x14ac:dyDescent="0.3">
      <c r="B33" s="79"/>
      <c r="C33" s="77" t="s">
        <v>116</v>
      </c>
      <c r="D33" s="75">
        <v>105618.16</v>
      </c>
      <c r="E33" s="39"/>
    </row>
    <row r="34" spans="2:5" s="69" customFormat="1" hidden="1" outlineLevel="1" x14ac:dyDescent="0.3">
      <c r="B34" s="80"/>
      <c r="C34" s="77" t="s">
        <v>117</v>
      </c>
      <c r="D34" s="75">
        <v>33194.76</v>
      </c>
      <c r="E34" s="39"/>
    </row>
    <row r="35" spans="2:5" s="69" customFormat="1" hidden="1" outlineLevel="1" x14ac:dyDescent="0.3">
      <c r="B35" s="76" t="s">
        <v>12</v>
      </c>
      <c r="C35" s="77" t="s">
        <v>118</v>
      </c>
      <c r="D35" s="75">
        <v>1420013.4</v>
      </c>
      <c r="E35" s="39" t="s">
        <v>99</v>
      </c>
    </row>
    <row r="36" spans="2:5" s="69" customFormat="1" hidden="1" outlineLevel="1" x14ac:dyDescent="0.3">
      <c r="B36" s="79"/>
      <c r="C36" s="77" t="s">
        <v>119</v>
      </c>
      <c r="D36" s="75">
        <v>1869955.93</v>
      </c>
      <c r="E36" s="39" t="s">
        <v>99</v>
      </c>
    </row>
    <row r="37" spans="2:5" s="69" customFormat="1" hidden="1" outlineLevel="1" x14ac:dyDescent="0.3">
      <c r="B37" s="79"/>
      <c r="C37" s="77" t="s">
        <v>120</v>
      </c>
      <c r="D37" s="75">
        <v>14013342.215</v>
      </c>
      <c r="E37" s="39" t="s">
        <v>99</v>
      </c>
    </row>
    <row r="38" spans="2:5" s="69" customFormat="1" hidden="1" outlineLevel="1" x14ac:dyDescent="0.3">
      <c r="B38" s="79"/>
      <c r="C38" s="77" t="s">
        <v>121</v>
      </c>
      <c r="D38" s="75">
        <v>14850419.6471928</v>
      </c>
      <c r="E38" s="39" t="s">
        <v>99</v>
      </c>
    </row>
    <row r="39" spans="2:5" s="69" customFormat="1" hidden="1" outlineLevel="1" x14ac:dyDescent="0.3">
      <c r="B39" s="79"/>
      <c r="C39" s="77" t="s">
        <v>122</v>
      </c>
      <c r="D39" s="75">
        <v>3556949.45</v>
      </c>
      <c r="E39" s="39"/>
    </row>
    <row r="40" spans="2:5" s="69" customFormat="1" hidden="1" outlineLevel="1" x14ac:dyDescent="0.3">
      <c r="B40" s="80"/>
      <c r="C40" s="77" t="s">
        <v>123</v>
      </c>
      <c r="D40" s="75">
        <v>0</v>
      </c>
      <c r="E40" s="39"/>
    </row>
    <row r="41" spans="2:5" s="69" customFormat="1" hidden="1" outlineLevel="1" x14ac:dyDescent="0.3">
      <c r="B41" s="76" t="s">
        <v>13</v>
      </c>
      <c r="C41" s="77" t="s">
        <v>124</v>
      </c>
      <c r="D41" s="75">
        <v>623482.32999999996</v>
      </c>
      <c r="E41" s="39" t="s">
        <v>99</v>
      </c>
    </row>
    <row r="42" spans="2:5" s="69" customFormat="1" hidden="1" outlineLevel="1" x14ac:dyDescent="0.3">
      <c r="B42" s="79"/>
      <c r="C42" s="77" t="s">
        <v>125</v>
      </c>
      <c r="D42" s="75">
        <v>1344742.59</v>
      </c>
      <c r="E42" s="39" t="s">
        <v>99</v>
      </c>
    </row>
    <row r="43" spans="2:5" s="69" customFormat="1" hidden="1" outlineLevel="1" x14ac:dyDescent="0.3">
      <c r="B43" s="79"/>
      <c r="C43" s="77" t="s">
        <v>126</v>
      </c>
      <c r="D43" s="75">
        <v>3670791.1642539599</v>
      </c>
      <c r="E43" s="39" t="s">
        <v>99</v>
      </c>
    </row>
    <row r="44" spans="2:5" s="69" customFormat="1" hidden="1" outlineLevel="1" x14ac:dyDescent="0.3">
      <c r="B44" s="79"/>
      <c r="C44" s="77" t="s">
        <v>127</v>
      </c>
      <c r="D44" s="75">
        <v>5571150.1100000003</v>
      </c>
      <c r="E44" s="39" t="s">
        <v>99</v>
      </c>
    </row>
    <row r="45" spans="2:5" s="69" customFormat="1" hidden="1" outlineLevel="1" x14ac:dyDescent="0.3">
      <c r="B45" s="79"/>
      <c r="C45" s="77" t="s">
        <v>128</v>
      </c>
      <c r="D45" s="75">
        <v>3869773.6860223599</v>
      </c>
      <c r="E45" s="39" t="s">
        <v>99</v>
      </c>
    </row>
    <row r="46" spans="2:5" s="69" customFormat="1" hidden="1" outlineLevel="1" x14ac:dyDescent="0.3">
      <c r="B46" s="80"/>
      <c r="C46" s="77" t="s">
        <v>129</v>
      </c>
      <c r="D46" s="75">
        <v>0</v>
      </c>
      <c r="E46" s="39"/>
    </row>
    <row r="47" spans="2:5" s="69" customFormat="1" hidden="1" outlineLevel="1" x14ac:dyDescent="0.3">
      <c r="B47" s="76" t="s">
        <v>14</v>
      </c>
      <c r="C47" s="77" t="s">
        <v>130</v>
      </c>
      <c r="D47" s="75">
        <v>0</v>
      </c>
      <c r="E47" s="39"/>
    </row>
    <row r="48" spans="2:5" s="69" customFormat="1" hidden="1" outlineLevel="1" x14ac:dyDescent="0.3">
      <c r="B48" s="79"/>
      <c r="C48" s="77" t="s">
        <v>131</v>
      </c>
      <c r="D48" s="75">
        <v>0</v>
      </c>
      <c r="E48" s="39"/>
    </row>
    <row r="49" spans="2:5" s="69" customFormat="1" hidden="1" outlineLevel="1" x14ac:dyDescent="0.3">
      <c r="B49" s="79"/>
      <c r="C49" s="77" t="s">
        <v>132</v>
      </c>
      <c r="D49" s="75">
        <v>156136.76999999999</v>
      </c>
      <c r="E49" s="39" t="s">
        <v>99</v>
      </c>
    </row>
    <row r="50" spans="2:5" s="69" customFormat="1" hidden="1" outlineLevel="1" x14ac:dyDescent="0.3">
      <c r="B50" s="79"/>
      <c r="C50" s="77" t="s">
        <v>133</v>
      </c>
      <c r="D50" s="75">
        <v>104285.98</v>
      </c>
      <c r="E50" s="39" t="s">
        <v>99</v>
      </c>
    </row>
    <row r="51" spans="2:5" s="69" customFormat="1" hidden="1" outlineLevel="1" x14ac:dyDescent="0.3">
      <c r="B51" s="79"/>
      <c r="C51" s="77" t="s">
        <v>134</v>
      </c>
      <c r="D51" s="75">
        <v>0</v>
      </c>
      <c r="E51" s="39"/>
    </row>
    <row r="52" spans="2:5" s="69" customFormat="1" hidden="1" outlineLevel="1" x14ac:dyDescent="0.3">
      <c r="B52" s="80"/>
      <c r="C52" s="77" t="s">
        <v>135</v>
      </c>
      <c r="D52" s="75">
        <v>0</v>
      </c>
      <c r="E52" s="39"/>
    </row>
    <row r="53" spans="2:5" s="69" customFormat="1" hidden="1" outlineLevel="1" x14ac:dyDescent="0.3">
      <c r="B53" s="76" t="s">
        <v>48</v>
      </c>
      <c r="C53" s="77" t="s">
        <v>136</v>
      </c>
      <c r="D53" s="75">
        <v>0</v>
      </c>
      <c r="E53" s="39"/>
    </row>
    <row r="54" spans="2:5" s="69" customFormat="1" hidden="1" outlineLevel="1" x14ac:dyDescent="0.3">
      <c r="B54" s="79"/>
      <c r="C54" s="77" t="s">
        <v>137</v>
      </c>
      <c r="D54" s="75">
        <v>0</v>
      </c>
      <c r="E54" s="39"/>
    </row>
    <row r="55" spans="2:5" s="69" customFormat="1" hidden="1" outlineLevel="1" x14ac:dyDescent="0.3">
      <c r="B55" s="79"/>
      <c r="C55" s="77" t="s">
        <v>138</v>
      </c>
      <c r="D55" s="75">
        <v>16169.5653599875</v>
      </c>
      <c r="E55" s="39"/>
    </row>
    <row r="56" spans="2:5" s="69" customFormat="1" hidden="1" outlineLevel="1" x14ac:dyDescent="0.3">
      <c r="B56" s="79"/>
      <c r="C56" s="77" t="s">
        <v>139</v>
      </c>
      <c r="D56" s="75">
        <v>64785.59</v>
      </c>
      <c r="E56" s="39"/>
    </row>
    <row r="57" spans="2:5" s="69" customFormat="1" hidden="1" outlineLevel="1" x14ac:dyDescent="0.3">
      <c r="B57" s="79"/>
      <c r="C57" s="77" t="s">
        <v>140</v>
      </c>
      <c r="D57" s="75">
        <v>796144.31</v>
      </c>
      <c r="E57" s="39"/>
    </row>
    <row r="58" spans="2:5" s="69" customFormat="1" hidden="1" outlineLevel="1" x14ac:dyDescent="0.3">
      <c r="B58" s="79"/>
      <c r="C58" s="77" t="s">
        <v>141</v>
      </c>
      <c r="D58" s="75">
        <v>0</v>
      </c>
      <c r="E58" s="39"/>
    </row>
    <row r="59" spans="2:5" s="69" customFormat="1" hidden="1" outlineLevel="1" x14ac:dyDescent="0.3">
      <c r="B59" s="80"/>
      <c r="C59" s="77" t="s">
        <v>142</v>
      </c>
      <c r="D59" s="75">
        <v>0</v>
      </c>
      <c r="E59" s="39"/>
    </row>
    <row r="60" spans="2:5" s="69" customFormat="1" collapsed="1" x14ac:dyDescent="0.3">
      <c r="B60" s="73" t="s">
        <v>143</v>
      </c>
      <c r="C60" s="74" t="s">
        <v>91</v>
      </c>
      <c r="D60" s="75">
        <v>10025810874.629601</v>
      </c>
      <c r="E60" s="39"/>
    </row>
    <row r="61" spans="2:5" s="69" customFormat="1" hidden="1" outlineLevel="1" x14ac:dyDescent="0.3">
      <c r="B61" s="76" t="s">
        <v>58</v>
      </c>
      <c r="C61" s="77" t="s">
        <v>144</v>
      </c>
      <c r="D61" s="75">
        <v>175071799.08843899</v>
      </c>
      <c r="E61" s="39"/>
    </row>
    <row r="62" spans="2:5" s="69" customFormat="1" hidden="1" outlineLevel="1" x14ac:dyDescent="0.3">
      <c r="B62" s="79"/>
      <c r="C62" s="77" t="s">
        <v>145</v>
      </c>
      <c r="D62" s="75">
        <v>45201479.827824302</v>
      </c>
      <c r="E62" s="39"/>
    </row>
    <row r="63" spans="2:5" s="69" customFormat="1" hidden="1" outlineLevel="1" x14ac:dyDescent="0.3">
      <c r="B63" s="79"/>
      <c r="C63" s="77" t="s">
        <v>146</v>
      </c>
      <c r="D63" s="75">
        <v>1677257.17</v>
      </c>
      <c r="E63" s="39"/>
    </row>
    <row r="64" spans="2:5" s="69" customFormat="1" hidden="1" outlineLevel="1" x14ac:dyDescent="0.3">
      <c r="B64" s="79"/>
      <c r="C64" s="77" t="s">
        <v>147</v>
      </c>
      <c r="D64" s="75">
        <v>0</v>
      </c>
      <c r="E64" s="39"/>
    </row>
    <row r="65" spans="2:5" s="69" customFormat="1" hidden="1" outlineLevel="1" x14ac:dyDescent="0.3">
      <c r="B65" s="80"/>
      <c r="C65" s="77" t="s">
        <v>148</v>
      </c>
      <c r="D65" s="75">
        <v>0</v>
      </c>
      <c r="E65" s="39"/>
    </row>
    <row r="66" spans="2:5" s="69" customFormat="1" hidden="1" outlineLevel="1" x14ac:dyDescent="0.3">
      <c r="B66" s="76" t="s">
        <v>71</v>
      </c>
      <c r="C66" s="77" t="s">
        <v>149</v>
      </c>
      <c r="D66" s="75">
        <v>284336138.76024997</v>
      </c>
      <c r="E66" s="39"/>
    </row>
    <row r="67" spans="2:5" s="69" customFormat="1" hidden="1" outlineLevel="1" x14ac:dyDescent="0.3">
      <c r="B67" s="79"/>
      <c r="C67" s="77" t="s">
        <v>150</v>
      </c>
      <c r="D67" s="75">
        <v>19388611.531820402</v>
      </c>
      <c r="E67" s="39"/>
    </row>
    <row r="68" spans="2:5" s="69" customFormat="1" hidden="1" outlineLevel="1" x14ac:dyDescent="0.3">
      <c r="B68" s="79"/>
      <c r="C68" s="77" t="s">
        <v>151</v>
      </c>
      <c r="D68" s="75">
        <v>1030944.8</v>
      </c>
      <c r="E68" s="39"/>
    </row>
    <row r="69" spans="2:5" s="69" customFormat="1" hidden="1" outlineLevel="1" x14ac:dyDescent="0.3">
      <c r="B69" s="79"/>
      <c r="C69" s="77" t="s">
        <v>152</v>
      </c>
      <c r="D69" s="75">
        <v>0</v>
      </c>
      <c r="E69" s="39"/>
    </row>
    <row r="70" spans="2:5" s="69" customFormat="1" hidden="1" outlineLevel="1" x14ac:dyDescent="0.3">
      <c r="B70" s="79"/>
      <c r="C70" s="77" t="s">
        <v>153</v>
      </c>
      <c r="D70" s="75">
        <v>0</v>
      </c>
      <c r="E70" s="39"/>
    </row>
    <row r="71" spans="2:5" s="69" customFormat="1" hidden="1" outlineLevel="1" x14ac:dyDescent="0.3">
      <c r="B71" s="80"/>
      <c r="C71" s="77" t="s">
        <v>154</v>
      </c>
      <c r="D71" s="75">
        <v>33194.76</v>
      </c>
      <c r="E71" s="39"/>
    </row>
    <row r="72" spans="2:5" s="69" customFormat="1" hidden="1" outlineLevel="1" x14ac:dyDescent="0.3">
      <c r="B72" s="76" t="s">
        <v>69</v>
      </c>
      <c r="C72" s="77" t="s">
        <v>155</v>
      </c>
      <c r="D72" s="75">
        <v>72216538.133876696</v>
      </c>
      <c r="E72" s="39"/>
    </row>
    <row r="73" spans="2:5" s="69" customFormat="1" hidden="1" outlineLevel="1" x14ac:dyDescent="0.3">
      <c r="B73" s="79"/>
      <c r="C73" s="77" t="s">
        <v>156</v>
      </c>
      <c r="D73" s="75">
        <v>178089784.437462</v>
      </c>
      <c r="E73" s="39"/>
    </row>
    <row r="74" spans="2:5" s="69" customFormat="1" hidden="1" outlineLevel="1" x14ac:dyDescent="0.3">
      <c r="B74" s="79"/>
      <c r="C74" s="77" t="s">
        <v>157</v>
      </c>
      <c r="D74" s="75">
        <v>1396638.44</v>
      </c>
      <c r="E74" s="39"/>
    </row>
    <row r="75" spans="2:5" s="69" customFormat="1" hidden="1" outlineLevel="1" x14ac:dyDescent="0.3">
      <c r="B75" s="79"/>
      <c r="C75" s="77" t="s">
        <v>158</v>
      </c>
      <c r="D75" s="75">
        <v>0</v>
      </c>
      <c r="E75" s="39"/>
    </row>
    <row r="76" spans="2:5" s="69" customFormat="1" hidden="1" outlineLevel="1" x14ac:dyDescent="0.3">
      <c r="B76" s="80"/>
      <c r="C76" s="77" t="s">
        <v>159</v>
      </c>
      <c r="D76" s="75">
        <v>0</v>
      </c>
      <c r="E76" s="39"/>
    </row>
    <row r="77" spans="2:5" s="69" customFormat="1" hidden="1" outlineLevel="1" x14ac:dyDescent="0.3">
      <c r="B77" s="76" t="s">
        <v>72</v>
      </c>
      <c r="C77" s="77" t="s">
        <v>160</v>
      </c>
      <c r="D77" s="75">
        <v>20855659.158238199</v>
      </c>
      <c r="E77" s="39"/>
    </row>
    <row r="78" spans="2:5" s="69" customFormat="1" hidden="1" outlineLevel="1" x14ac:dyDescent="0.3">
      <c r="B78" s="79"/>
      <c r="C78" s="77" t="s">
        <v>161</v>
      </c>
      <c r="D78" s="75">
        <v>91731119.027228907</v>
      </c>
      <c r="E78" s="39"/>
    </row>
    <row r="79" spans="2:5" s="69" customFormat="1" hidden="1" outlineLevel="1" x14ac:dyDescent="0.3">
      <c r="B79" s="79"/>
      <c r="C79" s="77" t="s">
        <v>162</v>
      </c>
      <c r="D79" s="75">
        <v>26867352.336523999</v>
      </c>
      <c r="E79" s="39"/>
    </row>
    <row r="80" spans="2:5" s="69" customFormat="1" hidden="1" outlineLevel="1" x14ac:dyDescent="0.3">
      <c r="B80" s="79"/>
      <c r="C80" s="77" t="s">
        <v>163</v>
      </c>
      <c r="D80" s="75">
        <v>0</v>
      </c>
      <c r="E80" s="39"/>
    </row>
    <row r="81" spans="2:5" s="69" customFormat="1" hidden="1" outlineLevel="1" x14ac:dyDescent="0.3">
      <c r="B81" s="80"/>
      <c r="C81" s="77" t="s">
        <v>164</v>
      </c>
      <c r="D81" s="75">
        <v>0</v>
      </c>
      <c r="E81" s="39"/>
    </row>
    <row r="82" spans="2:5" s="69" customFormat="1" hidden="1" outlineLevel="1" x14ac:dyDescent="0.3">
      <c r="B82" s="76" t="s">
        <v>65</v>
      </c>
      <c r="C82" s="77" t="s">
        <v>165</v>
      </c>
      <c r="D82" s="75">
        <v>6595085.2800000003</v>
      </c>
      <c r="E82" s="39"/>
    </row>
    <row r="83" spans="2:5" s="69" customFormat="1" hidden="1" outlineLevel="1" x14ac:dyDescent="0.3">
      <c r="B83" s="79"/>
      <c r="C83" s="77" t="s">
        <v>166</v>
      </c>
      <c r="D83" s="75">
        <v>36776141.5214011</v>
      </c>
      <c r="E83" s="39"/>
    </row>
    <row r="84" spans="2:5" s="69" customFormat="1" hidden="1" outlineLevel="1" x14ac:dyDescent="0.3">
      <c r="B84" s="79"/>
      <c r="C84" s="77" t="s">
        <v>167</v>
      </c>
      <c r="D84" s="75">
        <v>28269489.170000002</v>
      </c>
      <c r="E84" s="39"/>
    </row>
    <row r="85" spans="2:5" s="69" customFormat="1" hidden="1" outlineLevel="1" x14ac:dyDescent="0.3">
      <c r="B85" s="79"/>
      <c r="C85" s="77" t="s">
        <v>168</v>
      </c>
      <c r="D85" s="75">
        <v>1672281.5</v>
      </c>
      <c r="E85" s="39"/>
    </row>
    <row r="86" spans="2:5" s="69" customFormat="1" hidden="1" outlineLevel="1" x14ac:dyDescent="0.3">
      <c r="B86" s="80"/>
      <c r="C86" s="77" t="s">
        <v>169</v>
      </c>
      <c r="D86" s="75">
        <v>0</v>
      </c>
      <c r="E86" s="39"/>
    </row>
    <row r="87" spans="2:5" s="69" customFormat="1" hidden="1" outlineLevel="1" x14ac:dyDescent="0.3">
      <c r="B87" s="76" t="s">
        <v>79</v>
      </c>
      <c r="C87" s="77" t="s">
        <v>170</v>
      </c>
      <c r="D87" s="75">
        <v>16787544.489392601</v>
      </c>
      <c r="E87" s="39"/>
    </row>
    <row r="88" spans="2:5" s="69" customFormat="1" hidden="1" outlineLevel="1" x14ac:dyDescent="0.3">
      <c r="B88" s="79"/>
      <c r="C88" s="77" t="s">
        <v>171</v>
      </c>
      <c r="D88" s="75">
        <v>24993614.663849</v>
      </c>
      <c r="E88" s="39"/>
    </row>
    <row r="89" spans="2:5" s="69" customFormat="1" hidden="1" outlineLevel="1" x14ac:dyDescent="0.3">
      <c r="B89" s="79"/>
      <c r="C89" s="77" t="s">
        <v>172</v>
      </c>
      <c r="D89" s="75">
        <v>35873198.444193199</v>
      </c>
      <c r="E89" s="39"/>
    </row>
    <row r="90" spans="2:5" s="69" customFormat="1" hidden="1" outlineLevel="1" x14ac:dyDescent="0.3">
      <c r="B90" s="79"/>
      <c r="C90" s="77" t="s">
        <v>173</v>
      </c>
      <c r="D90" s="75">
        <v>7892874.6399999997</v>
      </c>
      <c r="E90" s="39"/>
    </row>
    <row r="91" spans="2:5" s="69" customFormat="1" hidden="1" outlineLevel="1" x14ac:dyDescent="0.3">
      <c r="B91" s="80"/>
      <c r="C91" s="77" t="s">
        <v>174</v>
      </c>
      <c r="D91" s="75">
        <v>422252.98</v>
      </c>
      <c r="E91" s="39"/>
    </row>
    <row r="92" spans="2:5" s="69" customFormat="1" hidden="1" outlineLevel="1" x14ac:dyDescent="0.3">
      <c r="B92" s="76" t="s">
        <v>48</v>
      </c>
      <c r="C92" s="77" t="s">
        <v>175</v>
      </c>
      <c r="D92" s="75">
        <v>4807020905.1927404</v>
      </c>
      <c r="E92" s="39"/>
    </row>
    <row r="93" spans="2:5" s="69" customFormat="1" hidden="1" outlineLevel="1" x14ac:dyDescent="0.3">
      <c r="B93" s="79"/>
      <c r="C93" s="77" t="s">
        <v>176</v>
      </c>
      <c r="D93" s="75">
        <v>3399983784.6324902</v>
      </c>
      <c r="E93" s="39"/>
    </row>
    <row r="94" spans="2:5" s="69" customFormat="1" hidden="1" outlineLevel="1" x14ac:dyDescent="0.3">
      <c r="B94" s="79"/>
      <c r="C94" s="77" t="s">
        <v>177</v>
      </c>
      <c r="D94" s="75">
        <v>678367800.06131995</v>
      </c>
      <c r="E94" s="39"/>
    </row>
    <row r="95" spans="2:5" s="69" customFormat="1" hidden="1" outlineLevel="1" x14ac:dyDescent="0.3">
      <c r="B95" s="79"/>
      <c r="C95" s="77" t="s">
        <v>178</v>
      </c>
      <c r="D95" s="75">
        <v>63026569.502617903</v>
      </c>
      <c r="E95" s="39"/>
    </row>
    <row r="96" spans="2:5" s="69" customFormat="1" hidden="1" outlineLevel="1" x14ac:dyDescent="0.3">
      <c r="B96" s="79"/>
      <c r="C96" s="77" t="s">
        <v>179</v>
      </c>
      <c r="D96" s="75">
        <v>232815.08</v>
      </c>
      <c r="E96" s="39"/>
    </row>
    <row r="97" spans="1:5" s="69" customFormat="1" hidden="1" outlineLevel="1" x14ac:dyDescent="0.3">
      <c r="B97" s="80"/>
      <c r="C97" s="77" t="s">
        <v>180</v>
      </c>
      <c r="D97" s="75">
        <v>0</v>
      </c>
      <c r="E97" s="39"/>
    </row>
    <row r="98" spans="1:5" s="69" customFormat="1" collapsed="1" x14ac:dyDescent="0.3">
      <c r="B98" s="81" t="s">
        <v>181</v>
      </c>
      <c r="C98" s="82" t="s">
        <v>182</v>
      </c>
      <c r="D98" s="83">
        <v>22179548.878999501</v>
      </c>
      <c r="E98" s="39"/>
    </row>
    <row r="99" spans="1:5" s="69" customFormat="1" x14ac:dyDescent="0.3">
      <c r="B99" s="84"/>
      <c r="C99" s="84"/>
      <c r="D99" s="85"/>
      <c r="E99" s="39"/>
    </row>
    <row r="100" spans="1:5" hidden="1" x14ac:dyDescent="0.3">
      <c r="A100" t="s">
        <v>183</v>
      </c>
    </row>
    <row r="101" spans="1:5" hidden="1" x14ac:dyDescent="0.3"/>
    <row r="102" spans="1:5" hidden="1" x14ac:dyDescent="0.3"/>
    <row r="103" spans="1:5" ht="14.4" customHeight="1" x14ac:dyDescent="0.3"/>
    <row r="104" spans="1:5" ht="14.4" customHeight="1" x14ac:dyDescent="0.3"/>
  </sheetData>
  <mergeCells count="15">
    <mergeCell ref="B82:B86"/>
    <mergeCell ref="B87:B91"/>
    <mergeCell ref="B92:B97"/>
    <mergeCell ref="B47:B52"/>
    <mergeCell ref="B53:B59"/>
    <mergeCell ref="B61:B65"/>
    <mergeCell ref="B66:B71"/>
    <mergeCell ref="B72:B76"/>
    <mergeCell ref="B77:B81"/>
    <mergeCell ref="B10:B15"/>
    <mergeCell ref="B16:B21"/>
    <mergeCell ref="B22:B27"/>
    <mergeCell ref="B28:B34"/>
    <mergeCell ref="B35:B40"/>
    <mergeCell ref="B41:B4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1"/>
  <sheetViews>
    <sheetView showGridLines="0" zoomScale="80" zoomScaleNormal="80" workbookViewId="0">
      <pane ySplit="6" topLeftCell="A7" activePane="bottomLeft" state="frozen"/>
      <selection pane="bottomLeft"/>
    </sheetView>
  </sheetViews>
  <sheetFormatPr defaultColWidth="0" defaultRowHeight="0" customHeight="1" zeroHeight="1" outlineLevelRow="2" x14ac:dyDescent="0.3"/>
  <cols>
    <col min="1" max="1" width="3.6640625" customWidth="1"/>
    <col min="2" max="2" width="19.44140625" bestFit="1" customWidth="1"/>
    <col min="3" max="3" width="23.33203125" customWidth="1"/>
    <col min="4" max="4" width="21.33203125" customWidth="1"/>
    <col min="5" max="6" width="25.6640625" customWidth="1"/>
    <col min="7" max="7" width="3.6640625" customWidth="1"/>
    <col min="8" max="8" width="9.109375" customWidth="1"/>
    <col min="9" max="9" width="19.33203125" customWidth="1"/>
    <col min="10" max="10" width="10.5546875" customWidth="1"/>
    <col min="11" max="11" width="10.88671875" customWidth="1"/>
    <col min="12" max="12" width="15.88671875" customWidth="1"/>
    <col min="13" max="13" width="11.33203125" customWidth="1"/>
    <col min="14" max="14" width="13.5546875" customWidth="1"/>
    <col min="15" max="15" width="17.5546875" customWidth="1"/>
    <col min="16" max="16" width="3.6640625" customWidth="1"/>
    <col min="17" max="16384" width="9.109375" hidden="1"/>
  </cols>
  <sheetData>
    <row r="1" spans="1:16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4.4" x14ac:dyDescent="0.3"/>
    <row r="8" spans="1:16" ht="14.4" outlineLevel="2" x14ac:dyDescent="0.3">
      <c r="B8" s="5"/>
      <c r="C8" s="41" t="s">
        <v>46</v>
      </c>
      <c r="D8" s="41" t="s">
        <v>47</v>
      </c>
      <c r="E8" s="41" t="s">
        <v>48</v>
      </c>
    </row>
    <row r="9" spans="1:16" ht="14.4" outlineLevel="2" x14ac:dyDescent="0.3">
      <c r="B9" s="5" t="s">
        <v>49</v>
      </c>
      <c r="C9" s="42">
        <f>COUNTIFS(N:N,"1-REAL",I:I,B9)
+COUNTIFS(N:N,"SANTANDER",I:I,B9)
+COUNTIFS(N:N,"-",I:I,B9)</f>
        <v>43</v>
      </c>
      <c r="D9" s="43">
        <f>COUNTIFS(N:N,"2-MUY ALTA",I:I,B9)
+ COUNTIFS(N:N,"3-ALTA",I:I,B9)
+COUNTIFS(N:N,"4-MEDIA",I:I,B9)
+COUNTIFS(N:N,"5-MEDIA BAJA",I:I,B9)
+COUNTIFS(N:N,"6-BAJA",I:I,B9)</f>
        <v>101</v>
      </c>
      <c r="E9" s="43">
        <f>COUNTIFS(N:N,"7-SIN DATO",I:I,B9)
+COUNTIFS(N:N,"NULL",I:I,B9)</f>
        <v>2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184</v>
      </c>
    </row>
    <row r="10" spans="1:16" ht="14.4" outlineLevel="2" x14ac:dyDescent="0.3">
      <c r="B10" s="5" t="s">
        <v>55</v>
      </c>
      <c r="C10" s="42">
        <f>COUNTIFS(N:N,"1-REAL",I:I,B10)
+COUNTIFS(N:N,"SANTANDER",I:I,B10)
+COUNTIFS(N:N,"-",I:I,B10)</f>
        <v>87</v>
      </c>
      <c r="D10" s="43">
        <f t="shared" ref="D10:D11" si="0">COUNTIFS(N:N,"2-MUY ALTA",I:I,B10)
+ COUNTIFS(N:N,"3-ALTA",I:I,B10)
+COUNTIFS(N:N,"4-MEDIA",I:I,B10)
+COUNTIFS(N:N,"5-MEDIA BAJA",I:I,B10)
+COUNTIFS(N:N,"6-BAJA",I:I,B10)</f>
        <v>117</v>
      </c>
      <c r="E10" s="43">
        <f t="shared" ref="E10:E11" si="1">COUNTIFS(N:N,"7-SIN DATO",I:I,B10)
+COUNTIFS(N:N,"NULL",I:I,B10)</f>
        <v>3</v>
      </c>
      <c r="F10" s="57"/>
      <c r="I10" t="s">
        <v>49</v>
      </c>
      <c r="J10" t="s">
        <v>8</v>
      </c>
      <c r="K10" t="s">
        <v>58</v>
      </c>
      <c r="L10" t="s">
        <v>59</v>
      </c>
      <c r="M10" s="91">
        <v>26640785</v>
      </c>
      <c r="N10" t="s">
        <v>70</v>
      </c>
    </row>
    <row r="11" spans="1:16" ht="14.4" outlineLevel="2" x14ac:dyDescent="0.3">
      <c r="B11" s="5" t="s">
        <v>56</v>
      </c>
      <c r="C11" s="42">
        <f>COUNTIFS(N:N,"1-REAL",I:I,B11)
+COUNTIFS(N:N,"SANTANDER",I:I,B11)
+COUNTIFS(N:N,"-",I:I,B11)</f>
        <v>0</v>
      </c>
      <c r="D11" s="43">
        <f t="shared" si="0"/>
        <v>0</v>
      </c>
      <c r="E11" s="43">
        <f t="shared" si="1"/>
        <v>0</v>
      </c>
      <c r="F11" s="58"/>
      <c r="I11" t="s">
        <v>49</v>
      </c>
      <c r="J11" t="s">
        <v>12</v>
      </c>
      <c r="K11" t="s">
        <v>69</v>
      </c>
      <c r="L11" t="s">
        <v>59</v>
      </c>
      <c r="M11" s="91">
        <v>6162653</v>
      </c>
      <c r="N11" t="s">
        <v>77</v>
      </c>
    </row>
    <row r="12" spans="1:16" ht="14.4" outlineLevel="2" x14ac:dyDescent="0.3">
      <c r="B12" s="5" t="s">
        <v>62</v>
      </c>
      <c r="C12" s="44">
        <f>SUM(C9:E11)</f>
        <v>353</v>
      </c>
      <c r="I12" t="s">
        <v>49</v>
      </c>
      <c r="J12" t="s">
        <v>8</v>
      </c>
      <c r="K12" t="s">
        <v>58</v>
      </c>
      <c r="L12" t="s">
        <v>59</v>
      </c>
      <c r="M12" s="91">
        <v>152642022</v>
      </c>
      <c r="N12" t="s">
        <v>63</v>
      </c>
    </row>
    <row r="13" spans="1:16" ht="14.4" outlineLevel="2" x14ac:dyDescent="0.3">
      <c r="F13" s="50"/>
      <c r="I13" t="s">
        <v>49</v>
      </c>
      <c r="J13" t="s">
        <v>10</v>
      </c>
      <c r="K13" t="s">
        <v>58</v>
      </c>
      <c r="L13" t="s">
        <v>59</v>
      </c>
      <c r="M13" s="91">
        <v>418178957</v>
      </c>
      <c r="N13" t="s">
        <v>63</v>
      </c>
    </row>
    <row r="14" spans="1:16" ht="14.4" outlineLevel="2" x14ac:dyDescent="0.3">
      <c r="B14" s="5"/>
      <c r="C14" s="41" t="s">
        <v>46</v>
      </c>
      <c r="D14" s="41" t="s">
        <v>47</v>
      </c>
      <c r="E14" s="41" t="s">
        <v>48</v>
      </c>
      <c r="F14" s="50"/>
      <c r="I14" t="s">
        <v>55</v>
      </c>
      <c r="J14" t="s">
        <v>14</v>
      </c>
      <c r="K14" t="s">
        <v>69</v>
      </c>
      <c r="L14" t="s">
        <v>59</v>
      </c>
      <c r="M14" s="91">
        <v>11827517</v>
      </c>
      <c r="N14" t="s">
        <v>63</v>
      </c>
    </row>
    <row r="15" spans="1:16" ht="14.4" outlineLevel="2" x14ac:dyDescent="0.3">
      <c r="B15" s="5"/>
      <c r="C15" s="47">
        <f>(C9+C10+C11)/$C$12</f>
        <v>0.36827195467422097</v>
      </c>
      <c r="D15" s="47">
        <f>(D9+D10+D11)/$C$12</f>
        <v>0.61756373937677056</v>
      </c>
      <c r="E15" s="47">
        <f>(E9+E10+E11)/$C$12</f>
        <v>1.4164305949008499E-2</v>
      </c>
      <c r="F15" s="56"/>
      <c r="I15" t="s">
        <v>55</v>
      </c>
      <c r="J15" t="s">
        <v>12</v>
      </c>
      <c r="K15" t="s">
        <v>65</v>
      </c>
      <c r="L15" t="s">
        <v>185</v>
      </c>
      <c r="M15" s="91">
        <v>157690</v>
      </c>
      <c r="N15" t="s">
        <v>60</v>
      </c>
    </row>
    <row r="16" spans="1:16" ht="14.4" outlineLevel="2" x14ac:dyDescent="0.3">
      <c r="B16" s="5" t="s">
        <v>49</v>
      </c>
      <c r="C16" s="47">
        <f t="shared" ref="C16:E18" si="2">C9/$C$12</f>
        <v>0.12181303116147309</v>
      </c>
      <c r="D16" s="47">
        <f t="shared" si="2"/>
        <v>0.28611898016997167</v>
      </c>
      <c r="E16" s="47">
        <f t="shared" si="2"/>
        <v>5.6657223796033997E-3</v>
      </c>
      <c r="I16" t="s">
        <v>55</v>
      </c>
      <c r="J16" t="s">
        <v>9</v>
      </c>
      <c r="K16" t="s">
        <v>58</v>
      </c>
      <c r="L16" t="s">
        <v>59</v>
      </c>
      <c r="M16" s="91">
        <v>262993996</v>
      </c>
      <c r="N16" t="s">
        <v>60</v>
      </c>
    </row>
    <row r="17" spans="2:14" ht="14.4" outlineLevel="2" x14ac:dyDescent="0.3">
      <c r="B17" s="5" t="s">
        <v>55</v>
      </c>
      <c r="C17" s="47">
        <f t="shared" si="2"/>
        <v>0.24645892351274787</v>
      </c>
      <c r="D17" s="47">
        <f t="shared" si="2"/>
        <v>0.33144475920679889</v>
      </c>
      <c r="E17" s="47">
        <f t="shared" si="2"/>
        <v>8.4985835694051E-3</v>
      </c>
      <c r="I17" t="s">
        <v>49</v>
      </c>
      <c r="J17" t="s">
        <v>13</v>
      </c>
      <c r="K17" t="s">
        <v>71</v>
      </c>
      <c r="L17" t="s">
        <v>59</v>
      </c>
      <c r="M17" s="91">
        <v>5441893</v>
      </c>
      <c r="N17" t="s">
        <v>67</v>
      </c>
    </row>
    <row r="18" spans="2:14" ht="14.4" outlineLevel="2" x14ac:dyDescent="0.3">
      <c r="B18" s="5" t="s">
        <v>56</v>
      </c>
      <c r="C18" s="47">
        <f t="shared" si="2"/>
        <v>0</v>
      </c>
      <c r="D18" s="47">
        <f t="shared" si="2"/>
        <v>0</v>
      </c>
      <c r="E18" s="47">
        <f t="shared" si="2"/>
        <v>0</v>
      </c>
      <c r="I18" t="s">
        <v>55</v>
      </c>
      <c r="J18" t="s">
        <v>75</v>
      </c>
      <c r="K18" t="s">
        <v>58</v>
      </c>
      <c r="L18" t="s">
        <v>185</v>
      </c>
      <c r="M18" s="91">
        <v>80866</v>
      </c>
      <c r="N18" t="s">
        <v>63</v>
      </c>
    </row>
    <row r="19" spans="2:14" ht="14.4" outlineLevel="2" x14ac:dyDescent="0.3">
      <c r="B19" s="5" t="s">
        <v>62</v>
      </c>
      <c r="C19" s="48">
        <f>SUM(C16:E18)</f>
        <v>1</v>
      </c>
      <c r="I19" t="s">
        <v>49</v>
      </c>
      <c r="J19" t="s">
        <v>13</v>
      </c>
      <c r="K19" t="s">
        <v>69</v>
      </c>
      <c r="L19" t="s">
        <v>59</v>
      </c>
      <c r="M19" s="91">
        <v>52750868</v>
      </c>
      <c r="N19" t="s">
        <v>63</v>
      </c>
    </row>
    <row r="20" spans="2:14" ht="14.4" outlineLevel="2" x14ac:dyDescent="0.3">
      <c r="D20" s="41"/>
      <c r="I20" t="s">
        <v>55</v>
      </c>
      <c r="J20" t="s">
        <v>13</v>
      </c>
      <c r="K20" t="s">
        <v>72</v>
      </c>
      <c r="L20" t="s">
        <v>59</v>
      </c>
      <c r="M20" s="91">
        <v>83949</v>
      </c>
      <c r="N20" t="s">
        <v>76</v>
      </c>
    </row>
    <row r="21" spans="2:14" ht="14.4" outlineLevel="2" x14ac:dyDescent="0.3">
      <c r="B21" s="5" t="s">
        <v>74</v>
      </c>
      <c r="C21" s="41"/>
      <c r="E21" s="41"/>
      <c r="I21" t="s">
        <v>55</v>
      </c>
      <c r="J21" t="s">
        <v>13</v>
      </c>
      <c r="K21" t="s">
        <v>69</v>
      </c>
      <c r="L21" t="s">
        <v>185</v>
      </c>
      <c r="M21" s="91">
        <v>189004</v>
      </c>
      <c r="N21" t="s">
        <v>63</v>
      </c>
    </row>
    <row r="22" spans="2:14" ht="14.4" outlineLevel="2" x14ac:dyDescent="0.3">
      <c r="B22" s="5" t="s">
        <v>8</v>
      </c>
      <c r="C22" s="42">
        <f t="shared" ref="C22:C31" si="3">COUNTIF(J:J,B22)</f>
        <v>33</v>
      </c>
      <c r="E22" s="5" t="s">
        <v>8</v>
      </c>
      <c r="F22" s="50">
        <f t="shared" ref="F22:F31" si="4">C22/$C$32</f>
        <v>9.3220338983050849E-2</v>
      </c>
      <c r="I22" t="s">
        <v>49</v>
      </c>
      <c r="J22" t="s">
        <v>8</v>
      </c>
      <c r="K22" t="s">
        <v>58</v>
      </c>
      <c r="L22" t="s">
        <v>59</v>
      </c>
      <c r="M22" s="91">
        <v>8598753</v>
      </c>
      <c r="N22" t="s">
        <v>77</v>
      </c>
    </row>
    <row r="23" spans="2:14" ht="14.4" outlineLevel="2" x14ac:dyDescent="0.3">
      <c r="B23" s="5" t="s">
        <v>75</v>
      </c>
      <c r="C23" s="42">
        <f t="shared" si="3"/>
        <v>24</v>
      </c>
      <c r="E23" s="5" t="s">
        <v>75</v>
      </c>
      <c r="F23" s="50">
        <f t="shared" si="4"/>
        <v>6.7796610169491525E-2</v>
      </c>
      <c r="I23" t="s">
        <v>55</v>
      </c>
      <c r="J23" t="s">
        <v>11</v>
      </c>
      <c r="K23" t="s">
        <v>71</v>
      </c>
      <c r="L23" t="s">
        <v>59</v>
      </c>
      <c r="M23" s="91">
        <v>579100811</v>
      </c>
      <c r="N23" t="s">
        <v>60</v>
      </c>
    </row>
    <row r="24" spans="2:14" ht="14.4" outlineLevel="2" x14ac:dyDescent="0.3">
      <c r="B24" s="5" t="s">
        <v>9</v>
      </c>
      <c r="C24" s="42">
        <f t="shared" si="3"/>
        <v>29</v>
      </c>
      <c r="E24" s="5" t="s">
        <v>9</v>
      </c>
      <c r="F24" s="50">
        <f t="shared" si="4"/>
        <v>8.1920903954802254E-2</v>
      </c>
      <c r="I24" t="s">
        <v>49</v>
      </c>
      <c r="J24" t="s">
        <v>10</v>
      </c>
      <c r="K24" t="s">
        <v>69</v>
      </c>
      <c r="L24" t="s">
        <v>59</v>
      </c>
      <c r="M24" s="91">
        <v>614675</v>
      </c>
      <c r="N24" t="s">
        <v>67</v>
      </c>
    </row>
    <row r="25" spans="2:14" ht="14.4" outlineLevel="2" x14ac:dyDescent="0.3">
      <c r="B25" s="5" t="s">
        <v>57</v>
      </c>
      <c r="C25" s="42">
        <f t="shared" si="3"/>
        <v>33</v>
      </c>
      <c r="E25" s="5" t="s">
        <v>57</v>
      </c>
      <c r="F25" s="50">
        <f t="shared" si="4"/>
        <v>9.3220338983050849E-2</v>
      </c>
      <c r="I25" t="s">
        <v>55</v>
      </c>
      <c r="J25" t="s">
        <v>13</v>
      </c>
      <c r="K25" t="s">
        <v>79</v>
      </c>
      <c r="L25" t="s">
        <v>185</v>
      </c>
      <c r="M25" s="91">
        <v>32010</v>
      </c>
      <c r="N25" t="s">
        <v>60</v>
      </c>
    </row>
    <row r="26" spans="2:14" ht="14.4" outlineLevel="2" x14ac:dyDescent="0.3">
      <c r="B26" s="5" t="s">
        <v>10</v>
      </c>
      <c r="C26" s="42">
        <f t="shared" si="3"/>
        <v>44</v>
      </c>
      <c r="E26" s="5" t="s">
        <v>10</v>
      </c>
      <c r="F26" s="50">
        <f t="shared" si="4"/>
        <v>0.12429378531073447</v>
      </c>
      <c r="I26" t="s">
        <v>49</v>
      </c>
      <c r="J26" t="s">
        <v>11</v>
      </c>
      <c r="K26" t="s">
        <v>65</v>
      </c>
      <c r="L26" t="s">
        <v>59</v>
      </c>
      <c r="M26" s="91">
        <v>121400</v>
      </c>
      <c r="N26" t="s">
        <v>60</v>
      </c>
    </row>
    <row r="27" spans="2:14" ht="14.4" outlineLevel="2" x14ac:dyDescent="0.3">
      <c r="B27" s="5" t="s">
        <v>11</v>
      </c>
      <c r="C27" s="42">
        <f t="shared" si="3"/>
        <v>49</v>
      </c>
      <c r="E27" s="5" t="s">
        <v>11</v>
      </c>
      <c r="F27" s="50">
        <f t="shared" si="4"/>
        <v>0.1384180790960452</v>
      </c>
      <c r="I27" t="s">
        <v>55</v>
      </c>
      <c r="J27" t="s">
        <v>13</v>
      </c>
      <c r="K27" t="s">
        <v>65</v>
      </c>
      <c r="L27" t="s">
        <v>185</v>
      </c>
      <c r="M27" s="91">
        <v>196952</v>
      </c>
      <c r="N27" t="s">
        <v>60</v>
      </c>
    </row>
    <row r="28" spans="2:14" ht="14.4" outlineLevel="2" x14ac:dyDescent="0.3">
      <c r="B28" s="5" t="s">
        <v>12</v>
      </c>
      <c r="C28" s="42">
        <f t="shared" si="3"/>
        <v>50</v>
      </c>
      <c r="E28" s="5" t="s">
        <v>12</v>
      </c>
      <c r="F28" s="50">
        <f t="shared" si="4"/>
        <v>0.14124293785310735</v>
      </c>
      <c r="I28" t="s">
        <v>55</v>
      </c>
      <c r="J28" t="s">
        <v>10</v>
      </c>
      <c r="K28" t="s">
        <v>69</v>
      </c>
      <c r="L28" t="s">
        <v>59</v>
      </c>
      <c r="M28" s="91">
        <v>38497850</v>
      </c>
      <c r="N28" t="s">
        <v>60</v>
      </c>
    </row>
    <row r="29" spans="2:14" ht="14.4" outlineLevel="2" x14ac:dyDescent="0.3">
      <c r="B29" s="5" t="s">
        <v>13</v>
      </c>
      <c r="C29" s="42">
        <f t="shared" si="3"/>
        <v>55</v>
      </c>
      <c r="E29" s="5" t="s">
        <v>13</v>
      </c>
      <c r="F29" s="50">
        <f t="shared" si="4"/>
        <v>0.15536723163841809</v>
      </c>
      <c r="I29" t="s">
        <v>49</v>
      </c>
      <c r="J29" t="s">
        <v>9</v>
      </c>
      <c r="K29" t="s">
        <v>71</v>
      </c>
      <c r="L29" t="s">
        <v>59</v>
      </c>
      <c r="M29" s="91">
        <v>19070412</v>
      </c>
      <c r="N29" t="s">
        <v>60</v>
      </c>
    </row>
    <row r="30" spans="2:14" ht="14.4" outlineLevel="2" x14ac:dyDescent="0.3">
      <c r="B30" s="5" t="s">
        <v>14</v>
      </c>
      <c r="C30" s="42">
        <f t="shared" si="3"/>
        <v>28</v>
      </c>
      <c r="E30" s="5" t="s">
        <v>14</v>
      </c>
      <c r="F30" s="50">
        <f t="shared" si="4"/>
        <v>7.909604519774012E-2</v>
      </c>
      <c r="I30" t="s">
        <v>55</v>
      </c>
      <c r="J30" t="s">
        <v>10</v>
      </c>
      <c r="K30" t="s">
        <v>71</v>
      </c>
      <c r="L30" t="s">
        <v>59</v>
      </c>
      <c r="M30" s="91">
        <v>65602847</v>
      </c>
      <c r="N30" t="s">
        <v>63</v>
      </c>
    </row>
    <row r="31" spans="2:14" ht="14.4" outlineLevel="2" x14ac:dyDescent="0.3">
      <c r="B31" s="5" t="s">
        <v>78</v>
      </c>
      <c r="C31" s="42">
        <f t="shared" si="3"/>
        <v>9</v>
      </c>
      <c r="E31" s="5" t="s">
        <v>78</v>
      </c>
      <c r="F31" s="50">
        <f t="shared" si="4"/>
        <v>2.5423728813559324E-2</v>
      </c>
      <c r="I31" t="s">
        <v>55</v>
      </c>
      <c r="J31" t="s">
        <v>10</v>
      </c>
      <c r="K31" t="s">
        <v>71</v>
      </c>
      <c r="L31" t="s">
        <v>185</v>
      </c>
      <c r="M31" s="91">
        <v>1362918</v>
      </c>
      <c r="N31" t="s">
        <v>60</v>
      </c>
    </row>
    <row r="32" spans="2:14" ht="14.4" outlineLevel="2" x14ac:dyDescent="0.3">
      <c r="B32" s="5" t="s">
        <v>62</v>
      </c>
      <c r="C32" s="45">
        <f>SUM(C22:C31)</f>
        <v>354</v>
      </c>
      <c r="I32" t="s">
        <v>55</v>
      </c>
      <c r="J32" t="s">
        <v>75</v>
      </c>
      <c r="K32" t="s">
        <v>58</v>
      </c>
      <c r="L32" t="s">
        <v>59</v>
      </c>
      <c r="M32" s="91">
        <v>31295036</v>
      </c>
      <c r="N32" t="s">
        <v>77</v>
      </c>
    </row>
    <row r="33" spans="2:14" ht="14.4" outlineLevel="2" x14ac:dyDescent="0.3">
      <c r="I33" t="s">
        <v>55</v>
      </c>
      <c r="J33" t="s">
        <v>12</v>
      </c>
      <c r="K33" t="s">
        <v>71</v>
      </c>
      <c r="L33" t="s">
        <v>59</v>
      </c>
      <c r="M33" s="91">
        <v>103036305</v>
      </c>
      <c r="N33" t="s">
        <v>67</v>
      </c>
    </row>
    <row r="34" spans="2:14" ht="14.4" outlineLevel="2" x14ac:dyDescent="0.3">
      <c r="B34" s="49" t="s">
        <v>58</v>
      </c>
      <c r="C34" s="42">
        <f t="shared" ref="C34:C39" si="5">COUNTIF($K$10:$K$490,B34)</f>
        <v>103</v>
      </c>
      <c r="E34" s="5" t="s">
        <v>2</v>
      </c>
      <c r="F34" s="50">
        <f t="shared" ref="F34:F40" si="6">C34/$C$41</f>
        <v>0.29096045197740111</v>
      </c>
      <c r="I34" t="s">
        <v>49</v>
      </c>
      <c r="J34" t="s">
        <v>10</v>
      </c>
      <c r="K34" t="s">
        <v>71</v>
      </c>
      <c r="L34" t="s">
        <v>59</v>
      </c>
      <c r="M34" s="91">
        <v>29407467</v>
      </c>
      <c r="N34" t="s">
        <v>60</v>
      </c>
    </row>
    <row r="35" spans="2:14" ht="14.4" outlineLevel="2" x14ac:dyDescent="0.3">
      <c r="B35" s="49" t="s">
        <v>71</v>
      </c>
      <c r="C35" s="42">
        <f t="shared" si="5"/>
        <v>89</v>
      </c>
      <c r="E35" s="5" t="s">
        <v>3</v>
      </c>
      <c r="F35" s="50">
        <f t="shared" si="6"/>
        <v>0.25141242937853109</v>
      </c>
      <c r="I35" t="s">
        <v>49</v>
      </c>
      <c r="J35" t="s">
        <v>13</v>
      </c>
      <c r="K35" t="s">
        <v>69</v>
      </c>
      <c r="L35" t="s">
        <v>59</v>
      </c>
      <c r="M35" s="91">
        <v>4145732</v>
      </c>
      <c r="N35" t="s">
        <v>60</v>
      </c>
    </row>
    <row r="36" spans="2:14" ht="14.4" outlineLevel="2" x14ac:dyDescent="0.3">
      <c r="B36" s="49" t="s">
        <v>69</v>
      </c>
      <c r="C36" s="42">
        <f t="shared" si="5"/>
        <v>68</v>
      </c>
      <c r="E36" s="5" t="s">
        <v>4</v>
      </c>
      <c r="F36" s="50">
        <f t="shared" si="6"/>
        <v>0.19209039548022599</v>
      </c>
      <c r="I36" t="s">
        <v>55</v>
      </c>
      <c r="J36" t="s">
        <v>75</v>
      </c>
      <c r="K36" t="s">
        <v>71</v>
      </c>
      <c r="L36" t="s">
        <v>59</v>
      </c>
      <c r="M36" s="91">
        <v>3129316</v>
      </c>
      <c r="N36" t="s">
        <v>60</v>
      </c>
    </row>
    <row r="37" spans="2:14" ht="14.4" outlineLevel="2" x14ac:dyDescent="0.3">
      <c r="B37" s="46" t="s">
        <v>72</v>
      </c>
      <c r="C37" s="42">
        <f t="shared" si="5"/>
        <v>35</v>
      </c>
      <c r="E37" s="5" t="s">
        <v>5</v>
      </c>
      <c r="F37" s="50">
        <f t="shared" si="6"/>
        <v>9.8870056497175146E-2</v>
      </c>
      <c r="I37" t="s">
        <v>55</v>
      </c>
      <c r="J37" t="s">
        <v>13</v>
      </c>
      <c r="K37" t="s">
        <v>72</v>
      </c>
      <c r="L37" t="s">
        <v>59</v>
      </c>
      <c r="M37" s="91">
        <v>28520637</v>
      </c>
      <c r="N37" t="s">
        <v>60</v>
      </c>
    </row>
    <row r="38" spans="2:14" ht="14.4" outlineLevel="2" x14ac:dyDescent="0.3">
      <c r="B38" s="46" t="s">
        <v>65</v>
      </c>
      <c r="C38" s="42">
        <f t="shared" si="5"/>
        <v>15</v>
      </c>
      <c r="E38" s="5" t="s">
        <v>6</v>
      </c>
      <c r="F38" s="50">
        <f t="shared" si="6"/>
        <v>4.2372881355932202E-2</v>
      </c>
      <c r="I38" t="s">
        <v>55</v>
      </c>
      <c r="J38" t="s">
        <v>11</v>
      </c>
      <c r="K38" t="s">
        <v>69</v>
      </c>
      <c r="L38" t="s">
        <v>185</v>
      </c>
      <c r="M38" s="91">
        <v>331812</v>
      </c>
      <c r="N38" t="s">
        <v>60</v>
      </c>
    </row>
    <row r="39" spans="2:14" ht="14.4" outlineLevel="2" x14ac:dyDescent="0.3">
      <c r="B39" s="46" t="s">
        <v>79</v>
      </c>
      <c r="C39" s="42">
        <f t="shared" si="5"/>
        <v>12</v>
      </c>
      <c r="E39" s="5" t="s">
        <v>7</v>
      </c>
      <c r="F39" s="50">
        <f t="shared" si="6"/>
        <v>3.3898305084745763E-2</v>
      </c>
      <c r="I39" t="s">
        <v>49</v>
      </c>
      <c r="J39" t="s">
        <v>57</v>
      </c>
      <c r="K39" t="s">
        <v>58</v>
      </c>
      <c r="L39" t="s">
        <v>59</v>
      </c>
      <c r="M39" s="91">
        <v>41340081</v>
      </c>
      <c r="N39" t="s">
        <v>67</v>
      </c>
    </row>
    <row r="40" spans="2:14" ht="14.4" outlineLevel="2" x14ac:dyDescent="0.3">
      <c r="B40" s="46" t="s">
        <v>48</v>
      </c>
      <c r="C40" s="42">
        <f>COUNTIF($K$10:$K$490,B40)</f>
        <v>32</v>
      </c>
      <c r="E40" s="46" t="s">
        <v>48</v>
      </c>
      <c r="F40" s="50">
        <f t="shared" si="6"/>
        <v>9.03954802259887E-2</v>
      </c>
      <c r="I40" t="s">
        <v>55</v>
      </c>
      <c r="J40" t="s">
        <v>13</v>
      </c>
      <c r="K40" t="s">
        <v>48</v>
      </c>
      <c r="L40" t="s">
        <v>185</v>
      </c>
      <c r="M40" s="91">
        <v>112415</v>
      </c>
      <c r="N40" t="s">
        <v>60</v>
      </c>
    </row>
    <row r="41" spans="2:14" ht="14.4" outlineLevel="2" x14ac:dyDescent="0.3">
      <c r="B41" s="46" t="s">
        <v>62</v>
      </c>
      <c r="C41" s="45">
        <f>SUM(C34:C40)</f>
        <v>354</v>
      </c>
      <c r="I41" t="s">
        <v>49</v>
      </c>
      <c r="J41" t="s">
        <v>57</v>
      </c>
      <c r="K41" t="s">
        <v>71</v>
      </c>
      <c r="L41" t="s">
        <v>59</v>
      </c>
      <c r="M41" s="91">
        <v>31396995</v>
      </c>
      <c r="N41" t="s">
        <v>77</v>
      </c>
    </row>
    <row r="42" spans="2:14" ht="14.4" outlineLevel="2" x14ac:dyDescent="0.3">
      <c r="I42" t="s">
        <v>55</v>
      </c>
      <c r="J42" t="s">
        <v>8</v>
      </c>
      <c r="K42" t="s">
        <v>72</v>
      </c>
      <c r="L42" t="s">
        <v>59</v>
      </c>
      <c r="M42" s="91">
        <v>194868</v>
      </c>
      <c r="N42" t="s">
        <v>60</v>
      </c>
    </row>
    <row r="43" spans="2:14" ht="14.4" outlineLevel="2" x14ac:dyDescent="0.3">
      <c r="I43" t="s">
        <v>49</v>
      </c>
      <c r="J43" t="s">
        <v>11</v>
      </c>
      <c r="K43" t="s">
        <v>48</v>
      </c>
      <c r="L43" t="s">
        <v>59</v>
      </c>
      <c r="M43" s="91">
        <v>12803806</v>
      </c>
      <c r="N43" t="s">
        <v>60</v>
      </c>
    </row>
    <row r="44" spans="2:14" ht="14.4" outlineLevel="2" x14ac:dyDescent="0.3">
      <c r="I44" t="s">
        <v>55</v>
      </c>
      <c r="J44" t="s">
        <v>11</v>
      </c>
      <c r="K44" t="s">
        <v>65</v>
      </c>
      <c r="L44" t="s">
        <v>185</v>
      </c>
      <c r="M44" s="91">
        <v>83332</v>
      </c>
      <c r="N44" t="s">
        <v>60</v>
      </c>
    </row>
    <row r="45" spans="2:14" ht="14.4" outlineLevel="2" x14ac:dyDescent="0.3">
      <c r="I45" t="s">
        <v>49</v>
      </c>
      <c r="J45" t="s">
        <v>8</v>
      </c>
      <c r="K45" t="s">
        <v>58</v>
      </c>
      <c r="L45" t="s">
        <v>59</v>
      </c>
      <c r="M45" s="91">
        <v>98093</v>
      </c>
      <c r="N45" t="s">
        <v>76</v>
      </c>
    </row>
    <row r="46" spans="2:14" ht="14.4" outlineLevel="2" x14ac:dyDescent="0.3">
      <c r="I46" t="s">
        <v>55</v>
      </c>
      <c r="J46" t="s">
        <v>12</v>
      </c>
      <c r="K46" t="s">
        <v>72</v>
      </c>
      <c r="L46" t="s">
        <v>59</v>
      </c>
      <c r="M46" s="91">
        <v>350357</v>
      </c>
      <c r="N46" t="s">
        <v>63</v>
      </c>
    </row>
    <row r="47" spans="2:14" ht="14.4" outlineLevel="2" x14ac:dyDescent="0.3">
      <c r="I47" t="s">
        <v>49</v>
      </c>
      <c r="J47" t="s">
        <v>10</v>
      </c>
      <c r="K47" t="s">
        <v>58</v>
      </c>
      <c r="L47" t="s">
        <v>59</v>
      </c>
      <c r="M47" s="91">
        <v>27205879</v>
      </c>
      <c r="N47" t="s">
        <v>60</v>
      </c>
    </row>
    <row r="48" spans="2:14" ht="14.4" outlineLevel="2" x14ac:dyDescent="0.3">
      <c r="I48" t="s">
        <v>49</v>
      </c>
      <c r="J48" t="s">
        <v>14</v>
      </c>
      <c r="K48" t="s">
        <v>65</v>
      </c>
      <c r="L48" t="s">
        <v>59</v>
      </c>
      <c r="M48" s="91">
        <v>10</v>
      </c>
      <c r="N48" t="s">
        <v>77</v>
      </c>
    </row>
    <row r="49" spans="9:14" ht="14.4" outlineLevel="2" x14ac:dyDescent="0.3">
      <c r="I49" t="s">
        <v>55</v>
      </c>
      <c r="J49" t="s">
        <v>8</v>
      </c>
      <c r="K49" t="s">
        <v>71</v>
      </c>
      <c r="L49" t="s">
        <v>59</v>
      </c>
      <c r="M49" s="91">
        <v>1623976</v>
      </c>
      <c r="N49" t="s">
        <v>60</v>
      </c>
    </row>
    <row r="50" spans="9:14" ht="14.4" outlineLevel="2" x14ac:dyDescent="0.3">
      <c r="I50" t="s">
        <v>55</v>
      </c>
      <c r="J50" t="s">
        <v>57</v>
      </c>
      <c r="K50" t="s">
        <v>58</v>
      </c>
      <c r="L50" t="s">
        <v>59</v>
      </c>
      <c r="M50" s="91">
        <v>243493515</v>
      </c>
      <c r="N50" t="s">
        <v>60</v>
      </c>
    </row>
    <row r="51" spans="9:14" ht="14.4" outlineLevel="2" x14ac:dyDescent="0.3">
      <c r="I51" t="s">
        <v>49</v>
      </c>
      <c r="J51" t="s">
        <v>14</v>
      </c>
      <c r="K51" t="s">
        <v>72</v>
      </c>
      <c r="L51" t="s">
        <v>59</v>
      </c>
      <c r="M51" s="91">
        <v>30959</v>
      </c>
      <c r="N51" t="s">
        <v>63</v>
      </c>
    </row>
    <row r="52" spans="9:14" ht="14.4" outlineLevel="2" x14ac:dyDescent="0.3">
      <c r="I52" t="s">
        <v>55</v>
      </c>
      <c r="J52" t="s">
        <v>12</v>
      </c>
      <c r="K52" t="s">
        <v>65</v>
      </c>
      <c r="L52" t="s">
        <v>59</v>
      </c>
      <c r="M52" s="91">
        <v>33195549</v>
      </c>
      <c r="N52" t="s">
        <v>60</v>
      </c>
    </row>
    <row r="53" spans="9:14" ht="14.4" outlineLevel="2" x14ac:dyDescent="0.3">
      <c r="I53" t="s">
        <v>55</v>
      </c>
      <c r="J53" t="s">
        <v>8</v>
      </c>
      <c r="K53" t="s">
        <v>58</v>
      </c>
      <c r="L53" t="s">
        <v>59</v>
      </c>
      <c r="M53" s="91">
        <v>78248995</v>
      </c>
      <c r="N53" t="s">
        <v>77</v>
      </c>
    </row>
    <row r="54" spans="9:14" ht="14.4" outlineLevel="2" x14ac:dyDescent="0.3">
      <c r="I54" t="s">
        <v>49</v>
      </c>
      <c r="J54" t="s">
        <v>10</v>
      </c>
      <c r="K54" t="s">
        <v>71</v>
      </c>
      <c r="L54" t="s">
        <v>59</v>
      </c>
      <c r="M54" s="91">
        <v>40321167</v>
      </c>
      <c r="N54" t="s">
        <v>77</v>
      </c>
    </row>
    <row r="55" spans="9:14" ht="14.4" outlineLevel="2" x14ac:dyDescent="0.3">
      <c r="I55" t="s">
        <v>49</v>
      </c>
      <c r="J55" t="s">
        <v>57</v>
      </c>
      <c r="K55" t="s">
        <v>58</v>
      </c>
      <c r="L55" t="s">
        <v>59</v>
      </c>
      <c r="M55" s="91">
        <v>22315683</v>
      </c>
      <c r="N55" t="s">
        <v>60</v>
      </c>
    </row>
    <row r="56" spans="9:14" ht="14.4" outlineLevel="2" x14ac:dyDescent="0.3">
      <c r="I56" t="s">
        <v>55</v>
      </c>
      <c r="J56" t="s">
        <v>10</v>
      </c>
      <c r="K56" t="s">
        <v>72</v>
      </c>
      <c r="L56" t="s">
        <v>59</v>
      </c>
      <c r="M56" s="91">
        <v>3609262</v>
      </c>
      <c r="N56" t="s">
        <v>60</v>
      </c>
    </row>
    <row r="57" spans="9:14" ht="14.4" outlineLevel="2" x14ac:dyDescent="0.3">
      <c r="I57" t="s">
        <v>49</v>
      </c>
      <c r="J57" t="s">
        <v>8</v>
      </c>
      <c r="K57" t="s">
        <v>71</v>
      </c>
      <c r="L57" t="s">
        <v>59</v>
      </c>
      <c r="M57" s="91">
        <v>4555117</v>
      </c>
      <c r="N57" t="s">
        <v>67</v>
      </c>
    </row>
    <row r="58" spans="9:14" ht="14.4" outlineLevel="2" x14ac:dyDescent="0.3">
      <c r="I58" t="s">
        <v>49</v>
      </c>
      <c r="J58" t="s">
        <v>13</v>
      </c>
      <c r="K58" t="s">
        <v>48</v>
      </c>
      <c r="L58" t="s">
        <v>59</v>
      </c>
      <c r="M58" s="91">
        <v>9110017</v>
      </c>
      <c r="N58" t="s">
        <v>60</v>
      </c>
    </row>
    <row r="59" spans="9:14" ht="14.4" outlineLevel="2" x14ac:dyDescent="0.3">
      <c r="I59" t="s">
        <v>55</v>
      </c>
      <c r="J59" t="s">
        <v>12</v>
      </c>
      <c r="K59" t="s">
        <v>71</v>
      </c>
      <c r="L59" t="s">
        <v>59</v>
      </c>
      <c r="M59" s="91">
        <v>199185324</v>
      </c>
      <c r="N59" t="s">
        <v>77</v>
      </c>
    </row>
    <row r="60" spans="9:14" ht="14.4" outlineLevel="2" x14ac:dyDescent="0.3">
      <c r="I60" t="s">
        <v>49</v>
      </c>
      <c r="J60" t="s">
        <v>10</v>
      </c>
      <c r="K60" t="s">
        <v>58</v>
      </c>
      <c r="L60" t="s">
        <v>59</v>
      </c>
      <c r="M60" s="91">
        <v>2440297</v>
      </c>
      <c r="N60" t="s">
        <v>76</v>
      </c>
    </row>
    <row r="61" spans="9:14" ht="14.4" outlineLevel="2" x14ac:dyDescent="0.3">
      <c r="I61" t="s">
        <v>55</v>
      </c>
      <c r="J61" t="s">
        <v>10</v>
      </c>
      <c r="K61" t="s">
        <v>58</v>
      </c>
      <c r="L61" t="s">
        <v>185</v>
      </c>
      <c r="M61" s="91">
        <v>854047</v>
      </c>
      <c r="N61" t="s">
        <v>60</v>
      </c>
    </row>
    <row r="62" spans="9:14" ht="14.4" outlineLevel="2" x14ac:dyDescent="0.3">
      <c r="I62" t="s">
        <v>55</v>
      </c>
      <c r="J62" t="s">
        <v>10</v>
      </c>
      <c r="K62" t="s">
        <v>69</v>
      </c>
      <c r="L62" t="s">
        <v>59</v>
      </c>
      <c r="M62" s="91">
        <v>1311262</v>
      </c>
      <c r="N62" t="s">
        <v>63</v>
      </c>
    </row>
    <row r="63" spans="9:14" ht="14.4" outlineLevel="2" x14ac:dyDescent="0.3">
      <c r="I63" t="s">
        <v>55</v>
      </c>
      <c r="J63" t="s">
        <v>48</v>
      </c>
      <c r="K63" t="s">
        <v>48</v>
      </c>
      <c r="L63" t="s">
        <v>59</v>
      </c>
      <c r="M63" s="91">
        <v>544549</v>
      </c>
      <c r="N63" t="s">
        <v>80</v>
      </c>
    </row>
    <row r="64" spans="9:14" ht="14.4" outlineLevel="2" x14ac:dyDescent="0.3">
      <c r="I64" t="s">
        <v>55</v>
      </c>
      <c r="J64" t="s">
        <v>12</v>
      </c>
      <c r="K64" t="s">
        <v>58</v>
      </c>
      <c r="L64" t="s">
        <v>59</v>
      </c>
      <c r="M64" s="91">
        <v>28778485</v>
      </c>
      <c r="N64" t="s">
        <v>63</v>
      </c>
    </row>
    <row r="65" spans="9:14" ht="14.4" outlineLevel="2" x14ac:dyDescent="0.3">
      <c r="I65" t="s">
        <v>55</v>
      </c>
      <c r="J65" t="s">
        <v>12</v>
      </c>
      <c r="K65" t="s">
        <v>58</v>
      </c>
      <c r="L65" t="s">
        <v>59</v>
      </c>
      <c r="M65" s="91">
        <v>10216821</v>
      </c>
      <c r="N65" t="s">
        <v>60</v>
      </c>
    </row>
    <row r="66" spans="9:14" ht="14.4" outlineLevel="2" x14ac:dyDescent="0.3">
      <c r="I66" t="s">
        <v>55</v>
      </c>
      <c r="J66" t="s">
        <v>13</v>
      </c>
      <c r="K66" t="s">
        <v>72</v>
      </c>
      <c r="L66" t="s">
        <v>185</v>
      </c>
      <c r="M66" s="91">
        <v>129448</v>
      </c>
      <c r="N66" t="s">
        <v>63</v>
      </c>
    </row>
    <row r="67" spans="9:14" ht="14.4" outlineLevel="2" x14ac:dyDescent="0.3">
      <c r="I67" t="s">
        <v>55</v>
      </c>
      <c r="J67" t="s">
        <v>75</v>
      </c>
      <c r="K67" t="s">
        <v>65</v>
      </c>
      <c r="L67" t="s">
        <v>59</v>
      </c>
      <c r="M67" s="91">
        <v>601374</v>
      </c>
      <c r="N67" t="s">
        <v>60</v>
      </c>
    </row>
    <row r="68" spans="9:14" ht="14.4" outlineLevel="2" x14ac:dyDescent="0.3">
      <c r="I68" t="s">
        <v>49</v>
      </c>
      <c r="J68" t="s">
        <v>13</v>
      </c>
      <c r="K68" t="s">
        <v>69</v>
      </c>
      <c r="L68" t="s">
        <v>59</v>
      </c>
      <c r="M68" s="91">
        <v>46195921</v>
      </c>
      <c r="N68" t="s">
        <v>67</v>
      </c>
    </row>
    <row r="69" spans="9:14" ht="14.4" outlineLevel="2" x14ac:dyDescent="0.3">
      <c r="I69" t="s">
        <v>55</v>
      </c>
      <c r="J69" t="s">
        <v>14</v>
      </c>
      <c r="K69" t="s">
        <v>69</v>
      </c>
      <c r="L69" t="s">
        <v>59</v>
      </c>
      <c r="M69" s="91">
        <v>698087</v>
      </c>
      <c r="N69" t="s">
        <v>60</v>
      </c>
    </row>
    <row r="70" spans="9:14" ht="14.4" outlineLevel="2" x14ac:dyDescent="0.3">
      <c r="I70" t="s">
        <v>49</v>
      </c>
      <c r="J70" t="s">
        <v>57</v>
      </c>
      <c r="K70" t="s">
        <v>58</v>
      </c>
      <c r="L70" t="s">
        <v>59</v>
      </c>
      <c r="M70" s="91">
        <v>7453732</v>
      </c>
      <c r="N70" t="s">
        <v>70</v>
      </c>
    </row>
    <row r="71" spans="9:14" ht="14.4" outlineLevel="2" x14ac:dyDescent="0.3">
      <c r="I71" t="s">
        <v>49</v>
      </c>
      <c r="J71" t="s">
        <v>11</v>
      </c>
      <c r="K71" t="s">
        <v>71</v>
      </c>
      <c r="L71" t="s">
        <v>59</v>
      </c>
      <c r="M71" s="91">
        <v>2615902</v>
      </c>
      <c r="N71" t="s">
        <v>76</v>
      </c>
    </row>
    <row r="72" spans="9:14" ht="14.4" outlineLevel="2" x14ac:dyDescent="0.3">
      <c r="I72" t="s">
        <v>49</v>
      </c>
      <c r="J72" t="s">
        <v>8</v>
      </c>
      <c r="K72" t="s">
        <v>72</v>
      </c>
      <c r="L72" t="s">
        <v>59</v>
      </c>
      <c r="M72" s="91">
        <v>670186</v>
      </c>
      <c r="N72" t="s">
        <v>60</v>
      </c>
    </row>
    <row r="73" spans="9:14" ht="14.4" outlineLevel="2" x14ac:dyDescent="0.3">
      <c r="I73" t="s">
        <v>55</v>
      </c>
      <c r="J73" t="s">
        <v>11</v>
      </c>
      <c r="K73" t="s">
        <v>58</v>
      </c>
      <c r="L73" t="s">
        <v>59</v>
      </c>
      <c r="M73" s="91">
        <v>422116054</v>
      </c>
      <c r="N73" t="s">
        <v>67</v>
      </c>
    </row>
    <row r="74" spans="9:14" ht="14.4" outlineLevel="2" x14ac:dyDescent="0.3">
      <c r="I74" t="s">
        <v>49</v>
      </c>
      <c r="J74" t="s">
        <v>11</v>
      </c>
      <c r="K74" t="s">
        <v>71</v>
      </c>
      <c r="L74" t="s">
        <v>59</v>
      </c>
      <c r="M74" s="91">
        <v>107813701</v>
      </c>
      <c r="N74" t="s">
        <v>67</v>
      </c>
    </row>
    <row r="75" spans="9:14" ht="14.4" outlineLevel="2" x14ac:dyDescent="0.3">
      <c r="I75" t="s">
        <v>49</v>
      </c>
      <c r="J75" t="s">
        <v>57</v>
      </c>
      <c r="K75" t="s">
        <v>69</v>
      </c>
      <c r="L75" t="s">
        <v>59</v>
      </c>
      <c r="M75" s="91">
        <v>173582</v>
      </c>
      <c r="N75" t="s">
        <v>77</v>
      </c>
    </row>
    <row r="76" spans="9:14" ht="14.4" outlineLevel="2" x14ac:dyDescent="0.3">
      <c r="I76" t="s">
        <v>55</v>
      </c>
      <c r="J76" t="s">
        <v>8</v>
      </c>
      <c r="K76" t="s">
        <v>79</v>
      </c>
      <c r="L76" t="s">
        <v>59</v>
      </c>
      <c r="M76" s="91">
        <v>104626</v>
      </c>
      <c r="N76" t="s">
        <v>60</v>
      </c>
    </row>
    <row r="77" spans="9:14" ht="14.4" outlineLevel="2" x14ac:dyDescent="0.3">
      <c r="I77" t="s">
        <v>55</v>
      </c>
      <c r="J77" t="s">
        <v>13</v>
      </c>
      <c r="K77" t="s">
        <v>58</v>
      </c>
      <c r="L77" t="s">
        <v>59</v>
      </c>
      <c r="M77" s="91">
        <v>213726</v>
      </c>
      <c r="N77" t="s">
        <v>70</v>
      </c>
    </row>
    <row r="78" spans="9:14" ht="14.4" outlineLevel="2" x14ac:dyDescent="0.3">
      <c r="I78" t="s">
        <v>55</v>
      </c>
      <c r="J78" t="s">
        <v>8</v>
      </c>
      <c r="K78" t="s">
        <v>58</v>
      </c>
      <c r="L78" t="s">
        <v>185</v>
      </c>
      <c r="M78" s="91">
        <v>2043664</v>
      </c>
      <c r="N78" t="s">
        <v>60</v>
      </c>
    </row>
    <row r="79" spans="9:14" ht="14.4" outlineLevel="2" x14ac:dyDescent="0.3">
      <c r="I79" t="s">
        <v>55</v>
      </c>
      <c r="J79" t="s">
        <v>10</v>
      </c>
      <c r="K79" t="s">
        <v>58</v>
      </c>
      <c r="L79" t="s">
        <v>185</v>
      </c>
      <c r="M79" s="91">
        <v>53889</v>
      </c>
      <c r="N79" t="s">
        <v>77</v>
      </c>
    </row>
    <row r="80" spans="9:14" ht="14.4" outlineLevel="2" x14ac:dyDescent="0.3">
      <c r="I80" t="s">
        <v>49</v>
      </c>
      <c r="J80" t="s">
        <v>57</v>
      </c>
      <c r="K80" t="s">
        <v>69</v>
      </c>
      <c r="L80" t="s">
        <v>59</v>
      </c>
      <c r="M80" s="91">
        <v>233700</v>
      </c>
      <c r="N80" t="s">
        <v>63</v>
      </c>
    </row>
    <row r="81" spans="9:14" ht="14.4" outlineLevel="2" x14ac:dyDescent="0.3">
      <c r="I81" t="s">
        <v>55</v>
      </c>
      <c r="J81" t="s">
        <v>10</v>
      </c>
      <c r="K81" t="s">
        <v>58</v>
      </c>
      <c r="L81" t="s">
        <v>185</v>
      </c>
      <c r="M81" s="91">
        <v>118601</v>
      </c>
      <c r="N81" t="s">
        <v>63</v>
      </c>
    </row>
    <row r="82" spans="9:14" ht="14.4" outlineLevel="2" x14ac:dyDescent="0.3">
      <c r="I82" t="s">
        <v>55</v>
      </c>
      <c r="J82" t="s">
        <v>13</v>
      </c>
      <c r="K82" t="s">
        <v>58</v>
      </c>
      <c r="L82" t="s">
        <v>59</v>
      </c>
      <c r="M82" s="91">
        <v>325855</v>
      </c>
      <c r="N82" t="s">
        <v>63</v>
      </c>
    </row>
    <row r="83" spans="9:14" ht="14.4" outlineLevel="2" x14ac:dyDescent="0.3">
      <c r="I83" t="s">
        <v>49</v>
      </c>
      <c r="J83" t="s">
        <v>13</v>
      </c>
      <c r="K83" t="s">
        <v>58</v>
      </c>
      <c r="L83" t="s">
        <v>59</v>
      </c>
      <c r="M83" s="91">
        <v>812134</v>
      </c>
      <c r="N83" t="s">
        <v>60</v>
      </c>
    </row>
    <row r="84" spans="9:14" ht="14.4" outlineLevel="2" x14ac:dyDescent="0.3">
      <c r="I84" t="s">
        <v>49</v>
      </c>
      <c r="J84" t="s">
        <v>12</v>
      </c>
      <c r="K84" t="s">
        <v>69</v>
      </c>
      <c r="L84" t="s">
        <v>59</v>
      </c>
      <c r="M84" s="91">
        <v>5324644</v>
      </c>
      <c r="N84" t="s">
        <v>60</v>
      </c>
    </row>
    <row r="85" spans="9:14" ht="14.4" outlineLevel="2" x14ac:dyDescent="0.3">
      <c r="I85" t="s">
        <v>55</v>
      </c>
      <c r="J85" t="s">
        <v>12</v>
      </c>
      <c r="K85" t="s">
        <v>72</v>
      </c>
      <c r="L85" t="s">
        <v>59</v>
      </c>
      <c r="M85" s="91">
        <v>61093901</v>
      </c>
      <c r="N85" t="s">
        <v>60</v>
      </c>
    </row>
    <row r="86" spans="9:14" ht="14.4" outlineLevel="2" x14ac:dyDescent="0.3">
      <c r="I86" t="s">
        <v>49</v>
      </c>
      <c r="J86" t="s">
        <v>75</v>
      </c>
      <c r="K86" t="s">
        <v>58</v>
      </c>
      <c r="L86" t="s">
        <v>59</v>
      </c>
      <c r="M86" s="91">
        <v>600325</v>
      </c>
      <c r="N86" t="s">
        <v>77</v>
      </c>
    </row>
    <row r="87" spans="9:14" ht="14.4" outlineLevel="2" x14ac:dyDescent="0.3">
      <c r="I87" t="s">
        <v>49</v>
      </c>
      <c r="J87" t="s">
        <v>75</v>
      </c>
      <c r="K87" t="s">
        <v>48</v>
      </c>
      <c r="L87" t="s">
        <v>59</v>
      </c>
      <c r="M87" s="91">
        <v>25574882</v>
      </c>
      <c r="N87" t="s">
        <v>60</v>
      </c>
    </row>
    <row r="88" spans="9:14" ht="14.4" outlineLevel="2" x14ac:dyDescent="0.3">
      <c r="I88" t="s">
        <v>55</v>
      </c>
      <c r="J88" t="s">
        <v>14</v>
      </c>
      <c r="K88" t="s">
        <v>71</v>
      </c>
      <c r="L88" t="s">
        <v>59</v>
      </c>
      <c r="M88" s="91">
        <v>3831809</v>
      </c>
      <c r="N88" t="s">
        <v>63</v>
      </c>
    </row>
    <row r="89" spans="9:14" ht="14.4" outlineLevel="2" x14ac:dyDescent="0.3">
      <c r="I89" t="s">
        <v>55</v>
      </c>
      <c r="J89" t="s">
        <v>8</v>
      </c>
      <c r="K89" t="s">
        <v>58</v>
      </c>
      <c r="L89" t="s">
        <v>59</v>
      </c>
      <c r="M89" s="91">
        <v>5358016</v>
      </c>
      <c r="N89" s="91" t="s">
        <v>81</v>
      </c>
    </row>
    <row r="90" spans="9:14" ht="14.4" outlineLevel="2" x14ac:dyDescent="0.3">
      <c r="I90" t="s">
        <v>55</v>
      </c>
      <c r="J90" t="s">
        <v>12</v>
      </c>
      <c r="K90" t="s">
        <v>71</v>
      </c>
      <c r="L90" t="s">
        <v>59</v>
      </c>
      <c r="M90" s="91">
        <v>466699141</v>
      </c>
      <c r="N90" t="s">
        <v>63</v>
      </c>
    </row>
    <row r="91" spans="9:14" ht="14.4" outlineLevel="2" x14ac:dyDescent="0.3">
      <c r="I91" t="s">
        <v>55</v>
      </c>
      <c r="J91" t="s">
        <v>13</v>
      </c>
      <c r="K91" t="s">
        <v>72</v>
      </c>
      <c r="L91" t="s">
        <v>59</v>
      </c>
      <c r="M91" s="91">
        <v>70418589</v>
      </c>
      <c r="N91" t="s">
        <v>63</v>
      </c>
    </row>
    <row r="92" spans="9:14" ht="14.4" outlineLevel="2" x14ac:dyDescent="0.3">
      <c r="I92" t="s">
        <v>55</v>
      </c>
      <c r="J92" t="s">
        <v>14</v>
      </c>
      <c r="K92" t="s">
        <v>48</v>
      </c>
      <c r="L92" t="s">
        <v>59</v>
      </c>
      <c r="M92" s="91">
        <v>1210453</v>
      </c>
      <c r="N92" t="s">
        <v>60</v>
      </c>
    </row>
    <row r="93" spans="9:14" ht="14.4" outlineLevel="2" x14ac:dyDescent="0.3">
      <c r="I93" t="s">
        <v>55</v>
      </c>
      <c r="J93" t="s">
        <v>57</v>
      </c>
      <c r="K93" t="s">
        <v>48</v>
      </c>
      <c r="L93" t="s">
        <v>59</v>
      </c>
      <c r="M93" s="91">
        <v>592764370</v>
      </c>
      <c r="N93" t="s">
        <v>60</v>
      </c>
    </row>
    <row r="94" spans="9:14" ht="14.4" outlineLevel="2" x14ac:dyDescent="0.3">
      <c r="I94" t="s">
        <v>49</v>
      </c>
      <c r="J94" t="s">
        <v>10</v>
      </c>
      <c r="K94" t="s">
        <v>58</v>
      </c>
      <c r="L94" t="s">
        <v>59</v>
      </c>
      <c r="M94" s="91">
        <v>73244262</v>
      </c>
      <c r="N94" t="s">
        <v>77</v>
      </c>
    </row>
    <row r="95" spans="9:14" ht="14.4" outlineLevel="2" x14ac:dyDescent="0.3">
      <c r="I95" t="s">
        <v>49</v>
      </c>
      <c r="J95" t="s">
        <v>13</v>
      </c>
      <c r="K95" t="s">
        <v>72</v>
      </c>
      <c r="L95" t="s">
        <v>59</v>
      </c>
      <c r="M95" s="91">
        <v>2602480</v>
      </c>
      <c r="N95" t="s">
        <v>63</v>
      </c>
    </row>
    <row r="96" spans="9:14" ht="14.4" outlineLevel="2" x14ac:dyDescent="0.3">
      <c r="I96" t="s">
        <v>49</v>
      </c>
      <c r="J96" t="s">
        <v>11</v>
      </c>
      <c r="K96" t="s">
        <v>58</v>
      </c>
      <c r="L96" t="s">
        <v>59</v>
      </c>
      <c r="M96" s="91">
        <v>6940990</v>
      </c>
      <c r="N96" t="s">
        <v>60</v>
      </c>
    </row>
    <row r="97" spans="9:14" ht="14.4" outlineLevel="2" x14ac:dyDescent="0.3">
      <c r="I97" t="s">
        <v>49</v>
      </c>
      <c r="J97" t="s">
        <v>10</v>
      </c>
      <c r="K97" t="s">
        <v>71</v>
      </c>
      <c r="L97" t="s">
        <v>59</v>
      </c>
      <c r="M97" s="91">
        <v>372292589</v>
      </c>
      <c r="N97" t="s">
        <v>63</v>
      </c>
    </row>
    <row r="98" spans="9:14" ht="14.4" outlineLevel="2" x14ac:dyDescent="0.3">
      <c r="I98" t="s">
        <v>49</v>
      </c>
      <c r="J98" t="s">
        <v>75</v>
      </c>
      <c r="K98" t="s">
        <v>71</v>
      </c>
      <c r="L98" t="s">
        <v>59</v>
      </c>
      <c r="M98" s="91">
        <v>4595</v>
      </c>
      <c r="N98" t="s">
        <v>77</v>
      </c>
    </row>
    <row r="99" spans="9:14" ht="14.4" outlineLevel="2" x14ac:dyDescent="0.3">
      <c r="I99" t="s">
        <v>55</v>
      </c>
      <c r="J99" t="s">
        <v>13</v>
      </c>
      <c r="K99" t="s">
        <v>71</v>
      </c>
      <c r="L99" t="s">
        <v>59</v>
      </c>
      <c r="M99" s="91">
        <v>22527210</v>
      </c>
      <c r="N99" t="s">
        <v>77</v>
      </c>
    </row>
    <row r="100" spans="9:14" ht="14.4" outlineLevel="2" x14ac:dyDescent="0.3">
      <c r="I100" t="s">
        <v>49</v>
      </c>
      <c r="J100" t="s">
        <v>11</v>
      </c>
      <c r="K100" t="s">
        <v>58</v>
      </c>
      <c r="L100" t="s">
        <v>59</v>
      </c>
      <c r="M100" s="91">
        <v>10016328</v>
      </c>
      <c r="N100" t="s">
        <v>77</v>
      </c>
    </row>
    <row r="101" spans="9:14" ht="14.4" outlineLevel="2" x14ac:dyDescent="0.3">
      <c r="I101" t="s">
        <v>55</v>
      </c>
      <c r="J101" t="s">
        <v>13</v>
      </c>
      <c r="K101" t="s">
        <v>72</v>
      </c>
      <c r="L101" t="s">
        <v>59</v>
      </c>
      <c r="M101" s="91">
        <v>2051125</v>
      </c>
      <c r="N101" t="s">
        <v>70</v>
      </c>
    </row>
    <row r="102" spans="9:14" ht="14.4" outlineLevel="2" x14ac:dyDescent="0.3">
      <c r="I102" t="s">
        <v>55</v>
      </c>
      <c r="J102" t="s">
        <v>12</v>
      </c>
      <c r="K102" t="s">
        <v>72</v>
      </c>
      <c r="L102" t="s">
        <v>185</v>
      </c>
      <c r="M102" s="91">
        <v>289252</v>
      </c>
      <c r="N102" t="s">
        <v>60</v>
      </c>
    </row>
    <row r="103" spans="9:14" ht="14.4" outlineLevel="2" x14ac:dyDescent="0.3">
      <c r="I103" t="s">
        <v>55</v>
      </c>
      <c r="J103" t="s">
        <v>13</v>
      </c>
      <c r="K103" t="s">
        <v>69</v>
      </c>
      <c r="L103" t="s">
        <v>185</v>
      </c>
      <c r="M103" s="91">
        <v>18355</v>
      </c>
      <c r="N103" t="s">
        <v>67</v>
      </c>
    </row>
    <row r="104" spans="9:14" ht="14.4" outlineLevel="2" x14ac:dyDescent="0.3">
      <c r="I104" t="s">
        <v>55</v>
      </c>
      <c r="J104" t="s">
        <v>10</v>
      </c>
      <c r="K104" t="s">
        <v>58</v>
      </c>
      <c r="L104" t="s">
        <v>185</v>
      </c>
      <c r="M104" s="91">
        <v>31725</v>
      </c>
      <c r="N104" t="s">
        <v>70</v>
      </c>
    </row>
    <row r="105" spans="9:14" ht="14.4" outlineLevel="2" x14ac:dyDescent="0.3">
      <c r="I105" t="s">
        <v>55</v>
      </c>
      <c r="J105" t="s">
        <v>13</v>
      </c>
      <c r="K105" t="s">
        <v>71</v>
      </c>
      <c r="L105" t="s">
        <v>59</v>
      </c>
      <c r="M105" s="91">
        <v>15207047</v>
      </c>
      <c r="N105" t="s">
        <v>67</v>
      </c>
    </row>
    <row r="106" spans="9:14" ht="14.4" outlineLevel="2" x14ac:dyDescent="0.3">
      <c r="I106" t="s">
        <v>55</v>
      </c>
      <c r="J106" t="s">
        <v>8</v>
      </c>
      <c r="K106" t="s">
        <v>48</v>
      </c>
      <c r="L106" t="s">
        <v>59</v>
      </c>
      <c r="M106" s="91">
        <v>801497627</v>
      </c>
      <c r="N106" t="s">
        <v>60</v>
      </c>
    </row>
    <row r="107" spans="9:14" ht="14.4" outlineLevel="2" x14ac:dyDescent="0.3">
      <c r="I107" t="s">
        <v>55</v>
      </c>
      <c r="J107" t="s">
        <v>13</v>
      </c>
      <c r="K107" t="s">
        <v>69</v>
      </c>
      <c r="L107" t="s">
        <v>59</v>
      </c>
      <c r="M107" s="91">
        <v>23067</v>
      </c>
      <c r="N107" t="s">
        <v>76</v>
      </c>
    </row>
    <row r="108" spans="9:14" ht="14.4" outlineLevel="2" x14ac:dyDescent="0.3">
      <c r="I108" t="s">
        <v>49</v>
      </c>
      <c r="J108" t="s">
        <v>11</v>
      </c>
      <c r="K108" t="s">
        <v>71</v>
      </c>
      <c r="L108" t="s">
        <v>59</v>
      </c>
      <c r="M108" s="91">
        <v>47594318</v>
      </c>
      <c r="N108" t="s">
        <v>60</v>
      </c>
    </row>
    <row r="109" spans="9:14" ht="14.4" outlineLevel="2" x14ac:dyDescent="0.3">
      <c r="I109" t="s">
        <v>49</v>
      </c>
      <c r="J109" t="s">
        <v>13</v>
      </c>
      <c r="K109" t="s">
        <v>71</v>
      </c>
      <c r="L109" t="s">
        <v>59</v>
      </c>
      <c r="M109" s="91">
        <v>2836054</v>
      </c>
      <c r="N109" t="s">
        <v>63</v>
      </c>
    </row>
    <row r="110" spans="9:14" ht="14.4" outlineLevel="2" x14ac:dyDescent="0.3">
      <c r="I110" t="s">
        <v>55</v>
      </c>
      <c r="J110" t="s">
        <v>75</v>
      </c>
      <c r="K110" t="s">
        <v>58</v>
      </c>
      <c r="L110" t="s">
        <v>59</v>
      </c>
      <c r="M110" s="91">
        <v>27021205</v>
      </c>
      <c r="N110" t="s">
        <v>67</v>
      </c>
    </row>
    <row r="111" spans="9:14" ht="14.4" outlineLevel="2" x14ac:dyDescent="0.3">
      <c r="I111" t="s">
        <v>49</v>
      </c>
      <c r="J111" t="s">
        <v>9</v>
      </c>
      <c r="K111" t="s">
        <v>71</v>
      </c>
      <c r="L111" t="s">
        <v>59</v>
      </c>
      <c r="M111" s="91">
        <v>18713524</v>
      </c>
      <c r="N111" t="s">
        <v>77</v>
      </c>
    </row>
    <row r="112" spans="9:14" ht="14.4" outlineLevel="2" x14ac:dyDescent="0.3">
      <c r="I112" t="s">
        <v>55</v>
      </c>
      <c r="J112" t="s">
        <v>57</v>
      </c>
      <c r="K112" t="s">
        <v>58</v>
      </c>
      <c r="L112" t="s">
        <v>59</v>
      </c>
      <c r="M112" s="91">
        <v>148040122</v>
      </c>
      <c r="N112" t="s">
        <v>67</v>
      </c>
    </row>
    <row r="113" spans="9:14" ht="14.4" outlineLevel="2" x14ac:dyDescent="0.3">
      <c r="I113" t="s">
        <v>55</v>
      </c>
      <c r="J113" t="s">
        <v>11</v>
      </c>
      <c r="K113" t="s">
        <v>79</v>
      </c>
      <c r="L113" t="s">
        <v>59</v>
      </c>
      <c r="M113" s="91">
        <v>4207024</v>
      </c>
      <c r="N113" t="s">
        <v>60</v>
      </c>
    </row>
    <row r="114" spans="9:14" ht="14.4" outlineLevel="2" x14ac:dyDescent="0.3">
      <c r="I114" t="s">
        <v>55</v>
      </c>
      <c r="J114" t="s">
        <v>11</v>
      </c>
      <c r="K114" t="s">
        <v>65</v>
      </c>
      <c r="L114" t="s">
        <v>59</v>
      </c>
      <c r="M114" s="91">
        <v>15116437</v>
      </c>
      <c r="N114" t="s">
        <v>60</v>
      </c>
    </row>
    <row r="115" spans="9:14" ht="14.4" outlineLevel="2" x14ac:dyDescent="0.3">
      <c r="I115" t="s">
        <v>49</v>
      </c>
      <c r="J115" t="s">
        <v>12</v>
      </c>
      <c r="K115" t="s">
        <v>72</v>
      </c>
      <c r="L115" t="s">
        <v>59</v>
      </c>
      <c r="M115" s="91">
        <v>533600</v>
      </c>
      <c r="N115" t="s">
        <v>60</v>
      </c>
    </row>
    <row r="116" spans="9:14" ht="14.4" outlineLevel="2" x14ac:dyDescent="0.3">
      <c r="I116" t="s">
        <v>49</v>
      </c>
      <c r="J116" t="s">
        <v>57</v>
      </c>
      <c r="K116" t="s">
        <v>71</v>
      </c>
      <c r="L116" t="s">
        <v>59</v>
      </c>
      <c r="M116" s="91">
        <v>55591046</v>
      </c>
      <c r="N116" t="s">
        <v>63</v>
      </c>
    </row>
    <row r="117" spans="9:14" ht="14.4" outlineLevel="2" x14ac:dyDescent="0.3">
      <c r="I117" t="s">
        <v>49</v>
      </c>
      <c r="J117" t="s">
        <v>57</v>
      </c>
      <c r="K117" t="s">
        <v>71</v>
      </c>
      <c r="L117" t="s">
        <v>59</v>
      </c>
      <c r="M117" s="91">
        <v>21373547</v>
      </c>
      <c r="N117" t="s">
        <v>67</v>
      </c>
    </row>
    <row r="118" spans="9:14" ht="14.4" outlineLevel="2" x14ac:dyDescent="0.3">
      <c r="I118" t="s">
        <v>55</v>
      </c>
      <c r="J118" t="s">
        <v>9</v>
      </c>
      <c r="K118" t="s">
        <v>58</v>
      </c>
      <c r="L118" t="s">
        <v>185</v>
      </c>
      <c r="M118" s="91">
        <v>25789</v>
      </c>
      <c r="N118" t="s">
        <v>63</v>
      </c>
    </row>
    <row r="119" spans="9:14" ht="14.4" outlineLevel="2" x14ac:dyDescent="0.3">
      <c r="I119" t="s">
        <v>55</v>
      </c>
      <c r="J119" t="s">
        <v>11</v>
      </c>
      <c r="K119" t="s">
        <v>71</v>
      </c>
      <c r="L119" t="s">
        <v>59</v>
      </c>
      <c r="M119" s="91">
        <v>424037292</v>
      </c>
      <c r="N119" t="s">
        <v>77</v>
      </c>
    </row>
    <row r="120" spans="9:14" ht="14.4" outlineLevel="2" x14ac:dyDescent="0.3">
      <c r="I120" t="s">
        <v>49</v>
      </c>
      <c r="J120" t="s">
        <v>75</v>
      </c>
      <c r="K120" t="s">
        <v>71</v>
      </c>
      <c r="L120" t="s">
        <v>59</v>
      </c>
      <c r="M120" s="91">
        <v>2939711</v>
      </c>
      <c r="N120" t="s">
        <v>67</v>
      </c>
    </row>
    <row r="121" spans="9:14" ht="14.4" outlineLevel="2" x14ac:dyDescent="0.3">
      <c r="I121" t="s">
        <v>49</v>
      </c>
      <c r="J121" t="s">
        <v>10</v>
      </c>
      <c r="K121" t="s">
        <v>69</v>
      </c>
      <c r="L121" t="s">
        <v>59</v>
      </c>
      <c r="M121" s="91">
        <v>1249922</v>
      </c>
      <c r="N121" t="s">
        <v>60</v>
      </c>
    </row>
    <row r="122" spans="9:14" ht="14.4" outlineLevel="2" x14ac:dyDescent="0.3">
      <c r="I122" t="s">
        <v>55</v>
      </c>
      <c r="J122" t="s">
        <v>10</v>
      </c>
      <c r="K122" t="s">
        <v>71</v>
      </c>
      <c r="L122" t="s">
        <v>59</v>
      </c>
      <c r="M122" s="91">
        <v>13743477</v>
      </c>
      <c r="N122" t="s">
        <v>70</v>
      </c>
    </row>
    <row r="123" spans="9:14" ht="14.4" outlineLevel="2" x14ac:dyDescent="0.3">
      <c r="I123" t="s">
        <v>49</v>
      </c>
      <c r="J123" t="s">
        <v>57</v>
      </c>
      <c r="K123" t="s">
        <v>69</v>
      </c>
      <c r="L123" t="s">
        <v>59</v>
      </c>
      <c r="M123" s="91">
        <v>203213</v>
      </c>
      <c r="N123" t="s">
        <v>70</v>
      </c>
    </row>
    <row r="124" spans="9:14" ht="14.4" outlineLevel="2" x14ac:dyDescent="0.3">
      <c r="I124" t="s">
        <v>49</v>
      </c>
      <c r="J124" t="s">
        <v>14</v>
      </c>
      <c r="K124" t="s">
        <v>58</v>
      </c>
      <c r="L124" t="s">
        <v>59</v>
      </c>
      <c r="M124" s="91">
        <v>29570</v>
      </c>
      <c r="N124" t="s">
        <v>77</v>
      </c>
    </row>
    <row r="125" spans="9:14" ht="14.4" outlineLevel="2" x14ac:dyDescent="0.3">
      <c r="I125" t="s">
        <v>55</v>
      </c>
      <c r="J125" t="s">
        <v>9</v>
      </c>
      <c r="K125" t="s">
        <v>72</v>
      </c>
      <c r="L125" t="s">
        <v>59</v>
      </c>
      <c r="M125" s="91">
        <v>115362</v>
      </c>
      <c r="N125" t="s">
        <v>60</v>
      </c>
    </row>
    <row r="126" spans="9:14" ht="14.4" outlineLevel="2" x14ac:dyDescent="0.3">
      <c r="I126" t="s">
        <v>49</v>
      </c>
      <c r="J126" t="s">
        <v>10</v>
      </c>
      <c r="K126" t="s">
        <v>71</v>
      </c>
      <c r="L126" t="s">
        <v>59</v>
      </c>
      <c r="M126" s="91">
        <v>115098473</v>
      </c>
      <c r="N126" t="s">
        <v>67</v>
      </c>
    </row>
    <row r="127" spans="9:14" ht="14.4" outlineLevel="2" x14ac:dyDescent="0.3">
      <c r="I127" t="s">
        <v>49</v>
      </c>
      <c r="J127" t="s">
        <v>8</v>
      </c>
      <c r="K127" t="s">
        <v>58</v>
      </c>
      <c r="L127" t="s">
        <v>59</v>
      </c>
      <c r="M127" s="91">
        <v>11635902</v>
      </c>
      <c r="N127" t="s">
        <v>60</v>
      </c>
    </row>
    <row r="128" spans="9:14" ht="14.4" outlineLevel="2" x14ac:dyDescent="0.3">
      <c r="I128" t="s">
        <v>55</v>
      </c>
      <c r="J128" t="s">
        <v>10</v>
      </c>
      <c r="K128" t="s">
        <v>58</v>
      </c>
      <c r="L128" t="s">
        <v>59</v>
      </c>
      <c r="M128" s="91">
        <v>1211755399</v>
      </c>
      <c r="N128" t="s">
        <v>63</v>
      </c>
    </row>
    <row r="129" spans="9:14" ht="14.4" outlineLevel="2" x14ac:dyDescent="0.3">
      <c r="I129" t="s">
        <v>49</v>
      </c>
      <c r="J129" t="s">
        <v>8</v>
      </c>
      <c r="K129" t="s">
        <v>69</v>
      </c>
      <c r="L129" t="s">
        <v>59</v>
      </c>
      <c r="M129" s="91">
        <v>27879</v>
      </c>
      <c r="N129" t="s">
        <v>63</v>
      </c>
    </row>
    <row r="130" spans="9:14" ht="14.4" outlineLevel="2" x14ac:dyDescent="0.3">
      <c r="I130" t="s">
        <v>55</v>
      </c>
      <c r="J130" t="s">
        <v>11</v>
      </c>
      <c r="K130" t="s">
        <v>72</v>
      </c>
      <c r="L130" t="s">
        <v>185</v>
      </c>
      <c r="M130" s="91">
        <v>122439</v>
      </c>
      <c r="N130" t="s">
        <v>60</v>
      </c>
    </row>
    <row r="131" spans="9:14" ht="14.4" outlineLevel="2" x14ac:dyDescent="0.3">
      <c r="I131" t="s">
        <v>49</v>
      </c>
      <c r="J131" t="s">
        <v>14</v>
      </c>
      <c r="K131" t="s">
        <v>69</v>
      </c>
      <c r="L131" t="s">
        <v>59</v>
      </c>
      <c r="M131" s="91">
        <v>1529777</v>
      </c>
      <c r="N131" t="s">
        <v>63</v>
      </c>
    </row>
    <row r="132" spans="9:14" ht="14.4" outlineLevel="2" x14ac:dyDescent="0.3">
      <c r="I132" t="s">
        <v>55</v>
      </c>
      <c r="J132" t="s">
        <v>75</v>
      </c>
      <c r="K132" t="s">
        <v>79</v>
      </c>
      <c r="L132" t="s">
        <v>59</v>
      </c>
      <c r="M132" s="91">
        <v>292139</v>
      </c>
      <c r="N132" t="s">
        <v>60</v>
      </c>
    </row>
    <row r="133" spans="9:14" ht="14.4" outlineLevel="2" x14ac:dyDescent="0.3">
      <c r="I133" t="s">
        <v>49</v>
      </c>
      <c r="J133" t="s">
        <v>75</v>
      </c>
      <c r="K133" t="s">
        <v>79</v>
      </c>
      <c r="L133" t="s">
        <v>59</v>
      </c>
      <c r="M133" s="91">
        <v>238118</v>
      </c>
      <c r="N133" t="s">
        <v>60</v>
      </c>
    </row>
    <row r="134" spans="9:14" ht="14.4" outlineLevel="2" x14ac:dyDescent="0.3">
      <c r="I134" t="s">
        <v>55</v>
      </c>
      <c r="J134" t="s">
        <v>11</v>
      </c>
      <c r="K134" t="s">
        <v>71</v>
      </c>
      <c r="L134" t="s">
        <v>185</v>
      </c>
      <c r="M134" s="91">
        <v>255852</v>
      </c>
      <c r="N134" t="s">
        <v>70</v>
      </c>
    </row>
    <row r="135" spans="9:14" ht="14.4" outlineLevel="2" x14ac:dyDescent="0.3">
      <c r="I135" t="s">
        <v>49</v>
      </c>
      <c r="J135" t="s">
        <v>12</v>
      </c>
      <c r="K135" t="s">
        <v>69</v>
      </c>
      <c r="L135" t="s">
        <v>59</v>
      </c>
      <c r="M135" s="91">
        <v>12899000</v>
      </c>
      <c r="N135" t="s">
        <v>67</v>
      </c>
    </row>
    <row r="136" spans="9:14" ht="14.4" outlineLevel="2" x14ac:dyDescent="0.3">
      <c r="I136" t="s">
        <v>55</v>
      </c>
      <c r="J136" t="s">
        <v>11</v>
      </c>
      <c r="K136" t="s">
        <v>71</v>
      </c>
      <c r="L136" t="s">
        <v>185</v>
      </c>
      <c r="M136" s="91">
        <v>369358</v>
      </c>
      <c r="N136" t="s">
        <v>63</v>
      </c>
    </row>
    <row r="137" spans="9:14" ht="14.4" outlineLevel="2" x14ac:dyDescent="0.3">
      <c r="I137" t="s">
        <v>55</v>
      </c>
      <c r="J137" t="s">
        <v>57</v>
      </c>
      <c r="K137" t="s">
        <v>71</v>
      </c>
      <c r="L137" t="s">
        <v>59</v>
      </c>
      <c r="M137" s="91">
        <v>3110420</v>
      </c>
      <c r="N137" t="s">
        <v>67</v>
      </c>
    </row>
    <row r="138" spans="9:14" ht="14.4" outlineLevel="2" x14ac:dyDescent="0.3">
      <c r="I138" t="s">
        <v>49</v>
      </c>
      <c r="J138" t="s">
        <v>57</v>
      </c>
      <c r="K138" t="s">
        <v>58</v>
      </c>
      <c r="L138" t="s">
        <v>59</v>
      </c>
      <c r="M138" s="91">
        <v>13521489</v>
      </c>
      <c r="N138" t="s">
        <v>63</v>
      </c>
    </row>
    <row r="139" spans="9:14" ht="14.4" outlineLevel="2" x14ac:dyDescent="0.3">
      <c r="I139" t="s">
        <v>55</v>
      </c>
      <c r="J139" t="s">
        <v>48</v>
      </c>
      <c r="K139" t="s">
        <v>48</v>
      </c>
      <c r="L139" t="s">
        <v>59</v>
      </c>
      <c r="M139" s="91">
        <v>182218</v>
      </c>
      <c r="N139" t="s">
        <v>67</v>
      </c>
    </row>
    <row r="140" spans="9:14" ht="14.4" outlineLevel="2" x14ac:dyDescent="0.3">
      <c r="I140" t="s">
        <v>49</v>
      </c>
      <c r="J140" t="s">
        <v>9</v>
      </c>
      <c r="K140" t="s">
        <v>58</v>
      </c>
      <c r="L140" t="s">
        <v>59</v>
      </c>
      <c r="M140" s="91">
        <v>44854786</v>
      </c>
      <c r="N140" t="s">
        <v>63</v>
      </c>
    </row>
    <row r="141" spans="9:14" ht="14.4" outlineLevel="2" x14ac:dyDescent="0.3">
      <c r="I141" t="s">
        <v>55</v>
      </c>
      <c r="J141" t="s">
        <v>9</v>
      </c>
      <c r="K141" t="s">
        <v>58</v>
      </c>
      <c r="L141" t="s">
        <v>59</v>
      </c>
      <c r="M141" s="91">
        <v>236185890</v>
      </c>
      <c r="N141" t="s">
        <v>63</v>
      </c>
    </row>
    <row r="142" spans="9:14" ht="14.4" outlineLevel="2" x14ac:dyDescent="0.3">
      <c r="I142" t="s">
        <v>55</v>
      </c>
      <c r="J142" t="s">
        <v>9</v>
      </c>
      <c r="K142" t="s">
        <v>58</v>
      </c>
      <c r="L142" t="s">
        <v>59</v>
      </c>
      <c r="M142" s="91">
        <v>137069310</v>
      </c>
      <c r="N142" t="s">
        <v>67</v>
      </c>
    </row>
    <row r="143" spans="9:14" ht="14.4" outlineLevel="2" x14ac:dyDescent="0.3">
      <c r="I143" t="s">
        <v>49</v>
      </c>
      <c r="J143" t="s">
        <v>10</v>
      </c>
      <c r="K143" t="s">
        <v>69</v>
      </c>
      <c r="L143" t="s">
        <v>59</v>
      </c>
      <c r="M143" s="91">
        <v>675112</v>
      </c>
      <c r="N143" t="s">
        <v>77</v>
      </c>
    </row>
    <row r="144" spans="9:14" ht="14.4" outlineLevel="2" x14ac:dyDescent="0.3">
      <c r="I144" t="s">
        <v>55</v>
      </c>
      <c r="J144" t="s">
        <v>13</v>
      </c>
      <c r="K144" t="s">
        <v>69</v>
      </c>
      <c r="L144" t="s">
        <v>59</v>
      </c>
      <c r="M144" s="91">
        <v>91080150</v>
      </c>
      <c r="N144" t="s">
        <v>67</v>
      </c>
    </row>
    <row r="145" spans="9:14" ht="14.4" outlineLevel="2" x14ac:dyDescent="0.3">
      <c r="I145" t="s">
        <v>55</v>
      </c>
      <c r="J145" t="s">
        <v>9</v>
      </c>
      <c r="K145" t="s">
        <v>58</v>
      </c>
      <c r="L145" t="s">
        <v>59</v>
      </c>
      <c r="M145" s="91">
        <v>75098</v>
      </c>
      <c r="N145" t="s">
        <v>76</v>
      </c>
    </row>
    <row r="146" spans="9:14" ht="14.4" outlineLevel="2" x14ac:dyDescent="0.3">
      <c r="I146" t="s">
        <v>49</v>
      </c>
      <c r="J146" t="s">
        <v>57</v>
      </c>
      <c r="K146" t="s">
        <v>48</v>
      </c>
      <c r="L146" t="s">
        <v>59</v>
      </c>
      <c r="M146" s="91">
        <v>50413783</v>
      </c>
      <c r="N146" t="s">
        <v>60</v>
      </c>
    </row>
    <row r="147" spans="9:14" ht="14.4" outlineLevel="2" x14ac:dyDescent="0.3">
      <c r="I147" t="s">
        <v>55</v>
      </c>
      <c r="J147" t="s">
        <v>13</v>
      </c>
      <c r="K147" t="s">
        <v>48</v>
      </c>
      <c r="L147" t="s">
        <v>59</v>
      </c>
      <c r="M147" s="91">
        <v>561492792</v>
      </c>
      <c r="N147" t="s">
        <v>60</v>
      </c>
    </row>
    <row r="148" spans="9:14" ht="14.4" outlineLevel="2" x14ac:dyDescent="0.3">
      <c r="I148" t="s">
        <v>49</v>
      </c>
      <c r="J148" t="s">
        <v>13</v>
      </c>
      <c r="K148" t="s">
        <v>72</v>
      </c>
      <c r="L148" t="s">
        <v>59</v>
      </c>
      <c r="M148" s="91">
        <v>59569</v>
      </c>
      <c r="N148" t="s">
        <v>70</v>
      </c>
    </row>
    <row r="149" spans="9:14" ht="14.4" outlineLevel="2" x14ac:dyDescent="0.3">
      <c r="I149" t="s">
        <v>55</v>
      </c>
      <c r="J149" t="s">
        <v>8</v>
      </c>
      <c r="K149" t="s">
        <v>58</v>
      </c>
      <c r="L149" t="s">
        <v>59</v>
      </c>
      <c r="M149" s="91">
        <v>361076018</v>
      </c>
      <c r="N149" t="s">
        <v>60</v>
      </c>
    </row>
    <row r="150" spans="9:14" ht="14.4" outlineLevel="2" x14ac:dyDescent="0.3">
      <c r="I150" t="s">
        <v>55</v>
      </c>
      <c r="J150" t="s">
        <v>12</v>
      </c>
      <c r="K150" t="s">
        <v>71</v>
      </c>
      <c r="L150" t="s">
        <v>59</v>
      </c>
      <c r="M150" s="91">
        <v>89549</v>
      </c>
      <c r="N150" t="s">
        <v>76</v>
      </c>
    </row>
    <row r="151" spans="9:14" ht="14.4" outlineLevel="2" x14ac:dyDescent="0.3">
      <c r="I151" t="s">
        <v>49</v>
      </c>
      <c r="J151" t="s">
        <v>57</v>
      </c>
      <c r="K151" t="s">
        <v>71</v>
      </c>
      <c r="L151" t="s">
        <v>59</v>
      </c>
      <c r="M151" s="91">
        <v>30811234</v>
      </c>
      <c r="N151" t="s">
        <v>60</v>
      </c>
    </row>
    <row r="152" spans="9:14" ht="14.4" outlineLevel="2" x14ac:dyDescent="0.3">
      <c r="I152" t="s">
        <v>49</v>
      </c>
      <c r="J152" t="s">
        <v>8</v>
      </c>
      <c r="K152" t="s">
        <v>71</v>
      </c>
      <c r="L152" t="s">
        <v>59</v>
      </c>
      <c r="M152" s="91">
        <v>2160873</v>
      </c>
      <c r="N152" t="s">
        <v>63</v>
      </c>
    </row>
    <row r="153" spans="9:14" ht="14.4" outlineLevel="2" x14ac:dyDescent="0.3">
      <c r="I153" t="s">
        <v>49</v>
      </c>
      <c r="J153" t="s">
        <v>57</v>
      </c>
      <c r="K153" t="s">
        <v>71</v>
      </c>
      <c r="L153" t="s">
        <v>59</v>
      </c>
      <c r="M153" s="91">
        <v>21523409</v>
      </c>
      <c r="N153" t="s">
        <v>70</v>
      </c>
    </row>
    <row r="154" spans="9:14" ht="14.4" outlineLevel="2" x14ac:dyDescent="0.3">
      <c r="I154" t="s">
        <v>55</v>
      </c>
      <c r="J154" t="s">
        <v>12</v>
      </c>
      <c r="K154" t="s">
        <v>71</v>
      </c>
      <c r="L154" t="s">
        <v>59</v>
      </c>
      <c r="M154" s="91">
        <v>215081131</v>
      </c>
      <c r="N154" t="s">
        <v>70</v>
      </c>
    </row>
    <row r="155" spans="9:14" ht="14.4" outlineLevel="2" x14ac:dyDescent="0.3">
      <c r="I155" t="s">
        <v>49</v>
      </c>
      <c r="J155" t="s">
        <v>12</v>
      </c>
      <c r="K155" t="s">
        <v>58</v>
      </c>
      <c r="L155" t="s">
        <v>59</v>
      </c>
      <c r="M155" s="91">
        <v>4927</v>
      </c>
      <c r="N155" t="s">
        <v>77</v>
      </c>
    </row>
    <row r="156" spans="9:14" ht="14.4" outlineLevel="2" x14ac:dyDescent="0.3">
      <c r="I156" t="s">
        <v>55</v>
      </c>
      <c r="J156" t="s">
        <v>14</v>
      </c>
      <c r="K156" t="s">
        <v>72</v>
      </c>
      <c r="L156" t="s">
        <v>59</v>
      </c>
      <c r="M156" s="91">
        <v>101581</v>
      </c>
      <c r="N156" t="s">
        <v>63</v>
      </c>
    </row>
    <row r="157" spans="9:14" ht="14.4" outlineLevel="2" x14ac:dyDescent="0.3">
      <c r="I157" t="s">
        <v>49</v>
      </c>
      <c r="J157" t="s">
        <v>13</v>
      </c>
      <c r="K157" t="s">
        <v>69</v>
      </c>
      <c r="L157" t="s">
        <v>59</v>
      </c>
      <c r="M157" s="91">
        <v>6731660</v>
      </c>
      <c r="N157" t="s">
        <v>77</v>
      </c>
    </row>
    <row r="158" spans="9:14" ht="14.4" outlineLevel="2" x14ac:dyDescent="0.3">
      <c r="I158" t="s">
        <v>55</v>
      </c>
      <c r="J158" t="s">
        <v>57</v>
      </c>
      <c r="K158" t="s">
        <v>71</v>
      </c>
      <c r="L158" t="s">
        <v>59</v>
      </c>
      <c r="M158" s="91">
        <v>613027</v>
      </c>
      <c r="N158" t="s">
        <v>77</v>
      </c>
    </row>
    <row r="159" spans="9:14" ht="14.4" outlineLevel="2" x14ac:dyDescent="0.3">
      <c r="I159" t="s">
        <v>49</v>
      </c>
      <c r="J159" t="s">
        <v>75</v>
      </c>
      <c r="K159" t="s">
        <v>58</v>
      </c>
      <c r="L159" t="s">
        <v>59</v>
      </c>
      <c r="M159" s="91">
        <v>1961347</v>
      </c>
      <c r="N159" t="s">
        <v>70</v>
      </c>
    </row>
    <row r="160" spans="9:14" ht="14.4" outlineLevel="2" x14ac:dyDescent="0.3">
      <c r="I160" t="s">
        <v>55</v>
      </c>
      <c r="J160" t="s">
        <v>11</v>
      </c>
      <c r="K160" t="s">
        <v>69</v>
      </c>
      <c r="L160" t="s">
        <v>59</v>
      </c>
      <c r="M160" s="91">
        <v>8745</v>
      </c>
      <c r="N160" t="s">
        <v>70</v>
      </c>
    </row>
    <row r="161" spans="9:14" ht="14.4" outlineLevel="2" x14ac:dyDescent="0.3">
      <c r="I161" t="s">
        <v>49</v>
      </c>
      <c r="J161" t="s">
        <v>12</v>
      </c>
      <c r="K161" t="s">
        <v>71</v>
      </c>
      <c r="L161" t="s">
        <v>59</v>
      </c>
      <c r="M161" s="91">
        <v>23063568</v>
      </c>
      <c r="N161" t="s">
        <v>60</v>
      </c>
    </row>
    <row r="162" spans="9:14" ht="14.4" outlineLevel="2" x14ac:dyDescent="0.3">
      <c r="I162" t="s">
        <v>49</v>
      </c>
      <c r="J162" t="s">
        <v>14</v>
      </c>
      <c r="K162" t="s">
        <v>69</v>
      </c>
      <c r="L162" t="s">
        <v>59</v>
      </c>
      <c r="M162" s="91">
        <v>5779</v>
      </c>
      <c r="N162" t="s">
        <v>70</v>
      </c>
    </row>
    <row r="163" spans="9:14" ht="14.4" outlineLevel="2" x14ac:dyDescent="0.3">
      <c r="I163" t="s">
        <v>55</v>
      </c>
      <c r="J163" t="s">
        <v>12</v>
      </c>
      <c r="K163" t="s">
        <v>79</v>
      </c>
      <c r="L163" t="s">
        <v>59</v>
      </c>
      <c r="M163" s="91">
        <v>24322007</v>
      </c>
      <c r="N163" t="s">
        <v>60</v>
      </c>
    </row>
    <row r="164" spans="9:14" ht="14.4" outlineLevel="2" x14ac:dyDescent="0.3">
      <c r="I164" t="s">
        <v>55</v>
      </c>
      <c r="J164" t="s">
        <v>12</v>
      </c>
      <c r="K164" t="s">
        <v>69</v>
      </c>
      <c r="L164" t="s">
        <v>59</v>
      </c>
      <c r="M164" s="91">
        <v>60404007</v>
      </c>
      <c r="N164" t="s">
        <v>67</v>
      </c>
    </row>
    <row r="165" spans="9:14" ht="14.4" outlineLevel="2" x14ac:dyDescent="0.3">
      <c r="I165" t="s">
        <v>55</v>
      </c>
      <c r="J165" t="s">
        <v>48</v>
      </c>
      <c r="K165" t="s">
        <v>48</v>
      </c>
      <c r="L165" t="s">
        <v>59</v>
      </c>
      <c r="M165" s="91">
        <v>34754394</v>
      </c>
      <c r="N165" t="s">
        <v>82</v>
      </c>
    </row>
    <row r="166" spans="9:14" ht="14.4" outlineLevel="2" x14ac:dyDescent="0.3">
      <c r="I166" t="s">
        <v>55</v>
      </c>
      <c r="J166" t="s">
        <v>10</v>
      </c>
      <c r="K166" t="s">
        <v>71</v>
      </c>
      <c r="L166" t="s">
        <v>185</v>
      </c>
      <c r="M166" s="91">
        <v>40921</v>
      </c>
      <c r="N166" t="s">
        <v>77</v>
      </c>
    </row>
    <row r="167" spans="9:14" ht="14.4" outlineLevel="2" x14ac:dyDescent="0.3">
      <c r="I167" t="s">
        <v>55</v>
      </c>
      <c r="J167" t="s">
        <v>12</v>
      </c>
      <c r="K167" t="s">
        <v>69</v>
      </c>
      <c r="L167" t="s">
        <v>59</v>
      </c>
      <c r="M167" s="91">
        <v>29064813</v>
      </c>
      <c r="N167" t="s">
        <v>70</v>
      </c>
    </row>
    <row r="168" spans="9:14" ht="14.4" outlineLevel="2" x14ac:dyDescent="0.3">
      <c r="I168" t="s">
        <v>49</v>
      </c>
      <c r="J168" t="s">
        <v>9</v>
      </c>
      <c r="K168" t="s">
        <v>58</v>
      </c>
      <c r="L168" t="s">
        <v>59</v>
      </c>
      <c r="M168" s="91">
        <v>12776</v>
      </c>
      <c r="N168" t="s">
        <v>76</v>
      </c>
    </row>
    <row r="169" spans="9:14" ht="14.4" outlineLevel="2" x14ac:dyDescent="0.3">
      <c r="I169" t="s">
        <v>55</v>
      </c>
      <c r="J169" t="s">
        <v>9</v>
      </c>
      <c r="K169" t="s">
        <v>71</v>
      </c>
      <c r="L169" t="s">
        <v>59</v>
      </c>
      <c r="M169" s="91">
        <v>11912222</v>
      </c>
      <c r="N169" t="s">
        <v>60</v>
      </c>
    </row>
    <row r="170" spans="9:14" ht="14.4" outlineLevel="2" x14ac:dyDescent="0.3">
      <c r="I170" t="s">
        <v>55</v>
      </c>
      <c r="J170" t="s">
        <v>10</v>
      </c>
      <c r="K170" t="s">
        <v>58</v>
      </c>
      <c r="L170" t="s">
        <v>59</v>
      </c>
      <c r="M170" s="91">
        <v>504483305</v>
      </c>
      <c r="N170" t="s">
        <v>67</v>
      </c>
    </row>
    <row r="171" spans="9:14" ht="14.4" outlineLevel="2" x14ac:dyDescent="0.3">
      <c r="I171" t="s">
        <v>55</v>
      </c>
      <c r="J171" t="s">
        <v>13</v>
      </c>
      <c r="K171" t="s">
        <v>69</v>
      </c>
      <c r="L171" t="s">
        <v>59</v>
      </c>
      <c r="M171" s="91">
        <v>101019748</v>
      </c>
      <c r="N171" t="s">
        <v>60</v>
      </c>
    </row>
    <row r="172" spans="9:14" ht="14.4" outlineLevel="2" x14ac:dyDescent="0.3">
      <c r="I172" t="s">
        <v>49</v>
      </c>
      <c r="J172" t="s">
        <v>57</v>
      </c>
      <c r="K172" t="s">
        <v>69</v>
      </c>
      <c r="L172" t="s">
        <v>59</v>
      </c>
      <c r="M172" s="91">
        <v>7791028</v>
      </c>
      <c r="N172" t="s">
        <v>60</v>
      </c>
    </row>
    <row r="173" spans="9:14" ht="14.4" outlineLevel="2" x14ac:dyDescent="0.3">
      <c r="I173" t="s">
        <v>55</v>
      </c>
      <c r="J173" t="s">
        <v>75</v>
      </c>
      <c r="K173" t="s">
        <v>58</v>
      </c>
      <c r="L173" t="s">
        <v>59</v>
      </c>
      <c r="M173" s="91">
        <v>117142918</v>
      </c>
      <c r="N173" t="s">
        <v>63</v>
      </c>
    </row>
    <row r="174" spans="9:14" ht="14.4" outlineLevel="2" x14ac:dyDescent="0.3">
      <c r="I174" t="s">
        <v>49</v>
      </c>
      <c r="J174" t="s">
        <v>8</v>
      </c>
      <c r="K174" t="s">
        <v>71</v>
      </c>
      <c r="L174" t="s">
        <v>59</v>
      </c>
      <c r="M174" s="91">
        <v>3852350</v>
      </c>
      <c r="N174" t="s">
        <v>77</v>
      </c>
    </row>
    <row r="175" spans="9:14" ht="14.4" outlineLevel="2" x14ac:dyDescent="0.3">
      <c r="I175" t="s">
        <v>49</v>
      </c>
      <c r="J175" t="s">
        <v>13</v>
      </c>
      <c r="K175" t="s">
        <v>72</v>
      </c>
      <c r="L175" t="s">
        <v>59</v>
      </c>
      <c r="M175" s="91">
        <v>1052590</v>
      </c>
      <c r="N175" t="s">
        <v>60</v>
      </c>
    </row>
    <row r="176" spans="9:14" ht="14.4" outlineLevel="2" x14ac:dyDescent="0.3">
      <c r="I176" t="s">
        <v>55</v>
      </c>
      <c r="J176" t="s">
        <v>9</v>
      </c>
      <c r="K176" t="s">
        <v>58</v>
      </c>
      <c r="L176" t="s">
        <v>59</v>
      </c>
      <c r="M176" s="91">
        <v>9085816</v>
      </c>
      <c r="N176" s="91" t="s">
        <v>81</v>
      </c>
    </row>
    <row r="177" spans="9:14" ht="14.4" outlineLevel="2" x14ac:dyDescent="0.3">
      <c r="I177" t="s">
        <v>55</v>
      </c>
      <c r="J177" t="s">
        <v>12</v>
      </c>
      <c r="K177" t="s">
        <v>58</v>
      </c>
      <c r="L177" t="s">
        <v>59</v>
      </c>
      <c r="M177" s="91">
        <v>7459785</v>
      </c>
      <c r="N177" t="s">
        <v>70</v>
      </c>
    </row>
    <row r="178" spans="9:14" ht="14.4" outlineLevel="2" x14ac:dyDescent="0.3">
      <c r="I178" t="s">
        <v>55</v>
      </c>
      <c r="J178" t="s">
        <v>57</v>
      </c>
      <c r="K178" t="s">
        <v>79</v>
      </c>
      <c r="L178" t="s">
        <v>59</v>
      </c>
      <c r="M178" s="91">
        <v>629282</v>
      </c>
      <c r="N178" t="s">
        <v>60</v>
      </c>
    </row>
    <row r="179" spans="9:14" ht="14.4" outlineLevel="2" x14ac:dyDescent="0.3">
      <c r="I179" t="s">
        <v>55</v>
      </c>
      <c r="J179" t="s">
        <v>75</v>
      </c>
      <c r="K179" t="s">
        <v>58</v>
      </c>
      <c r="L179" t="s">
        <v>59</v>
      </c>
      <c r="M179" s="91">
        <v>11556476</v>
      </c>
      <c r="N179" t="s">
        <v>70</v>
      </c>
    </row>
    <row r="180" spans="9:14" ht="14.4" outlineLevel="2" x14ac:dyDescent="0.3">
      <c r="I180" t="s">
        <v>55</v>
      </c>
      <c r="J180" t="s">
        <v>11</v>
      </c>
      <c r="K180" t="s">
        <v>58</v>
      </c>
      <c r="L180" t="s">
        <v>59</v>
      </c>
      <c r="M180" s="91">
        <v>87200803</v>
      </c>
      <c r="N180" t="s">
        <v>60</v>
      </c>
    </row>
    <row r="181" spans="9:14" ht="14.4" outlineLevel="2" x14ac:dyDescent="0.3">
      <c r="I181" t="s">
        <v>49</v>
      </c>
      <c r="J181" t="s">
        <v>13</v>
      </c>
      <c r="K181" t="s">
        <v>69</v>
      </c>
      <c r="L181" t="s">
        <v>59</v>
      </c>
      <c r="M181" s="91">
        <v>7050978</v>
      </c>
      <c r="N181" t="s">
        <v>70</v>
      </c>
    </row>
    <row r="182" spans="9:14" ht="14.4" outlineLevel="2" x14ac:dyDescent="0.3">
      <c r="I182" t="s">
        <v>55</v>
      </c>
      <c r="J182" t="s">
        <v>9</v>
      </c>
      <c r="K182" t="s">
        <v>48</v>
      </c>
      <c r="L182" t="s">
        <v>59</v>
      </c>
      <c r="M182" s="91">
        <v>507546732</v>
      </c>
      <c r="N182" t="s">
        <v>60</v>
      </c>
    </row>
    <row r="183" spans="9:14" ht="14.4" outlineLevel="2" x14ac:dyDescent="0.3">
      <c r="I183" t="s">
        <v>55</v>
      </c>
      <c r="J183" t="s">
        <v>75</v>
      </c>
      <c r="K183" t="s">
        <v>69</v>
      </c>
      <c r="L183" t="s">
        <v>59</v>
      </c>
      <c r="M183" s="91">
        <v>1632319</v>
      </c>
      <c r="N183" t="s">
        <v>60</v>
      </c>
    </row>
    <row r="184" spans="9:14" ht="14.4" outlineLevel="2" x14ac:dyDescent="0.3">
      <c r="I184" t="s">
        <v>49</v>
      </c>
      <c r="J184" t="s">
        <v>48</v>
      </c>
      <c r="K184" t="s">
        <v>48</v>
      </c>
      <c r="L184" t="s">
        <v>59</v>
      </c>
      <c r="M184" s="91">
        <v>7408691</v>
      </c>
      <c r="N184" t="s">
        <v>80</v>
      </c>
    </row>
    <row r="185" spans="9:14" ht="14.4" outlineLevel="2" x14ac:dyDescent="0.3">
      <c r="I185" t="s">
        <v>49</v>
      </c>
      <c r="J185" t="s">
        <v>14</v>
      </c>
      <c r="K185" t="s">
        <v>72</v>
      </c>
      <c r="L185" t="s">
        <v>59</v>
      </c>
      <c r="M185" s="91">
        <v>248014</v>
      </c>
      <c r="N185" t="s">
        <v>77</v>
      </c>
    </row>
    <row r="186" spans="9:14" ht="14.4" outlineLevel="2" x14ac:dyDescent="0.3">
      <c r="I186" t="s">
        <v>55</v>
      </c>
      <c r="J186" t="s">
        <v>8</v>
      </c>
      <c r="K186" t="s">
        <v>58</v>
      </c>
      <c r="L186" t="s">
        <v>59</v>
      </c>
      <c r="M186" s="91">
        <v>55146630</v>
      </c>
      <c r="N186" t="s">
        <v>70</v>
      </c>
    </row>
    <row r="187" spans="9:14" ht="14.4" outlineLevel="2" x14ac:dyDescent="0.3">
      <c r="I187" t="s">
        <v>55</v>
      </c>
      <c r="J187" t="s">
        <v>11</v>
      </c>
      <c r="K187" t="s">
        <v>69</v>
      </c>
      <c r="L187" t="s">
        <v>59</v>
      </c>
      <c r="M187" s="91">
        <v>2485657</v>
      </c>
      <c r="N187" t="s">
        <v>63</v>
      </c>
    </row>
    <row r="188" spans="9:14" ht="14.4" outlineLevel="2" x14ac:dyDescent="0.3">
      <c r="I188" t="s">
        <v>49</v>
      </c>
      <c r="J188" t="s">
        <v>14</v>
      </c>
      <c r="K188" t="s">
        <v>71</v>
      </c>
      <c r="L188" t="s">
        <v>59</v>
      </c>
      <c r="M188" s="91">
        <v>210201</v>
      </c>
      <c r="N188" t="s">
        <v>77</v>
      </c>
    </row>
    <row r="189" spans="9:14" ht="14.4" outlineLevel="2" x14ac:dyDescent="0.3">
      <c r="I189" t="s">
        <v>55</v>
      </c>
      <c r="J189" t="s">
        <v>12</v>
      </c>
      <c r="K189" t="s">
        <v>48</v>
      </c>
      <c r="L189" t="s">
        <v>59</v>
      </c>
      <c r="M189" s="91">
        <v>1301053449</v>
      </c>
      <c r="N189" t="s">
        <v>60</v>
      </c>
    </row>
    <row r="190" spans="9:14" ht="14.4" outlineLevel="2" x14ac:dyDescent="0.3">
      <c r="I190" t="s">
        <v>49</v>
      </c>
      <c r="J190" t="s">
        <v>13</v>
      </c>
      <c r="K190" t="s">
        <v>72</v>
      </c>
      <c r="L190" t="s">
        <v>59</v>
      </c>
      <c r="M190" s="91">
        <v>1229491</v>
      </c>
      <c r="N190" t="s">
        <v>77</v>
      </c>
    </row>
    <row r="191" spans="9:14" ht="14.4" outlineLevel="2" x14ac:dyDescent="0.3">
      <c r="I191" t="s">
        <v>49</v>
      </c>
      <c r="J191" t="s">
        <v>9</v>
      </c>
      <c r="K191" t="s">
        <v>69</v>
      </c>
      <c r="L191" t="s">
        <v>59</v>
      </c>
      <c r="M191" s="91">
        <v>431864</v>
      </c>
      <c r="N191" t="s">
        <v>63</v>
      </c>
    </row>
    <row r="192" spans="9:14" ht="14.4" outlineLevel="2" x14ac:dyDescent="0.3">
      <c r="I192" t="s">
        <v>84</v>
      </c>
      <c r="J192" t="s">
        <v>48</v>
      </c>
      <c r="K192" t="s">
        <v>48</v>
      </c>
      <c r="L192" t="s">
        <v>59</v>
      </c>
      <c r="M192" s="91">
        <v>-123809</v>
      </c>
      <c r="N192" t="s">
        <v>82</v>
      </c>
    </row>
    <row r="193" spans="9:14" ht="14.4" outlineLevel="2" x14ac:dyDescent="0.3">
      <c r="I193" t="s">
        <v>55</v>
      </c>
      <c r="J193" t="s">
        <v>14</v>
      </c>
      <c r="K193" t="s">
        <v>71</v>
      </c>
      <c r="L193" t="s">
        <v>59</v>
      </c>
      <c r="M193" s="91">
        <v>303089</v>
      </c>
      <c r="N193" t="s">
        <v>70</v>
      </c>
    </row>
    <row r="194" spans="9:14" ht="14.4" outlineLevel="2" x14ac:dyDescent="0.3">
      <c r="I194" t="s">
        <v>55</v>
      </c>
      <c r="J194" t="s">
        <v>8</v>
      </c>
      <c r="K194" t="s">
        <v>48</v>
      </c>
      <c r="L194" t="s">
        <v>185</v>
      </c>
      <c r="M194" s="91">
        <v>374510</v>
      </c>
      <c r="N194" t="s">
        <v>60</v>
      </c>
    </row>
    <row r="195" spans="9:14" ht="14.4" outlineLevel="2" x14ac:dyDescent="0.3">
      <c r="I195" t="s">
        <v>55</v>
      </c>
      <c r="J195" t="s">
        <v>13</v>
      </c>
      <c r="K195" t="s">
        <v>69</v>
      </c>
      <c r="L195" t="s">
        <v>59</v>
      </c>
      <c r="M195" s="91">
        <v>28768764</v>
      </c>
      <c r="N195" t="s">
        <v>70</v>
      </c>
    </row>
    <row r="196" spans="9:14" ht="14.4" outlineLevel="2" x14ac:dyDescent="0.3">
      <c r="I196" t="s">
        <v>49</v>
      </c>
      <c r="J196" t="s">
        <v>57</v>
      </c>
      <c r="K196" t="s">
        <v>58</v>
      </c>
      <c r="L196" t="s">
        <v>59</v>
      </c>
      <c r="M196" s="91">
        <v>12099429</v>
      </c>
      <c r="N196" t="s">
        <v>77</v>
      </c>
    </row>
    <row r="197" spans="9:14" ht="14.4" outlineLevel="2" x14ac:dyDescent="0.3">
      <c r="I197" t="s">
        <v>49</v>
      </c>
      <c r="J197" t="s">
        <v>10</v>
      </c>
      <c r="K197" t="s">
        <v>69</v>
      </c>
      <c r="L197" t="s">
        <v>59</v>
      </c>
      <c r="M197" s="91">
        <v>95690</v>
      </c>
      <c r="N197" t="s">
        <v>70</v>
      </c>
    </row>
    <row r="198" spans="9:14" ht="14.4" outlineLevel="2" x14ac:dyDescent="0.3">
      <c r="I198" t="s">
        <v>49</v>
      </c>
      <c r="J198" t="s">
        <v>12</v>
      </c>
      <c r="K198" t="s">
        <v>71</v>
      </c>
      <c r="L198" t="s">
        <v>59</v>
      </c>
      <c r="M198" s="91">
        <v>21338137</v>
      </c>
      <c r="N198" t="s">
        <v>77</v>
      </c>
    </row>
    <row r="199" spans="9:14" ht="14.4" outlineLevel="2" x14ac:dyDescent="0.3">
      <c r="I199" t="s">
        <v>55</v>
      </c>
      <c r="J199" t="s">
        <v>11</v>
      </c>
      <c r="K199" t="s">
        <v>69</v>
      </c>
      <c r="L199" t="s">
        <v>59</v>
      </c>
      <c r="M199" s="91">
        <v>724417</v>
      </c>
      <c r="N199" t="s">
        <v>67</v>
      </c>
    </row>
    <row r="200" spans="9:14" ht="14.4" outlineLevel="2" x14ac:dyDescent="0.3">
      <c r="I200" t="s">
        <v>55</v>
      </c>
      <c r="J200" t="s">
        <v>13</v>
      </c>
      <c r="K200" t="s">
        <v>72</v>
      </c>
      <c r="L200" t="s">
        <v>59</v>
      </c>
      <c r="M200" s="91">
        <v>11507209</v>
      </c>
      <c r="N200" t="s">
        <v>67</v>
      </c>
    </row>
    <row r="201" spans="9:14" ht="14.4" outlineLevel="2" x14ac:dyDescent="0.3">
      <c r="I201" t="s">
        <v>55</v>
      </c>
      <c r="J201" t="s">
        <v>12</v>
      </c>
      <c r="K201" t="s">
        <v>69</v>
      </c>
      <c r="L201" t="s">
        <v>185</v>
      </c>
      <c r="M201" s="91">
        <v>277261</v>
      </c>
      <c r="N201" t="s">
        <v>63</v>
      </c>
    </row>
    <row r="202" spans="9:14" ht="14.4" outlineLevel="2" x14ac:dyDescent="0.3">
      <c r="I202" t="s">
        <v>55</v>
      </c>
      <c r="J202" t="s">
        <v>75</v>
      </c>
      <c r="K202" t="s">
        <v>48</v>
      </c>
      <c r="L202" t="s">
        <v>185</v>
      </c>
      <c r="M202" s="91">
        <v>480351</v>
      </c>
      <c r="N202" t="s">
        <v>60</v>
      </c>
    </row>
    <row r="203" spans="9:14" ht="14.4" outlineLevel="2" x14ac:dyDescent="0.3">
      <c r="I203" t="s">
        <v>49</v>
      </c>
      <c r="J203" t="s">
        <v>14</v>
      </c>
      <c r="K203" t="s">
        <v>69</v>
      </c>
      <c r="L203" t="s">
        <v>59</v>
      </c>
      <c r="M203" s="91">
        <v>712814</v>
      </c>
      <c r="N203" t="s">
        <v>60</v>
      </c>
    </row>
    <row r="204" spans="9:14" ht="14.4" outlineLevel="2" x14ac:dyDescent="0.3">
      <c r="I204" t="s">
        <v>49</v>
      </c>
      <c r="J204" t="s">
        <v>8</v>
      </c>
      <c r="K204" t="s">
        <v>58</v>
      </c>
      <c r="L204" t="s">
        <v>59</v>
      </c>
      <c r="M204" s="91">
        <v>10315500</v>
      </c>
      <c r="N204" t="s">
        <v>67</v>
      </c>
    </row>
    <row r="205" spans="9:14" ht="14.4" outlineLevel="2" x14ac:dyDescent="0.3">
      <c r="I205" t="s">
        <v>55</v>
      </c>
      <c r="J205" t="s">
        <v>57</v>
      </c>
      <c r="K205" t="s">
        <v>72</v>
      </c>
      <c r="L205" t="s">
        <v>59</v>
      </c>
      <c r="M205" s="91">
        <v>66672</v>
      </c>
      <c r="N205" t="s">
        <v>60</v>
      </c>
    </row>
    <row r="206" spans="9:14" ht="14.4" outlineLevel="2" x14ac:dyDescent="0.3">
      <c r="I206" t="s">
        <v>49</v>
      </c>
      <c r="J206" t="s">
        <v>9</v>
      </c>
      <c r="K206" t="s">
        <v>58</v>
      </c>
      <c r="L206" t="s">
        <v>59</v>
      </c>
      <c r="M206" s="91">
        <v>5358343</v>
      </c>
      <c r="N206" t="s">
        <v>77</v>
      </c>
    </row>
    <row r="207" spans="9:14" ht="14.4" outlineLevel="2" x14ac:dyDescent="0.3">
      <c r="I207" t="s">
        <v>49</v>
      </c>
      <c r="J207" t="s">
        <v>13</v>
      </c>
      <c r="K207" t="s">
        <v>65</v>
      </c>
      <c r="L207" t="s">
        <v>59</v>
      </c>
      <c r="M207" s="91">
        <v>4844717</v>
      </c>
      <c r="N207" t="s">
        <v>60</v>
      </c>
    </row>
    <row r="208" spans="9:14" ht="14.4" outlineLevel="2" x14ac:dyDescent="0.3">
      <c r="I208" t="s">
        <v>55</v>
      </c>
      <c r="J208" t="s">
        <v>13</v>
      </c>
      <c r="K208" t="s">
        <v>71</v>
      </c>
      <c r="L208" t="s">
        <v>59</v>
      </c>
      <c r="M208" s="91">
        <v>15853727</v>
      </c>
      <c r="N208" t="s">
        <v>63</v>
      </c>
    </row>
    <row r="209" spans="9:14" ht="14.4" outlineLevel="2" x14ac:dyDescent="0.3">
      <c r="I209" t="s">
        <v>55</v>
      </c>
      <c r="J209" t="s">
        <v>14</v>
      </c>
      <c r="K209" t="s">
        <v>72</v>
      </c>
      <c r="L209" t="s">
        <v>59</v>
      </c>
      <c r="M209" s="91">
        <v>881</v>
      </c>
      <c r="N209" t="s">
        <v>77</v>
      </c>
    </row>
    <row r="210" spans="9:14" ht="14.4" outlineLevel="2" x14ac:dyDescent="0.3">
      <c r="I210" t="s">
        <v>55</v>
      </c>
      <c r="J210" t="s">
        <v>13</v>
      </c>
      <c r="K210" t="s">
        <v>69</v>
      </c>
      <c r="L210" t="s">
        <v>185</v>
      </c>
      <c r="M210" s="91">
        <v>465208</v>
      </c>
      <c r="N210" t="s">
        <v>60</v>
      </c>
    </row>
    <row r="211" spans="9:14" ht="14.4" outlineLevel="2" x14ac:dyDescent="0.3">
      <c r="I211" t="s">
        <v>49</v>
      </c>
      <c r="J211" t="s">
        <v>11</v>
      </c>
      <c r="K211" t="s">
        <v>71</v>
      </c>
      <c r="L211" t="s">
        <v>59</v>
      </c>
      <c r="M211" s="91">
        <v>318800406</v>
      </c>
      <c r="N211" t="s">
        <v>63</v>
      </c>
    </row>
    <row r="212" spans="9:14" ht="14.4" outlineLevel="2" x14ac:dyDescent="0.3">
      <c r="I212" t="s">
        <v>55</v>
      </c>
      <c r="J212" t="s">
        <v>11</v>
      </c>
      <c r="K212" t="s">
        <v>71</v>
      </c>
      <c r="L212" t="s">
        <v>59</v>
      </c>
      <c r="M212" s="91">
        <v>281618223</v>
      </c>
      <c r="N212" t="s">
        <v>67</v>
      </c>
    </row>
    <row r="213" spans="9:14" ht="14.4" outlineLevel="2" x14ac:dyDescent="0.3">
      <c r="I213" t="s">
        <v>49</v>
      </c>
      <c r="J213" t="s">
        <v>75</v>
      </c>
      <c r="K213" t="s">
        <v>58</v>
      </c>
      <c r="L213" t="s">
        <v>59</v>
      </c>
      <c r="M213" s="91">
        <v>2537062</v>
      </c>
      <c r="N213" t="s">
        <v>60</v>
      </c>
    </row>
    <row r="214" spans="9:14" ht="14.4" outlineLevel="2" x14ac:dyDescent="0.3">
      <c r="I214" t="s">
        <v>49</v>
      </c>
      <c r="J214" t="s">
        <v>48</v>
      </c>
      <c r="K214" t="s">
        <v>48</v>
      </c>
      <c r="L214" t="s">
        <v>59</v>
      </c>
      <c r="M214" s="91">
        <v>210284243</v>
      </c>
      <c r="N214" t="s">
        <v>82</v>
      </c>
    </row>
    <row r="215" spans="9:14" ht="14.4" outlineLevel="2" x14ac:dyDescent="0.3">
      <c r="I215" t="s">
        <v>55</v>
      </c>
      <c r="J215" t="s">
        <v>12</v>
      </c>
      <c r="K215" t="s">
        <v>69</v>
      </c>
      <c r="L215" t="s">
        <v>185</v>
      </c>
      <c r="M215" s="91">
        <v>96861</v>
      </c>
      <c r="N215" t="s">
        <v>67</v>
      </c>
    </row>
    <row r="216" spans="9:14" ht="14.4" outlineLevel="2" x14ac:dyDescent="0.3">
      <c r="I216" t="s">
        <v>49</v>
      </c>
      <c r="J216" t="s">
        <v>12</v>
      </c>
      <c r="K216" t="s">
        <v>58</v>
      </c>
      <c r="L216" t="s">
        <v>59</v>
      </c>
      <c r="M216" s="91">
        <v>2201251</v>
      </c>
      <c r="N216" t="s">
        <v>63</v>
      </c>
    </row>
    <row r="217" spans="9:14" ht="14.4" outlineLevel="2" x14ac:dyDescent="0.3">
      <c r="I217" t="s">
        <v>49</v>
      </c>
      <c r="J217" t="s">
        <v>9</v>
      </c>
      <c r="K217" t="s">
        <v>69</v>
      </c>
      <c r="L217" t="s">
        <v>59</v>
      </c>
      <c r="M217" s="91">
        <v>800424</v>
      </c>
      <c r="N217" t="s">
        <v>60</v>
      </c>
    </row>
    <row r="218" spans="9:14" ht="14.4" outlineLevel="2" x14ac:dyDescent="0.3">
      <c r="I218" t="s">
        <v>55</v>
      </c>
      <c r="J218" t="s">
        <v>57</v>
      </c>
      <c r="K218" t="s">
        <v>58</v>
      </c>
      <c r="L218" t="s">
        <v>185</v>
      </c>
      <c r="M218" s="91">
        <v>42089</v>
      </c>
      <c r="N218" t="s">
        <v>77</v>
      </c>
    </row>
    <row r="219" spans="9:14" ht="14.4" outlineLevel="2" x14ac:dyDescent="0.3">
      <c r="I219" t="s">
        <v>55</v>
      </c>
      <c r="J219" t="s">
        <v>12</v>
      </c>
      <c r="K219" t="s">
        <v>58</v>
      </c>
      <c r="L219" t="s">
        <v>59</v>
      </c>
      <c r="M219" s="91">
        <v>11702013</v>
      </c>
      <c r="N219" t="s">
        <v>67</v>
      </c>
    </row>
    <row r="220" spans="9:14" ht="14.4" outlineLevel="2" x14ac:dyDescent="0.3">
      <c r="I220" t="s">
        <v>55</v>
      </c>
      <c r="J220" t="s">
        <v>8</v>
      </c>
      <c r="K220" t="s">
        <v>58</v>
      </c>
      <c r="L220" t="s">
        <v>59</v>
      </c>
      <c r="M220" s="91">
        <v>322814571</v>
      </c>
      <c r="N220" t="s">
        <v>63</v>
      </c>
    </row>
    <row r="221" spans="9:14" ht="14.4" outlineLevel="2" x14ac:dyDescent="0.3">
      <c r="I221" t="s">
        <v>55</v>
      </c>
      <c r="J221" t="s">
        <v>12</v>
      </c>
      <c r="K221" t="s">
        <v>71</v>
      </c>
      <c r="L221" t="s">
        <v>185</v>
      </c>
      <c r="M221" s="91">
        <v>39292</v>
      </c>
      <c r="N221" t="s">
        <v>63</v>
      </c>
    </row>
    <row r="222" spans="9:14" ht="14.4" outlineLevel="2" x14ac:dyDescent="0.3">
      <c r="I222" t="s">
        <v>49</v>
      </c>
      <c r="J222" t="s">
        <v>12</v>
      </c>
      <c r="K222" t="s">
        <v>71</v>
      </c>
      <c r="L222" t="s">
        <v>59</v>
      </c>
      <c r="M222" s="91">
        <v>40446118</v>
      </c>
      <c r="N222" t="s">
        <v>67</v>
      </c>
    </row>
    <row r="223" spans="9:14" ht="14.4" outlineLevel="2" x14ac:dyDescent="0.3">
      <c r="I223" t="s">
        <v>49</v>
      </c>
      <c r="J223" t="s">
        <v>13</v>
      </c>
      <c r="K223" t="s">
        <v>72</v>
      </c>
      <c r="L223" t="s">
        <v>59</v>
      </c>
      <c r="M223" s="91">
        <v>986845</v>
      </c>
      <c r="N223" t="s">
        <v>67</v>
      </c>
    </row>
    <row r="224" spans="9:14" ht="14.4" outlineLevel="2" x14ac:dyDescent="0.3">
      <c r="I224" t="s">
        <v>55</v>
      </c>
      <c r="J224" t="s">
        <v>10</v>
      </c>
      <c r="K224" t="s">
        <v>58</v>
      </c>
      <c r="L224" t="s">
        <v>59</v>
      </c>
      <c r="M224" s="91">
        <v>692081035</v>
      </c>
      <c r="N224" t="s">
        <v>77</v>
      </c>
    </row>
    <row r="225" spans="9:14" ht="14.4" outlineLevel="2" x14ac:dyDescent="0.3">
      <c r="I225" t="s">
        <v>55</v>
      </c>
      <c r="J225" t="s">
        <v>13</v>
      </c>
      <c r="K225" t="s">
        <v>65</v>
      </c>
      <c r="L225" t="s">
        <v>59</v>
      </c>
      <c r="M225" s="91">
        <v>17687982</v>
      </c>
      <c r="N225" t="s">
        <v>60</v>
      </c>
    </row>
    <row r="226" spans="9:14" ht="14.4" outlineLevel="2" x14ac:dyDescent="0.3">
      <c r="I226" t="s">
        <v>49</v>
      </c>
      <c r="J226" t="s">
        <v>11</v>
      </c>
      <c r="K226" t="s">
        <v>71</v>
      </c>
      <c r="L226" t="s">
        <v>59</v>
      </c>
      <c r="M226" s="91">
        <v>27266419</v>
      </c>
      <c r="N226" t="s">
        <v>70</v>
      </c>
    </row>
    <row r="227" spans="9:14" ht="14.4" outlineLevel="2" x14ac:dyDescent="0.3">
      <c r="I227" t="s">
        <v>55</v>
      </c>
      <c r="J227" t="s">
        <v>14</v>
      </c>
      <c r="K227" t="s">
        <v>69</v>
      </c>
      <c r="L227" t="s">
        <v>59</v>
      </c>
      <c r="M227" s="91">
        <v>3033808</v>
      </c>
      <c r="N227" t="s">
        <v>77</v>
      </c>
    </row>
    <row r="228" spans="9:14" ht="14.4" outlineLevel="2" x14ac:dyDescent="0.3">
      <c r="I228" t="s">
        <v>49</v>
      </c>
      <c r="J228" t="s">
        <v>13</v>
      </c>
      <c r="K228" t="s">
        <v>71</v>
      </c>
      <c r="L228" t="s">
        <v>59</v>
      </c>
      <c r="M228" s="91">
        <v>526025</v>
      </c>
      <c r="N228" t="s">
        <v>77</v>
      </c>
    </row>
    <row r="229" spans="9:14" ht="14.4" outlineLevel="2" x14ac:dyDescent="0.3">
      <c r="I229" t="s">
        <v>49</v>
      </c>
      <c r="J229" t="s">
        <v>12</v>
      </c>
      <c r="K229" t="s">
        <v>69</v>
      </c>
      <c r="L229" t="s">
        <v>59</v>
      </c>
      <c r="M229" s="91">
        <v>1294454</v>
      </c>
      <c r="N229" t="s">
        <v>70</v>
      </c>
    </row>
    <row r="230" spans="9:14" ht="14.4" outlineLevel="2" x14ac:dyDescent="0.3">
      <c r="I230" t="s">
        <v>55</v>
      </c>
      <c r="J230" t="s">
        <v>8</v>
      </c>
      <c r="K230" t="s">
        <v>58</v>
      </c>
      <c r="L230" t="s">
        <v>185</v>
      </c>
      <c r="M230" s="91">
        <v>14998</v>
      </c>
      <c r="N230" t="s">
        <v>67</v>
      </c>
    </row>
    <row r="231" spans="9:14" ht="14.4" outlineLevel="2" x14ac:dyDescent="0.3">
      <c r="I231" t="s">
        <v>55</v>
      </c>
      <c r="J231" t="s">
        <v>13</v>
      </c>
      <c r="K231" t="s">
        <v>69</v>
      </c>
      <c r="L231" t="s">
        <v>59</v>
      </c>
      <c r="M231" s="91">
        <v>90338753</v>
      </c>
      <c r="N231" t="s">
        <v>77</v>
      </c>
    </row>
    <row r="232" spans="9:14" ht="14.4" outlineLevel="2" x14ac:dyDescent="0.3">
      <c r="I232" t="s">
        <v>55</v>
      </c>
      <c r="J232" t="s">
        <v>8</v>
      </c>
      <c r="K232" t="s">
        <v>58</v>
      </c>
      <c r="L232" t="s">
        <v>59</v>
      </c>
      <c r="M232" s="91">
        <v>692913</v>
      </c>
      <c r="N232" t="s">
        <v>76</v>
      </c>
    </row>
    <row r="233" spans="9:14" ht="14.4" outlineLevel="2" x14ac:dyDescent="0.3">
      <c r="I233" t="s">
        <v>55</v>
      </c>
      <c r="J233" t="s">
        <v>13</v>
      </c>
      <c r="K233" t="s">
        <v>69</v>
      </c>
      <c r="L233" t="s">
        <v>59</v>
      </c>
      <c r="M233" s="91">
        <v>542828249</v>
      </c>
      <c r="N233" t="s">
        <v>63</v>
      </c>
    </row>
    <row r="234" spans="9:14" ht="14.4" outlineLevel="2" x14ac:dyDescent="0.3">
      <c r="I234" t="s">
        <v>55</v>
      </c>
      <c r="J234" t="s">
        <v>48</v>
      </c>
      <c r="K234" t="s">
        <v>48</v>
      </c>
      <c r="L234" t="s">
        <v>59</v>
      </c>
      <c r="M234" s="91">
        <v>154540</v>
      </c>
      <c r="N234" s="91" t="s">
        <v>81</v>
      </c>
    </row>
    <row r="235" spans="9:14" ht="14.4" outlineLevel="2" x14ac:dyDescent="0.3">
      <c r="I235" t="s">
        <v>49</v>
      </c>
      <c r="J235" t="s">
        <v>11</v>
      </c>
      <c r="K235" t="s">
        <v>58</v>
      </c>
      <c r="L235" t="s">
        <v>59</v>
      </c>
      <c r="M235" s="91">
        <v>28957576</v>
      </c>
      <c r="N235" t="s">
        <v>63</v>
      </c>
    </row>
    <row r="236" spans="9:14" ht="14.4" outlineLevel="2" x14ac:dyDescent="0.3">
      <c r="I236" t="s">
        <v>55</v>
      </c>
      <c r="J236" t="s">
        <v>13</v>
      </c>
      <c r="K236" t="s">
        <v>72</v>
      </c>
      <c r="L236" t="s">
        <v>185</v>
      </c>
      <c r="M236" s="91">
        <v>400250</v>
      </c>
      <c r="N236" t="s">
        <v>60</v>
      </c>
    </row>
    <row r="237" spans="9:14" ht="14.4" outlineLevel="2" x14ac:dyDescent="0.3">
      <c r="I237" t="s">
        <v>49</v>
      </c>
      <c r="J237" t="s">
        <v>11</v>
      </c>
      <c r="K237" t="s">
        <v>69</v>
      </c>
      <c r="L237" t="s">
        <v>59</v>
      </c>
      <c r="M237" s="91">
        <v>797930</v>
      </c>
      <c r="N237" t="s">
        <v>63</v>
      </c>
    </row>
    <row r="238" spans="9:14" ht="14.4" outlineLevel="2" x14ac:dyDescent="0.3">
      <c r="I238" t="s">
        <v>55</v>
      </c>
      <c r="J238" t="s">
        <v>11</v>
      </c>
      <c r="K238" t="s">
        <v>58</v>
      </c>
      <c r="L238" t="s">
        <v>59</v>
      </c>
      <c r="M238" s="91">
        <v>138225617</v>
      </c>
      <c r="N238" t="s">
        <v>63</v>
      </c>
    </row>
    <row r="239" spans="9:14" ht="14.4" outlineLevel="2" x14ac:dyDescent="0.3">
      <c r="I239" t="s">
        <v>55</v>
      </c>
      <c r="J239" t="s">
        <v>57</v>
      </c>
      <c r="K239" t="s">
        <v>58</v>
      </c>
      <c r="L239" t="s">
        <v>59</v>
      </c>
      <c r="M239" s="91">
        <v>157207971</v>
      </c>
      <c r="N239" t="s">
        <v>63</v>
      </c>
    </row>
    <row r="240" spans="9:14" ht="14.4" outlineLevel="2" x14ac:dyDescent="0.3">
      <c r="I240" t="s">
        <v>55</v>
      </c>
      <c r="J240" t="s">
        <v>11</v>
      </c>
      <c r="K240" t="s">
        <v>72</v>
      </c>
      <c r="L240" t="s">
        <v>59</v>
      </c>
      <c r="M240" s="91">
        <v>52625417</v>
      </c>
      <c r="N240" t="s">
        <v>60</v>
      </c>
    </row>
    <row r="241" spans="9:14" ht="14.4" outlineLevel="2" x14ac:dyDescent="0.3">
      <c r="I241" t="s">
        <v>55</v>
      </c>
      <c r="J241" t="s">
        <v>57</v>
      </c>
      <c r="K241" t="s">
        <v>58</v>
      </c>
      <c r="L241" t="s">
        <v>185</v>
      </c>
      <c r="M241" s="91">
        <v>367464</v>
      </c>
      <c r="N241" t="s">
        <v>60</v>
      </c>
    </row>
    <row r="242" spans="9:14" ht="14.4" outlineLevel="2" x14ac:dyDescent="0.3">
      <c r="I242" t="s">
        <v>49</v>
      </c>
      <c r="J242" t="s">
        <v>12</v>
      </c>
      <c r="K242" t="s">
        <v>79</v>
      </c>
      <c r="L242" t="s">
        <v>59</v>
      </c>
      <c r="M242" s="91">
        <v>2492152</v>
      </c>
      <c r="N242" t="s">
        <v>60</v>
      </c>
    </row>
    <row r="243" spans="9:14" ht="14.4" outlineLevel="2" x14ac:dyDescent="0.3">
      <c r="I243" t="s">
        <v>49</v>
      </c>
      <c r="J243" t="s">
        <v>11</v>
      </c>
      <c r="K243" t="s">
        <v>58</v>
      </c>
      <c r="L243" t="s">
        <v>59</v>
      </c>
      <c r="M243" s="91">
        <v>2042370</v>
      </c>
      <c r="N243" t="s">
        <v>76</v>
      </c>
    </row>
    <row r="244" spans="9:14" ht="14.4" outlineLevel="2" x14ac:dyDescent="0.3">
      <c r="I244" t="s">
        <v>55</v>
      </c>
      <c r="J244" t="s">
        <v>9</v>
      </c>
      <c r="K244" t="s">
        <v>71</v>
      </c>
      <c r="L244" t="s">
        <v>59</v>
      </c>
      <c r="M244" s="91">
        <v>209266</v>
      </c>
      <c r="N244" t="s">
        <v>77</v>
      </c>
    </row>
    <row r="245" spans="9:14" ht="14.4" outlineLevel="2" x14ac:dyDescent="0.3">
      <c r="I245" t="s">
        <v>49</v>
      </c>
      <c r="J245" t="s">
        <v>9</v>
      </c>
      <c r="K245" t="s">
        <v>71</v>
      </c>
      <c r="L245" t="s">
        <v>59</v>
      </c>
      <c r="M245" s="91">
        <v>4738754</v>
      </c>
      <c r="N245" t="s">
        <v>70</v>
      </c>
    </row>
    <row r="246" spans="9:14" ht="14.4" outlineLevel="2" x14ac:dyDescent="0.3">
      <c r="I246" t="s">
        <v>55</v>
      </c>
      <c r="J246" t="s">
        <v>12</v>
      </c>
      <c r="K246" t="s">
        <v>69</v>
      </c>
      <c r="L246" t="s">
        <v>59</v>
      </c>
      <c r="M246" s="91">
        <v>35887332</v>
      </c>
      <c r="N246" t="s">
        <v>77</v>
      </c>
    </row>
    <row r="247" spans="9:14" ht="14.4" outlineLevel="2" x14ac:dyDescent="0.3">
      <c r="I247" t="s">
        <v>55</v>
      </c>
      <c r="J247" t="s">
        <v>11</v>
      </c>
      <c r="K247" t="s">
        <v>69</v>
      </c>
      <c r="L247" t="s">
        <v>59</v>
      </c>
      <c r="M247" s="91">
        <v>278742</v>
      </c>
      <c r="N247" t="s">
        <v>77</v>
      </c>
    </row>
    <row r="248" spans="9:14" ht="14.4" outlineLevel="2" x14ac:dyDescent="0.3">
      <c r="I248" t="s">
        <v>55</v>
      </c>
      <c r="J248" t="s">
        <v>14</v>
      </c>
      <c r="K248" t="s">
        <v>69</v>
      </c>
      <c r="L248" t="s">
        <v>59</v>
      </c>
      <c r="M248" s="91">
        <v>67640</v>
      </c>
      <c r="N248" t="s">
        <v>70</v>
      </c>
    </row>
    <row r="249" spans="9:14" ht="14.4" outlineLevel="2" x14ac:dyDescent="0.3">
      <c r="I249" t="s">
        <v>49</v>
      </c>
      <c r="J249" t="s">
        <v>12</v>
      </c>
      <c r="K249" t="s">
        <v>58</v>
      </c>
      <c r="L249" t="s">
        <v>59</v>
      </c>
      <c r="M249" s="91">
        <v>662452</v>
      </c>
      <c r="N249" t="s">
        <v>60</v>
      </c>
    </row>
    <row r="250" spans="9:14" ht="14.4" outlineLevel="2" x14ac:dyDescent="0.3">
      <c r="I250" t="s">
        <v>55</v>
      </c>
      <c r="J250" t="s">
        <v>10</v>
      </c>
      <c r="K250" t="s">
        <v>71</v>
      </c>
      <c r="L250" t="s">
        <v>59</v>
      </c>
      <c r="M250" s="91">
        <v>30062476</v>
      </c>
      <c r="N250" t="s">
        <v>67</v>
      </c>
    </row>
    <row r="251" spans="9:14" ht="14.4" outlineLevel="2" x14ac:dyDescent="0.3">
      <c r="I251" t="s">
        <v>49</v>
      </c>
      <c r="J251" t="s">
        <v>57</v>
      </c>
      <c r="K251" t="s">
        <v>72</v>
      </c>
      <c r="L251" t="s">
        <v>59</v>
      </c>
      <c r="M251" s="91">
        <v>144287</v>
      </c>
      <c r="N251" t="s">
        <v>60</v>
      </c>
    </row>
    <row r="252" spans="9:14" ht="14.4" outlineLevel="2" x14ac:dyDescent="0.3">
      <c r="I252" t="s">
        <v>55</v>
      </c>
      <c r="J252" t="s">
        <v>12</v>
      </c>
      <c r="K252" t="s">
        <v>71</v>
      </c>
      <c r="L252" t="s">
        <v>185</v>
      </c>
      <c r="M252" s="91">
        <v>232749</v>
      </c>
      <c r="N252" t="s">
        <v>60</v>
      </c>
    </row>
    <row r="253" spans="9:14" ht="14.4" outlineLevel="2" x14ac:dyDescent="0.3">
      <c r="I253" t="s">
        <v>55</v>
      </c>
      <c r="J253" t="s">
        <v>11</v>
      </c>
      <c r="K253" t="s">
        <v>71</v>
      </c>
      <c r="L253" t="s">
        <v>59</v>
      </c>
      <c r="M253" s="91">
        <v>803455</v>
      </c>
      <c r="N253" t="s">
        <v>76</v>
      </c>
    </row>
    <row r="254" spans="9:14" ht="14.4" outlineLevel="2" x14ac:dyDescent="0.3">
      <c r="I254" t="s">
        <v>55</v>
      </c>
      <c r="J254" t="s">
        <v>12</v>
      </c>
      <c r="K254" t="s">
        <v>79</v>
      </c>
      <c r="L254" t="s">
        <v>185</v>
      </c>
      <c r="M254" s="91">
        <v>103313</v>
      </c>
      <c r="N254" t="s">
        <v>60</v>
      </c>
    </row>
    <row r="255" spans="9:14" ht="14.4" outlineLevel="2" x14ac:dyDescent="0.3">
      <c r="I255" t="s">
        <v>49</v>
      </c>
      <c r="J255" t="s">
        <v>9</v>
      </c>
      <c r="K255" t="s">
        <v>58</v>
      </c>
      <c r="L255" t="s">
        <v>59</v>
      </c>
      <c r="M255" s="91">
        <v>8702236</v>
      </c>
      <c r="N255" t="s">
        <v>67</v>
      </c>
    </row>
    <row r="256" spans="9:14" ht="14.4" outlineLevel="2" x14ac:dyDescent="0.3">
      <c r="I256" t="s">
        <v>55</v>
      </c>
      <c r="J256" t="s">
        <v>14</v>
      </c>
      <c r="K256" t="s">
        <v>71</v>
      </c>
      <c r="L256" t="s">
        <v>59</v>
      </c>
      <c r="M256" s="91">
        <v>2202293</v>
      </c>
      <c r="N256" t="s">
        <v>77</v>
      </c>
    </row>
    <row r="257" spans="9:14" ht="14.4" outlineLevel="2" x14ac:dyDescent="0.3">
      <c r="I257" t="s">
        <v>49</v>
      </c>
      <c r="J257" t="s">
        <v>12</v>
      </c>
      <c r="K257" t="s">
        <v>48</v>
      </c>
      <c r="L257" t="s">
        <v>59</v>
      </c>
      <c r="M257" s="91">
        <v>3850466</v>
      </c>
      <c r="N257" t="s">
        <v>60</v>
      </c>
    </row>
    <row r="258" spans="9:14" ht="14.4" outlineLevel="2" x14ac:dyDescent="0.3">
      <c r="I258" t="s">
        <v>49</v>
      </c>
      <c r="J258" t="s">
        <v>11</v>
      </c>
      <c r="K258" t="s">
        <v>72</v>
      </c>
      <c r="L258" t="s">
        <v>59</v>
      </c>
      <c r="M258" s="91">
        <v>676812</v>
      </c>
      <c r="N258" t="s">
        <v>60</v>
      </c>
    </row>
    <row r="259" spans="9:14" ht="14.4" outlineLevel="2" x14ac:dyDescent="0.3">
      <c r="I259" t="s">
        <v>55</v>
      </c>
      <c r="J259" t="s">
        <v>10</v>
      </c>
      <c r="K259" t="s">
        <v>58</v>
      </c>
      <c r="L259" t="s">
        <v>59</v>
      </c>
      <c r="M259" s="91">
        <v>879154484</v>
      </c>
      <c r="N259" t="s">
        <v>70</v>
      </c>
    </row>
    <row r="260" spans="9:14" ht="14.4" outlineLevel="2" x14ac:dyDescent="0.3">
      <c r="I260" t="s">
        <v>55</v>
      </c>
      <c r="J260" t="s">
        <v>8</v>
      </c>
      <c r="K260" t="s">
        <v>58</v>
      </c>
      <c r="L260" t="s">
        <v>185</v>
      </c>
      <c r="M260" s="91">
        <v>226976</v>
      </c>
      <c r="N260" t="s">
        <v>63</v>
      </c>
    </row>
    <row r="261" spans="9:14" ht="14.4" outlineLevel="2" x14ac:dyDescent="0.3">
      <c r="I261" t="s">
        <v>55</v>
      </c>
      <c r="J261" t="s">
        <v>13</v>
      </c>
      <c r="K261" t="s">
        <v>58</v>
      </c>
      <c r="L261" t="s">
        <v>59</v>
      </c>
      <c r="M261" s="91">
        <v>4805027</v>
      </c>
      <c r="N261" t="s">
        <v>60</v>
      </c>
    </row>
    <row r="262" spans="9:14" ht="14.4" outlineLevel="2" x14ac:dyDescent="0.3">
      <c r="I262" t="s">
        <v>55</v>
      </c>
      <c r="J262" t="s">
        <v>13</v>
      </c>
      <c r="K262" t="s">
        <v>65</v>
      </c>
      <c r="L262" t="s">
        <v>59</v>
      </c>
      <c r="M262" s="91">
        <v>152898</v>
      </c>
      <c r="N262" t="s">
        <v>67</v>
      </c>
    </row>
    <row r="263" spans="9:14" ht="14.4" outlineLevel="2" x14ac:dyDescent="0.3">
      <c r="I263" t="s">
        <v>55</v>
      </c>
      <c r="J263" t="s">
        <v>13</v>
      </c>
      <c r="K263" t="s">
        <v>71</v>
      </c>
      <c r="L263" t="s">
        <v>185</v>
      </c>
      <c r="M263" s="91">
        <v>18847</v>
      </c>
      <c r="N263" t="s">
        <v>60</v>
      </c>
    </row>
    <row r="264" spans="9:14" ht="14.4" outlineLevel="2" x14ac:dyDescent="0.3">
      <c r="I264" t="s">
        <v>55</v>
      </c>
      <c r="J264" t="s">
        <v>13</v>
      </c>
      <c r="K264" t="s">
        <v>65</v>
      </c>
      <c r="L264" t="s">
        <v>59</v>
      </c>
      <c r="M264" s="91">
        <v>267815</v>
      </c>
      <c r="N264" t="s">
        <v>63</v>
      </c>
    </row>
    <row r="265" spans="9:14" ht="14.4" outlineLevel="2" x14ac:dyDescent="0.3">
      <c r="I265" t="s">
        <v>55</v>
      </c>
      <c r="J265" t="s">
        <v>12</v>
      </c>
      <c r="K265" t="s">
        <v>48</v>
      </c>
      <c r="L265" t="s">
        <v>185</v>
      </c>
      <c r="M265" s="91">
        <v>572507</v>
      </c>
      <c r="N265" t="s">
        <v>60</v>
      </c>
    </row>
    <row r="266" spans="9:14" ht="14.4" outlineLevel="2" x14ac:dyDescent="0.3">
      <c r="I266" t="s">
        <v>55</v>
      </c>
      <c r="J266" t="s">
        <v>10</v>
      </c>
      <c r="K266" t="s">
        <v>71</v>
      </c>
      <c r="L266" t="s">
        <v>59</v>
      </c>
      <c r="M266" s="91">
        <v>226519232</v>
      </c>
      <c r="N266" t="s">
        <v>60</v>
      </c>
    </row>
    <row r="267" spans="9:14" ht="14.4" outlineLevel="2" x14ac:dyDescent="0.3">
      <c r="I267" t="s">
        <v>55</v>
      </c>
      <c r="J267" t="s">
        <v>13</v>
      </c>
      <c r="K267" t="s">
        <v>69</v>
      </c>
      <c r="L267" t="s">
        <v>185</v>
      </c>
      <c r="M267" s="91">
        <v>26942</v>
      </c>
      <c r="N267" t="s">
        <v>70</v>
      </c>
    </row>
    <row r="268" spans="9:14" ht="14.4" outlineLevel="2" x14ac:dyDescent="0.3">
      <c r="I268" t="s">
        <v>55</v>
      </c>
      <c r="J268" t="s">
        <v>10</v>
      </c>
      <c r="K268" t="s">
        <v>48</v>
      </c>
      <c r="L268" t="s">
        <v>59</v>
      </c>
      <c r="M268" s="91">
        <v>2322174353</v>
      </c>
      <c r="N268" t="s">
        <v>60</v>
      </c>
    </row>
    <row r="269" spans="9:14" ht="14.4" outlineLevel="2" x14ac:dyDescent="0.3">
      <c r="I269" t="s">
        <v>49</v>
      </c>
      <c r="J269" t="s">
        <v>11</v>
      </c>
      <c r="K269" t="s">
        <v>69</v>
      </c>
      <c r="L269" t="s">
        <v>59</v>
      </c>
      <c r="M269" s="91">
        <v>2883068</v>
      </c>
      <c r="N269" t="s">
        <v>67</v>
      </c>
    </row>
    <row r="270" spans="9:14" ht="14.4" outlineLevel="2" x14ac:dyDescent="0.3">
      <c r="I270" t="s">
        <v>55</v>
      </c>
      <c r="J270" t="s">
        <v>8</v>
      </c>
      <c r="K270" t="s">
        <v>58</v>
      </c>
      <c r="L270" t="s">
        <v>185</v>
      </c>
      <c r="M270" s="91">
        <v>4998</v>
      </c>
      <c r="N270" t="s">
        <v>77</v>
      </c>
    </row>
    <row r="271" spans="9:14" ht="14.4" outlineLevel="2" x14ac:dyDescent="0.3">
      <c r="I271" t="s">
        <v>55</v>
      </c>
      <c r="J271" t="s">
        <v>11</v>
      </c>
      <c r="K271" t="s">
        <v>71</v>
      </c>
      <c r="L271" t="s">
        <v>185</v>
      </c>
      <c r="M271" s="91">
        <v>100546</v>
      </c>
      <c r="N271" t="s">
        <v>67</v>
      </c>
    </row>
    <row r="272" spans="9:14" ht="14.4" outlineLevel="2" x14ac:dyDescent="0.3">
      <c r="I272" t="s">
        <v>55</v>
      </c>
      <c r="J272" t="s">
        <v>9</v>
      </c>
      <c r="K272" t="s">
        <v>58</v>
      </c>
      <c r="L272" t="s">
        <v>59</v>
      </c>
      <c r="M272" s="91">
        <v>75936873</v>
      </c>
      <c r="N272" t="s">
        <v>70</v>
      </c>
    </row>
    <row r="273" spans="9:14" ht="14.4" outlineLevel="2" x14ac:dyDescent="0.3">
      <c r="I273" t="s">
        <v>49</v>
      </c>
      <c r="J273" t="s">
        <v>13</v>
      </c>
      <c r="K273" t="s">
        <v>71</v>
      </c>
      <c r="L273" t="s">
        <v>59</v>
      </c>
      <c r="M273" s="91">
        <v>2538805</v>
      </c>
      <c r="N273" t="s">
        <v>60</v>
      </c>
    </row>
    <row r="274" spans="9:14" ht="14.4" outlineLevel="2" x14ac:dyDescent="0.3">
      <c r="I274" t="s">
        <v>55</v>
      </c>
      <c r="J274" t="s">
        <v>10</v>
      </c>
      <c r="K274" t="s">
        <v>48</v>
      </c>
      <c r="L274" t="s">
        <v>185</v>
      </c>
      <c r="M274" s="91">
        <v>137918</v>
      </c>
      <c r="N274" t="s">
        <v>60</v>
      </c>
    </row>
    <row r="275" spans="9:14" ht="14.4" outlineLevel="2" x14ac:dyDescent="0.3">
      <c r="I275" t="s">
        <v>55</v>
      </c>
      <c r="J275" t="s">
        <v>9</v>
      </c>
      <c r="K275" t="s">
        <v>58</v>
      </c>
      <c r="L275" t="s">
        <v>59</v>
      </c>
      <c r="M275" s="91">
        <v>114513673</v>
      </c>
      <c r="N275" t="s">
        <v>77</v>
      </c>
    </row>
    <row r="276" spans="9:14" ht="14.4" outlineLevel="2" x14ac:dyDescent="0.3">
      <c r="I276" t="s">
        <v>55</v>
      </c>
      <c r="J276" t="s">
        <v>12</v>
      </c>
      <c r="K276" t="s">
        <v>69</v>
      </c>
      <c r="L276" t="s">
        <v>59</v>
      </c>
      <c r="M276" s="91">
        <v>564907</v>
      </c>
      <c r="N276" t="s">
        <v>76</v>
      </c>
    </row>
    <row r="277" spans="9:14" ht="14.4" outlineLevel="2" x14ac:dyDescent="0.3">
      <c r="I277" t="s">
        <v>55</v>
      </c>
      <c r="J277" t="s">
        <v>11</v>
      </c>
      <c r="K277" t="s">
        <v>58</v>
      </c>
      <c r="L277" t="s">
        <v>59</v>
      </c>
      <c r="M277" s="91">
        <v>41641986</v>
      </c>
      <c r="N277" t="s">
        <v>77</v>
      </c>
    </row>
    <row r="278" spans="9:14" ht="14.4" outlineLevel="2" x14ac:dyDescent="0.3">
      <c r="I278" t="s">
        <v>55</v>
      </c>
      <c r="J278" t="s">
        <v>48</v>
      </c>
      <c r="K278" t="s">
        <v>48</v>
      </c>
      <c r="L278" t="s">
        <v>185</v>
      </c>
      <c r="M278" s="91">
        <v>1674092</v>
      </c>
      <c r="N278" t="s">
        <v>82</v>
      </c>
    </row>
    <row r="279" spans="9:14" ht="14.4" outlineLevel="2" x14ac:dyDescent="0.3">
      <c r="I279" t="s">
        <v>49</v>
      </c>
      <c r="J279" t="s">
        <v>14</v>
      </c>
      <c r="K279" t="s">
        <v>72</v>
      </c>
      <c r="L279" t="s">
        <v>59</v>
      </c>
      <c r="M279" s="91">
        <v>1787609</v>
      </c>
      <c r="N279" t="s">
        <v>67</v>
      </c>
    </row>
    <row r="280" spans="9:14" ht="14.4" outlineLevel="2" x14ac:dyDescent="0.3">
      <c r="I280" t="s">
        <v>55</v>
      </c>
      <c r="J280" t="s">
        <v>11</v>
      </c>
      <c r="K280" t="s">
        <v>48</v>
      </c>
      <c r="L280" t="s">
        <v>59</v>
      </c>
      <c r="M280" s="91">
        <v>2344618427</v>
      </c>
      <c r="N280" t="s">
        <v>60</v>
      </c>
    </row>
    <row r="281" spans="9:14" ht="14.4" outlineLevel="2" x14ac:dyDescent="0.3">
      <c r="I281" t="s">
        <v>49</v>
      </c>
      <c r="J281" t="s">
        <v>10</v>
      </c>
      <c r="K281" t="s">
        <v>71</v>
      </c>
      <c r="L281" t="s">
        <v>59</v>
      </c>
      <c r="M281" s="91">
        <v>35360937</v>
      </c>
      <c r="N281" t="s">
        <v>76</v>
      </c>
    </row>
    <row r="282" spans="9:14" ht="14.4" outlineLevel="2" x14ac:dyDescent="0.3">
      <c r="I282" t="s">
        <v>55</v>
      </c>
      <c r="J282" t="s">
        <v>8</v>
      </c>
      <c r="K282" t="s">
        <v>65</v>
      </c>
      <c r="L282" t="s">
        <v>59</v>
      </c>
      <c r="M282" s="91">
        <v>255369</v>
      </c>
      <c r="N282" t="s">
        <v>60</v>
      </c>
    </row>
    <row r="283" spans="9:14" ht="14.4" outlineLevel="2" x14ac:dyDescent="0.3">
      <c r="I283" t="s">
        <v>55</v>
      </c>
      <c r="J283" t="s">
        <v>12</v>
      </c>
      <c r="K283" t="s">
        <v>58</v>
      </c>
      <c r="L283" t="s">
        <v>59</v>
      </c>
      <c r="M283" s="91">
        <v>6137100</v>
      </c>
      <c r="N283" t="s">
        <v>77</v>
      </c>
    </row>
    <row r="284" spans="9:14" ht="14.4" outlineLevel="2" x14ac:dyDescent="0.3">
      <c r="I284" t="s">
        <v>55</v>
      </c>
      <c r="J284" t="s">
        <v>12</v>
      </c>
      <c r="K284" t="s">
        <v>69</v>
      </c>
      <c r="L284" t="s">
        <v>185</v>
      </c>
      <c r="M284" s="91">
        <v>1013797</v>
      </c>
      <c r="N284" t="s">
        <v>60</v>
      </c>
    </row>
    <row r="285" spans="9:14" ht="14.4" outlineLevel="2" x14ac:dyDescent="0.3">
      <c r="I285" t="s">
        <v>49</v>
      </c>
      <c r="J285" t="s">
        <v>8</v>
      </c>
      <c r="K285" t="s">
        <v>48</v>
      </c>
      <c r="L285" t="s">
        <v>59</v>
      </c>
      <c r="M285" s="91">
        <v>36250048</v>
      </c>
      <c r="N285" t="s">
        <v>60</v>
      </c>
    </row>
    <row r="286" spans="9:14" ht="14.4" outlineLevel="2" x14ac:dyDescent="0.3">
      <c r="I286" t="s">
        <v>49</v>
      </c>
      <c r="J286" t="s">
        <v>8</v>
      </c>
      <c r="K286" t="s">
        <v>69</v>
      </c>
      <c r="L286" t="s">
        <v>59</v>
      </c>
      <c r="M286" s="91">
        <v>56987</v>
      </c>
      <c r="N286" t="s">
        <v>67</v>
      </c>
    </row>
    <row r="287" spans="9:14" ht="14.4" outlineLevel="2" x14ac:dyDescent="0.3">
      <c r="I287" t="s">
        <v>55</v>
      </c>
      <c r="J287" t="s">
        <v>10</v>
      </c>
      <c r="K287" t="s">
        <v>71</v>
      </c>
      <c r="L287" t="s">
        <v>59</v>
      </c>
      <c r="M287" s="91">
        <v>19133420</v>
      </c>
      <c r="N287" t="s">
        <v>77</v>
      </c>
    </row>
    <row r="288" spans="9:14" ht="14.4" outlineLevel="2" x14ac:dyDescent="0.3">
      <c r="I288" t="s">
        <v>49</v>
      </c>
      <c r="J288" t="s">
        <v>12</v>
      </c>
      <c r="K288" t="s">
        <v>65</v>
      </c>
      <c r="L288" t="s">
        <v>59</v>
      </c>
      <c r="M288" s="91">
        <v>447315</v>
      </c>
      <c r="N288" t="s">
        <v>60</v>
      </c>
    </row>
    <row r="289" spans="9:14" ht="14.4" outlineLevel="2" x14ac:dyDescent="0.3">
      <c r="I289" t="s">
        <v>55</v>
      </c>
      <c r="J289" t="s">
        <v>13</v>
      </c>
      <c r="K289" t="s">
        <v>58</v>
      </c>
      <c r="L289" t="s">
        <v>59</v>
      </c>
      <c r="M289" s="91">
        <v>397362</v>
      </c>
      <c r="N289" t="s">
        <v>77</v>
      </c>
    </row>
    <row r="290" spans="9:14" ht="14.4" outlineLevel="2" x14ac:dyDescent="0.3">
      <c r="I290" t="s">
        <v>55</v>
      </c>
      <c r="J290" t="s">
        <v>10</v>
      </c>
      <c r="K290" t="s">
        <v>79</v>
      </c>
      <c r="L290" t="s">
        <v>59</v>
      </c>
      <c r="M290" s="91">
        <v>1375324</v>
      </c>
      <c r="N290" t="s">
        <v>60</v>
      </c>
    </row>
    <row r="291" spans="9:14" ht="14.4" outlineLevel="2" x14ac:dyDescent="0.3">
      <c r="I291" t="s">
        <v>55</v>
      </c>
      <c r="J291" t="s">
        <v>10</v>
      </c>
      <c r="K291" t="s">
        <v>58</v>
      </c>
      <c r="L291" t="s">
        <v>59</v>
      </c>
      <c r="M291" s="91">
        <v>689629</v>
      </c>
      <c r="N291" t="s">
        <v>76</v>
      </c>
    </row>
    <row r="292" spans="9:14" ht="14.4" outlineLevel="2" x14ac:dyDescent="0.3">
      <c r="I292" t="s">
        <v>49</v>
      </c>
      <c r="J292" t="s">
        <v>12</v>
      </c>
      <c r="K292" t="s">
        <v>58</v>
      </c>
      <c r="L292" t="s">
        <v>59</v>
      </c>
      <c r="M292" s="91">
        <v>4376016</v>
      </c>
      <c r="N292" t="s">
        <v>67</v>
      </c>
    </row>
    <row r="293" spans="9:14" ht="14.4" outlineLevel="2" x14ac:dyDescent="0.3">
      <c r="I293" t="s">
        <v>49</v>
      </c>
      <c r="J293" t="s">
        <v>11</v>
      </c>
      <c r="K293" t="s">
        <v>69</v>
      </c>
      <c r="L293" t="s">
        <v>59</v>
      </c>
      <c r="M293" s="91">
        <v>60859</v>
      </c>
      <c r="N293" t="s">
        <v>70</v>
      </c>
    </row>
    <row r="294" spans="9:14" ht="14.4" outlineLevel="2" x14ac:dyDescent="0.3">
      <c r="I294" t="s">
        <v>55</v>
      </c>
      <c r="J294" t="s">
        <v>75</v>
      </c>
      <c r="K294" t="s">
        <v>48</v>
      </c>
      <c r="L294" t="s">
        <v>59</v>
      </c>
      <c r="M294" s="91">
        <v>303801018</v>
      </c>
      <c r="N294" t="s">
        <v>60</v>
      </c>
    </row>
    <row r="295" spans="9:14" ht="14.4" outlineLevel="2" x14ac:dyDescent="0.3">
      <c r="I295" t="s">
        <v>55</v>
      </c>
      <c r="J295" t="s">
        <v>9</v>
      </c>
      <c r="K295" t="s">
        <v>69</v>
      </c>
      <c r="L295" t="s">
        <v>59</v>
      </c>
      <c r="M295" s="91">
        <v>530785</v>
      </c>
      <c r="N295" t="s">
        <v>60</v>
      </c>
    </row>
    <row r="296" spans="9:14" ht="14.4" outlineLevel="2" x14ac:dyDescent="0.3">
      <c r="I296" t="s">
        <v>49</v>
      </c>
      <c r="J296" t="s">
        <v>10</v>
      </c>
      <c r="K296" t="s">
        <v>58</v>
      </c>
      <c r="L296" t="s">
        <v>59</v>
      </c>
      <c r="M296" s="91">
        <v>42512390</v>
      </c>
      <c r="N296" t="s">
        <v>70</v>
      </c>
    </row>
    <row r="297" spans="9:14" ht="14.4" outlineLevel="2" x14ac:dyDescent="0.3">
      <c r="I297" t="s">
        <v>49</v>
      </c>
      <c r="J297" t="s">
        <v>10</v>
      </c>
      <c r="K297" t="s">
        <v>48</v>
      </c>
      <c r="L297" t="s">
        <v>59</v>
      </c>
      <c r="M297" s="91">
        <v>48741178</v>
      </c>
      <c r="N297" t="s">
        <v>60</v>
      </c>
    </row>
    <row r="298" spans="9:14" ht="14.4" outlineLevel="2" x14ac:dyDescent="0.3">
      <c r="I298" t="s">
        <v>49</v>
      </c>
      <c r="J298" t="s">
        <v>10</v>
      </c>
      <c r="K298" t="s">
        <v>58</v>
      </c>
      <c r="L298" t="s">
        <v>59</v>
      </c>
      <c r="M298" s="91">
        <v>151189320</v>
      </c>
      <c r="N298" t="s">
        <v>67</v>
      </c>
    </row>
    <row r="299" spans="9:14" ht="14.4" outlineLevel="2" x14ac:dyDescent="0.3">
      <c r="I299" t="s">
        <v>49</v>
      </c>
      <c r="J299" t="s">
        <v>75</v>
      </c>
      <c r="K299" t="s">
        <v>71</v>
      </c>
      <c r="L299" t="s">
        <v>59</v>
      </c>
      <c r="M299" s="91">
        <v>267418</v>
      </c>
      <c r="N299" t="s">
        <v>63</v>
      </c>
    </row>
    <row r="300" spans="9:14" ht="14.4" outlineLevel="2" x14ac:dyDescent="0.3">
      <c r="I300" t="s">
        <v>49</v>
      </c>
      <c r="J300" t="s">
        <v>11</v>
      </c>
      <c r="K300" t="s">
        <v>58</v>
      </c>
      <c r="L300" t="s">
        <v>59</v>
      </c>
      <c r="M300" s="91">
        <v>3205258</v>
      </c>
      <c r="N300" t="s">
        <v>70</v>
      </c>
    </row>
    <row r="301" spans="9:14" ht="14.4" outlineLevel="2" x14ac:dyDescent="0.3">
      <c r="I301" t="s">
        <v>49</v>
      </c>
      <c r="J301" t="s">
        <v>75</v>
      </c>
      <c r="K301" t="s">
        <v>58</v>
      </c>
      <c r="L301" t="s">
        <v>59</v>
      </c>
      <c r="M301" s="91">
        <v>1857727</v>
      </c>
      <c r="N301" t="s">
        <v>67</v>
      </c>
    </row>
    <row r="302" spans="9:14" ht="14.4" outlineLevel="2" x14ac:dyDescent="0.3">
      <c r="I302" t="s">
        <v>49</v>
      </c>
      <c r="J302" t="s">
        <v>13</v>
      </c>
      <c r="K302" t="s">
        <v>79</v>
      </c>
      <c r="L302" t="s">
        <v>59</v>
      </c>
      <c r="M302" s="91">
        <v>10613270</v>
      </c>
      <c r="N302" t="s">
        <v>60</v>
      </c>
    </row>
    <row r="303" spans="9:14" ht="14.4" outlineLevel="2" x14ac:dyDescent="0.3">
      <c r="I303" t="s">
        <v>55</v>
      </c>
      <c r="J303" t="s">
        <v>75</v>
      </c>
      <c r="K303" t="s">
        <v>72</v>
      </c>
      <c r="L303" t="s">
        <v>59</v>
      </c>
      <c r="M303" s="91">
        <v>931341</v>
      </c>
      <c r="N303" t="s">
        <v>60</v>
      </c>
    </row>
    <row r="304" spans="9:14" ht="14.4" outlineLevel="2" x14ac:dyDescent="0.3">
      <c r="I304" t="s">
        <v>55</v>
      </c>
      <c r="J304" t="s">
        <v>14</v>
      </c>
      <c r="K304" t="s">
        <v>72</v>
      </c>
      <c r="L304" t="s">
        <v>59</v>
      </c>
      <c r="M304" s="91">
        <v>113721</v>
      </c>
      <c r="N304" t="s">
        <v>60</v>
      </c>
    </row>
    <row r="305" spans="9:14" ht="14.4" outlineLevel="2" x14ac:dyDescent="0.3">
      <c r="I305" t="s">
        <v>49</v>
      </c>
      <c r="J305" t="s">
        <v>14</v>
      </c>
      <c r="K305" t="s">
        <v>69</v>
      </c>
      <c r="L305" t="s">
        <v>59</v>
      </c>
      <c r="M305" s="91">
        <v>1329994</v>
      </c>
      <c r="N305" t="s">
        <v>77</v>
      </c>
    </row>
    <row r="306" spans="9:14" ht="14.4" outlineLevel="2" x14ac:dyDescent="0.3">
      <c r="I306" t="s">
        <v>55</v>
      </c>
      <c r="J306" t="s">
        <v>57</v>
      </c>
      <c r="K306" t="s">
        <v>71</v>
      </c>
      <c r="L306" t="s">
        <v>59</v>
      </c>
      <c r="M306" s="91">
        <v>3721106</v>
      </c>
      <c r="N306" t="s">
        <v>63</v>
      </c>
    </row>
    <row r="307" spans="9:14" ht="14.4" outlineLevel="2" x14ac:dyDescent="0.3">
      <c r="I307" t="s">
        <v>55</v>
      </c>
      <c r="J307" t="s">
        <v>9</v>
      </c>
      <c r="K307" t="s">
        <v>71</v>
      </c>
      <c r="L307" t="s">
        <v>59</v>
      </c>
      <c r="M307" s="91">
        <v>81258</v>
      </c>
      <c r="N307" t="s">
        <v>63</v>
      </c>
    </row>
    <row r="308" spans="9:14" ht="14.4" outlineLevel="2" x14ac:dyDescent="0.3">
      <c r="I308" t="s">
        <v>49</v>
      </c>
      <c r="J308" t="s">
        <v>9</v>
      </c>
      <c r="K308" t="s">
        <v>58</v>
      </c>
      <c r="L308" t="s">
        <v>59</v>
      </c>
      <c r="M308" s="91">
        <v>6591527</v>
      </c>
      <c r="N308" t="s">
        <v>60</v>
      </c>
    </row>
    <row r="309" spans="9:14" ht="14.4" outlineLevel="2" x14ac:dyDescent="0.3">
      <c r="I309" t="s">
        <v>55</v>
      </c>
      <c r="J309" t="s">
        <v>75</v>
      </c>
      <c r="K309" t="s">
        <v>58</v>
      </c>
      <c r="L309" t="s">
        <v>59</v>
      </c>
      <c r="M309" s="91">
        <v>188018825</v>
      </c>
      <c r="N309" t="s">
        <v>60</v>
      </c>
    </row>
    <row r="310" spans="9:14" ht="14.4" outlineLevel="2" x14ac:dyDescent="0.3">
      <c r="I310" t="s">
        <v>49</v>
      </c>
      <c r="J310" t="s">
        <v>13</v>
      </c>
      <c r="K310" t="s">
        <v>71</v>
      </c>
      <c r="L310" t="s">
        <v>59</v>
      </c>
      <c r="M310" s="91">
        <v>1128196</v>
      </c>
      <c r="N310" t="s">
        <v>70</v>
      </c>
    </row>
    <row r="311" spans="9:14" ht="14.4" outlineLevel="2" x14ac:dyDescent="0.3">
      <c r="I311" t="s">
        <v>49</v>
      </c>
      <c r="J311" t="s">
        <v>9</v>
      </c>
      <c r="K311" t="s">
        <v>71</v>
      </c>
      <c r="L311" t="s">
        <v>59</v>
      </c>
      <c r="M311" s="91">
        <v>18809894</v>
      </c>
      <c r="N311" t="s">
        <v>63</v>
      </c>
    </row>
    <row r="312" spans="9:14" ht="14.4" outlineLevel="2" x14ac:dyDescent="0.3">
      <c r="I312" t="s">
        <v>55</v>
      </c>
      <c r="J312" t="s">
        <v>12</v>
      </c>
      <c r="K312" t="s">
        <v>69</v>
      </c>
      <c r="L312" t="s">
        <v>59</v>
      </c>
      <c r="M312" s="91">
        <v>111646303</v>
      </c>
      <c r="N312" t="s">
        <v>60</v>
      </c>
    </row>
    <row r="313" spans="9:14" ht="14.4" outlineLevel="2" x14ac:dyDescent="0.3">
      <c r="I313" t="s">
        <v>49</v>
      </c>
      <c r="J313" t="s">
        <v>11</v>
      </c>
      <c r="K313" t="s">
        <v>58</v>
      </c>
      <c r="L313" t="s">
        <v>59</v>
      </c>
      <c r="M313" s="91">
        <v>26124267</v>
      </c>
      <c r="N313" t="s">
        <v>67</v>
      </c>
    </row>
    <row r="314" spans="9:14" ht="14.4" outlineLevel="2" x14ac:dyDescent="0.3">
      <c r="I314" t="s">
        <v>55</v>
      </c>
      <c r="J314" t="s">
        <v>14</v>
      </c>
      <c r="K314" t="s">
        <v>72</v>
      </c>
      <c r="L314" t="s">
        <v>59</v>
      </c>
      <c r="M314" s="91">
        <v>1837042</v>
      </c>
      <c r="N314" t="s">
        <v>67</v>
      </c>
    </row>
    <row r="315" spans="9:14" ht="14.4" outlineLevel="2" x14ac:dyDescent="0.3">
      <c r="I315" t="s">
        <v>49</v>
      </c>
      <c r="J315" t="s">
        <v>8</v>
      </c>
      <c r="K315" t="s">
        <v>71</v>
      </c>
      <c r="L315" t="s">
        <v>59</v>
      </c>
      <c r="M315" s="91">
        <v>115201</v>
      </c>
      <c r="N315" t="s">
        <v>70</v>
      </c>
    </row>
    <row r="316" spans="9:14" ht="14.4" outlineLevel="2" x14ac:dyDescent="0.3">
      <c r="I316" t="s">
        <v>55</v>
      </c>
      <c r="J316" t="s">
        <v>11</v>
      </c>
      <c r="K316" t="s">
        <v>48</v>
      </c>
      <c r="L316" t="s">
        <v>185</v>
      </c>
      <c r="M316" s="91">
        <v>444286</v>
      </c>
      <c r="N316" t="s">
        <v>60</v>
      </c>
    </row>
    <row r="317" spans="9:14" ht="14.4" outlineLevel="2" x14ac:dyDescent="0.3">
      <c r="I317" t="s">
        <v>49</v>
      </c>
      <c r="J317" t="s">
        <v>48</v>
      </c>
      <c r="K317" t="s">
        <v>48</v>
      </c>
      <c r="L317" t="s">
        <v>59</v>
      </c>
      <c r="M317" s="91">
        <v>6624408</v>
      </c>
      <c r="N317" s="91" t="s">
        <v>81</v>
      </c>
    </row>
    <row r="318" spans="9:14" ht="14.4" outlineLevel="2" x14ac:dyDescent="0.3">
      <c r="I318" t="s">
        <v>55</v>
      </c>
      <c r="J318" t="s">
        <v>57</v>
      </c>
      <c r="K318" t="s">
        <v>58</v>
      </c>
      <c r="L318" t="s">
        <v>185</v>
      </c>
      <c r="M318" s="91">
        <v>61409</v>
      </c>
      <c r="N318" t="s">
        <v>63</v>
      </c>
    </row>
    <row r="319" spans="9:14" ht="14.4" outlineLevel="2" x14ac:dyDescent="0.3">
      <c r="I319" t="s">
        <v>55</v>
      </c>
      <c r="J319" t="s">
        <v>11</v>
      </c>
      <c r="K319" t="s">
        <v>71</v>
      </c>
      <c r="L319" t="s">
        <v>59</v>
      </c>
      <c r="M319" s="91">
        <v>582641572</v>
      </c>
      <c r="N319" t="s">
        <v>70</v>
      </c>
    </row>
    <row r="320" spans="9:14" ht="14.4" outlineLevel="2" x14ac:dyDescent="0.3">
      <c r="I320" t="s">
        <v>55</v>
      </c>
      <c r="J320" t="s">
        <v>8</v>
      </c>
      <c r="K320" t="s">
        <v>58</v>
      </c>
      <c r="L320" t="s">
        <v>59</v>
      </c>
      <c r="M320" s="91">
        <v>44973450</v>
      </c>
      <c r="N320" t="s">
        <v>67</v>
      </c>
    </row>
    <row r="321" spans="9:14" ht="14.4" outlineLevel="2" x14ac:dyDescent="0.3">
      <c r="I321" t="s">
        <v>55</v>
      </c>
      <c r="J321" t="s">
        <v>12</v>
      </c>
      <c r="K321" t="s">
        <v>69</v>
      </c>
      <c r="L321" t="s">
        <v>59</v>
      </c>
      <c r="M321" s="91">
        <v>267035969</v>
      </c>
      <c r="N321" t="s">
        <v>63</v>
      </c>
    </row>
    <row r="322" spans="9:14" ht="14.4" outlineLevel="2" x14ac:dyDescent="0.3">
      <c r="I322" t="s">
        <v>49</v>
      </c>
      <c r="J322" t="s">
        <v>75</v>
      </c>
      <c r="K322" t="s">
        <v>58</v>
      </c>
      <c r="L322" t="s">
        <v>59</v>
      </c>
      <c r="M322" s="91">
        <v>7132637</v>
      </c>
      <c r="N322" t="s">
        <v>63</v>
      </c>
    </row>
    <row r="323" spans="9:14" ht="14.4" outlineLevel="2" x14ac:dyDescent="0.3">
      <c r="I323" t="s">
        <v>55</v>
      </c>
      <c r="J323" t="s">
        <v>57</v>
      </c>
      <c r="K323" t="s">
        <v>71</v>
      </c>
      <c r="L323" t="s">
        <v>59</v>
      </c>
      <c r="M323" s="91">
        <v>885016</v>
      </c>
      <c r="N323" t="s">
        <v>70</v>
      </c>
    </row>
    <row r="324" spans="9:14" ht="14.4" outlineLevel="2" x14ac:dyDescent="0.3">
      <c r="I324" t="s">
        <v>49</v>
      </c>
      <c r="J324" t="s">
        <v>12</v>
      </c>
      <c r="K324" t="s">
        <v>69</v>
      </c>
      <c r="L324" t="s">
        <v>59</v>
      </c>
      <c r="M324" s="91">
        <v>29185615</v>
      </c>
      <c r="N324" t="s">
        <v>63</v>
      </c>
    </row>
    <row r="325" spans="9:14" ht="14.4" outlineLevel="2" x14ac:dyDescent="0.3">
      <c r="I325" t="s">
        <v>49</v>
      </c>
      <c r="J325" t="s">
        <v>10</v>
      </c>
      <c r="K325" t="s">
        <v>69</v>
      </c>
      <c r="L325" t="s">
        <v>59</v>
      </c>
      <c r="M325" s="91">
        <v>1816596</v>
      </c>
      <c r="N325" t="s">
        <v>63</v>
      </c>
    </row>
    <row r="326" spans="9:14" ht="14.4" outlineLevel="2" x14ac:dyDescent="0.3">
      <c r="I326" t="s">
        <v>49</v>
      </c>
      <c r="J326" t="s">
        <v>14</v>
      </c>
      <c r="K326" t="s">
        <v>71</v>
      </c>
      <c r="L326" t="s">
        <v>59</v>
      </c>
      <c r="M326" s="91">
        <v>458889</v>
      </c>
      <c r="N326" t="s">
        <v>67</v>
      </c>
    </row>
    <row r="327" spans="9:14" ht="14.4" outlineLevel="2" x14ac:dyDescent="0.3">
      <c r="I327" t="s">
        <v>55</v>
      </c>
      <c r="J327" t="s">
        <v>57</v>
      </c>
      <c r="K327" t="s">
        <v>69</v>
      </c>
      <c r="L327" t="s">
        <v>59</v>
      </c>
      <c r="M327" s="91">
        <v>1324383</v>
      </c>
      <c r="N327" t="s">
        <v>60</v>
      </c>
    </row>
    <row r="328" spans="9:14" ht="14.4" outlineLevel="2" x14ac:dyDescent="0.3">
      <c r="I328" t="s">
        <v>55</v>
      </c>
      <c r="J328" t="s">
        <v>13</v>
      </c>
      <c r="K328" t="s">
        <v>79</v>
      </c>
      <c r="L328" t="s">
        <v>59</v>
      </c>
      <c r="M328" s="91">
        <v>43080351</v>
      </c>
      <c r="N328" t="s">
        <v>60</v>
      </c>
    </row>
    <row r="329" spans="9:14" ht="14.4" outlineLevel="2" x14ac:dyDescent="0.3">
      <c r="I329" t="s">
        <v>55</v>
      </c>
      <c r="J329" t="s">
        <v>11</v>
      </c>
      <c r="K329" t="s">
        <v>71</v>
      </c>
      <c r="L329" t="s">
        <v>185</v>
      </c>
      <c r="M329" s="91">
        <v>996409</v>
      </c>
      <c r="N329" t="s">
        <v>60</v>
      </c>
    </row>
    <row r="330" spans="9:14" ht="14.4" outlineLevel="2" x14ac:dyDescent="0.3">
      <c r="I330" t="s">
        <v>55</v>
      </c>
      <c r="J330" t="s">
        <v>8</v>
      </c>
      <c r="K330" t="s">
        <v>69</v>
      </c>
      <c r="L330" t="s">
        <v>59</v>
      </c>
      <c r="M330" s="91">
        <v>19771</v>
      </c>
      <c r="N330" t="s">
        <v>60</v>
      </c>
    </row>
    <row r="331" spans="9:14" ht="14.4" outlineLevel="2" x14ac:dyDescent="0.3">
      <c r="I331" t="s">
        <v>49</v>
      </c>
      <c r="J331" t="s">
        <v>14</v>
      </c>
      <c r="K331" t="s">
        <v>69</v>
      </c>
      <c r="L331" t="s">
        <v>59</v>
      </c>
      <c r="M331" s="91">
        <v>7155764</v>
      </c>
      <c r="N331" t="s">
        <v>67</v>
      </c>
    </row>
    <row r="332" spans="9:14" ht="14.4" outlineLevel="2" x14ac:dyDescent="0.3">
      <c r="I332" t="s">
        <v>49</v>
      </c>
      <c r="J332" t="s">
        <v>8</v>
      </c>
      <c r="K332" t="s">
        <v>71</v>
      </c>
      <c r="L332" t="s">
        <v>59</v>
      </c>
      <c r="M332" s="91">
        <v>32742</v>
      </c>
      <c r="N332" t="s">
        <v>60</v>
      </c>
    </row>
    <row r="333" spans="9:14" ht="14.4" outlineLevel="2" x14ac:dyDescent="0.3">
      <c r="I333" t="s">
        <v>49</v>
      </c>
      <c r="J333" t="s">
        <v>10</v>
      </c>
      <c r="K333" t="s">
        <v>71</v>
      </c>
      <c r="L333" t="s">
        <v>59</v>
      </c>
      <c r="M333" s="91">
        <v>98734467</v>
      </c>
      <c r="N333" t="s">
        <v>70</v>
      </c>
    </row>
    <row r="334" spans="9:14" ht="14.4" outlineLevel="2" x14ac:dyDescent="0.3">
      <c r="I334" t="s">
        <v>55</v>
      </c>
      <c r="J334" t="s">
        <v>10</v>
      </c>
      <c r="K334" t="s">
        <v>58</v>
      </c>
      <c r="L334" t="s">
        <v>59</v>
      </c>
      <c r="M334" s="91">
        <v>617864584</v>
      </c>
      <c r="N334" t="s">
        <v>60</v>
      </c>
    </row>
    <row r="335" spans="9:14" ht="14.4" outlineLevel="2" x14ac:dyDescent="0.3">
      <c r="I335" t="s">
        <v>49</v>
      </c>
      <c r="J335" t="s">
        <v>11</v>
      </c>
      <c r="K335" t="s">
        <v>69</v>
      </c>
      <c r="L335" t="s">
        <v>59</v>
      </c>
      <c r="M335" s="91">
        <v>7863465</v>
      </c>
      <c r="N335" t="s">
        <v>60</v>
      </c>
    </row>
    <row r="336" spans="9:14" ht="14.4" outlineLevel="2" x14ac:dyDescent="0.3">
      <c r="I336" t="s">
        <v>55</v>
      </c>
      <c r="J336" t="s">
        <v>12</v>
      </c>
      <c r="K336" t="s">
        <v>71</v>
      </c>
      <c r="L336" t="s">
        <v>59</v>
      </c>
      <c r="M336" s="91">
        <v>254957626</v>
      </c>
      <c r="N336" t="s">
        <v>60</v>
      </c>
    </row>
    <row r="337" spans="9:14" ht="14.4" outlineLevel="2" x14ac:dyDescent="0.3">
      <c r="I337" t="s">
        <v>49</v>
      </c>
      <c r="J337" t="s">
        <v>9</v>
      </c>
      <c r="K337" t="s">
        <v>71</v>
      </c>
      <c r="L337" t="s">
        <v>59</v>
      </c>
      <c r="M337" s="91">
        <v>14518082</v>
      </c>
      <c r="N337" t="s">
        <v>67</v>
      </c>
    </row>
    <row r="338" spans="9:14" ht="14.4" outlineLevel="2" x14ac:dyDescent="0.3">
      <c r="I338" t="s">
        <v>49</v>
      </c>
      <c r="J338" t="s">
        <v>9</v>
      </c>
      <c r="K338" t="s">
        <v>58</v>
      </c>
      <c r="L338" t="s">
        <v>59</v>
      </c>
      <c r="M338" s="91">
        <v>9374725</v>
      </c>
      <c r="N338" t="s">
        <v>70</v>
      </c>
    </row>
    <row r="339" spans="9:14" ht="14.4" outlineLevel="2" x14ac:dyDescent="0.3">
      <c r="I339" t="s">
        <v>49</v>
      </c>
      <c r="J339" t="s">
        <v>11</v>
      </c>
      <c r="K339" t="s">
        <v>71</v>
      </c>
      <c r="L339" t="s">
        <v>59</v>
      </c>
      <c r="M339" s="91">
        <v>28802947</v>
      </c>
      <c r="N339" t="s">
        <v>77</v>
      </c>
    </row>
    <row r="340" spans="9:14" ht="14.4" outlineLevel="2" x14ac:dyDescent="0.3">
      <c r="I340" t="s">
        <v>55</v>
      </c>
      <c r="J340" t="s">
        <v>14</v>
      </c>
      <c r="K340" t="s">
        <v>71</v>
      </c>
      <c r="L340" t="s">
        <v>59</v>
      </c>
      <c r="M340" s="91">
        <v>3496197</v>
      </c>
      <c r="N340" t="s">
        <v>67</v>
      </c>
    </row>
    <row r="341" spans="9:14" ht="14.4" outlineLevel="2" x14ac:dyDescent="0.3">
      <c r="I341" t="s">
        <v>49</v>
      </c>
      <c r="J341" t="s">
        <v>10</v>
      </c>
      <c r="K341" t="s">
        <v>72</v>
      </c>
      <c r="L341" t="s">
        <v>59</v>
      </c>
      <c r="M341" s="91">
        <v>440087</v>
      </c>
      <c r="N341" t="s">
        <v>60</v>
      </c>
    </row>
    <row r="342" spans="9:14" ht="14.4" outlineLevel="2" x14ac:dyDescent="0.3">
      <c r="I342" t="s">
        <v>55</v>
      </c>
      <c r="J342" t="s">
        <v>75</v>
      </c>
      <c r="K342" t="s">
        <v>58</v>
      </c>
      <c r="L342" t="s">
        <v>185</v>
      </c>
      <c r="M342" s="91">
        <v>165165</v>
      </c>
      <c r="N342" t="s">
        <v>60</v>
      </c>
    </row>
    <row r="343" spans="9:14" ht="14.4" outlineLevel="2" x14ac:dyDescent="0.3">
      <c r="I343" t="s">
        <v>55</v>
      </c>
      <c r="J343" t="s">
        <v>57</v>
      </c>
      <c r="K343" t="s">
        <v>58</v>
      </c>
      <c r="L343" t="s">
        <v>59</v>
      </c>
      <c r="M343" s="91">
        <v>153918421</v>
      </c>
      <c r="N343" t="s">
        <v>77</v>
      </c>
    </row>
    <row r="344" spans="9:14" ht="14.4" outlineLevel="2" x14ac:dyDescent="0.3">
      <c r="I344" t="s">
        <v>55</v>
      </c>
      <c r="J344" t="s">
        <v>10</v>
      </c>
      <c r="K344" t="s">
        <v>65</v>
      </c>
      <c r="L344" t="s">
        <v>59</v>
      </c>
      <c r="M344" s="91">
        <v>639910</v>
      </c>
      <c r="N344" t="s">
        <v>60</v>
      </c>
    </row>
    <row r="345" spans="9:14" ht="14.4" outlineLevel="2" x14ac:dyDescent="0.3">
      <c r="I345" t="s">
        <v>49</v>
      </c>
      <c r="J345" t="s">
        <v>12</v>
      </c>
      <c r="K345" t="s">
        <v>71</v>
      </c>
      <c r="L345" t="s">
        <v>59</v>
      </c>
      <c r="M345" s="91">
        <v>11465159</v>
      </c>
      <c r="N345" t="s">
        <v>70</v>
      </c>
    </row>
    <row r="346" spans="9:14" ht="14.4" outlineLevel="2" x14ac:dyDescent="0.3">
      <c r="I346" t="s">
        <v>55</v>
      </c>
      <c r="J346" t="s">
        <v>57</v>
      </c>
      <c r="K346" t="s">
        <v>71</v>
      </c>
      <c r="L346" t="s">
        <v>59</v>
      </c>
      <c r="M346" s="91">
        <v>22976968</v>
      </c>
      <c r="N346" t="s">
        <v>60</v>
      </c>
    </row>
    <row r="347" spans="9:14" ht="14.4" outlineLevel="2" x14ac:dyDescent="0.3">
      <c r="I347" t="s">
        <v>55</v>
      </c>
      <c r="J347" t="s">
        <v>13</v>
      </c>
      <c r="K347" t="s">
        <v>71</v>
      </c>
      <c r="L347" t="s">
        <v>59</v>
      </c>
      <c r="M347" s="91">
        <v>8222525</v>
      </c>
      <c r="N347" t="s">
        <v>70</v>
      </c>
    </row>
    <row r="348" spans="9:14" ht="14.4" outlineLevel="2" x14ac:dyDescent="0.3">
      <c r="I348" t="s">
        <v>49</v>
      </c>
      <c r="J348" t="s">
        <v>9</v>
      </c>
      <c r="K348" t="s">
        <v>48</v>
      </c>
      <c r="L348" t="s">
        <v>59</v>
      </c>
      <c r="M348" s="91">
        <v>22777957</v>
      </c>
      <c r="N348" t="s">
        <v>60</v>
      </c>
    </row>
    <row r="349" spans="9:14" ht="14.4" outlineLevel="2" x14ac:dyDescent="0.3">
      <c r="I349" t="s">
        <v>55</v>
      </c>
      <c r="J349" t="s">
        <v>13</v>
      </c>
      <c r="K349" t="s">
        <v>71</v>
      </c>
      <c r="L349" t="s">
        <v>59</v>
      </c>
      <c r="M349" s="91">
        <v>32128330</v>
      </c>
      <c r="N349" t="s">
        <v>60</v>
      </c>
    </row>
    <row r="350" spans="9:14" ht="14.4" outlineLevel="2" x14ac:dyDescent="0.3">
      <c r="I350" t="s">
        <v>49</v>
      </c>
      <c r="J350" t="s">
        <v>12</v>
      </c>
      <c r="K350" t="s">
        <v>71</v>
      </c>
      <c r="L350" t="s">
        <v>59</v>
      </c>
      <c r="M350" s="91">
        <v>111768272</v>
      </c>
      <c r="N350" t="s">
        <v>63</v>
      </c>
    </row>
    <row r="351" spans="9:14" ht="14.4" outlineLevel="2" x14ac:dyDescent="0.3">
      <c r="I351" t="s">
        <v>49</v>
      </c>
      <c r="J351" t="s">
        <v>14</v>
      </c>
      <c r="K351" t="s">
        <v>71</v>
      </c>
      <c r="L351" t="s">
        <v>59</v>
      </c>
      <c r="M351" s="91">
        <v>1524365</v>
      </c>
      <c r="N351" t="s">
        <v>63</v>
      </c>
    </row>
    <row r="352" spans="9:14" ht="14.4" outlineLevel="2" x14ac:dyDescent="0.3">
      <c r="I352" t="s">
        <v>55</v>
      </c>
      <c r="J352" t="s">
        <v>11</v>
      </c>
      <c r="K352" t="s">
        <v>71</v>
      </c>
      <c r="L352" t="s">
        <v>59</v>
      </c>
      <c r="M352" s="91">
        <v>1282795964</v>
      </c>
      <c r="N352" t="s">
        <v>63</v>
      </c>
    </row>
    <row r="353" spans="9:14" ht="14.4" outlineLevel="2" x14ac:dyDescent="0.3">
      <c r="I353" t="s">
        <v>55</v>
      </c>
      <c r="J353" t="s">
        <v>12</v>
      </c>
      <c r="K353" t="s">
        <v>71</v>
      </c>
      <c r="L353" t="s">
        <v>185</v>
      </c>
      <c r="M353" s="91">
        <v>100713</v>
      </c>
      <c r="N353" t="s">
        <v>77</v>
      </c>
    </row>
    <row r="354" spans="9:14" ht="14.4" outlineLevel="2" x14ac:dyDescent="0.3">
      <c r="I354" t="s">
        <v>55</v>
      </c>
      <c r="J354" t="s">
        <v>11</v>
      </c>
      <c r="K354" t="s">
        <v>58</v>
      </c>
      <c r="L354" t="s">
        <v>185</v>
      </c>
      <c r="M354" s="91">
        <v>125169</v>
      </c>
      <c r="N354" t="s">
        <v>60</v>
      </c>
    </row>
    <row r="355" spans="9:14" ht="14.4" outlineLevel="2" x14ac:dyDescent="0.3">
      <c r="I355" t="s">
        <v>55</v>
      </c>
      <c r="J355" t="s">
        <v>13</v>
      </c>
      <c r="K355" t="s">
        <v>72</v>
      </c>
      <c r="L355" t="s">
        <v>59</v>
      </c>
      <c r="M355" s="91">
        <v>5731233</v>
      </c>
      <c r="N355" t="s">
        <v>77</v>
      </c>
    </row>
    <row r="356" spans="9:14" ht="14.4" outlineLevel="2" x14ac:dyDescent="0.3">
      <c r="I356" t="s">
        <v>55</v>
      </c>
      <c r="J356" t="s">
        <v>57</v>
      </c>
      <c r="K356" t="s">
        <v>58</v>
      </c>
      <c r="L356" t="s">
        <v>59</v>
      </c>
      <c r="M356" s="91">
        <v>131365353</v>
      </c>
      <c r="N356" t="s">
        <v>70</v>
      </c>
    </row>
    <row r="357" spans="9:14" ht="14.4" outlineLevel="2" x14ac:dyDescent="0.3">
      <c r="I357" t="s">
        <v>55</v>
      </c>
      <c r="J357" t="s">
        <v>10</v>
      </c>
      <c r="K357" t="s">
        <v>58</v>
      </c>
      <c r="L357" t="s">
        <v>185</v>
      </c>
      <c r="M357" s="91">
        <v>40717</v>
      </c>
      <c r="N357" t="s">
        <v>67</v>
      </c>
    </row>
    <row r="358" spans="9:14" ht="14.4" outlineLevel="2" x14ac:dyDescent="0.3">
      <c r="I358" t="s">
        <v>55</v>
      </c>
      <c r="J358" t="s">
        <v>14</v>
      </c>
      <c r="K358" t="s">
        <v>58</v>
      </c>
      <c r="L358" t="s">
        <v>59</v>
      </c>
      <c r="M358" s="91">
        <v>244099</v>
      </c>
      <c r="N358" t="s">
        <v>60</v>
      </c>
    </row>
    <row r="359" spans="9:14" ht="14.4" outlineLevel="2" x14ac:dyDescent="0.3">
      <c r="I359" t="s">
        <v>55</v>
      </c>
      <c r="J359" t="s">
        <v>9</v>
      </c>
      <c r="K359" t="s">
        <v>58</v>
      </c>
      <c r="L359" t="s">
        <v>185</v>
      </c>
      <c r="M359" s="91">
        <v>6674375</v>
      </c>
      <c r="N359" t="s">
        <v>60</v>
      </c>
    </row>
    <row r="360" spans="9:14" ht="14.4" outlineLevel="2" x14ac:dyDescent="0.3">
      <c r="I360" t="s">
        <v>55</v>
      </c>
      <c r="J360" t="s">
        <v>14</v>
      </c>
      <c r="K360" t="s">
        <v>69</v>
      </c>
      <c r="L360" t="s">
        <v>59</v>
      </c>
      <c r="M360" s="91">
        <v>20443985</v>
      </c>
      <c r="N360" t="s">
        <v>67</v>
      </c>
    </row>
    <row r="361" spans="9:14" ht="14.4" outlineLevel="2" x14ac:dyDescent="0.3">
      <c r="I361" t="s">
        <v>55</v>
      </c>
      <c r="J361" t="s">
        <v>11</v>
      </c>
      <c r="K361" t="s">
        <v>69</v>
      </c>
      <c r="L361" t="s">
        <v>59</v>
      </c>
      <c r="M361" s="91">
        <v>130852566</v>
      </c>
      <c r="N361" t="s">
        <v>60</v>
      </c>
    </row>
    <row r="362" spans="9:14" ht="14.4" outlineLevel="2" x14ac:dyDescent="0.3">
      <c r="I362" t="s">
        <v>55</v>
      </c>
      <c r="J362" t="s">
        <v>11</v>
      </c>
      <c r="K362" t="s">
        <v>58</v>
      </c>
      <c r="L362" t="s">
        <v>59</v>
      </c>
      <c r="M362" s="91">
        <v>59924160</v>
      </c>
      <c r="N362" t="s">
        <v>70</v>
      </c>
    </row>
    <row r="363" spans="9:14" ht="14.4" outlineLevel="2" x14ac:dyDescent="0.3">
      <c r="I363" t="s">
        <v>55</v>
      </c>
      <c r="J363" t="s">
        <v>11</v>
      </c>
      <c r="K363" t="s">
        <v>58</v>
      </c>
      <c r="L363" t="s">
        <v>59</v>
      </c>
      <c r="M363" s="91">
        <v>8300893</v>
      </c>
      <c r="N363" t="s">
        <v>76</v>
      </c>
    </row>
    <row r="364" spans="9:14" ht="14.4" outlineLevel="2" x14ac:dyDescent="0.3"/>
    <row r="365" spans="9:14" ht="14.4" outlineLevel="2" x14ac:dyDescent="0.3"/>
    <row r="366" spans="9:14" ht="14.4" outlineLevel="2" x14ac:dyDescent="0.3"/>
    <row r="367" spans="9:14" ht="14.4" outlineLevel="2" x14ac:dyDescent="0.3"/>
    <row r="368" spans="9:14" ht="14.4" outlineLevel="2" x14ac:dyDescent="0.3"/>
    <row r="369" spans="14:14" ht="14.4" outlineLevel="2" x14ac:dyDescent="0.3"/>
    <row r="370" spans="14:14" ht="14.4" outlineLevel="2" x14ac:dyDescent="0.3"/>
    <row r="371" spans="14:14" ht="14.4" outlineLevel="2" x14ac:dyDescent="0.3"/>
    <row r="372" spans="14:14" ht="14.4" outlineLevel="2" x14ac:dyDescent="0.3"/>
    <row r="373" spans="14:14" ht="14.4" outlineLevel="2" x14ac:dyDescent="0.3"/>
    <row r="374" spans="14:14" ht="14.4" outlineLevel="2" x14ac:dyDescent="0.3"/>
    <row r="375" spans="14:14" ht="14.4" outlineLevel="2" x14ac:dyDescent="0.3"/>
    <row r="376" spans="14:14" ht="14.4" outlineLevel="2" x14ac:dyDescent="0.3"/>
    <row r="377" spans="14:14" ht="14.4" outlineLevel="2" x14ac:dyDescent="0.3"/>
    <row r="378" spans="14:14" ht="14.4" outlineLevel="2" x14ac:dyDescent="0.3"/>
    <row r="379" spans="14:14" ht="14.4" outlineLevel="2" x14ac:dyDescent="0.3">
      <c r="N379" s="55"/>
    </row>
    <row r="380" spans="14:14" ht="14.4" outlineLevel="2" x14ac:dyDescent="0.3"/>
    <row r="381" spans="14:14" ht="14.4" outlineLevel="2" x14ac:dyDescent="0.3"/>
    <row r="382" spans="14:14" ht="14.4" outlineLevel="2" x14ac:dyDescent="0.3"/>
    <row r="383" spans="14:14" ht="14.4" outlineLevel="2" x14ac:dyDescent="0.3"/>
    <row r="384" spans="14:14" ht="14.4" outlineLevel="2" x14ac:dyDescent="0.3"/>
    <row r="385" ht="14.4" outlineLevel="2" x14ac:dyDescent="0.3"/>
    <row r="386" ht="14.4" outlineLevel="2" x14ac:dyDescent="0.3"/>
    <row r="387" ht="14.4" outlineLevel="2" x14ac:dyDescent="0.3"/>
    <row r="388" ht="14.4" outlineLevel="2" x14ac:dyDescent="0.3"/>
    <row r="389" ht="14.4" outlineLevel="2" x14ac:dyDescent="0.3"/>
    <row r="390" ht="14.4" outlineLevel="2" x14ac:dyDescent="0.3"/>
    <row r="391" ht="14.4" outlineLevel="2" x14ac:dyDescent="0.3"/>
    <row r="392" ht="14.4" outlineLevel="2" x14ac:dyDescent="0.3"/>
    <row r="393" ht="14.4" outlineLevel="2" x14ac:dyDescent="0.3"/>
    <row r="394" ht="14.4" outlineLevel="2" x14ac:dyDescent="0.3"/>
    <row r="395" ht="14.4" outlineLevel="2" x14ac:dyDescent="0.3"/>
    <row r="396" ht="14.4" outlineLevel="2" x14ac:dyDescent="0.3"/>
    <row r="397" ht="14.4" outlineLevel="2" x14ac:dyDescent="0.3"/>
    <row r="398" ht="14.4" outlineLevel="2" x14ac:dyDescent="0.3"/>
    <row r="399" ht="14.4" outlineLevel="2" x14ac:dyDescent="0.3"/>
    <row r="400" ht="14.4" outlineLevel="2" x14ac:dyDescent="0.3"/>
    <row r="401" ht="14.4" outlineLevel="2" x14ac:dyDescent="0.3"/>
    <row r="402" ht="14.4" outlineLevel="2" x14ac:dyDescent="0.3"/>
    <row r="403" ht="14.4" outlineLevel="2" x14ac:dyDescent="0.3"/>
    <row r="404" ht="14.4" outlineLevel="2" x14ac:dyDescent="0.3"/>
    <row r="405" ht="14.4" outlineLevel="2" x14ac:dyDescent="0.3"/>
    <row r="406" ht="14.4" outlineLevel="2" x14ac:dyDescent="0.3"/>
    <row r="407" ht="14.4" outlineLevel="2" x14ac:dyDescent="0.3"/>
    <row r="408" ht="14.4" outlineLevel="2" x14ac:dyDescent="0.3"/>
    <row r="409" ht="14.4" outlineLevel="2" x14ac:dyDescent="0.3"/>
    <row r="410" ht="14.4" outlineLevel="2" x14ac:dyDescent="0.3"/>
    <row r="411" ht="14.4" outlineLevel="2" x14ac:dyDescent="0.3"/>
    <row r="412" ht="14.4" outlineLevel="2" x14ac:dyDescent="0.3"/>
    <row r="413" ht="14.4" outlineLevel="2" x14ac:dyDescent="0.3"/>
    <row r="414" ht="14.4" outlineLevel="2" x14ac:dyDescent="0.3"/>
    <row r="415" ht="14.4" outlineLevel="2" x14ac:dyDescent="0.3"/>
    <row r="416" ht="14.4" outlineLevel="2" x14ac:dyDescent="0.3"/>
    <row r="417" ht="14.4" outlineLevel="2" x14ac:dyDescent="0.3"/>
    <row r="418" ht="14.4" outlineLevel="2" x14ac:dyDescent="0.3"/>
    <row r="419" ht="14.4" outlineLevel="2" x14ac:dyDescent="0.3"/>
    <row r="420" ht="14.4" outlineLevel="2" x14ac:dyDescent="0.3"/>
    <row r="421" ht="14.4" outlineLevel="2" x14ac:dyDescent="0.3"/>
    <row r="422" ht="14.4" outlineLevel="2" x14ac:dyDescent="0.3"/>
    <row r="423" ht="14.4" outlineLevel="2" x14ac:dyDescent="0.3"/>
    <row r="424" ht="14.4" outlineLevel="2" x14ac:dyDescent="0.3"/>
    <row r="425" ht="14.4" outlineLevel="2" x14ac:dyDescent="0.3"/>
    <row r="426" ht="14.4" outlineLevel="2" x14ac:dyDescent="0.3"/>
    <row r="427" ht="14.4" outlineLevel="2" x14ac:dyDescent="0.3"/>
    <row r="428" ht="14.4" outlineLevel="2" x14ac:dyDescent="0.3"/>
    <row r="429" ht="14.4" outlineLevel="2" x14ac:dyDescent="0.3"/>
    <row r="430" ht="14.4" outlineLevel="2" x14ac:dyDescent="0.3"/>
    <row r="431" ht="14.4" outlineLevel="2" x14ac:dyDescent="0.3"/>
    <row r="432" ht="14.4" outlineLevel="2" x14ac:dyDescent="0.3"/>
    <row r="433" ht="14.4" outlineLevel="2" x14ac:dyDescent="0.3"/>
    <row r="434" ht="14.4" outlineLevel="2" x14ac:dyDescent="0.3"/>
    <row r="435" ht="14.4" outlineLevel="2" x14ac:dyDescent="0.3"/>
    <row r="436" ht="14.4" outlineLevel="2" x14ac:dyDescent="0.3"/>
    <row r="437" ht="14.4" outlineLevel="2" x14ac:dyDescent="0.3"/>
    <row r="438" ht="14.4" outlineLevel="2" x14ac:dyDescent="0.3"/>
    <row r="439" ht="14.4" outlineLevel="2" x14ac:dyDescent="0.3"/>
    <row r="440" ht="14.4" outlineLevel="2" x14ac:dyDescent="0.3"/>
    <row r="441" ht="14.4" outlineLevel="2" x14ac:dyDescent="0.3"/>
    <row r="442" ht="14.4" outlineLevel="2" x14ac:dyDescent="0.3"/>
    <row r="443" ht="14.4" outlineLevel="2" x14ac:dyDescent="0.3"/>
    <row r="444" ht="14.4" outlineLevel="2" x14ac:dyDescent="0.3"/>
    <row r="445" ht="14.4" outlineLevel="2" x14ac:dyDescent="0.3"/>
    <row r="446" ht="14.4" outlineLevel="2" x14ac:dyDescent="0.3"/>
    <row r="447" ht="14.4" outlineLevel="2" x14ac:dyDescent="0.3"/>
    <row r="448" ht="14.4" outlineLevel="2" x14ac:dyDescent="0.3"/>
    <row r="449" ht="14.4" outlineLevel="2" x14ac:dyDescent="0.3"/>
    <row r="450" ht="14.4" outlineLevel="2" x14ac:dyDescent="0.3"/>
    <row r="451" ht="14.4" outlineLevel="2" x14ac:dyDescent="0.3"/>
    <row r="452" ht="14.4" outlineLevel="2" x14ac:dyDescent="0.3"/>
    <row r="453" ht="14.4" outlineLevel="2" x14ac:dyDescent="0.3"/>
    <row r="454" ht="14.4" outlineLevel="2" x14ac:dyDescent="0.3"/>
    <row r="455" ht="14.4" outlineLevel="2" x14ac:dyDescent="0.3"/>
    <row r="456" ht="14.4" outlineLevel="2" x14ac:dyDescent="0.3"/>
    <row r="457" ht="14.4" outlineLevel="2" x14ac:dyDescent="0.3"/>
    <row r="458" ht="14.4" outlineLevel="2" x14ac:dyDescent="0.3"/>
    <row r="459" ht="14.4" outlineLevel="2" x14ac:dyDescent="0.3"/>
    <row r="460" ht="14.4" outlineLevel="2" x14ac:dyDescent="0.3"/>
    <row r="461" ht="14.4" outlineLevel="2" x14ac:dyDescent="0.3"/>
    <row r="462" ht="14.4" outlineLevel="2" x14ac:dyDescent="0.3"/>
    <row r="463" ht="14.4" outlineLevel="2" x14ac:dyDescent="0.3"/>
    <row r="464" ht="14.4" outlineLevel="2" x14ac:dyDescent="0.3"/>
    <row r="465" ht="14.4" outlineLevel="2" x14ac:dyDescent="0.3"/>
    <row r="466" ht="14.4" outlineLevel="2" x14ac:dyDescent="0.3"/>
    <row r="467" ht="14.4" outlineLevel="2" x14ac:dyDescent="0.3"/>
    <row r="468" ht="14.4" outlineLevel="2" x14ac:dyDescent="0.3"/>
    <row r="469" ht="14.4" outlineLevel="2" x14ac:dyDescent="0.3"/>
    <row r="470" ht="14.4" outlineLevel="2" x14ac:dyDescent="0.3"/>
    <row r="471" ht="14.4" outlineLevel="2" x14ac:dyDescent="0.3"/>
    <row r="472" ht="14.4" outlineLevel="2" x14ac:dyDescent="0.3"/>
    <row r="473" ht="14.4" outlineLevel="2" x14ac:dyDescent="0.3"/>
    <row r="474" ht="14.4" outlineLevel="2" x14ac:dyDescent="0.3"/>
    <row r="475" ht="14.4" outlineLevel="2" x14ac:dyDescent="0.3"/>
    <row r="476" ht="14.4" outlineLevel="2" x14ac:dyDescent="0.3"/>
    <row r="477" ht="14.4" outlineLevel="2" x14ac:dyDescent="0.3"/>
    <row r="478" ht="14.4" outlineLevel="2" x14ac:dyDescent="0.3"/>
    <row r="479" ht="14.4" outlineLevel="2" x14ac:dyDescent="0.3"/>
    <row r="480" ht="14.4" outlineLevel="2" x14ac:dyDescent="0.3"/>
    <row r="481" ht="14.4" outlineLevel="2" x14ac:dyDescent="0.3"/>
    <row r="482" ht="14.4" outlineLevel="2" x14ac:dyDescent="0.3"/>
    <row r="483" ht="14.4" outlineLevel="2" x14ac:dyDescent="0.3"/>
    <row r="484" ht="14.4" outlineLevel="2" x14ac:dyDescent="0.3"/>
    <row r="485" ht="14.4" outlineLevel="2" x14ac:dyDescent="0.3"/>
    <row r="486" ht="14.4" outlineLevel="2" x14ac:dyDescent="0.3"/>
    <row r="487" ht="14.4" outlineLevel="2" x14ac:dyDescent="0.3"/>
    <row r="488" ht="14.4" outlineLevel="2" x14ac:dyDescent="0.3"/>
    <row r="489" ht="14.4" outlineLevel="2" x14ac:dyDescent="0.3"/>
    <row r="490" ht="14.4" outlineLevel="2" x14ac:dyDescent="0.3"/>
    <row r="491" ht="14.4" outlineLevel="2" x14ac:dyDescent="0.3"/>
    <row r="492" ht="14.4" outlineLevel="2" x14ac:dyDescent="0.3"/>
    <row r="493" ht="14.4" outlineLevel="2" x14ac:dyDescent="0.3"/>
    <row r="494" ht="14.4" outlineLevel="2" x14ac:dyDescent="0.3"/>
    <row r="495" ht="14.4" outlineLevel="2" x14ac:dyDescent="0.3"/>
    <row r="496" ht="14.4" outlineLevel="2" x14ac:dyDescent="0.3"/>
    <row r="497" ht="14.4" outlineLevel="2" x14ac:dyDescent="0.3"/>
    <row r="498" ht="14.4" outlineLevel="2" x14ac:dyDescent="0.3"/>
    <row r="499" ht="14.4" outlineLevel="2" x14ac:dyDescent="0.3"/>
    <row r="500" ht="14.4" outlineLevel="2" x14ac:dyDescent="0.3"/>
    <row r="501" ht="14.4" outlineLevel="2" x14ac:dyDescent="0.3"/>
    <row r="502" ht="14.4" outlineLevel="2" x14ac:dyDescent="0.3"/>
    <row r="503" ht="14.4" outlineLevel="2" x14ac:dyDescent="0.3"/>
    <row r="504" ht="14.4" outlineLevel="2" x14ac:dyDescent="0.3"/>
    <row r="505" ht="14.4" outlineLevel="2" x14ac:dyDescent="0.3"/>
    <row r="506" ht="14.4" outlineLevel="2" x14ac:dyDescent="0.3"/>
    <row r="507" ht="14.4" outlineLevel="2" x14ac:dyDescent="0.3"/>
    <row r="508" ht="14.4" outlineLevel="2" x14ac:dyDescent="0.3"/>
    <row r="509" ht="14.4" outlineLevel="2" x14ac:dyDescent="0.3"/>
    <row r="510" ht="14.4" outlineLevel="2" x14ac:dyDescent="0.3"/>
    <row r="511" ht="14.4" outlineLevel="2" x14ac:dyDescent="0.3"/>
    <row r="512" ht="14.4" outlineLevel="2" x14ac:dyDescent="0.3"/>
    <row r="513" ht="14.4" outlineLevel="2" x14ac:dyDescent="0.3"/>
    <row r="514" ht="14.4" outlineLevel="2" x14ac:dyDescent="0.3"/>
    <row r="515" ht="14.4" outlineLevel="2" x14ac:dyDescent="0.3"/>
    <row r="516" ht="14.4" outlineLevel="2" x14ac:dyDescent="0.3"/>
    <row r="517" ht="14.4" outlineLevel="2" x14ac:dyDescent="0.3"/>
    <row r="518" ht="14.4" outlineLevel="2" x14ac:dyDescent="0.3"/>
    <row r="519" ht="14.4" outlineLevel="2" x14ac:dyDescent="0.3"/>
    <row r="520" ht="14.4" outlineLevel="2" x14ac:dyDescent="0.3"/>
    <row r="521" ht="14.4" outlineLevel="2" x14ac:dyDescent="0.3"/>
    <row r="522" ht="14.4" outlineLevel="2" x14ac:dyDescent="0.3"/>
    <row r="523" ht="14.4" outlineLevel="2" x14ac:dyDescent="0.3"/>
    <row r="524" ht="14.4" outlineLevel="2" x14ac:dyDescent="0.3"/>
    <row r="525" ht="14.4" outlineLevel="2" x14ac:dyDescent="0.3"/>
    <row r="526" ht="14.4" outlineLevel="2" x14ac:dyDescent="0.3"/>
    <row r="527" ht="14.4" outlineLevel="2" x14ac:dyDescent="0.3"/>
    <row r="528" ht="14.4" outlineLevel="2" x14ac:dyDescent="0.3"/>
    <row r="529" ht="14.4" outlineLevel="2" x14ac:dyDescent="0.3"/>
    <row r="530" ht="14.4" outlineLevel="2" x14ac:dyDescent="0.3"/>
    <row r="531" ht="14.4" outlineLevel="2" x14ac:dyDescent="0.3"/>
    <row r="532" ht="14.4" outlineLevel="2" x14ac:dyDescent="0.3"/>
    <row r="533" ht="14.4" outlineLevel="2" x14ac:dyDescent="0.3"/>
    <row r="534" ht="14.4" outlineLevel="2" x14ac:dyDescent="0.3"/>
    <row r="535" ht="14.4" outlineLevel="2" x14ac:dyDescent="0.3"/>
    <row r="536" ht="14.4" outlineLevel="2" x14ac:dyDescent="0.3"/>
    <row r="537" ht="14.4" outlineLevel="2" x14ac:dyDescent="0.3"/>
    <row r="538" ht="14.4" outlineLevel="2" x14ac:dyDescent="0.3"/>
    <row r="539" ht="14.4" outlineLevel="2" x14ac:dyDescent="0.3"/>
    <row r="540" ht="14.4" outlineLevel="2" x14ac:dyDescent="0.3"/>
    <row r="541" ht="14.4" outlineLevel="2" x14ac:dyDescent="0.3"/>
    <row r="542" ht="14.4" outlineLevel="2" x14ac:dyDescent="0.3"/>
    <row r="543" ht="14.4" outlineLevel="2" x14ac:dyDescent="0.3"/>
    <row r="544" ht="14.4" outlineLevel="2" x14ac:dyDescent="0.3"/>
    <row r="545" ht="14.4" outlineLevel="2" x14ac:dyDescent="0.3"/>
    <row r="546" ht="14.4" outlineLevel="2" x14ac:dyDescent="0.3"/>
    <row r="547" ht="14.4" outlineLevel="2" x14ac:dyDescent="0.3"/>
    <row r="548" ht="14.4" outlineLevel="2" x14ac:dyDescent="0.3"/>
    <row r="549" ht="14.4" outlineLevel="2" x14ac:dyDescent="0.3"/>
    <row r="550" ht="14.4" outlineLevel="2" x14ac:dyDescent="0.3"/>
    <row r="551" ht="14.4" outlineLevel="2" x14ac:dyDescent="0.3"/>
    <row r="552" ht="14.4" outlineLevel="2" x14ac:dyDescent="0.3"/>
    <row r="553" ht="14.4" outlineLevel="2" x14ac:dyDescent="0.3"/>
    <row r="554" ht="14.4" outlineLevel="2" x14ac:dyDescent="0.3"/>
    <row r="555" ht="14.4" outlineLevel="2" x14ac:dyDescent="0.3"/>
    <row r="556" ht="14.4" outlineLevel="2" x14ac:dyDescent="0.3"/>
    <row r="557" ht="14.4" outlineLevel="2" x14ac:dyDescent="0.3"/>
    <row r="558" ht="14.4" outlineLevel="2" x14ac:dyDescent="0.3"/>
    <row r="559" ht="14.4" outlineLevel="2" x14ac:dyDescent="0.3"/>
    <row r="560" ht="14.4" outlineLevel="2" x14ac:dyDescent="0.3"/>
    <row r="561" ht="14.4" outlineLevel="2" x14ac:dyDescent="0.3"/>
    <row r="562" ht="14.4" outlineLevel="2" x14ac:dyDescent="0.3"/>
    <row r="563" ht="14.4" outlineLevel="2" x14ac:dyDescent="0.3"/>
    <row r="564" ht="14.4" outlineLevel="2" x14ac:dyDescent="0.3"/>
    <row r="565" ht="14.4" outlineLevel="2" x14ac:dyDescent="0.3"/>
    <row r="566" ht="14.4" outlineLevel="2" x14ac:dyDescent="0.3"/>
    <row r="567" ht="14.4" outlineLevel="2" x14ac:dyDescent="0.3"/>
    <row r="568" ht="14.4" outlineLevel="2" x14ac:dyDescent="0.3"/>
    <row r="569" ht="14.4" outlineLevel="2" x14ac:dyDescent="0.3"/>
    <row r="570" ht="14.4" outlineLevel="2" x14ac:dyDescent="0.3"/>
    <row r="571" ht="14.4" outlineLevel="2" x14ac:dyDescent="0.3"/>
    <row r="572" ht="14.4" outlineLevel="2" x14ac:dyDescent="0.3"/>
    <row r="573" ht="14.4" outlineLevel="2" x14ac:dyDescent="0.3"/>
    <row r="574" ht="14.4" outlineLevel="2" x14ac:dyDescent="0.3"/>
    <row r="575" ht="14.4" outlineLevel="2" x14ac:dyDescent="0.3"/>
    <row r="576" ht="14.4" outlineLevel="2" x14ac:dyDescent="0.3"/>
    <row r="577" ht="14.4" outlineLevel="2" x14ac:dyDescent="0.3"/>
    <row r="578" ht="14.4" outlineLevel="2" x14ac:dyDescent="0.3"/>
    <row r="579" ht="14.4" outlineLevel="2" x14ac:dyDescent="0.3"/>
    <row r="580" ht="14.4" outlineLevel="2" x14ac:dyDescent="0.3"/>
    <row r="581" ht="14.4" outlineLevel="2" x14ac:dyDescent="0.3"/>
    <row r="582" ht="14.4" outlineLevel="2" x14ac:dyDescent="0.3"/>
    <row r="583" ht="14.4" outlineLevel="2" x14ac:dyDescent="0.3"/>
    <row r="584" ht="14.4" outlineLevel="2" x14ac:dyDescent="0.3"/>
    <row r="585" ht="14.4" outlineLevel="2" x14ac:dyDescent="0.3"/>
    <row r="586" ht="14.4" outlineLevel="2" x14ac:dyDescent="0.3"/>
    <row r="587" ht="14.4" outlineLevel="2" x14ac:dyDescent="0.3"/>
    <row r="588" ht="14.4" outlineLevel="2" x14ac:dyDescent="0.3"/>
    <row r="589" ht="14.4" outlineLevel="2" x14ac:dyDescent="0.3"/>
    <row r="590" ht="14.4" outlineLevel="2" x14ac:dyDescent="0.3"/>
    <row r="591" ht="14.4" outlineLevel="2" x14ac:dyDescent="0.3"/>
    <row r="592" ht="14.4" outlineLevel="2" x14ac:dyDescent="0.3"/>
    <row r="593" ht="14.4" outlineLevel="2" x14ac:dyDescent="0.3"/>
    <row r="594" ht="14.4" outlineLevel="2" x14ac:dyDescent="0.3"/>
    <row r="595" ht="14.4" outlineLevel="2" x14ac:dyDescent="0.3"/>
    <row r="596" ht="14.4" outlineLevel="2" x14ac:dyDescent="0.3"/>
    <row r="597" ht="14.4" outlineLevel="2" x14ac:dyDescent="0.3"/>
    <row r="598" ht="14.4" outlineLevel="2" x14ac:dyDescent="0.3"/>
    <row r="599" ht="14.4" outlineLevel="2" x14ac:dyDescent="0.3"/>
    <row r="600" ht="14.4" outlineLevel="2" x14ac:dyDescent="0.3"/>
    <row r="601" ht="14.4" outlineLevel="2" x14ac:dyDescent="0.3"/>
    <row r="602" ht="14.4" outlineLevel="2" x14ac:dyDescent="0.3"/>
    <row r="603" ht="14.4" outlineLevel="2" x14ac:dyDescent="0.3"/>
    <row r="604" ht="14.4" outlineLevel="2" x14ac:dyDescent="0.3"/>
    <row r="605" ht="14.4" outlineLevel="2" x14ac:dyDescent="0.3"/>
    <row r="606" ht="14.4" outlineLevel="2" x14ac:dyDescent="0.3"/>
    <row r="607" ht="14.4" outlineLevel="2" x14ac:dyDescent="0.3"/>
    <row r="608" ht="14.4" outlineLevel="2" x14ac:dyDescent="0.3"/>
    <row r="609" ht="14.4" outlineLevel="2" x14ac:dyDescent="0.3"/>
    <row r="610" ht="14.4" outlineLevel="2" x14ac:dyDescent="0.3"/>
    <row r="611" ht="14.4" outlineLevel="2" x14ac:dyDescent="0.3"/>
    <row r="612" ht="14.4" outlineLevel="2" x14ac:dyDescent="0.3"/>
    <row r="613" ht="14.4" outlineLevel="2" x14ac:dyDescent="0.3"/>
    <row r="614" ht="14.4" outlineLevel="2" x14ac:dyDescent="0.3"/>
    <row r="615" ht="14.4" outlineLevel="2" x14ac:dyDescent="0.3"/>
    <row r="616" ht="14.4" outlineLevel="2" x14ac:dyDescent="0.3"/>
    <row r="617" ht="14.4" outlineLevel="2" x14ac:dyDescent="0.3"/>
    <row r="618" ht="14.4" outlineLevel="2" x14ac:dyDescent="0.3"/>
    <row r="619" ht="14.4" outlineLevel="2" x14ac:dyDescent="0.3"/>
    <row r="620" ht="14.4" outlineLevel="2" x14ac:dyDescent="0.3"/>
    <row r="621" ht="14.4" outlineLevel="2" x14ac:dyDescent="0.3"/>
    <row r="622" ht="14.4" outlineLevel="2" x14ac:dyDescent="0.3"/>
    <row r="623" ht="14.4" outlineLevel="2" x14ac:dyDescent="0.3"/>
    <row r="624" ht="14.4" outlineLevel="2" x14ac:dyDescent="0.3"/>
    <row r="625" ht="14.4" outlineLevel="2" x14ac:dyDescent="0.3"/>
    <row r="626" ht="14.4" outlineLevel="2" x14ac:dyDescent="0.3"/>
    <row r="627" ht="14.4" outlineLevel="2" x14ac:dyDescent="0.3"/>
    <row r="628" ht="14.4" outlineLevel="2" x14ac:dyDescent="0.3"/>
    <row r="629" ht="14.4" outlineLevel="2" x14ac:dyDescent="0.3"/>
    <row r="630" ht="14.4" outlineLevel="2" x14ac:dyDescent="0.3"/>
    <row r="631" ht="14.4" outlineLevel="2" x14ac:dyDescent="0.3"/>
    <row r="632" ht="14.4" outlineLevel="2" x14ac:dyDescent="0.3"/>
    <row r="633" ht="14.4" outlineLevel="2" x14ac:dyDescent="0.3"/>
    <row r="634" ht="14.4" outlineLevel="2" x14ac:dyDescent="0.3"/>
    <row r="635" ht="14.4" outlineLevel="2" x14ac:dyDescent="0.3"/>
    <row r="636" ht="14.4" outlineLevel="2" x14ac:dyDescent="0.3"/>
    <row r="637" ht="14.4" outlineLevel="2" x14ac:dyDescent="0.3"/>
    <row r="638" ht="14.4" outlineLevel="2" x14ac:dyDescent="0.3"/>
    <row r="639" ht="14.4" outlineLevel="2" x14ac:dyDescent="0.3"/>
    <row r="640" ht="14.4" outlineLevel="2" x14ac:dyDescent="0.3"/>
    <row r="641" ht="14.4" outlineLevel="2" x14ac:dyDescent="0.3"/>
    <row r="642" ht="14.4" outlineLevel="2" x14ac:dyDescent="0.3"/>
    <row r="643" ht="14.4" outlineLevel="2" x14ac:dyDescent="0.3"/>
    <row r="644" ht="14.4" outlineLevel="2" x14ac:dyDescent="0.3"/>
    <row r="645" ht="14.4" outlineLevel="2" x14ac:dyDescent="0.3"/>
    <row r="646" ht="14.4" outlineLevel="2" x14ac:dyDescent="0.3"/>
    <row r="647" ht="14.4" outlineLevel="2" x14ac:dyDescent="0.3"/>
    <row r="648" ht="14.4" outlineLevel="2" x14ac:dyDescent="0.3"/>
    <row r="649" ht="14.4" outlineLevel="2" x14ac:dyDescent="0.3"/>
    <row r="650" ht="14.4" outlineLevel="2" x14ac:dyDescent="0.3"/>
    <row r="651" ht="14.4" outlineLevel="2" x14ac:dyDescent="0.3"/>
    <row r="652" ht="14.4" outlineLevel="2" x14ac:dyDescent="0.3"/>
    <row r="653" ht="14.4" outlineLevel="2" x14ac:dyDescent="0.3"/>
    <row r="654" ht="14.4" outlineLevel="2" x14ac:dyDescent="0.3"/>
    <row r="655" ht="14.4" outlineLevel="2" x14ac:dyDescent="0.3"/>
    <row r="656" ht="14.4" outlineLevel="2" x14ac:dyDescent="0.3"/>
    <row r="657" ht="14.4" outlineLevel="2" x14ac:dyDescent="0.3"/>
    <row r="658" ht="14.4" outlineLevel="2" x14ac:dyDescent="0.3"/>
    <row r="659" ht="14.4" outlineLevel="2" x14ac:dyDescent="0.3"/>
    <row r="660" ht="14.4" outlineLevel="2" x14ac:dyDescent="0.3"/>
    <row r="661" ht="14.4" outlineLevel="2" x14ac:dyDescent="0.3"/>
    <row r="662" ht="14.4" outlineLevel="2" x14ac:dyDescent="0.3"/>
    <row r="663" ht="14.4" outlineLevel="2" x14ac:dyDescent="0.3"/>
    <row r="664" ht="14.4" outlineLevel="2" x14ac:dyDescent="0.3"/>
    <row r="665" ht="14.4" outlineLevel="2" x14ac:dyDescent="0.3"/>
    <row r="666" ht="14.4" outlineLevel="2" x14ac:dyDescent="0.3"/>
    <row r="667" ht="14.4" outlineLevel="2" x14ac:dyDescent="0.3"/>
    <row r="668" ht="14.4" outlineLevel="2" x14ac:dyDescent="0.3"/>
    <row r="669" ht="14.4" outlineLevel="2" x14ac:dyDescent="0.3"/>
    <row r="670" ht="14.4" outlineLevel="2" x14ac:dyDescent="0.3"/>
    <row r="671" ht="14.4" outlineLevel="2" x14ac:dyDescent="0.3"/>
    <row r="672" ht="14.4" outlineLevel="2" x14ac:dyDescent="0.3"/>
    <row r="673" ht="14.4" outlineLevel="2" x14ac:dyDescent="0.3"/>
    <row r="674" ht="14.4" outlineLevel="2" x14ac:dyDescent="0.3"/>
    <row r="675" ht="14.4" outlineLevel="2" x14ac:dyDescent="0.3"/>
    <row r="676" ht="14.4" outlineLevel="2" x14ac:dyDescent="0.3"/>
    <row r="677" ht="14.4" outlineLevel="2" x14ac:dyDescent="0.3"/>
    <row r="678" ht="14.4" outlineLevel="2" x14ac:dyDescent="0.3"/>
    <row r="679" ht="14.4" outlineLevel="2" x14ac:dyDescent="0.3"/>
    <row r="680" ht="14.4" outlineLevel="2" x14ac:dyDescent="0.3"/>
    <row r="681" ht="14.4" outlineLevel="2" x14ac:dyDescent="0.3"/>
    <row r="682" ht="14.4" outlineLevel="2" x14ac:dyDescent="0.3"/>
    <row r="683" ht="14.4" outlineLevel="2" x14ac:dyDescent="0.3"/>
    <row r="684" ht="14.4" outlineLevel="2" x14ac:dyDescent="0.3"/>
    <row r="685" ht="14.4" outlineLevel="2" x14ac:dyDescent="0.3"/>
    <row r="686" ht="14.4" outlineLevel="2" x14ac:dyDescent="0.3"/>
    <row r="687" ht="14.4" outlineLevel="2" x14ac:dyDescent="0.3"/>
    <row r="688" ht="14.4" outlineLevel="2" x14ac:dyDescent="0.3"/>
    <row r="689" ht="14.4" outlineLevel="2" x14ac:dyDescent="0.3"/>
    <row r="690" ht="14.4" outlineLevel="2" x14ac:dyDescent="0.3"/>
    <row r="691" ht="14.4" outlineLevel="2" x14ac:dyDescent="0.3"/>
    <row r="692" ht="14.4" outlineLevel="2" x14ac:dyDescent="0.3"/>
    <row r="693" ht="14.4" outlineLevel="2" x14ac:dyDescent="0.3"/>
    <row r="694" ht="14.4" outlineLevel="2" x14ac:dyDescent="0.3"/>
    <row r="695" ht="14.4" outlineLevel="2" x14ac:dyDescent="0.3"/>
    <row r="696" ht="14.4" outlineLevel="2" x14ac:dyDescent="0.3"/>
    <row r="697" ht="14.4" outlineLevel="2" x14ac:dyDescent="0.3"/>
    <row r="698" ht="14.4" outlineLevel="2" x14ac:dyDescent="0.3"/>
    <row r="699" ht="14.4" outlineLevel="2" x14ac:dyDescent="0.3"/>
    <row r="700" ht="14.4" outlineLevel="2" x14ac:dyDescent="0.3"/>
    <row r="701" ht="14.4" outlineLevel="2" x14ac:dyDescent="0.3"/>
    <row r="702" ht="14.4" outlineLevel="2" x14ac:dyDescent="0.3"/>
    <row r="703" ht="14.4" outlineLevel="2" x14ac:dyDescent="0.3"/>
    <row r="704" ht="14.4" outlineLevel="2" x14ac:dyDescent="0.3"/>
    <row r="705" ht="14.4" outlineLevel="2" x14ac:dyDescent="0.3"/>
    <row r="706" ht="14.4" outlineLevel="2" x14ac:dyDescent="0.3"/>
    <row r="707" ht="14.4" outlineLevel="2" x14ac:dyDescent="0.3"/>
    <row r="708" ht="14.4" outlineLevel="2" x14ac:dyDescent="0.3"/>
    <row r="709" ht="14.4" outlineLevel="2" x14ac:dyDescent="0.3"/>
    <row r="710" ht="14.4" outlineLevel="2" x14ac:dyDescent="0.3"/>
    <row r="711" ht="14.4" outlineLevel="2" x14ac:dyDescent="0.3"/>
    <row r="712" ht="14.4" outlineLevel="2" x14ac:dyDescent="0.3"/>
    <row r="713" ht="14.4" outlineLevel="2" x14ac:dyDescent="0.3"/>
    <row r="714" ht="14.4" outlineLevel="2" x14ac:dyDescent="0.3"/>
    <row r="715" ht="14.4" outlineLevel="2" x14ac:dyDescent="0.3"/>
    <row r="716" ht="14.4" outlineLevel="2" x14ac:dyDescent="0.3"/>
    <row r="717" ht="14.4" outlineLevel="2" x14ac:dyDescent="0.3"/>
    <row r="718" ht="14.4" outlineLevel="2" x14ac:dyDescent="0.3"/>
    <row r="719" ht="14.4" outlineLevel="2" x14ac:dyDescent="0.3"/>
    <row r="720" ht="14.4" outlineLevel="2" x14ac:dyDescent="0.3"/>
    <row r="721" ht="14.4" outlineLevel="2" x14ac:dyDescent="0.3"/>
    <row r="722" ht="14.4" outlineLevel="2" x14ac:dyDescent="0.3"/>
    <row r="723" ht="14.4" outlineLevel="2" x14ac:dyDescent="0.3"/>
    <row r="724" ht="14.4" outlineLevel="2" x14ac:dyDescent="0.3"/>
    <row r="725" ht="14.4" outlineLevel="2" x14ac:dyDescent="0.3"/>
    <row r="726" ht="14.4" outlineLevel="2" x14ac:dyDescent="0.3"/>
    <row r="727" ht="14.4" outlineLevel="2" x14ac:dyDescent="0.3"/>
    <row r="728" ht="14.4" outlineLevel="2" x14ac:dyDescent="0.3"/>
    <row r="729" ht="14.4" outlineLevel="2" x14ac:dyDescent="0.3"/>
    <row r="730" ht="14.4" outlineLevel="2" x14ac:dyDescent="0.3"/>
    <row r="731" ht="14.4" outlineLevel="2" x14ac:dyDescent="0.3"/>
    <row r="732" ht="14.4" outlineLevel="2" x14ac:dyDescent="0.3"/>
    <row r="733" ht="14.4" outlineLevel="2" x14ac:dyDescent="0.3"/>
    <row r="734" ht="14.4" outlineLevel="2" x14ac:dyDescent="0.3"/>
    <row r="735" ht="14.4" outlineLevel="2" x14ac:dyDescent="0.3"/>
    <row r="736" ht="14.4" outlineLevel="2" x14ac:dyDescent="0.3"/>
    <row r="737" ht="14.4" outlineLevel="2" x14ac:dyDescent="0.3"/>
    <row r="738" ht="14.4" outlineLevel="2" x14ac:dyDescent="0.3"/>
    <row r="739" ht="14.4" outlineLevel="2" x14ac:dyDescent="0.3"/>
    <row r="740" ht="14.4" outlineLevel="2" x14ac:dyDescent="0.3"/>
    <row r="741" ht="14.4" outlineLevel="2" x14ac:dyDescent="0.3"/>
    <row r="742" ht="14.4" outlineLevel="2" x14ac:dyDescent="0.3"/>
    <row r="743" ht="14.4" outlineLevel="2" x14ac:dyDescent="0.3"/>
    <row r="744" ht="14.4" outlineLevel="2" x14ac:dyDescent="0.3"/>
    <row r="745" ht="14.4" outlineLevel="2" x14ac:dyDescent="0.3"/>
    <row r="746" ht="14.4" outlineLevel="2" x14ac:dyDescent="0.3"/>
    <row r="747" ht="14.4" outlineLevel="2" x14ac:dyDescent="0.3"/>
    <row r="748" ht="14.4" outlineLevel="2" x14ac:dyDescent="0.3"/>
    <row r="749" ht="14.4" outlineLevel="2" x14ac:dyDescent="0.3"/>
    <row r="750" ht="14.4" outlineLevel="2" x14ac:dyDescent="0.3"/>
    <row r="751" ht="14.4" outlineLevel="2" x14ac:dyDescent="0.3"/>
    <row r="752" ht="14.4" outlineLevel="2" x14ac:dyDescent="0.3"/>
    <row r="753" ht="14.4" outlineLevel="2" x14ac:dyDescent="0.3"/>
    <row r="754" ht="14.4" outlineLevel="2" x14ac:dyDescent="0.3"/>
    <row r="755" ht="14.4" outlineLevel="2" x14ac:dyDescent="0.3"/>
    <row r="756" ht="14.4" outlineLevel="2" x14ac:dyDescent="0.3"/>
    <row r="757" ht="14.4" outlineLevel="2" x14ac:dyDescent="0.3"/>
    <row r="758" ht="14.4" outlineLevel="2" x14ac:dyDescent="0.3"/>
    <row r="759" ht="14.4" outlineLevel="2" x14ac:dyDescent="0.3"/>
    <row r="760" ht="14.4" outlineLevel="2" x14ac:dyDescent="0.3"/>
    <row r="761" ht="14.4" outlineLevel="2" x14ac:dyDescent="0.3"/>
    <row r="762" ht="14.4" outlineLevel="2" x14ac:dyDescent="0.3"/>
    <row r="763" ht="14.4" outlineLevel="2" x14ac:dyDescent="0.3"/>
    <row r="764" ht="14.4" outlineLevel="2" x14ac:dyDescent="0.3"/>
    <row r="765" ht="14.4" outlineLevel="2" x14ac:dyDescent="0.3"/>
    <row r="766" ht="14.4" outlineLevel="2" x14ac:dyDescent="0.3"/>
    <row r="767" ht="14.4" outlineLevel="2" x14ac:dyDescent="0.3"/>
    <row r="768" ht="14.4" outlineLevel="2" x14ac:dyDescent="0.3"/>
    <row r="769" ht="14.4" outlineLevel="2" x14ac:dyDescent="0.3"/>
    <row r="770" ht="14.4" outlineLevel="2" x14ac:dyDescent="0.3"/>
    <row r="771" ht="14.4" outlineLevel="2" x14ac:dyDescent="0.3"/>
    <row r="772" ht="14.4" outlineLevel="2" x14ac:dyDescent="0.3"/>
    <row r="773" ht="14.4" outlineLevel="2" x14ac:dyDescent="0.3"/>
    <row r="774" ht="14.4" outlineLevel="2" x14ac:dyDescent="0.3"/>
    <row r="775" ht="14.4" outlineLevel="2" x14ac:dyDescent="0.3"/>
    <row r="776" ht="14.4" outlineLevel="2" x14ac:dyDescent="0.3"/>
    <row r="777" ht="14.4" outlineLevel="2" x14ac:dyDescent="0.3"/>
    <row r="778" ht="14.4" outlineLevel="2" x14ac:dyDescent="0.3"/>
    <row r="779" ht="14.4" outlineLevel="2" x14ac:dyDescent="0.3"/>
    <row r="780" ht="14.4" outlineLevel="2" x14ac:dyDescent="0.3"/>
    <row r="781" ht="14.4" outlineLevel="2" x14ac:dyDescent="0.3"/>
    <row r="782" ht="14.4" outlineLevel="2" x14ac:dyDescent="0.3"/>
    <row r="783" ht="14.4" outlineLevel="2" x14ac:dyDescent="0.3"/>
    <row r="784" ht="14.4" outlineLevel="2" x14ac:dyDescent="0.3"/>
    <row r="785" ht="14.4" outlineLevel="2" x14ac:dyDescent="0.3"/>
    <row r="786" ht="14.4" outlineLevel="2" x14ac:dyDescent="0.3"/>
    <row r="787" ht="14.4" outlineLevel="2" x14ac:dyDescent="0.3"/>
    <row r="788" ht="14.4" outlineLevel="2" x14ac:dyDescent="0.3"/>
    <row r="789" ht="14.4" outlineLevel="2" x14ac:dyDescent="0.3"/>
    <row r="790" ht="14.4" outlineLevel="2" x14ac:dyDescent="0.3"/>
    <row r="791" ht="14.4" outlineLevel="2" x14ac:dyDescent="0.3"/>
    <row r="792" ht="14.4" outlineLevel="2" x14ac:dyDescent="0.3"/>
    <row r="793" ht="14.4" outlineLevel="2" x14ac:dyDescent="0.3"/>
    <row r="794" ht="14.4" outlineLevel="2" x14ac:dyDescent="0.3"/>
    <row r="795" ht="14.4" outlineLevel="2" x14ac:dyDescent="0.3"/>
    <row r="796" ht="14.4" outlineLevel="2" x14ac:dyDescent="0.3"/>
    <row r="797" ht="14.4" outlineLevel="2" x14ac:dyDescent="0.3"/>
    <row r="798" ht="14.4" outlineLevel="2" x14ac:dyDescent="0.3"/>
    <row r="799" ht="14.4" outlineLevel="2" x14ac:dyDescent="0.3"/>
    <row r="800" ht="14.4" outlineLevel="2" x14ac:dyDescent="0.3"/>
    <row r="801" ht="14.4" outlineLevel="2" x14ac:dyDescent="0.3"/>
    <row r="802" ht="14.4" outlineLevel="2" x14ac:dyDescent="0.3"/>
    <row r="803" ht="14.4" outlineLevel="2" x14ac:dyDescent="0.3"/>
    <row r="804" ht="14.4" outlineLevel="2" x14ac:dyDescent="0.3"/>
    <row r="805" ht="14.4" outlineLevel="2" x14ac:dyDescent="0.3"/>
    <row r="806" ht="14.4" outlineLevel="2" x14ac:dyDescent="0.3"/>
    <row r="807" ht="14.4" outlineLevel="2" x14ac:dyDescent="0.3"/>
    <row r="808" ht="14.4" outlineLevel="2" x14ac:dyDescent="0.3"/>
    <row r="809" ht="14.4" outlineLevel="2" x14ac:dyDescent="0.3"/>
    <row r="810" ht="14.4" outlineLevel="2" x14ac:dyDescent="0.3"/>
    <row r="811" ht="14.4" outlineLevel="2" x14ac:dyDescent="0.3"/>
    <row r="812" ht="14.4" outlineLevel="2" x14ac:dyDescent="0.3"/>
    <row r="813" ht="14.4" outlineLevel="2" x14ac:dyDescent="0.3"/>
    <row r="814" ht="14.4" outlineLevel="2" x14ac:dyDescent="0.3"/>
    <row r="815" ht="14.4" outlineLevel="2" x14ac:dyDescent="0.3"/>
    <row r="816" ht="14.4" outlineLevel="2" x14ac:dyDescent="0.3"/>
    <row r="817" ht="14.4" outlineLevel="2" x14ac:dyDescent="0.3"/>
    <row r="818" ht="14.4" outlineLevel="2" x14ac:dyDescent="0.3"/>
    <row r="819" ht="14.4" outlineLevel="2" x14ac:dyDescent="0.3"/>
    <row r="820" ht="14.4" outlineLevel="2" x14ac:dyDescent="0.3"/>
    <row r="821" ht="14.4" outlineLevel="2" x14ac:dyDescent="0.3"/>
    <row r="822" ht="14.4" outlineLevel="2" x14ac:dyDescent="0.3"/>
    <row r="823" ht="14.4" outlineLevel="2" x14ac:dyDescent="0.3"/>
    <row r="824" ht="14.4" outlineLevel="2" x14ac:dyDescent="0.3"/>
    <row r="825" ht="14.4" outlineLevel="2" x14ac:dyDescent="0.3"/>
    <row r="826" ht="14.4" outlineLevel="2" x14ac:dyDescent="0.3"/>
    <row r="827" ht="14.4" outlineLevel="2" x14ac:dyDescent="0.3"/>
    <row r="828" ht="14.4" outlineLevel="2" x14ac:dyDescent="0.3"/>
    <row r="829" ht="14.4" outlineLevel="2" x14ac:dyDescent="0.3"/>
    <row r="830" ht="14.4" outlineLevel="2" x14ac:dyDescent="0.3"/>
    <row r="831" ht="14.4" outlineLevel="2" x14ac:dyDescent="0.3"/>
    <row r="832" ht="14.4" outlineLevel="2" x14ac:dyDescent="0.3"/>
    <row r="833" ht="14.4" outlineLevel="2" x14ac:dyDescent="0.3"/>
    <row r="834" ht="14.4" outlineLevel="2" x14ac:dyDescent="0.3"/>
    <row r="835" ht="14.4" outlineLevel="2" x14ac:dyDescent="0.3"/>
    <row r="836" ht="14.4" outlineLevel="2" x14ac:dyDescent="0.3"/>
    <row r="837" ht="14.4" outlineLevel="2" x14ac:dyDescent="0.3"/>
    <row r="838" ht="14.4" outlineLevel="2" x14ac:dyDescent="0.3"/>
    <row r="839" ht="14.4" outlineLevel="2" x14ac:dyDescent="0.3"/>
    <row r="840" ht="14.4" outlineLevel="2" x14ac:dyDescent="0.3"/>
    <row r="841" ht="14.4" outlineLevel="2" x14ac:dyDescent="0.3"/>
    <row r="842" ht="14.4" outlineLevel="2" x14ac:dyDescent="0.3"/>
    <row r="843" ht="14.4" outlineLevel="2" x14ac:dyDescent="0.3"/>
    <row r="844" ht="14.4" outlineLevel="2" x14ac:dyDescent="0.3"/>
    <row r="845" ht="14.4" outlineLevel="2" x14ac:dyDescent="0.3"/>
    <row r="846" ht="14.4" outlineLevel="2" x14ac:dyDescent="0.3"/>
    <row r="847" ht="14.4" outlineLevel="2" x14ac:dyDescent="0.3"/>
    <row r="848" ht="14.4" outlineLevel="2" x14ac:dyDescent="0.3"/>
    <row r="849" ht="14.4" outlineLevel="2" x14ac:dyDescent="0.3"/>
    <row r="850" ht="14.4" outlineLevel="2" x14ac:dyDescent="0.3"/>
    <row r="851" ht="14.4" outlineLevel="2" x14ac:dyDescent="0.3"/>
    <row r="852" ht="14.4" outlineLevel="2" x14ac:dyDescent="0.3"/>
    <row r="853" ht="14.4" outlineLevel="2" x14ac:dyDescent="0.3"/>
    <row r="854" ht="14.4" outlineLevel="2" x14ac:dyDescent="0.3"/>
    <row r="855" ht="14.4" outlineLevel="2" x14ac:dyDescent="0.3"/>
    <row r="856" ht="14.4" outlineLevel="2" x14ac:dyDescent="0.3"/>
    <row r="857" ht="14.4" outlineLevel="2" x14ac:dyDescent="0.3"/>
    <row r="858" ht="14.4" outlineLevel="2" x14ac:dyDescent="0.3"/>
    <row r="859" ht="14.4" outlineLevel="2" x14ac:dyDescent="0.3"/>
    <row r="860" ht="14.4" outlineLevel="2" x14ac:dyDescent="0.3"/>
    <row r="861" ht="14.4" outlineLevel="2" x14ac:dyDescent="0.3"/>
    <row r="862" ht="14.4" outlineLevel="2" x14ac:dyDescent="0.3"/>
    <row r="863" ht="14.4" outlineLevel="2" x14ac:dyDescent="0.3"/>
    <row r="864" ht="14.4" outlineLevel="2" x14ac:dyDescent="0.3"/>
    <row r="865" ht="14.4" outlineLevel="2" x14ac:dyDescent="0.3"/>
    <row r="866" ht="14.4" outlineLevel="2" x14ac:dyDescent="0.3"/>
    <row r="867" ht="14.4" outlineLevel="2" x14ac:dyDescent="0.3"/>
    <row r="868" ht="14.4" outlineLevel="2" x14ac:dyDescent="0.3"/>
    <row r="869" ht="14.4" outlineLevel="2" x14ac:dyDescent="0.3"/>
    <row r="870" ht="14.4" outlineLevel="2" x14ac:dyDescent="0.3"/>
    <row r="871" ht="14.4" outlineLevel="2" x14ac:dyDescent="0.3"/>
    <row r="872" ht="14.4" outlineLevel="2" x14ac:dyDescent="0.3"/>
    <row r="873" ht="14.4" outlineLevel="2" x14ac:dyDescent="0.3"/>
    <row r="874" ht="14.4" outlineLevel="2" x14ac:dyDescent="0.3"/>
    <row r="875" ht="14.4" outlineLevel="2" x14ac:dyDescent="0.3"/>
    <row r="876" ht="14.4" outlineLevel="2" x14ac:dyDescent="0.3"/>
    <row r="877" ht="14.4" outlineLevel="2" x14ac:dyDescent="0.3"/>
    <row r="878" ht="14.4" outlineLevel="2" x14ac:dyDescent="0.3"/>
    <row r="879" ht="14.4" outlineLevel="2" x14ac:dyDescent="0.3"/>
    <row r="880" ht="14.4" outlineLevel="2" x14ac:dyDescent="0.3"/>
    <row r="881" ht="14.4" outlineLevel="2" x14ac:dyDescent="0.3"/>
    <row r="882" ht="14.4" outlineLevel="2" x14ac:dyDescent="0.3"/>
    <row r="883" ht="14.4" outlineLevel="2" x14ac:dyDescent="0.3"/>
    <row r="884" ht="14.4" outlineLevel="2" x14ac:dyDescent="0.3"/>
    <row r="885" ht="14.4" outlineLevel="2" x14ac:dyDescent="0.3"/>
    <row r="886" ht="14.4" outlineLevel="2" x14ac:dyDescent="0.3"/>
    <row r="887" ht="14.4" outlineLevel="2" x14ac:dyDescent="0.3"/>
    <row r="888" ht="14.4" outlineLevel="2" x14ac:dyDescent="0.3"/>
    <row r="889" ht="14.4" outlineLevel="2" x14ac:dyDescent="0.3"/>
    <row r="890" ht="14.4" outlineLevel="2" x14ac:dyDescent="0.3"/>
    <row r="891" ht="14.4" outlineLevel="2" x14ac:dyDescent="0.3"/>
    <row r="892" ht="14.4" outlineLevel="2" x14ac:dyDescent="0.3"/>
    <row r="893" ht="14.4" outlineLevel="2" x14ac:dyDescent="0.3"/>
    <row r="894" ht="14.4" outlineLevel="2" x14ac:dyDescent="0.3"/>
    <row r="895" ht="14.4" outlineLevel="2" x14ac:dyDescent="0.3"/>
    <row r="896" ht="14.4" outlineLevel="2" x14ac:dyDescent="0.3"/>
    <row r="897" ht="14.4" outlineLevel="2" x14ac:dyDescent="0.3"/>
    <row r="898" ht="14.4" outlineLevel="2" x14ac:dyDescent="0.3"/>
    <row r="899" ht="14.4" outlineLevel="2" x14ac:dyDescent="0.3"/>
    <row r="900" ht="14.4" outlineLevel="2" x14ac:dyDescent="0.3"/>
    <row r="901" ht="14.4" outlineLevel="2" x14ac:dyDescent="0.3"/>
    <row r="902" ht="14.4" outlineLevel="2" x14ac:dyDescent="0.3"/>
    <row r="903" ht="14.4" outlineLevel="2" x14ac:dyDescent="0.3"/>
    <row r="904" ht="14.4" outlineLevel="2" x14ac:dyDescent="0.3"/>
    <row r="905" ht="14.4" outlineLevel="2" x14ac:dyDescent="0.3"/>
    <row r="906" ht="14.4" outlineLevel="2" x14ac:dyDescent="0.3"/>
    <row r="907" ht="14.4" outlineLevel="2" x14ac:dyDescent="0.3"/>
    <row r="908" ht="14.4" outlineLevel="2" x14ac:dyDescent="0.3"/>
    <row r="909" ht="14.4" outlineLevel="2" x14ac:dyDescent="0.3"/>
    <row r="910" ht="14.4" outlineLevel="2" x14ac:dyDescent="0.3"/>
    <row r="911" ht="14.4" outlineLevel="2" x14ac:dyDescent="0.3"/>
    <row r="912" ht="14.4" outlineLevel="2" x14ac:dyDescent="0.3"/>
    <row r="913" ht="14.4" outlineLevel="2" x14ac:dyDescent="0.3"/>
    <row r="914" ht="14.4" outlineLevel="2" x14ac:dyDescent="0.3"/>
    <row r="915" ht="14.4" outlineLevel="2" x14ac:dyDescent="0.3"/>
    <row r="916" ht="14.4" outlineLevel="2" x14ac:dyDescent="0.3"/>
    <row r="917" ht="14.4" outlineLevel="2" x14ac:dyDescent="0.3"/>
    <row r="918" ht="14.4" outlineLevel="2" x14ac:dyDescent="0.3"/>
    <row r="919" ht="14.4" outlineLevel="2" x14ac:dyDescent="0.3"/>
    <row r="920" ht="14.4" outlineLevel="2" x14ac:dyDescent="0.3"/>
    <row r="921" ht="14.4" outlineLevel="2" x14ac:dyDescent="0.3"/>
    <row r="922" ht="14.4" outlineLevel="2" x14ac:dyDescent="0.3"/>
    <row r="923" ht="14.4" outlineLevel="2" x14ac:dyDescent="0.3"/>
    <row r="924" ht="14.4" outlineLevel="2" x14ac:dyDescent="0.3"/>
    <row r="925" ht="14.4" outlineLevel="2" x14ac:dyDescent="0.3"/>
    <row r="926" ht="14.4" outlineLevel="2" x14ac:dyDescent="0.3"/>
    <row r="927" ht="14.4" outlineLevel="2" x14ac:dyDescent="0.3"/>
    <row r="928" ht="14.4" outlineLevel="2" x14ac:dyDescent="0.3"/>
    <row r="929" ht="14.4" outlineLevel="2" x14ac:dyDescent="0.3"/>
    <row r="930" ht="14.4" outlineLevel="2" x14ac:dyDescent="0.3"/>
    <row r="931" ht="14.4" outlineLevel="2" x14ac:dyDescent="0.3"/>
    <row r="932" ht="14.4" outlineLevel="2" x14ac:dyDescent="0.3"/>
    <row r="933" ht="14.4" outlineLevel="2" x14ac:dyDescent="0.3"/>
    <row r="934" ht="14.4" outlineLevel="2" x14ac:dyDescent="0.3"/>
    <row r="935" ht="14.4" outlineLevel="2" x14ac:dyDescent="0.3"/>
    <row r="936" ht="14.4" outlineLevel="2" x14ac:dyDescent="0.3"/>
    <row r="937" ht="14.4" outlineLevel="2" x14ac:dyDescent="0.3"/>
    <row r="938" ht="14.4" outlineLevel="2" x14ac:dyDescent="0.3"/>
    <row r="939" ht="14.4" outlineLevel="2" x14ac:dyDescent="0.3"/>
    <row r="940" ht="14.4" outlineLevel="2" x14ac:dyDescent="0.3"/>
    <row r="941" ht="14.4" outlineLevel="2" x14ac:dyDescent="0.3"/>
    <row r="942" ht="14.4" outlineLevel="2" x14ac:dyDescent="0.3"/>
    <row r="943" ht="14.4" outlineLevel="2" x14ac:dyDescent="0.3"/>
    <row r="944" ht="14.4" outlineLevel="2" x14ac:dyDescent="0.3"/>
    <row r="945" ht="14.4" outlineLevel="2" x14ac:dyDescent="0.3"/>
    <row r="946" ht="14.4" outlineLevel="2" x14ac:dyDescent="0.3"/>
    <row r="947" ht="14.4" outlineLevel="2" x14ac:dyDescent="0.3"/>
    <row r="948" ht="14.4" outlineLevel="2" x14ac:dyDescent="0.3"/>
    <row r="949" ht="14.4" outlineLevel="2" x14ac:dyDescent="0.3"/>
    <row r="950" ht="14.4" outlineLevel="2" x14ac:dyDescent="0.3"/>
    <row r="951" ht="14.4" outlineLevel="2" x14ac:dyDescent="0.3"/>
    <row r="952" ht="14.4" outlineLevel="2" x14ac:dyDescent="0.3"/>
    <row r="953" ht="14.4" outlineLevel="2" x14ac:dyDescent="0.3"/>
    <row r="954" ht="14.4" outlineLevel="2" x14ac:dyDescent="0.3"/>
    <row r="955" ht="14.4" outlineLevel="2" x14ac:dyDescent="0.3"/>
    <row r="956" ht="14.4" outlineLevel="2" x14ac:dyDescent="0.3"/>
    <row r="957" ht="14.4" outlineLevel="2" x14ac:dyDescent="0.3"/>
    <row r="958" ht="14.4" outlineLevel="2" x14ac:dyDescent="0.3"/>
    <row r="959" ht="14.4" outlineLevel="2" x14ac:dyDescent="0.3"/>
    <row r="960" ht="14.4" outlineLevel="2" x14ac:dyDescent="0.3"/>
    <row r="961" ht="14.4" outlineLevel="2" x14ac:dyDescent="0.3"/>
    <row r="962" ht="14.4" outlineLevel="2" x14ac:dyDescent="0.3"/>
    <row r="963" ht="14.4" outlineLevel="2" x14ac:dyDescent="0.3"/>
    <row r="964" ht="14.4" outlineLevel="2" x14ac:dyDescent="0.3"/>
    <row r="965" ht="14.4" outlineLevel="2" x14ac:dyDescent="0.3"/>
    <row r="966" ht="14.4" outlineLevel="2" x14ac:dyDescent="0.3"/>
    <row r="967" ht="14.4" outlineLevel="2" x14ac:dyDescent="0.3"/>
    <row r="968" ht="14.4" outlineLevel="2" x14ac:dyDescent="0.3"/>
    <row r="969" ht="14.4" outlineLevel="2" x14ac:dyDescent="0.3"/>
    <row r="970" ht="14.4" outlineLevel="2" x14ac:dyDescent="0.3"/>
    <row r="971" ht="14.4" outlineLevel="2" x14ac:dyDescent="0.3"/>
    <row r="972" ht="14.4" outlineLevel="2" x14ac:dyDescent="0.3"/>
    <row r="973" ht="14.4" outlineLevel="2" x14ac:dyDescent="0.3"/>
    <row r="974" ht="14.4" outlineLevel="2" x14ac:dyDescent="0.3"/>
    <row r="975" ht="14.4" outlineLevel="2" x14ac:dyDescent="0.3"/>
    <row r="976" ht="14.4" outlineLevel="2" x14ac:dyDescent="0.3"/>
    <row r="977" ht="14.4" outlineLevel="2" x14ac:dyDescent="0.3"/>
    <row r="978" ht="14.4" outlineLevel="2" x14ac:dyDescent="0.3"/>
    <row r="979" ht="14.4" outlineLevel="2" x14ac:dyDescent="0.3"/>
    <row r="980" ht="14.4" outlineLevel="2" x14ac:dyDescent="0.3"/>
    <row r="981" ht="14.4" outlineLevel="2" x14ac:dyDescent="0.3"/>
    <row r="982" ht="14.4" outlineLevel="2" x14ac:dyDescent="0.3"/>
    <row r="983" ht="14.4" outlineLevel="2" x14ac:dyDescent="0.3"/>
    <row r="984" ht="14.4" outlineLevel="2" x14ac:dyDescent="0.3"/>
    <row r="985" ht="14.4" outlineLevel="2" x14ac:dyDescent="0.3"/>
    <row r="986" ht="14.4" outlineLevel="2" x14ac:dyDescent="0.3"/>
    <row r="987" ht="14.4" outlineLevel="2" x14ac:dyDescent="0.3"/>
    <row r="988" ht="14.4" outlineLevel="2" x14ac:dyDescent="0.3"/>
    <row r="989" ht="14.4" outlineLevel="2" x14ac:dyDescent="0.3"/>
    <row r="990" ht="14.4" outlineLevel="2" x14ac:dyDescent="0.3"/>
    <row r="991" ht="14.4" outlineLevel="2" x14ac:dyDescent="0.3"/>
    <row r="992" ht="14.4" outlineLevel="2" x14ac:dyDescent="0.3"/>
    <row r="993" ht="14.4" outlineLevel="2" x14ac:dyDescent="0.3"/>
    <row r="994" ht="14.4" outlineLevel="2" x14ac:dyDescent="0.3"/>
    <row r="995" ht="14.4" outlineLevel="2" x14ac:dyDescent="0.3"/>
    <row r="996" ht="14.4" outlineLevel="2" x14ac:dyDescent="0.3"/>
    <row r="997" ht="14.4" outlineLevel="2" x14ac:dyDescent="0.3"/>
    <row r="998" ht="14.4" outlineLevel="2" x14ac:dyDescent="0.3"/>
    <row r="999" ht="14.4" outlineLevel="2" x14ac:dyDescent="0.3"/>
    <row r="1000" ht="14.4" outlineLevel="2" x14ac:dyDescent="0.3"/>
    <row r="1001" ht="14.4" outlineLevel="2" x14ac:dyDescent="0.3"/>
    <row r="1002" ht="14.4" outlineLevel="2" x14ac:dyDescent="0.3"/>
    <row r="1003" ht="14.4" outlineLevel="2" x14ac:dyDescent="0.3"/>
    <row r="1004" ht="14.4" outlineLevel="2" x14ac:dyDescent="0.3"/>
    <row r="1005" ht="14.4" outlineLevel="2" x14ac:dyDescent="0.3"/>
    <row r="1006" ht="14.4" outlineLevel="2" x14ac:dyDescent="0.3"/>
    <row r="1007" ht="14.4" outlineLevel="2" x14ac:dyDescent="0.3"/>
    <row r="1008" ht="14.4" outlineLevel="2" x14ac:dyDescent="0.3"/>
    <row r="1009" spans="10:16" ht="14.4" outlineLevel="2" x14ac:dyDescent="0.3"/>
    <row r="1010" spans="10:16" ht="14.4" outlineLevel="2" x14ac:dyDescent="0.3"/>
    <row r="1011" spans="10:16" ht="14.4" outlineLevel="2" x14ac:dyDescent="0.3"/>
    <row r="1012" spans="10:16" ht="14.4" outlineLevel="2" x14ac:dyDescent="0.3"/>
    <row r="1013" spans="10:16" ht="14.4" outlineLevel="2" x14ac:dyDescent="0.3"/>
    <row r="1014" spans="10:16" ht="0" hidden="1" customHeight="1" x14ac:dyDescent="0.3">
      <c r="J1014" t="s">
        <v>49</v>
      </c>
      <c r="K1014" t="s">
        <v>10</v>
      </c>
      <c r="L1014" t="s">
        <v>58</v>
      </c>
      <c r="M1014" t="s">
        <v>59</v>
      </c>
      <c r="N1014">
        <v>120152</v>
      </c>
      <c r="P1014" t="s">
        <v>85</v>
      </c>
    </row>
    <row r="1015" spans="10:16" ht="0" hidden="1" customHeight="1" x14ac:dyDescent="0.3">
      <c r="J1015" t="s">
        <v>49</v>
      </c>
      <c r="K1015" t="s">
        <v>48</v>
      </c>
      <c r="L1015" t="s">
        <v>48</v>
      </c>
      <c r="M1015" t="s">
        <v>59</v>
      </c>
      <c r="N1015">
        <v>57271</v>
      </c>
      <c r="O1015" t="s">
        <v>80</v>
      </c>
      <c r="P1015" t="s">
        <v>68</v>
      </c>
    </row>
    <row r="1016" spans="10:16" ht="0" hidden="1" customHeight="1" x14ac:dyDescent="0.3">
      <c r="J1016" t="s">
        <v>49</v>
      </c>
      <c r="K1016" t="s">
        <v>13</v>
      </c>
      <c r="L1016" t="s">
        <v>69</v>
      </c>
      <c r="M1016" t="s">
        <v>59</v>
      </c>
      <c r="N1016">
        <v>35452087</v>
      </c>
      <c r="O1016" t="s">
        <v>63</v>
      </c>
      <c r="P1016" t="s">
        <v>85</v>
      </c>
    </row>
    <row r="1017" spans="10:16" ht="0" hidden="1" customHeight="1" x14ac:dyDescent="0.3">
      <c r="J1017" t="s">
        <v>56</v>
      </c>
      <c r="K1017" t="s">
        <v>9</v>
      </c>
      <c r="L1017" t="s">
        <v>71</v>
      </c>
      <c r="M1017" t="s">
        <v>59</v>
      </c>
      <c r="N1017">
        <v>1077772</v>
      </c>
      <c r="O1017" t="s">
        <v>67</v>
      </c>
      <c r="P1017" t="s">
        <v>61</v>
      </c>
    </row>
    <row r="1018" spans="10:16" ht="0" hidden="1" customHeight="1" x14ac:dyDescent="0.3">
      <c r="J1018" t="s">
        <v>56</v>
      </c>
      <c r="K1018" t="s">
        <v>11</v>
      </c>
      <c r="L1018" t="s">
        <v>71</v>
      </c>
      <c r="M1018" t="s">
        <v>59</v>
      </c>
      <c r="N1018">
        <v>660356</v>
      </c>
      <c r="O1018" t="s">
        <v>60</v>
      </c>
      <c r="P1018" t="s">
        <v>61</v>
      </c>
    </row>
    <row r="1019" spans="10:16" ht="0" hidden="1" customHeight="1" x14ac:dyDescent="0.3">
      <c r="J1019" t="s">
        <v>56</v>
      </c>
      <c r="K1019" t="s">
        <v>10</v>
      </c>
      <c r="L1019" t="s">
        <v>58</v>
      </c>
      <c r="M1019" t="s">
        <v>59</v>
      </c>
      <c r="N1019">
        <v>8704907</v>
      </c>
      <c r="O1019" t="s">
        <v>63</v>
      </c>
      <c r="P1019" t="s">
        <v>64</v>
      </c>
    </row>
    <row r="1020" spans="10:16" ht="0" hidden="1" customHeight="1" x14ac:dyDescent="0.3">
      <c r="J1020" t="s">
        <v>56</v>
      </c>
      <c r="K1020" t="s">
        <v>13</v>
      </c>
      <c r="L1020" t="s">
        <v>72</v>
      </c>
      <c r="M1020" t="s">
        <v>59</v>
      </c>
      <c r="N1020">
        <v>74550</v>
      </c>
      <c r="O1020" t="s">
        <v>63</v>
      </c>
      <c r="P1020" t="s">
        <v>64</v>
      </c>
    </row>
    <row r="1021" spans="10:16" ht="0" hidden="1" customHeight="1" x14ac:dyDescent="0.3">
      <c r="J1021" t="s">
        <v>56</v>
      </c>
      <c r="K1021" t="s">
        <v>8</v>
      </c>
      <c r="L1021" t="s">
        <v>58</v>
      </c>
      <c r="M1021" t="s">
        <v>59</v>
      </c>
      <c r="N1021">
        <v>322573</v>
      </c>
      <c r="O1021" t="s">
        <v>67</v>
      </c>
      <c r="P1021" t="s">
        <v>61</v>
      </c>
    </row>
    <row r="1022" spans="10:16" ht="0" hidden="1" customHeight="1" x14ac:dyDescent="0.3">
      <c r="J1022" t="s">
        <v>56</v>
      </c>
      <c r="K1022" t="s">
        <v>10</v>
      </c>
      <c r="L1022" t="s">
        <v>58</v>
      </c>
      <c r="M1022" t="s">
        <v>59</v>
      </c>
      <c r="N1022">
        <v>9233</v>
      </c>
      <c r="O1022" t="s">
        <v>77</v>
      </c>
      <c r="P1022" t="s">
        <v>61</v>
      </c>
    </row>
    <row r="1023" spans="10:16" ht="0" hidden="1" customHeight="1" x14ac:dyDescent="0.3">
      <c r="J1023" t="s">
        <v>56</v>
      </c>
      <c r="K1023" t="s">
        <v>12</v>
      </c>
      <c r="L1023" t="s">
        <v>71</v>
      </c>
      <c r="M1023" t="s">
        <v>59</v>
      </c>
      <c r="N1023">
        <v>60172</v>
      </c>
      <c r="O1023" t="s">
        <v>77</v>
      </c>
      <c r="P1023" t="s">
        <v>61</v>
      </c>
    </row>
    <row r="1024" spans="10:16" ht="0" hidden="1" customHeight="1" x14ac:dyDescent="0.3">
      <c r="J1024" t="s">
        <v>55</v>
      </c>
      <c r="K1024" t="s">
        <v>13</v>
      </c>
      <c r="L1024" t="s">
        <v>58</v>
      </c>
      <c r="M1024" t="s">
        <v>59</v>
      </c>
      <c r="N1024">
        <v>886230</v>
      </c>
      <c r="O1024" t="s">
        <v>63</v>
      </c>
      <c r="P1024" t="s">
        <v>85</v>
      </c>
    </row>
    <row r="1025" spans="10:16" ht="0" hidden="1" customHeight="1" x14ac:dyDescent="0.3">
      <c r="J1025" t="s">
        <v>49</v>
      </c>
      <c r="K1025" t="s">
        <v>8</v>
      </c>
      <c r="L1025" t="s">
        <v>71</v>
      </c>
      <c r="M1025" t="s">
        <v>59</v>
      </c>
      <c r="N1025">
        <v>6767261</v>
      </c>
      <c r="O1025" t="s">
        <v>67</v>
      </c>
      <c r="P1025" t="s">
        <v>85</v>
      </c>
    </row>
    <row r="1026" spans="10:16" ht="0" hidden="1" customHeight="1" x14ac:dyDescent="0.3">
      <c r="J1026" t="s">
        <v>55</v>
      </c>
      <c r="K1026" t="s">
        <v>13</v>
      </c>
      <c r="L1026" t="s">
        <v>72</v>
      </c>
      <c r="M1026" t="s">
        <v>59</v>
      </c>
      <c r="N1026">
        <v>6477202</v>
      </c>
      <c r="O1026" t="s">
        <v>77</v>
      </c>
      <c r="P1026" t="s">
        <v>85</v>
      </c>
    </row>
    <row r="1027" spans="10:16" ht="0" hidden="1" customHeight="1" x14ac:dyDescent="0.3">
      <c r="J1027" t="s">
        <v>49</v>
      </c>
      <c r="K1027" t="s">
        <v>14</v>
      </c>
      <c r="L1027" t="s">
        <v>71</v>
      </c>
      <c r="M1027" t="s">
        <v>59</v>
      </c>
      <c r="N1027">
        <v>2457188</v>
      </c>
      <c r="O1027" t="s">
        <v>63</v>
      </c>
      <c r="P1027" t="s">
        <v>85</v>
      </c>
    </row>
    <row r="1028" spans="10:16" ht="0" hidden="1" customHeight="1" x14ac:dyDescent="0.3">
      <c r="J1028" t="s">
        <v>55</v>
      </c>
      <c r="K1028" t="s">
        <v>10</v>
      </c>
      <c r="L1028" t="s">
        <v>58</v>
      </c>
      <c r="M1028" t="s">
        <v>59</v>
      </c>
      <c r="N1028">
        <v>1130310</v>
      </c>
      <c r="O1028" t="s">
        <v>76</v>
      </c>
      <c r="P1028" t="s">
        <v>85</v>
      </c>
    </row>
    <row r="1029" spans="10:16" ht="0" hidden="1" customHeight="1" x14ac:dyDescent="0.3">
      <c r="J1029" t="s">
        <v>55</v>
      </c>
      <c r="K1029" t="s">
        <v>9</v>
      </c>
      <c r="L1029" t="s">
        <v>58</v>
      </c>
      <c r="M1029" t="s">
        <v>59</v>
      </c>
      <c r="N1029">
        <v>431813659</v>
      </c>
      <c r="P1029" t="s">
        <v>85</v>
      </c>
    </row>
    <row r="1030" spans="10:16" ht="0" hidden="1" customHeight="1" x14ac:dyDescent="0.3">
      <c r="J1030" t="s">
        <v>55</v>
      </c>
      <c r="K1030" t="s">
        <v>8</v>
      </c>
      <c r="L1030" t="s">
        <v>58</v>
      </c>
      <c r="M1030" t="s">
        <v>59</v>
      </c>
      <c r="N1030">
        <v>160519983</v>
      </c>
      <c r="O1030" t="s">
        <v>70</v>
      </c>
      <c r="P1030" t="s">
        <v>85</v>
      </c>
    </row>
    <row r="1031" spans="10:16" ht="0" hidden="1" customHeight="1" x14ac:dyDescent="0.3">
      <c r="J1031" t="s">
        <v>49</v>
      </c>
      <c r="K1031" t="s">
        <v>11</v>
      </c>
      <c r="L1031" t="s">
        <v>58</v>
      </c>
      <c r="M1031" t="s">
        <v>59</v>
      </c>
      <c r="N1031">
        <v>5554740</v>
      </c>
      <c r="O1031" t="s">
        <v>60</v>
      </c>
      <c r="P1031" t="s">
        <v>85</v>
      </c>
    </row>
    <row r="1032" spans="10:16" ht="0" hidden="1" customHeight="1" x14ac:dyDescent="0.3">
      <c r="J1032" t="s">
        <v>55</v>
      </c>
      <c r="K1032" t="s">
        <v>13</v>
      </c>
      <c r="L1032" t="s">
        <v>71</v>
      </c>
      <c r="M1032" t="s">
        <v>59</v>
      </c>
      <c r="N1032">
        <v>34006532</v>
      </c>
      <c r="O1032" t="s">
        <v>77</v>
      </c>
      <c r="P1032" t="s">
        <v>85</v>
      </c>
    </row>
    <row r="1033" spans="10:16" ht="0" hidden="1" customHeight="1" x14ac:dyDescent="0.3">
      <c r="J1033" t="s">
        <v>49</v>
      </c>
      <c r="K1033" t="s">
        <v>14</v>
      </c>
      <c r="L1033" t="s">
        <v>69</v>
      </c>
      <c r="M1033" t="s">
        <v>59</v>
      </c>
      <c r="N1033">
        <v>817642</v>
      </c>
      <c r="O1033" t="s">
        <v>60</v>
      </c>
      <c r="P1033" t="s">
        <v>85</v>
      </c>
    </row>
    <row r="1034" spans="10:16" ht="0" hidden="1" customHeight="1" x14ac:dyDescent="0.3">
      <c r="J1034" t="s">
        <v>49</v>
      </c>
      <c r="K1034" t="s">
        <v>12</v>
      </c>
      <c r="L1034" t="s">
        <v>71</v>
      </c>
      <c r="M1034" t="s">
        <v>59</v>
      </c>
      <c r="N1034">
        <v>9371</v>
      </c>
      <c r="O1034" t="s">
        <v>77</v>
      </c>
      <c r="P1034" t="s">
        <v>68</v>
      </c>
    </row>
    <row r="1035" spans="10:16" ht="0" hidden="1" customHeight="1" x14ac:dyDescent="0.3">
      <c r="J1035" t="s">
        <v>55</v>
      </c>
      <c r="K1035" t="s">
        <v>13</v>
      </c>
      <c r="L1035" t="s">
        <v>69</v>
      </c>
      <c r="M1035" t="s">
        <v>59</v>
      </c>
      <c r="N1035">
        <v>636227971</v>
      </c>
      <c r="O1035" t="s">
        <v>63</v>
      </c>
      <c r="P1035" t="s">
        <v>85</v>
      </c>
    </row>
    <row r="1036" spans="10:16" ht="0" hidden="1" customHeight="1" x14ac:dyDescent="0.3">
      <c r="J1036" t="s">
        <v>49</v>
      </c>
      <c r="K1036" t="s">
        <v>14</v>
      </c>
      <c r="L1036" t="s">
        <v>71</v>
      </c>
      <c r="M1036" t="s">
        <v>59</v>
      </c>
      <c r="N1036">
        <v>1218942</v>
      </c>
      <c r="O1036" t="s">
        <v>67</v>
      </c>
      <c r="P1036" t="s">
        <v>85</v>
      </c>
    </row>
    <row r="1037" spans="10:16" ht="0" hidden="1" customHeight="1" x14ac:dyDescent="0.3">
      <c r="J1037" t="s">
        <v>55</v>
      </c>
      <c r="K1037" t="s">
        <v>8</v>
      </c>
      <c r="L1037" t="s">
        <v>58</v>
      </c>
      <c r="M1037" t="s">
        <v>59</v>
      </c>
      <c r="N1037">
        <v>653756</v>
      </c>
      <c r="O1037" t="s">
        <v>76</v>
      </c>
      <c r="P1037" t="s">
        <v>85</v>
      </c>
    </row>
    <row r="1038" spans="10:16" ht="0" hidden="1" customHeight="1" x14ac:dyDescent="0.3">
      <c r="J1038" t="s">
        <v>49</v>
      </c>
      <c r="K1038" t="s">
        <v>12</v>
      </c>
      <c r="L1038" t="s">
        <v>69</v>
      </c>
      <c r="M1038" t="s">
        <v>59</v>
      </c>
      <c r="N1038">
        <v>498927</v>
      </c>
      <c r="O1038" t="s">
        <v>63</v>
      </c>
      <c r="P1038" t="s">
        <v>68</v>
      </c>
    </row>
    <row r="1039" spans="10:16" ht="0" hidden="1" customHeight="1" x14ac:dyDescent="0.3">
      <c r="J1039" t="s">
        <v>55</v>
      </c>
      <c r="K1039" t="s">
        <v>14</v>
      </c>
      <c r="L1039" t="s">
        <v>71</v>
      </c>
      <c r="M1039" t="s">
        <v>59</v>
      </c>
      <c r="N1039">
        <v>370635</v>
      </c>
      <c r="O1039" t="s">
        <v>70</v>
      </c>
      <c r="P1039" t="s">
        <v>85</v>
      </c>
    </row>
    <row r="1040" spans="10:16" ht="0" hidden="1" customHeight="1" x14ac:dyDescent="0.3">
      <c r="J1040" t="s">
        <v>55</v>
      </c>
      <c r="K1040" t="s">
        <v>10</v>
      </c>
      <c r="L1040" t="s">
        <v>71</v>
      </c>
      <c r="M1040" t="s">
        <v>59</v>
      </c>
      <c r="N1040">
        <v>25541717</v>
      </c>
      <c r="O1040" t="s">
        <v>67</v>
      </c>
      <c r="P1040" t="s">
        <v>85</v>
      </c>
    </row>
    <row r="1041" spans="10:16" ht="0" hidden="1" customHeight="1" x14ac:dyDescent="0.3">
      <c r="J1041" t="s">
        <v>49</v>
      </c>
      <c r="K1041" t="s">
        <v>9</v>
      </c>
      <c r="L1041" t="s">
        <v>69</v>
      </c>
      <c r="M1041" t="s">
        <v>59</v>
      </c>
      <c r="N1041">
        <v>192557</v>
      </c>
      <c r="O1041" t="s">
        <v>77</v>
      </c>
      <c r="P1041" t="s">
        <v>85</v>
      </c>
    </row>
    <row r="1042" spans="10:16" ht="0" hidden="1" customHeight="1" x14ac:dyDescent="0.3">
      <c r="J1042" t="s">
        <v>49</v>
      </c>
      <c r="K1042" t="s">
        <v>9</v>
      </c>
      <c r="L1042" t="s">
        <v>58</v>
      </c>
      <c r="M1042" t="s">
        <v>59</v>
      </c>
      <c r="N1042">
        <v>13691003</v>
      </c>
      <c r="O1042" t="s">
        <v>70</v>
      </c>
      <c r="P1042" t="s">
        <v>85</v>
      </c>
    </row>
    <row r="1043" spans="10:16" ht="0" hidden="1" customHeight="1" x14ac:dyDescent="0.3">
      <c r="J1043" t="s">
        <v>55</v>
      </c>
      <c r="K1043" t="s">
        <v>11</v>
      </c>
      <c r="L1043" t="s">
        <v>69</v>
      </c>
      <c r="M1043" t="s">
        <v>59</v>
      </c>
      <c r="N1043">
        <v>230542</v>
      </c>
      <c r="O1043" t="s">
        <v>77</v>
      </c>
      <c r="P1043" t="s">
        <v>85</v>
      </c>
    </row>
    <row r="1044" spans="10:16" ht="0" hidden="1" customHeight="1" x14ac:dyDescent="0.3">
      <c r="J1044" t="s">
        <v>49</v>
      </c>
      <c r="K1044" t="s">
        <v>13</v>
      </c>
      <c r="L1044" t="s">
        <v>69</v>
      </c>
      <c r="M1044" t="s">
        <v>59</v>
      </c>
      <c r="N1044">
        <v>407899</v>
      </c>
      <c r="O1044" t="s">
        <v>63</v>
      </c>
      <c r="P1044" t="s">
        <v>68</v>
      </c>
    </row>
    <row r="1045" spans="10:16" ht="0" hidden="1" customHeight="1" x14ac:dyDescent="0.3">
      <c r="J1045" t="s">
        <v>49</v>
      </c>
      <c r="K1045" t="s">
        <v>13</v>
      </c>
      <c r="L1045" t="s">
        <v>71</v>
      </c>
      <c r="M1045" t="s">
        <v>59</v>
      </c>
      <c r="N1045">
        <v>3442541</v>
      </c>
      <c r="O1045" t="s">
        <v>60</v>
      </c>
      <c r="P1045" t="s">
        <v>85</v>
      </c>
    </row>
    <row r="1046" spans="10:16" ht="0" hidden="1" customHeight="1" x14ac:dyDescent="0.3">
      <c r="J1046" t="s">
        <v>49</v>
      </c>
      <c r="K1046" t="s">
        <v>9</v>
      </c>
      <c r="L1046" t="s">
        <v>69</v>
      </c>
      <c r="M1046" t="s">
        <v>59</v>
      </c>
      <c r="N1046">
        <v>3137048</v>
      </c>
      <c r="O1046" t="s">
        <v>60</v>
      </c>
      <c r="P1046" t="s">
        <v>85</v>
      </c>
    </row>
    <row r="1047" spans="10:16" ht="0" hidden="1" customHeight="1" x14ac:dyDescent="0.3">
      <c r="J1047" t="s">
        <v>49</v>
      </c>
      <c r="K1047" t="s">
        <v>12</v>
      </c>
      <c r="L1047" t="s">
        <v>71</v>
      </c>
      <c r="M1047" t="s">
        <v>59</v>
      </c>
      <c r="N1047">
        <v>15582518</v>
      </c>
      <c r="O1047" t="s">
        <v>70</v>
      </c>
      <c r="P1047" t="s">
        <v>85</v>
      </c>
    </row>
    <row r="1048" spans="10:16" ht="0" hidden="1" customHeight="1" x14ac:dyDescent="0.3">
      <c r="J1048" t="s">
        <v>55</v>
      </c>
      <c r="K1048" t="s">
        <v>13</v>
      </c>
      <c r="L1048" t="s">
        <v>69</v>
      </c>
      <c r="M1048" t="s">
        <v>59</v>
      </c>
      <c r="N1048">
        <v>269714</v>
      </c>
      <c r="O1048" t="s">
        <v>76</v>
      </c>
      <c r="P1048" t="s">
        <v>85</v>
      </c>
    </row>
    <row r="1049" spans="10:16" ht="0" hidden="1" customHeight="1" x14ac:dyDescent="0.3">
      <c r="J1049" t="s">
        <v>49</v>
      </c>
      <c r="K1049" t="s">
        <v>8</v>
      </c>
      <c r="L1049" t="s">
        <v>58</v>
      </c>
      <c r="M1049" t="s">
        <v>59</v>
      </c>
      <c r="N1049">
        <v>13641142</v>
      </c>
      <c r="O1049" t="s">
        <v>67</v>
      </c>
      <c r="P1049" t="s">
        <v>85</v>
      </c>
    </row>
    <row r="1050" spans="10:16" ht="0" hidden="1" customHeight="1" x14ac:dyDescent="0.3">
      <c r="J1050" t="s">
        <v>49</v>
      </c>
      <c r="K1050" t="s">
        <v>10</v>
      </c>
      <c r="L1050" t="s">
        <v>58</v>
      </c>
      <c r="M1050" t="s">
        <v>59</v>
      </c>
      <c r="N1050">
        <v>774215</v>
      </c>
      <c r="O1050" t="s">
        <v>63</v>
      </c>
      <c r="P1050" t="s">
        <v>68</v>
      </c>
    </row>
    <row r="1051" spans="10:16" ht="0" hidden="1" customHeight="1" x14ac:dyDescent="0.3">
      <c r="J1051" t="s">
        <v>49</v>
      </c>
      <c r="K1051" t="s">
        <v>12</v>
      </c>
      <c r="L1051" t="s">
        <v>58</v>
      </c>
      <c r="M1051" t="s">
        <v>59</v>
      </c>
      <c r="N1051">
        <v>25496</v>
      </c>
      <c r="O1051" t="s">
        <v>77</v>
      </c>
      <c r="P1051" t="s">
        <v>85</v>
      </c>
    </row>
    <row r="1052" spans="10:16" ht="0" hidden="1" customHeight="1" x14ac:dyDescent="0.3">
      <c r="J1052" t="s">
        <v>49</v>
      </c>
      <c r="K1052" t="s">
        <v>13</v>
      </c>
      <c r="L1052" t="s">
        <v>71</v>
      </c>
      <c r="M1052" t="s">
        <v>59</v>
      </c>
      <c r="N1052">
        <v>1493899</v>
      </c>
      <c r="O1052" t="s">
        <v>77</v>
      </c>
      <c r="P1052" t="s">
        <v>68</v>
      </c>
    </row>
    <row r="1053" spans="10:16" ht="0" hidden="1" customHeight="1" x14ac:dyDescent="0.3">
      <c r="J1053" t="s">
        <v>55</v>
      </c>
      <c r="K1053" t="s">
        <v>11</v>
      </c>
      <c r="L1053" t="s">
        <v>58</v>
      </c>
      <c r="M1053" t="s">
        <v>59</v>
      </c>
      <c r="N1053">
        <v>100402310</v>
      </c>
      <c r="P1053" t="s">
        <v>85</v>
      </c>
    </row>
    <row r="1054" spans="10:16" ht="0" hidden="1" customHeight="1" x14ac:dyDescent="0.3">
      <c r="J1054" t="s">
        <v>49</v>
      </c>
      <c r="K1054" t="s">
        <v>14</v>
      </c>
      <c r="L1054" t="s">
        <v>69</v>
      </c>
      <c r="M1054" t="s">
        <v>59</v>
      </c>
      <c r="N1054">
        <v>35934</v>
      </c>
      <c r="O1054" t="s">
        <v>70</v>
      </c>
      <c r="P1054" t="s">
        <v>85</v>
      </c>
    </row>
    <row r="1055" spans="10:16" ht="0" hidden="1" customHeight="1" x14ac:dyDescent="0.3">
      <c r="J1055" t="s">
        <v>49</v>
      </c>
      <c r="K1055" t="s">
        <v>13</v>
      </c>
      <c r="L1055" t="s">
        <v>71</v>
      </c>
      <c r="M1055" t="s">
        <v>59</v>
      </c>
      <c r="N1055">
        <v>3194203</v>
      </c>
      <c r="O1055" t="s">
        <v>63</v>
      </c>
      <c r="P1055" t="s">
        <v>85</v>
      </c>
    </row>
    <row r="1056" spans="10:16" ht="0" hidden="1" customHeight="1" x14ac:dyDescent="0.3">
      <c r="J1056" t="s">
        <v>49</v>
      </c>
      <c r="K1056" t="s">
        <v>12</v>
      </c>
      <c r="L1056" t="s">
        <v>58</v>
      </c>
      <c r="M1056" t="s">
        <v>59</v>
      </c>
      <c r="N1056">
        <v>6615040</v>
      </c>
      <c r="O1056" t="s">
        <v>67</v>
      </c>
      <c r="P1056" t="s">
        <v>85</v>
      </c>
    </row>
    <row r="1057" spans="10:16" ht="0" hidden="1" customHeight="1" x14ac:dyDescent="0.3">
      <c r="J1057" t="s">
        <v>55</v>
      </c>
      <c r="K1057" t="s">
        <v>9</v>
      </c>
      <c r="L1057" t="s">
        <v>58</v>
      </c>
      <c r="M1057" t="s">
        <v>59</v>
      </c>
      <c r="N1057">
        <v>80022614</v>
      </c>
      <c r="O1057" t="s">
        <v>73</v>
      </c>
      <c r="P1057" t="s">
        <v>85</v>
      </c>
    </row>
    <row r="1058" spans="10:16" ht="0" hidden="1" customHeight="1" x14ac:dyDescent="0.3">
      <c r="J1058" t="s">
        <v>56</v>
      </c>
      <c r="K1058" t="s">
        <v>11</v>
      </c>
      <c r="L1058" t="s">
        <v>58</v>
      </c>
      <c r="M1058" t="s">
        <v>59</v>
      </c>
      <c r="N1058">
        <v>380960</v>
      </c>
      <c r="O1058" t="s">
        <v>67</v>
      </c>
      <c r="P1058" t="s">
        <v>61</v>
      </c>
    </row>
    <row r="1059" spans="10:16" ht="0" hidden="1" customHeight="1" x14ac:dyDescent="0.3">
      <c r="J1059" t="s">
        <v>56</v>
      </c>
      <c r="K1059" t="s">
        <v>10</v>
      </c>
      <c r="L1059" t="s">
        <v>71</v>
      </c>
      <c r="M1059" t="s">
        <v>59</v>
      </c>
      <c r="N1059">
        <v>897600</v>
      </c>
      <c r="O1059" t="s">
        <v>60</v>
      </c>
      <c r="P1059" t="s">
        <v>64</v>
      </c>
    </row>
    <row r="1060" spans="10:16" ht="0" hidden="1" customHeight="1" x14ac:dyDescent="0.3">
      <c r="J1060" t="s">
        <v>56</v>
      </c>
      <c r="K1060" t="s">
        <v>10</v>
      </c>
      <c r="L1060" t="s">
        <v>69</v>
      </c>
      <c r="M1060" t="s">
        <v>59</v>
      </c>
      <c r="N1060">
        <v>512305</v>
      </c>
      <c r="O1060" t="s">
        <v>60</v>
      </c>
      <c r="P1060" t="s">
        <v>64</v>
      </c>
    </row>
    <row r="1061" spans="10:16" ht="0" hidden="1" customHeight="1" x14ac:dyDescent="0.3">
      <c r="J1061" t="s">
        <v>56</v>
      </c>
      <c r="K1061" t="s">
        <v>8</v>
      </c>
      <c r="L1061" t="s">
        <v>58</v>
      </c>
      <c r="M1061" t="s">
        <v>59</v>
      </c>
      <c r="N1061">
        <v>310839</v>
      </c>
      <c r="O1061" t="s">
        <v>63</v>
      </c>
      <c r="P1061" t="s">
        <v>61</v>
      </c>
    </row>
    <row r="1062" spans="10:16" ht="0" hidden="1" customHeight="1" x14ac:dyDescent="0.3">
      <c r="J1062" t="s">
        <v>56</v>
      </c>
      <c r="K1062" t="s">
        <v>11</v>
      </c>
      <c r="L1062" t="s">
        <v>71</v>
      </c>
      <c r="M1062" t="s">
        <v>59</v>
      </c>
      <c r="N1062">
        <v>123821</v>
      </c>
      <c r="O1062" t="s">
        <v>77</v>
      </c>
      <c r="P1062" t="s">
        <v>61</v>
      </c>
    </row>
    <row r="1063" spans="10:16" ht="0" hidden="1" customHeight="1" x14ac:dyDescent="0.3">
      <c r="J1063" t="s">
        <v>56</v>
      </c>
      <c r="K1063" t="s">
        <v>9</v>
      </c>
      <c r="L1063" t="s">
        <v>58</v>
      </c>
      <c r="M1063" t="s">
        <v>59</v>
      </c>
      <c r="N1063">
        <v>4985555</v>
      </c>
      <c r="O1063" t="s">
        <v>67</v>
      </c>
      <c r="P1063" t="s">
        <v>61</v>
      </c>
    </row>
    <row r="1064" spans="10:16" ht="0" hidden="1" customHeight="1" x14ac:dyDescent="0.3">
      <c r="J1064" t="s">
        <v>56</v>
      </c>
      <c r="K1064" t="s">
        <v>9</v>
      </c>
      <c r="L1064" t="s">
        <v>58</v>
      </c>
      <c r="M1064" t="s">
        <v>59</v>
      </c>
      <c r="N1064">
        <v>21900</v>
      </c>
      <c r="O1064" t="s">
        <v>76</v>
      </c>
      <c r="P1064" t="s">
        <v>64</v>
      </c>
    </row>
    <row r="1065" spans="10:16" ht="0" hidden="1" customHeight="1" x14ac:dyDescent="0.3">
      <c r="J1065" t="s">
        <v>56</v>
      </c>
      <c r="K1065" t="s">
        <v>10</v>
      </c>
      <c r="L1065" t="s">
        <v>58</v>
      </c>
      <c r="M1065" t="s">
        <v>59</v>
      </c>
      <c r="N1065">
        <v>2096028</v>
      </c>
      <c r="O1065" t="s">
        <v>63</v>
      </c>
      <c r="P1065" t="s">
        <v>61</v>
      </c>
    </row>
    <row r="1066" spans="10:16" ht="0" hidden="1" customHeight="1" x14ac:dyDescent="0.3">
      <c r="J1066" t="s">
        <v>56</v>
      </c>
      <c r="K1066" t="s">
        <v>12</v>
      </c>
      <c r="L1066" t="s">
        <v>69</v>
      </c>
      <c r="M1066" t="s">
        <v>59</v>
      </c>
      <c r="N1066">
        <v>45813</v>
      </c>
      <c r="O1066" t="s">
        <v>67</v>
      </c>
      <c r="P1066" t="s">
        <v>61</v>
      </c>
    </row>
    <row r="1067" spans="10:16" ht="0" hidden="1" customHeight="1" x14ac:dyDescent="0.3">
      <c r="J1067" t="s">
        <v>56</v>
      </c>
      <c r="K1067" t="s">
        <v>10</v>
      </c>
      <c r="L1067" t="s">
        <v>71</v>
      </c>
      <c r="M1067" t="s">
        <v>59</v>
      </c>
      <c r="N1067">
        <v>502579</v>
      </c>
      <c r="O1067" t="s">
        <v>60</v>
      </c>
      <c r="P1067" t="s">
        <v>61</v>
      </c>
    </row>
    <row r="1068" spans="10:16" ht="0" hidden="1" customHeight="1" x14ac:dyDescent="0.3">
      <c r="J1068" t="s">
        <v>56</v>
      </c>
      <c r="K1068" t="s">
        <v>10</v>
      </c>
      <c r="L1068" t="s">
        <v>58</v>
      </c>
      <c r="M1068" t="s">
        <v>59</v>
      </c>
      <c r="N1068">
        <v>32992</v>
      </c>
      <c r="O1068" t="s">
        <v>67</v>
      </c>
      <c r="P1068" t="s">
        <v>83</v>
      </c>
    </row>
    <row r="1069" spans="10:16" ht="0" hidden="1" customHeight="1" x14ac:dyDescent="0.3">
      <c r="J1069" t="s">
        <v>55</v>
      </c>
      <c r="K1069" t="s">
        <v>9</v>
      </c>
      <c r="L1069" t="s">
        <v>58</v>
      </c>
      <c r="M1069" t="s">
        <v>59</v>
      </c>
      <c r="N1069">
        <v>304832230</v>
      </c>
      <c r="O1069" t="s">
        <v>77</v>
      </c>
      <c r="P1069" t="s">
        <v>85</v>
      </c>
    </row>
    <row r="1070" spans="10:16" ht="0" hidden="1" customHeight="1" x14ac:dyDescent="0.3">
      <c r="J1070" t="s">
        <v>49</v>
      </c>
      <c r="K1070" t="s">
        <v>11</v>
      </c>
      <c r="L1070" t="s">
        <v>69</v>
      </c>
      <c r="M1070" t="s">
        <v>59</v>
      </c>
      <c r="N1070">
        <v>46022</v>
      </c>
      <c r="O1070" t="s">
        <v>60</v>
      </c>
      <c r="P1070" t="s">
        <v>85</v>
      </c>
    </row>
    <row r="1071" spans="10:16" ht="0" hidden="1" customHeight="1" x14ac:dyDescent="0.3">
      <c r="J1071" t="s">
        <v>55</v>
      </c>
      <c r="K1071" t="s">
        <v>8</v>
      </c>
      <c r="L1071" t="s">
        <v>58</v>
      </c>
      <c r="M1071" t="s">
        <v>59</v>
      </c>
      <c r="N1071">
        <v>496698851</v>
      </c>
      <c r="O1071" t="s">
        <v>63</v>
      </c>
      <c r="P1071" t="s">
        <v>85</v>
      </c>
    </row>
    <row r="1072" spans="10:16" ht="0" hidden="1" customHeight="1" x14ac:dyDescent="0.3">
      <c r="J1072" t="s">
        <v>49</v>
      </c>
      <c r="K1072" t="s">
        <v>48</v>
      </c>
      <c r="L1072" t="s">
        <v>48</v>
      </c>
      <c r="M1072" t="s">
        <v>59</v>
      </c>
      <c r="N1072">
        <v>9522545</v>
      </c>
      <c r="O1072" t="s">
        <v>82</v>
      </c>
      <c r="P1072" t="s">
        <v>85</v>
      </c>
    </row>
    <row r="1073" spans="10:16" ht="0" hidden="1" customHeight="1" x14ac:dyDescent="0.3">
      <c r="J1073" t="s">
        <v>49</v>
      </c>
      <c r="K1073" t="s">
        <v>11</v>
      </c>
      <c r="L1073" t="s">
        <v>58</v>
      </c>
      <c r="M1073" t="s">
        <v>59</v>
      </c>
      <c r="N1073">
        <v>36180805</v>
      </c>
      <c r="O1073" t="s">
        <v>67</v>
      </c>
      <c r="P1073" t="s">
        <v>85</v>
      </c>
    </row>
    <row r="1074" spans="10:16" ht="0" hidden="1" customHeight="1" x14ac:dyDescent="0.3">
      <c r="J1074" t="s">
        <v>55</v>
      </c>
      <c r="K1074" t="s">
        <v>8</v>
      </c>
      <c r="L1074" t="s">
        <v>69</v>
      </c>
      <c r="M1074" t="s">
        <v>59</v>
      </c>
      <c r="N1074">
        <v>8795</v>
      </c>
      <c r="O1074" t="s">
        <v>67</v>
      </c>
      <c r="P1074" t="s">
        <v>85</v>
      </c>
    </row>
    <row r="1075" spans="10:16" ht="0" hidden="1" customHeight="1" x14ac:dyDescent="0.3">
      <c r="J1075" t="s">
        <v>55</v>
      </c>
      <c r="K1075" t="s">
        <v>13</v>
      </c>
      <c r="L1075" t="s">
        <v>69</v>
      </c>
      <c r="M1075" t="s">
        <v>59</v>
      </c>
      <c r="N1075">
        <v>35672379</v>
      </c>
      <c r="O1075" t="s">
        <v>70</v>
      </c>
      <c r="P1075" t="s">
        <v>85</v>
      </c>
    </row>
    <row r="1076" spans="10:16" ht="0" hidden="1" customHeight="1" x14ac:dyDescent="0.3">
      <c r="J1076" t="s">
        <v>49</v>
      </c>
      <c r="K1076" t="s">
        <v>11</v>
      </c>
      <c r="L1076" t="s">
        <v>71</v>
      </c>
      <c r="M1076" t="s">
        <v>59</v>
      </c>
      <c r="N1076">
        <v>40530</v>
      </c>
      <c r="O1076" t="s">
        <v>77</v>
      </c>
      <c r="P1076" t="s">
        <v>68</v>
      </c>
    </row>
    <row r="1077" spans="10:16" ht="0" hidden="1" customHeight="1" x14ac:dyDescent="0.3">
      <c r="J1077" t="s">
        <v>49</v>
      </c>
      <c r="K1077" t="s">
        <v>14</v>
      </c>
      <c r="L1077" t="s">
        <v>69</v>
      </c>
      <c r="M1077" t="s">
        <v>59</v>
      </c>
      <c r="N1077">
        <v>11192294</v>
      </c>
      <c r="O1077" t="s">
        <v>63</v>
      </c>
      <c r="P1077" t="s">
        <v>85</v>
      </c>
    </row>
    <row r="1078" spans="10:16" ht="0" hidden="1" customHeight="1" x14ac:dyDescent="0.3">
      <c r="J1078" t="s">
        <v>49</v>
      </c>
      <c r="K1078" t="s">
        <v>10</v>
      </c>
      <c r="L1078" t="s">
        <v>58</v>
      </c>
      <c r="M1078" t="s">
        <v>59</v>
      </c>
      <c r="N1078">
        <v>63390806</v>
      </c>
      <c r="O1078" t="s">
        <v>77</v>
      </c>
      <c r="P1078" t="s">
        <v>85</v>
      </c>
    </row>
    <row r="1079" spans="10:16" ht="0" hidden="1" customHeight="1" x14ac:dyDescent="0.3">
      <c r="J1079" t="s">
        <v>49</v>
      </c>
      <c r="K1079" t="s">
        <v>13</v>
      </c>
      <c r="L1079" t="s">
        <v>79</v>
      </c>
      <c r="M1079" t="s">
        <v>59</v>
      </c>
      <c r="N1079">
        <v>61047</v>
      </c>
      <c r="O1079" t="s">
        <v>67</v>
      </c>
      <c r="P1079" t="s">
        <v>85</v>
      </c>
    </row>
    <row r="1080" spans="10:16" ht="0" hidden="1" customHeight="1" x14ac:dyDescent="0.3">
      <c r="J1080" t="s">
        <v>49</v>
      </c>
      <c r="K1080" t="s">
        <v>12</v>
      </c>
      <c r="L1080" t="s">
        <v>69</v>
      </c>
      <c r="M1080" t="s">
        <v>59</v>
      </c>
      <c r="N1080">
        <v>11492068</v>
      </c>
      <c r="O1080" t="s">
        <v>67</v>
      </c>
      <c r="P1080" t="s">
        <v>85</v>
      </c>
    </row>
    <row r="1081" spans="10:16" ht="0" hidden="1" customHeight="1" x14ac:dyDescent="0.3">
      <c r="J1081" t="s">
        <v>49</v>
      </c>
      <c r="K1081" t="s">
        <v>9</v>
      </c>
      <c r="L1081" t="s">
        <v>72</v>
      </c>
      <c r="M1081" t="s">
        <v>59</v>
      </c>
      <c r="N1081">
        <v>367441</v>
      </c>
      <c r="O1081" t="s">
        <v>60</v>
      </c>
      <c r="P1081" t="s">
        <v>85</v>
      </c>
    </row>
    <row r="1082" spans="10:16" ht="0" hidden="1" customHeight="1" x14ac:dyDescent="0.3">
      <c r="J1082" t="s">
        <v>55</v>
      </c>
      <c r="K1082" t="s">
        <v>11</v>
      </c>
      <c r="L1082" t="s">
        <v>71</v>
      </c>
      <c r="M1082" t="s">
        <v>59</v>
      </c>
      <c r="N1082">
        <v>543690398</v>
      </c>
      <c r="O1082" t="s">
        <v>77</v>
      </c>
      <c r="P1082" t="s">
        <v>85</v>
      </c>
    </row>
    <row r="1083" spans="10:16" ht="0" hidden="1" customHeight="1" x14ac:dyDescent="0.3">
      <c r="J1083" t="s">
        <v>55</v>
      </c>
      <c r="K1083" t="s">
        <v>12</v>
      </c>
      <c r="L1083" t="s">
        <v>69</v>
      </c>
      <c r="M1083" t="s">
        <v>59</v>
      </c>
      <c r="N1083">
        <v>65288328</v>
      </c>
      <c r="O1083" t="s">
        <v>67</v>
      </c>
      <c r="P1083" t="s">
        <v>85</v>
      </c>
    </row>
    <row r="1084" spans="10:16" ht="0" hidden="1" customHeight="1" x14ac:dyDescent="0.3">
      <c r="J1084" t="s">
        <v>49</v>
      </c>
      <c r="K1084" t="s">
        <v>8</v>
      </c>
      <c r="L1084" t="s">
        <v>71</v>
      </c>
      <c r="M1084" t="s">
        <v>59</v>
      </c>
      <c r="N1084">
        <v>64045</v>
      </c>
      <c r="O1084" t="s">
        <v>60</v>
      </c>
      <c r="P1084" t="s">
        <v>85</v>
      </c>
    </row>
    <row r="1085" spans="10:16" ht="0" hidden="1" customHeight="1" x14ac:dyDescent="0.3">
      <c r="J1085" t="s">
        <v>55</v>
      </c>
      <c r="K1085" t="s">
        <v>12</v>
      </c>
      <c r="L1085" t="s">
        <v>69</v>
      </c>
      <c r="M1085" t="s">
        <v>59</v>
      </c>
      <c r="N1085">
        <v>163628835</v>
      </c>
      <c r="O1085" t="s">
        <v>63</v>
      </c>
      <c r="P1085" t="s">
        <v>85</v>
      </c>
    </row>
    <row r="1086" spans="10:16" ht="0" hidden="1" customHeight="1" x14ac:dyDescent="0.3">
      <c r="J1086" t="s">
        <v>49</v>
      </c>
      <c r="K1086" t="s">
        <v>9</v>
      </c>
      <c r="L1086" t="s">
        <v>58</v>
      </c>
      <c r="M1086" t="s">
        <v>59</v>
      </c>
      <c r="N1086">
        <v>71829759</v>
      </c>
      <c r="O1086" t="s">
        <v>67</v>
      </c>
      <c r="P1086" t="s">
        <v>85</v>
      </c>
    </row>
    <row r="1087" spans="10:16" ht="0" hidden="1" customHeight="1" x14ac:dyDescent="0.3">
      <c r="J1087" t="s">
        <v>55</v>
      </c>
      <c r="K1087" t="s">
        <v>14</v>
      </c>
      <c r="L1087" t="s">
        <v>71</v>
      </c>
      <c r="M1087" t="s">
        <v>59</v>
      </c>
      <c r="N1087">
        <v>3171667</v>
      </c>
      <c r="O1087" t="s">
        <v>77</v>
      </c>
      <c r="P1087" t="s">
        <v>85</v>
      </c>
    </row>
    <row r="1088" spans="10:16" ht="0" hidden="1" customHeight="1" x14ac:dyDescent="0.3">
      <c r="J1088" t="s">
        <v>49</v>
      </c>
      <c r="K1088" t="s">
        <v>11</v>
      </c>
      <c r="L1088" t="s">
        <v>71</v>
      </c>
      <c r="M1088" t="s">
        <v>59</v>
      </c>
      <c r="N1088">
        <v>80158</v>
      </c>
      <c r="O1088" t="s">
        <v>63</v>
      </c>
      <c r="P1088" t="s">
        <v>66</v>
      </c>
    </row>
    <row r="1089" spans="10:16" ht="0" hidden="1" customHeight="1" x14ac:dyDescent="0.3">
      <c r="J1089" t="s">
        <v>49</v>
      </c>
      <c r="K1089" t="s">
        <v>12</v>
      </c>
      <c r="L1089" t="s">
        <v>71</v>
      </c>
      <c r="M1089" t="s">
        <v>59</v>
      </c>
      <c r="N1089">
        <v>8703804</v>
      </c>
      <c r="O1089" t="s">
        <v>77</v>
      </c>
      <c r="P1089" t="s">
        <v>85</v>
      </c>
    </row>
    <row r="1090" spans="10:16" ht="0" hidden="1" customHeight="1" x14ac:dyDescent="0.3">
      <c r="J1090" t="s">
        <v>49</v>
      </c>
      <c r="K1090" t="s">
        <v>13</v>
      </c>
      <c r="L1090" t="s">
        <v>65</v>
      </c>
      <c r="M1090" t="s">
        <v>59</v>
      </c>
      <c r="N1090">
        <v>299414</v>
      </c>
      <c r="O1090" t="s">
        <v>67</v>
      </c>
      <c r="P1090" t="s">
        <v>85</v>
      </c>
    </row>
    <row r="1091" spans="10:16" ht="0" hidden="1" customHeight="1" x14ac:dyDescent="0.3">
      <c r="J1091" t="s">
        <v>55</v>
      </c>
      <c r="K1091" t="s">
        <v>11</v>
      </c>
      <c r="L1091" t="s">
        <v>58</v>
      </c>
      <c r="M1091" t="s">
        <v>59</v>
      </c>
      <c r="N1091">
        <v>161640025</v>
      </c>
      <c r="O1091" t="s">
        <v>60</v>
      </c>
      <c r="P1091" t="s">
        <v>85</v>
      </c>
    </row>
    <row r="1092" spans="10:16" ht="0" hidden="1" customHeight="1" x14ac:dyDescent="0.3">
      <c r="J1092" t="s">
        <v>55</v>
      </c>
      <c r="K1092" t="s">
        <v>10</v>
      </c>
      <c r="L1092" t="s">
        <v>71</v>
      </c>
      <c r="M1092" t="s">
        <v>59</v>
      </c>
      <c r="N1092">
        <v>19998578</v>
      </c>
      <c r="P1092" t="s">
        <v>85</v>
      </c>
    </row>
    <row r="1093" spans="10:16" ht="0" hidden="1" customHeight="1" x14ac:dyDescent="0.3">
      <c r="J1093" t="s">
        <v>55</v>
      </c>
      <c r="K1093" t="s">
        <v>10</v>
      </c>
      <c r="L1093" t="s">
        <v>58</v>
      </c>
      <c r="M1093" t="s">
        <v>59</v>
      </c>
      <c r="N1093">
        <v>1190000261</v>
      </c>
      <c r="O1093" t="s">
        <v>70</v>
      </c>
      <c r="P1093" t="s">
        <v>85</v>
      </c>
    </row>
    <row r="1094" spans="10:16" ht="0" hidden="1" customHeight="1" x14ac:dyDescent="0.3">
      <c r="J1094" t="s">
        <v>49</v>
      </c>
      <c r="K1094" t="s">
        <v>9</v>
      </c>
      <c r="L1094" t="s">
        <v>58</v>
      </c>
      <c r="M1094" t="s">
        <v>59</v>
      </c>
      <c r="N1094">
        <v>544195</v>
      </c>
      <c r="O1094" t="s">
        <v>63</v>
      </c>
      <c r="P1094" t="s">
        <v>68</v>
      </c>
    </row>
    <row r="1095" spans="10:16" ht="0" hidden="1" customHeight="1" x14ac:dyDescent="0.3">
      <c r="J1095" t="s">
        <v>55</v>
      </c>
      <c r="K1095" t="s">
        <v>12</v>
      </c>
      <c r="L1095" t="s">
        <v>71</v>
      </c>
      <c r="M1095" t="s">
        <v>59</v>
      </c>
      <c r="N1095">
        <v>62318359</v>
      </c>
      <c r="O1095" t="s">
        <v>73</v>
      </c>
      <c r="P1095" t="s">
        <v>85</v>
      </c>
    </row>
    <row r="1096" spans="10:16" ht="0" hidden="1" customHeight="1" x14ac:dyDescent="0.3">
      <c r="J1096" t="s">
        <v>55</v>
      </c>
      <c r="K1096" t="s">
        <v>10</v>
      </c>
      <c r="L1096" t="s">
        <v>58</v>
      </c>
      <c r="M1096" t="s">
        <v>59</v>
      </c>
      <c r="N1096">
        <v>1795660838</v>
      </c>
      <c r="O1096" t="s">
        <v>63</v>
      </c>
      <c r="P1096" t="s">
        <v>85</v>
      </c>
    </row>
    <row r="1097" spans="10:16" ht="0" hidden="1" customHeight="1" x14ac:dyDescent="0.3">
      <c r="J1097" t="s">
        <v>55</v>
      </c>
      <c r="K1097" t="s">
        <v>11</v>
      </c>
      <c r="L1097" t="s">
        <v>69</v>
      </c>
      <c r="M1097" t="s">
        <v>59</v>
      </c>
      <c r="N1097">
        <v>10323</v>
      </c>
      <c r="O1097" t="s">
        <v>70</v>
      </c>
      <c r="P1097" t="s">
        <v>85</v>
      </c>
    </row>
    <row r="1098" spans="10:16" ht="0" hidden="1" customHeight="1" x14ac:dyDescent="0.3">
      <c r="J1098" t="s">
        <v>49</v>
      </c>
      <c r="K1098" t="s">
        <v>10</v>
      </c>
      <c r="L1098" t="s">
        <v>71</v>
      </c>
      <c r="M1098" t="s">
        <v>59</v>
      </c>
      <c r="N1098">
        <v>26917734</v>
      </c>
      <c r="O1098" t="s">
        <v>76</v>
      </c>
      <c r="P1098" t="s">
        <v>85</v>
      </c>
    </row>
    <row r="1099" spans="10:16" ht="0" hidden="1" customHeight="1" x14ac:dyDescent="0.3">
      <c r="J1099" t="s">
        <v>49</v>
      </c>
      <c r="K1099" t="s">
        <v>13</v>
      </c>
      <c r="L1099" t="s">
        <v>71</v>
      </c>
      <c r="M1099" t="s">
        <v>59</v>
      </c>
      <c r="N1099">
        <v>1383956</v>
      </c>
      <c r="O1099" t="s">
        <v>70</v>
      </c>
      <c r="P1099" t="s">
        <v>85</v>
      </c>
    </row>
    <row r="1100" spans="10:16" ht="0" hidden="1" customHeight="1" x14ac:dyDescent="0.3">
      <c r="J1100" t="s">
        <v>49</v>
      </c>
      <c r="K1100" t="s">
        <v>11</v>
      </c>
      <c r="L1100" t="s">
        <v>71</v>
      </c>
      <c r="M1100" t="s">
        <v>59</v>
      </c>
      <c r="N1100">
        <v>144004738</v>
      </c>
      <c r="O1100" t="s">
        <v>67</v>
      </c>
      <c r="P1100" t="s">
        <v>85</v>
      </c>
    </row>
    <row r="1101" spans="10:16" ht="0" hidden="1" customHeight="1" x14ac:dyDescent="0.3">
      <c r="J1101" t="s">
        <v>49</v>
      </c>
      <c r="K1101" t="s">
        <v>11</v>
      </c>
      <c r="L1101" t="s">
        <v>71</v>
      </c>
      <c r="M1101" t="s">
        <v>59</v>
      </c>
      <c r="N1101">
        <v>1934</v>
      </c>
      <c r="O1101" t="s">
        <v>77</v>
      </c>
      <c r="P1101" t="s">
        <v>66</v>
      </c>
    </row>
    <row r="1102" spans="10:16" ht="0" hidden="1" customHeight="1" x14ac:dyDescent="0.3">
      <c r="J1102" t="s">
        <v>49</v>
      </c>
      <c r="K1102" t="s">
        <v>14</v>
      </c>
      <c r="L1102" t="s">
        <v>72</v>
      </c>
      <c r="M1102" t="s">
        <v>59</v>
      </c>
      <c r="N1102">
        <v>115301</v>
      </c>
      <c r="O1102" t="s">
        <v>60</v>
      </c>
      <c r="P1102" t="s">
        <v>85</v>
      </c>
    </row>
    <row r="1103" spans="10:16" ht="0" hidden="1" customHeight="1" x14ac:dyDescent="0.3">
      <c r="J1103" t="s">
        <v>49</v>
      </c>
      <c r="K1103" t="s">
        <v>10</v>
      </c>
      <c r="L1103" t="s">
        <v>58</v>
      </c>
      <c r="M1103" t="s">
        <v>59</v>
      </c>
      <c r="N1103">
        <v>22706610</v>
      </c>
      <c r="O1103" t="s">
        <v>60</v>
      </c>
      <c r="P1103" t="s">
        <v>85</v>
      </c>
    </row>
    <row r="1104" spans="10:16" ht="0" hidden="1" customHeight="1" x14ac:dyDescent="0.3">
      <c r="J1104" t="s">
        <v>55</v>
      </c>
      <c r="K1104" t="s">
        <v>12</v>
      </c>
      <c r="L1104" t="s">
        <v>69</v>
      </c>
      <c r="M1104" t="s">
        <v>59</v>
      </c>
      <c r="N1104">
        <v>35960082</v>
      </c>
      <c r="O1104" t="s">
        <v>77</v>
      </c>
      <c r="P1104" t="s">
        <v>85</v>
      </c>
    </row>
    <row r="1105" spans="10:16" ht="0" hidden="1" customHeight="1" x14ac:dyDescent="0.3">
      <c r="J1105" t="s">
        <v>55</v>
      </c>
      <c r="K1105" t="s">
        <v>8</v>
      </c>
      <c r="L1105" t="s">
        <v>58</v>
      </c>
      <c r="M1105" t="s">
        <v>59</v>
      </c>
      <c r="N1105">
        <v>91400668</v>
      </c>
      <c r="O1105" t="s">
        <v>67</v>
      </c>
      <c r="P1105" t="s">
        <v>85</v>
      </c>
    </row>
    <row r="1106" spans="10:16" ht="0" hidden="1" customHeight="1" x14ac:dyDescent="0.3">
      <c r="J1106" t="s">
        <v>55</v>
      </c>
      <c r="K1106" t="s">
        <v>13</v>
      </c>
      <c r="L1106" t="s">
        <v>71</v>
      </c>
      <c r="M1106" t="s">
        <v>59</v>
      </c>
      <c r="N1106">
        <v>28616736</v>
      </c>
      <c r="P1106" t="s">
        <v>85</v>
      </c>
    </row>
    <row r="1107" spans="10:16" ht="0" hidden="1" customHeight="1" x14ac:dyDescent="0.3">
      <c r="J1107" t="s">
        <v>49</v>
      </c>
      <c r="K1107" t="s">
        <v>8</v>
      </c>
      <c r="L1107" t="s">
        <v>58</v>
      </c>
      <c r="M1107" t="s">
        <v>59</v>
      </c>
      <c r="N1107">
        <v>329970</v>
      </c>
      <c r="O1107" t="s">
        <v>77</v>
      </c>
      <c r="P1107" t="s">
        <v>68</v>
      </c>
    </row>
    <row r="1108" spans="10:16" ht="0" hidden="1" customHeight="1" x14ac:dyDescent="0.3">
      <c r="J1108" t="s">
        <v>49</v>
      </c>
      <c r="K1108" t="s">
        <v>9</v>
      </c>
      <c r="L1108" t="s">
        <v>71</v>
      </c>
      <c r="M1108" t="s">
        <v>59</v>
      </c>
      <c r="N1108">
        <v>62091892</v>
      </c>
      <c r="O1108" t="s">
        <v>67</v>
      </c>
      <c r="P1108" t="s">
        <v>85</v>
      </c>
    </row>
    <row r="1109" spans="10:16" ht="0" hidden="1" customHeight="1" x14ac:dyDescent="0.3">
      <c r="J1109" t="s">
        <v>56</v>
      </c>
      <c r="K1109" t="s">
        <v>12</v>
      </c>
      <c r="L1109" t="s">
        <v>71</v>
      </c>
      <c r="M1109" t="s">
        <v>59</v>
      </c>
      <c r="N1109">
        <v>76227</v>
      </c>
      <c r="O1109" t="s">
        <v>67</v>
      </c>
      <c r="P1109" t="s">
        <v>61</v>
      </c>
    </row>
    <row r="1110" spans="10:16" ht="0" hidden="1" customHeight="1" x14ac:dyDescent="0.3">
      <c r="J1110" t="s">
        <v>56</v>
      </c>
      <c r="K1110" t="s">
        <v>10</v>
      </c>
      <c r="L1110" t="s">
        <v>71</v>
      </c>
      <c r="M1110" t="s">
        <v>59</v>
      </c>
      <c r="N1110">
        <v>122421</v>
      </c>
      <c r="O1110" t="s">
        <v>70</v>
      </c>
      <c r="P1110" t="s">
        <v>61</v>
      </c>
    </row>
    <row r="1111" spans="10:16" ht="0" hidden="1" customHeight="1" x14ac:dyDescent="0.3">
      <c r="J1111" t="s">
        <v>56</v>
      </c>
      <c r="K1111" t="s">
        <v>12</v>
      </c>
      <c r="L1111" t="s">
        <v>69</v>
      </c>
      <c r="M1111" t="s">
        <v>59</v>
      </c>
      <c r="N1111">
        <v>63814</v>
      </c>
      <c r="O1111" t="s">
        <v>70</v>
      </c>
      <c r="P1111" t="s">
        <v>61</v>
      </c>
    </row>
    <row r="1112" spans="10:16" ht="0" hidden="1" customHeight="1" x14ac:dyDescent="0.3">
      <c r="J1112" t="s">
        <v>56</v>
      </c>
      <c r="K1112" t="s">
        <v>12</v>
      </c>
      <c r="L1112" t="s">
        <v>69</v>
      </c>
      <c r="M1112" t="s">
        <v>59</v>
      </c>
      <c r="N1112">
        <v>455960</v>
      </c>
      <c r="O1112" t="s">
        <v>70</v>
      </c>
      <c r="P1112" t="s">
        <v>64</v>
      </c>
    </row>
    <row r="1113" spans="10:16" ht="0" hidden="1" customHeight="1" x14ac:dyDescent="0.3">
      <c r="J1113" t="s">
        <v>56</v>
      </c>
      <c r="K1113" t="s">
        <v>12</v>
      </c>
      <c r="L1113" t="s">
        <v>71</v>
      </c>
      <c r="M1113" t="s">
        <v>59</v>
      </c>
      <c r="N1113">
        <v>248842</v>
      </c>
      <c r="O1113" t="s">
        <v>60</v>
      </c>
      <c r="P1113" t="s">
        <v>61</v>
      </c>
    </row>
    <row r="1114" spans="10:16" ht="0" hidden="1" customHeight="1" x14ac:dyDescent="0.3">
      <c r="J1114" t="s">
        <v>56</v>
      </c>
      <c r="K1114" t="s">
        <v>12</v>
      </c>
      <c r="L1114" t="s">
        <v>69</v>
      </c>
      <c r="M1114" t="s">
        <v>59</v>
      </c>
      <c r="N1114">
        <v>282114</v>
      </c>
      <c r="O1114" t="s">
        <v>60</v>
      </c>
      <c r="P1114" t="s">
        <v>61</v>
      </c>
    </row>
    <row r="1115" spans="10:16" ht="0" hidden="1" customHeight="1" x14ac:dyDescent="0.3">
      <c r="J1115" t="s">
        <v>56</v>
      </c>
      <c r="K1115" t="s">
        <v>13</v>
      </c>
      <c r="L1115" t="s">
        <v>69</v>
      </c>
      <c r="M1115" t="s">
        <v>59</v>
      </c>
      <c r="N1115">
        <v>780235</v>
      </c>
      <c r="O1115" t="s">
        <v>63</v>
      </c>
      <c r="P1115" t="s">
        <v>61</v>
      </c>
    </row>
    <row r="1116" spans="10:16" ht="0" hidden="1" customHeight="1" x14ac:dyDescent="0.3">
      <c r="J1116" t="s">
        <v>56</v>
      </c>
      <c r="K1116" t="s">
        <v>13</v>
      </c>
      <c r="L1116" t="s">
        <v>69</v>
      </c>
      <c r="M1116" t="s">
        <v>59</v>
      </c>
      <c r="N1116">
        <v>97008</v>
      </c>
      <c r="O1116" t="s">
        <v>63</v>
      </c>
      <c r="P1116" t="s">
        <v>64</v>
      </c>
    </row>
    <row r="1117" spans="10:16" ht="0" hidden="1" customHeight="1" x14ac:dyDescent="0.3">
      <c r="J1117" t="s">
        <v>56</v>
      </c>
      <c r="K1117" t="s">
        <v>9</v>
      </c>
      <c r="L1117" t="s">
        <v>58</v>
      </c>
      <c r="M1117" t="s">
        <v>59</v>
      </c>
      <c r="N1117">
        <v>266107</v>
      </c>
      <c r="O1117" t="s">
        <v>63</v>
      </c>
      <c r="P1117" t="s">
        <v>64</v>
      </c>
    </row>
    <row r="1118" spans="10:16" ht="0" hidden="1" customHeight="1" x14ac:dyDescent="0.3">
      <c r="J1118" t="s">
        <v>56</v>
      </c>
      <c r="K1118" t="s">
        <v>10</v>
      </c>
      <c r="L1118" t="s">
        <v>69</v>
      </c>
      <c r="M1118" t="s">
        <v>59</v>
      </c>
      <c r="N1118">
        <v>79622</v>
      </c>
      <c r="O1118" t="s">
        <v>60</v>
      </c>
      <c r="P1118" t="s">
        <v>61</v>
      </c>
    </row>
    <row r="1119" spans="10:16" ht="0" hidden="1" customHeight="1" x14ac:dyDescent="0.3">
      <c r="J1119" t="s">
        <v>49</v>
      </c>
      <c r="K1119" t="s">
        <v>11</v>
      </c>
      <c r="L1119" t="s">
        <v>71</v>
      </c>
      <c r="M1119" t="s">
        <v>59</v>
      </c>
      <c r="N1119">
        <v>120345</v>
      </c>
      <c r="O1119" t="s">
        <v>60</v>
      </c>
      <c r="P1119" t="s">
        <v>68</v>
      </c>
    </row>
    <row r="1120" spans="10:16" ht="0" hidden="1" customHeight="1" x14ac:dyDescent="0.3">
      <c r="J1120" t="s">
        <v>55</v>
      </c>
      <c r="K1120" t="s">
        <v>8</v>
      </c>
      <c r="L1120" t="s">
        <v>71</v>
      </c>
      <c r="M1120" t="s">
        <v>59</v>
      </c>
      <c r="N1120">
        <v>19618</v>
      </c>
      <c r="O1120" t="s">
        <v>63</v>
      </c>
      <c r="P1120" t="s">
        <v>85</v>
      </c>
    </row>
    <row r="1121" spans="10:16" ht="0" hidden="1" customHeight="1" x14ac:dyDescent="0.3">
      <c r="J1121" t="s">
        <v>55</v>
      </c>
      <c r="K1121" t="s">
        <v>12</v>
      </c>
      <c r="L1121" t="s">
        <v>58</v>
      </c>
      <c r="M1121" t="s">
        <v>59</v>
      </c>
      <c r="N1121">
        <v>3776902</v>
      </c>
      <c r="O1121" t="s">
        <v>73</v>
      </c>
      <c r="P1121" t="s">
        <v>85</v>
      </c>
    </row>
    <row r="1122" spans="10:16" ht="0" hidden="1" customHeight="1" x14ac:dyDescent="0.3">
      <c r="J1122" t="s">
        <v>49</v>
      </c>
      <c r="K1122" t="s">
        <v>13</v>
      </c>
      <c r="L1122" t="s">
        <v>72</v>
      </c>
      <c r="M1122" t="s">
        <v>59</v>
      </c>
      <c r="N1122">
        <v>355073</v>
      </c>
      <c r="O1122" t="s">
        <v>70</v>
      </c>
      <c r="P1122" t="s">
        <v>85</v>
      </c>
    </row>
    <row r="1123" spans="10:16" ht="0" hidden="1" customHeight="1" x14ac:dyDescent="0.3">
      <c r="J1123" t="s">
        <v>55</v>
      </c>
      <c r="K1123" t="s">
        <v>11</v>
      </c>
      <c r="L1123" t="s">
        <v>58</v>
      </c>
      <c r="M1123" t="s">
        <v>59</v>
      </c>
      <c r="N1123">
        <v>96735250</v>
      </c>
      <c r="O1123" t="s">
        <v>70</v>
      </c>
      <c r="P1123" t="s">
        <v>85</v>
      </c>
    </row>
    <row r="1124" spans="10:16" ht="0" hidden="1" customHeight="1" x14ac:dyDescent="0.3">
      <c r="J1124" t="s">
        <v>55</v>
      </c>
      <c r="K1124" t="s">
        <v>12</v>
      </c>
      <c r="L1124" t="s">
        <v>69</v>
      </c>
      <c r="M1124" t="s">
        <v>59</v>
      </c>
      <c r="N1124">
        <v>31293811</v>
      </c>
      <c r="O1124" t="s">
        <v>70</v>
      </c>
      <c r="P1124" t="s">
        <v>85</v>
      </c>
    </row>
    <row r="1125" spans="10:16" ht="0" hidden="1" customHeight="1" x14ac:dyDescent="0.3">
      <c r="J1125" t="s">
        <v>55</v>
      </c>
      <c r="K1125" t="s">
        <v>12</v>
      </c>
      <c r="L1125" t="s">
        <v>69</v>
      </c>
      <c r="M1125" t="s">
        <v>59</v>
      </c>
      <c r="N1125">
        <v>66778161</v>
      </c>
      <c r="P1125" t="s">
        <v>85</v>
      </c>
    </row>
    <row r="1126" spans="10:16" ht="0" hidden="1" customHeight="1" x14ac:dyDescent="0.3">
      <c r="J1126" t="s">
        <v>55</v>
      </c>
      <c r="K1126" t="s">
        <v>13</v>
      </c>
      <c r="L1126" t="s">
        <v>72</v>
      </c>
      <c r="M1126" t="s">
        <v>59</v>
      </c>
      <c r="N1126">
        <v>19140</v>
      </c>
      <c r="O1126" t="s">
        <v>76</v>
      </c>
      <c r="P1126" t="s">
        <v>85</v>
      </c>
    </row>
    <row r="1127" spans="10:16" ht="0" hidden="1" customHeight="1" x14ac:dyDescent="0.3">
      <c r="J1127" t="s">
        <v>49</v>
      </c>
      <c r="K1127" t="s">
        <v>11</v>
      </c>
      <c r="L1127" t="s">
        <v>71</v>
      </c>
      <c r="M1127" t="s">
        <v>59</v>
      </c>
      <c r="N1127">
        <v>973991</v>
      </c>
      <c r="O1127" t="s">
        <v>67</v>
      </c>
      <c r="P1127" t="s">
        <v>68</v>
      </c>
    </row>
    <row r="1128" spans="10:16" ht="0" hidden="1" customHeight="1" x14ac:dyDescent="0.3">
      <c r="J1128" t="s">
        <v>49</v>
      </c>
      <c r="K1128" t="s">
        <v>13</v>
      </c>
      <c r="L1128" t="s">
        <v>58</v>
      </c>
      <c r="M1128" t="s">
        <v>59</v>
      </c>
      <c r="N1128">
        <v>19593</v>
      </c>
      <c r="O1128" t="s">
        <v>60</v>
      </c>
      <c r="P1128" t="s">
        <v>85</v>
      </c>
    </row>
    <row r="1129" spans="10:16" ht="0" hidden="1" customHeight="1" x14ac:dyDescent="0.3">
      <c r="J1129" t="s">
        <v>55</v>
      </c>
      <c r="K1129" t="s">
        <v>11</v>
      </c>
      <c r="L1129" t="s">
        <v>71</v>
      </c>
      <c r="M1129" t="s">
        <v>59</v>
      </c>
      <c r="N1129">
        <v>748100254</v>
      </c>
      <c r="P1129" t="s">
        <v>85</v>
      </c>
    </row>
    <row r="1130" spans="10:16" ht="0" hidden="1" customHeight="1" x14ac:dyDescent="0.3">
      <c r="J1130" t="s">
        <v>55</v>
      </c>
      <c r="K1130" t="s">
        <v>12</v>
      </c>
      <c r="L1130" t="s">
        <v>71</v>
      </c>
      <c r="M1130" t="s">
        <v>59</v>
      </c>
      <c r="N1130">
        <v>393649447</v>
      </c>
      <c r="P1130" t="s">
        <v>85</v>
      </c>
    </row>
    <row r="1131" spans="10:16" ht="0" hidden="1" customHeight="1" x14ac:dyDescent="0.3">
      <c r="J1131" t="s">
        <v>49</v>
      </c>
      <c r="K1131" t="s">
        <v>12</v>
      </c>
      <c r="L1131" t="s">
        <v>58</v>
      </c>
      <c r="M1131" t="s">
        <v>59</v>
      </c>
      <c r="N1131">
        <v>842778</v>
      </c>
      <c r="O1131" t="s">
        <v>60</v>
      </c>
      <c r="P1131" t="s">
        <v>85</v>
      </c>
    </row>
    <row r="1132" spans="10:16" ht="0" hidden="1" customHeight="1" x14ac:dyDescent="0.3">
      <c r="J1132" t="s">
        <v>55</v>
      </c>
      <c r="K1132" t="s">
        <v>10</v>
      </c>
      <c r="L1132" t="s">
        <v>69</v>
      </c>
      <c r="M1132" t="s">
        <v>59</v>
      </c>
      <c r="N1132">
        <v>113605</v>
      </c>
      <c r="O1132" t="s">
        <v>77</v>
      </c>
      <c r="P1132" t="s">
        <v>85</v>
      </c>
    </row>
    <row r="1133" spans="10:16" ht="0" hidden="1" customHeight="1" x14ac:dyDescent="0.3">
      <c r="J1133" t="s">
        <v>49</v>
      </c>
      <c r="K1133" t="s">
        <v>48</v>
      </c>
      <c r="L1133" t="s">
        <v>48</v>
      </c>
      <c r="M1133" t="s">
        <v>59</v>
      </c>
      <c r="N1133">
        <v>0</v>
      </c>
      <c r="O1133" t="s">
        <v>80</v>
      </c>
      <c r="P1133" t="s">
        <v>66</v>
      </c>
    </row>
    <row r="1134" spans="10:16" ht="0" hidden="1" customHeight="1" x14ac:dyDescent="0.3">
      <c r="J1134" t="s">
        <v>55</v>
      </c>
      <c r="K1134" t="s">
        <v>9</v>
      </c>
      <c r="L1134" t="s">
        <v>71</v>
      </c>
      <c r="M1134" t="s">
        <v>59</v>
      </c>
      <c r="N1134">
        <v>1980485</v>
      </c>
      <c r="O1134" t="s">
        <v>70</v>
      </c>
      <c r="P1134" t="s">
        <v>85</v>
      </c>
    </row>
    <row r="1135" spans="10:16" ht="0" hidden="1" customHeight="1" x14ac:dyDescent="0.3">
      <c r="J1135" t="s">
        <v>55</v>
      </c>
      <c r="K1135" t="s">
        <v>12</v>
      </c>
      <c r="L1135" t="s">
        <v>69</v>
      </c>
      <c r="M1135" t="s">
        <v>59</v>
      </c>
      <c r="N1135">
        <v>12956772</v>
      </c>
      <c r="O1135" t="s">
        <v>73</v>
      </c>
      <c r="P1135" t="s">
        <v>85</v>
      </c>
    </row>
    <row r="1136" spans="10:16" ht="0" hidden="1" customHeight="1" x14ac:dyDescent="0.3">
      <c r="J1136" t="s">
        <v>55</v>
      </c>
      <c r="K1136" t="s">
        <v>11</v>
      </c>
      <c r="L1136" t="s">
        <v>69</v>
      </c>
      <c r="M1136" t="s">
        <v>59</v>
      </c>
      <c r="N1136">
        <v>210990</v>
      </c>
      <c r="O1136" t="s">
        <v>73</v>
      </c>
      <c r="P1136" t="s">
        <v>85</v>
      </c>
    </row>
    <row r="1137" spans="10:16" ht="0" hidden="1" customHeight="1" x14ac:dyDescent="0.3">
      <c r="J1137" t="s">
        <v>55</v>
      </c>
      <c r="K1137" t="s">
        <v>13</v>
      </c>
      <c r="L1137" t="s">
        <v>72</v>
      </c>
      <c r="M1137" t="s">
        <v>59</v>
      </c>
      <c r="N1137">
        <v>2672943</v>
      </c>
      <c r="O1137" t="s">
        <v>70</v>
      </c>
      <c r="P1137" t="s">
        <v>85</v>
      </c>
    </row>
    <row r="1138" spans="10:16" ht="0" hidden="1" customHeight="1" x14ac:dyDescent="0.3">
      <c r="J1138" t="s">
        <v>55</v>
      </c>
      <c r="K1138" t="s">
        <v>9</v>
      </c>
      <c r="L1138" t="s">
        <v>58</v>
      </c>
      <c r="M1138" t="s">
        <v>59</v>
      </c>
      <c r="N1138">
        <v>584543171</v>
      </c>
      <c r="O1138" t="s">
        <v>63</v>
      </c>
      <c r="P1138" t="s">
        <v>85</v>
      </c>
    </row>
    <row r="1139" spans="10:16" ht="0" hidden="1" customHeight="1" x14ac:dyDescent="0.3">
      <c r="J1139" t="s">
        <v>55</v>
      </c>
      <c r="K1139" t="s">
        <v>13</v>
      </c>
      <c r="L1139" t="s">
        <v>58</v>
      </c>
      <c r="M1139" t="s">
        <v>59</v>
      </c>
      <c r="N1139">
        <v>587098</v>
      </c>
      <c r="P1139" t="s">
        <v>85</v>
      </c>
    </row>
    <row r="1140" spans="10:16" ht="0" hidden="1" customHeight="1" x14ac:dyDescent="0.3">
      <c r="J1140" t="s">
        <v>49</v>
      </c>
      <c r="K1140" t="s">
        <v>13</v>
      </c>
      <c r="L1140" t="s">
        <v>71</v>
      </c>
      <c r="M1140" t="s">
        <v>59</v>
      </c>
      <c r="N1140">
        <v>850227</v>
      </c>
      <c r="O1140" t="s">
        <v>77</v>
      </c>
      <c r="P1140" t="s">
        <v>85</v>
      </c>
    </row>
    <row r="1141" spans="10:16" ht="0" hidden="1" customHeight="1" x14ac:dyDescent="0.3">
      <c r="J1141" t="s">
        <v>49</v>
      </c>
      <c r="K1141" t="s">
        <v>10</v>
      </c>
      <c r="L1141" t="s">
        <v>71</v>
      </c>
      <c r="M1141" t="s">
        <v>59</v>
      </c>
      <c r="N1141">
        <v>387007770</v>
      </c>
      <c r="O1141" t="s">
        <v>63</v>
      </c>
      <c r="P1141" t="s">
        <v>85</v>
      </c>
    </row>
    <row r="1142" spans="10:16" ht="0" hidden="1" customHeight="1" x14ac:dyDescent="0.3">
      <c r="J1142" t="s">
        <v>55</v>
      </c>
      <c r="K1142" t="s">
        <v>14</v>
      </c>
      <c r="L1142" t="s">
        <v>69</v>
      </c>
      <c r="M1142" t="s">
        <v>59</v>
      </c>
      <c r="N1142">
        <v>1090841</v>
      </c>
      <c r="O1142" t="s">
        <v>60</v>
      </c>
      <c r="P1142" t="s">
        <v>85</v>
      </c>
    </row>
    <row r="1143" spans="10:16" ht="0" hidden="1" customHeight="1" x14ac:dyDescent="0.3">
      <c r="J1143" t="s">
        <v>49</v>
      </c>
      <c r="K1143" t="s">
        <v>13</v>
      </c>
      <c r="L1143" t="s">
        <v>72</v>
      </c>
      <c r="M1143" t="s">
        <v>59</v>
      </c>
      <c r="N1143">
        <v>470023</v>
      </c>
      <c r="O1143" t="s">
        <v>60</v>
      </c>
      <c r="P1143" t="s">
        <v>85</v>
      </c>
    </row>
    <row r="1144" spans="10:16" ht="0" hidden="1" customHeight="1" x14ac:dyDescent="0.3">
      <c r="J1144" t="s">
        <v>49</v>
      </c>
      <c r="K1144" t="s">
        <v>12</v>
      </c>
      <c r="L1144" t="s">
        <v>58</v>
      </c>
      <c r="M1144" t="s">
        <v>59</v>
      </c>
      <c r="N1144">
        <v>1872973</v>
      </c>
      <c r="O1144" t="s">
        <v>63</v>
      </c>
      <c r="P1144" t="s">
        <v>68</v>
      </c>
    </row>
    <row r="1145" spans="10:16" ht="0" hidden="1" customHeight="1" x14ac:dyDescent="0.3">
      <c r="J1145" t="s">
        <v>55</v>
      </c>
      <c r="K1145" t="s">
        <v>14</v>
      </c>
      <c r="L1145" t="s">
        <v>69</v>
      </c>
      <c r="M1145" t="s">
        <v>59</v>
      </c>
      <c r="N1145">
        <v>4448961</v>
      </c>
      <c r="O1145" t="s">
        <v>77</v>
      </c>
      <c r="P1145" t="s">
        <v>85</v>
      </c>
    </row>
    <row r="1146" spans="10:16" ht="0" hidden="1" customHeight="1" x14ac:dyDescent="0.3">
      <c r="J1146" t="s">
        <v>49</v>
      </c>
      <c r="K1146" t="s">
        <v>9</v>
      </c>
      <c r="L1146" t="s">
        <v>69</v>
      </c>
      <c r="M1146" t="s">
        <v>59</v>
      </c>
      <c r="N1146">
        <v>19645</v>
      </c>
      <c r="O1146" t="s">
        <v>67</v>
      </c>
      <c r="P1146" t="s">
        <v>85</v>
      </c>
    </row>
    <row r="1147" spans="10:16" ht="0" hidden="1" customHeight="1" x14ac:dyDescent="0.3">
      <c r="J1147" t="s">
        <v>55</v>
      </c>
      <c r="K1147" t="s">
        <v>11</v>
      </c>
      <c r="L1147" t="s">
        <v>71</v>
      </c>
      <c r="M1147" t="s">
        <v>59</v>
      </c>
      <c r="N1147">
        <v>917789623</v>
      </c>
      <c r="O1147" t="s">
        <v>60</v>
      </c>
      <c r="P1147" t="s">
        <v>85</v>
      </c>
    </row>
    <row r="1148" spans="10:16" ht="0" hidden="1" customHeight="1" x14ac:dyDescent="0.3">
      <c r="J1148" t="s">
        <v>49</v>
      </c>
      <c r="K1148" t="s">
        <v>11</v>
      </c>
      <c r="L1148" t="s">
        <v>58</v>
      </c>
      <c r="M1148" t="s">
        <v>59</v>
      </c>
      <c r="N1148">
        <v>7199633</v>
      </c>
      <c r="O1148" t="s">
        <v>76</v>
      </c>
      <c r="P1148" t="s">
        <v>85</v>
      </c>
    </row>
    <row r="1149" spans="10:16" ht="0" hidden="1" customHeight="1" x14ac:dyDescent="0.3">
      <c r="J1149" t="s">
        <v>55</v>
      </c>
      <c r="K1149" t="s">
        <v>8</v>
      </c>
      <c r="L1149" t="s">
        <v>58</v>
      </c>
      <c r="M1149" t="s">
        <v>59</v>
      </c>
      <c r="N1149">
        <v>365452785</v>
      </c>
      <c r="P1149" t="s">
        <v>85</v>
      </c>
    </row>
    <row r="1150" spans="10:16" ht="0" hidden="1" customHeight="1" x14ac:dyDescent="0.3">
      <c r="J1150" t="s">
        <v>49</v>
      </c>
      <c r="K1150" t="s">
        <v>12</v>
      </c>
      <c r="L1150" t="s">
        <v>58</v>
      </c>
      <c r="M1150" t="s">
        <v>59</v>
      </c>
      <c r="N1150">
        <v>4202515</v>
      </c>
      <c r="O1150" t="s">
        <v>63</v>
      </c>
      <c r="P1150" t="s">
        <v>85</v>
      </c>
    </row>
    <row r="1151" spans="10:16" ht="0" hidden="1" customHeight="1" x14ac:dyDescent="0.3">
      <c r="J1151" t="s">
        <v>49</v>
      </c>
      <c r="K1151" t="s">
        <v>13</v>
      </c>
      <c r="L1151" t="s">
        <v>69</v>
      </c>
      <c r="M1151" t="s">
        <v>59</v>
      </c>
      <c r="N1151">
        <v>5489264</v>
      </c>
      <c r="O1151" t="s">
        <v>77</v>
      </c>
      <c r="P1151" t="s">
        <v>85</v>
      </c>
    </row>
    <row r="1152" spans="10:16" ht="0" hidden="1" customHeight="1" x14ac:dyDescent="0.3">
      <c r="J1152" t="s">
        <v>55</v>
      </c>
      <c r="K1152" t="s">
        <v>10</v>
      </c>
      <c r="L1152" t="s">
        <v>69</v>
      </c>
      <c r="M1152" t="s">
        <v>59</v>
      </c>
      <c r="N1152">
        <v>100486</v>
      </c>
      <c r="O1152" t="s">
        <v>60</v>
      </c>
      <c r="P1152" t="s">
        <v>85</v>
      </c>
    </row>
    <row r="1153" spans="10:16" ht="0" hidden="1" customHeight="1" x14ac:dyDescent="0.3">
      <c r="J1153" t="s">
        <v>49</v>
      </c>
      <c r="K1153" t="s">
        <v>9</v>
      </c>
      <c r="L1153" t="s">
        <v>71</v>
      </c>
      <c r="M1153" t="s">
        <v>59</v>
      </c>
      <c r="N1153">
        <v>20153447</v>
      </c>
      <c r="O1153" t="s">
        <v>77</v>
      </c>
      <c r="P1153" t="s">
        <v>85</v>
      </c>
    </row>
    <row r="1154" spans="10:16" ht="0" hidden="1" customHeight="1" x14ac:dyDescent="0.3">
      <c r="J1154" t="s">
        <v>49</v>
      </c>
      <c r="K1154" t="s">
        <v>9</v>
      </c>
      <c r="L1154" t="s">
        <v>58</v>
      </c>
      <c r="M1154" t="s">
        <v>59</v>
      </c>
      <c r="N1154">
        <v>129261</v>
      </c>
      <c r="O1154" t="s">
        <v>63</v>
      </c>
      <c r="P1154" t="s">
        <v>66</v>
      </c>
    </row>
    <row r="1155" spans="10:16" ht="0" hidden="1" customHeight="1" x14ac:dyDescent="0.3">
      <c r="J1155" t="s">
        <v>49</v>
      </c>
      <c r="K1155" t="s">
        <v>11</v>
      </c>
      <c r="L1155" t="s">
        <v>71</v>
      </c>
      <c r="M1155" t="s">
        <v>59</v>
      </c>
      <c r="N1155">
        <v>53454497</v>
      </c>
      <c r="O1155" t="s">
        <v>60</v>
      </c>
      <c r="P1155" t="s">
        <v>85</v>
      </c>
    </row>
    <row r="1156" spans="10:16" ht="0" hidden="1" customHeight="1" x14ac:dyDescent="0.3">
      <c r="J1156" t="s">
        <v>55</v>
      </c>
      <c r="K1156" t="s">
        <v>11</v>
      </c>
      <c r="L1156" t="s">
        <v>71</v>
      </c>
      <c r="M1156" t="s">
        <v>59</v>
      </c>
      <c r="N1156">
        <v>461490080</v>
      </c>
      <c r="O1156" t="s">
        <v>67</v>
      </c>
      <c r="P1156" t="s">
        <v>85</v>
      </c>
    </row>
    <row r="1157" spans="10:16" ht="0" hidden="1" customHeight="1" x14ac:dyDescent="0.3">
      <c r="J1157" t="s">
        <v>49</v>
      </c>
      <c r="K1157" t="s">
        <v>14</v>
      </c>
      <c r="L1157" t="s">
        <v>69</v>
      </c>
      <c r="M1157" t="s">
        <v>59</v>
      </c>
      <c r="N1157">
        <v>486864</v>
      </c>
      <c r="O1157" t="s">
        <v>67</v>
      </c>
      <c r="P1157" t="s">
        <v>68</v>
      </c>
    </row>
    <row r="1158" spans="10:16" ht="0" hidden="1" customHeight="1" x14ac:dyDescent="0.3">
      <c r="J1158" t="s">
        <v>55</v>
      </c>
      <c r="K1158" t="s">
        <v>9</v>
      </c>
      <c r="L1158" t="s">
        <v>71</v>
      </c>
      <c r="M1158" t="s">
        <v>59</v>
      </c>
      <c r="N1158">
        <v>902260</v>
      </c>
      <c r="O1158" t="s">
        <v>77</v>
      </c>
      <c r="P1158" t="s">
        <v>85</v>
      </c>
    </row>
    <row r="1159" spans="10:16" ht="0" hidden="1" customHeight="1" x14ac:dyDescent="0.3">
      <c r="J1159" t="s">
        <v>49</v>
      </c>
      <c r="K1159" t="s">
        <v>10</v>
      </c>
      <c r="L1159" t="s">
        <v>58</v>
      </c>
      <c r="M1159" t="s">
        <v>59</v>
      </c>
      <c r="N1159">
        <v>4372396</v>
      </c>
      <c r="O1159" t="s">
        <v>67</v>
      </c>
      <c r="P1159" t="s">
        <v>68</v>
      </c>
    </row>
    <row r="1160" spans="10:16" ht="0" hidden="1" customHeight="1" x14ac:dyDescent="0.3">
      <c r="J1160" t="s">
        <v>49</v>
      </c>
      <c r="K1160" t="s">
        <v>8</v>
      </c>
      <c r="L1160" t="s">
        <v>79</v>
      </c>
      <c r="M1160" t="s">
        <v>59</v>
      </c>
      <c r="N1160">
        <v>352889</v>
      </c>
      <c r="O1160" t="s">
        <v>60</v>
      </c>
      <c r="P1160" t="s">
        <v>85</v>
      </c>
    </row>
    <row r="1161" spans="10:16" ht="0" hidden="1" customHeight="1" x14ac:dyDescent="0.3">
      <c r="J1161" t="s">
        <v>49</v>
      </c>
      <c r="K1161" t="s">
        <v>10</v>
      </c>
      <c r="L1161" t="s">
        <v>58</v>
      </c>
      <c r="M1161" t="s">
        <v>59</v>
      </c>
      <c r="N1161">
        <v>17950</v>
      </c>
      <c r="O1161" t="s">
        <v>70</v>
      </c>
      <c r="P1161" t="s">
        <v>66</v>
      </c>
    </row>
    <row r="1162" spans="10:16" ht="0" hidden="1" customHeight="1" x14ac:dyDescent="0.3">
      <c r="J1162" t="s">
        <v>55</v>
      </c>
      <c r="K1162" t="s">
        <v>14</v>
      </c>
      <c r="L1162" t="s">
        <v>69</v>
      </c>
      <c r="M1162" t="s">
        <v>59</v>
      </c>
      <c r="N1162">
        <v>16512521</v>
      </c>
      <c r="O1162" t="s">
        <v>63</v>
      </c>
      <c r="P1162" t="s">
        <v>85</v>
      </c>
    </row>
    <row r="1163" spans="10:16" ht="0" hidden="1" customHeight="1" x14ac:dyDescent="0.3">
      <c r="J1163" t="s">
        <v>49</v>
      </c>
      <c r="K1163" t="s">
        <v>10</v>
      </c>
      <c r="L1163" t="s">
        <v>71</v>
      </c>
      <c r="M1163" t="s">
        <v>59</v>
      </c>
      <c r="N1163">
        <v>32664156</v>
      </c>
      <c r="O1163" t="s">
        <v>77</v>
      </c>
      <c r="P1163" t="s">
        <v>85</v>
      </c>
    </row>
    <row r="1164" spans="10:16" ht="0" hidden="1" customHeight="1" x14ac:dyDescent="0.3">
      <c r="J1164" t="s">
        <v>56</v>
      </c>
      <c r="K1164" t="s">
        <v>10</v>
      </c>
      <c r="L1164" t="s">
        <v>71</v>
      </c>
      <c r="M1164" t="s">
        <v>59</v>
      </c>
      <c r="N1164">
        <v>25704</v>
      </c>
      <c r="O1164" t="s">
        <v>63</v>
      </c>
      <c r="P1164" t="s">
        <v>83</v>
      </c>
    </row>
    <row r="1165" spans="10:16" ht="0" hidden="1" customHeight="1" x14ac:dyDescent="0.3">
      <c r="J1165" t="s">
        <v>56</v>
      </c>
      <c r="K1165" t="s">
        <v>12</v>
      </c>
      <c r="L1165" t="s">
        <v>72</v>
      </c>
      <c r="M1165" t="s">
        <v>59</v>
      </c>
      <c r="N1165">
        <v>263865</v>
      </c>
      <c r="O1165" t="s">
        <v>67</v>
      </c>
      <c r="P1165" t="s">
        <v>83</v>
      </c>
    </row>
    <row r="1166" spans="10:16" ht="0" hidden="1" customHeight="1" x14ac:dyDescent="0.3">
      <c r="J1166" t="s">
        <v>56</v>
      </c>
      <c r="K1166" t="s">
        <v>9</v>
      </c>
      <c r="L1166" t="s">
        <v>71</v>
      </c>
      <c r="M1166" t="s">
        <v>59</v>
      </c>
      <c r="N1166">
        <v>127722</v>
      </c>
      <c r="O1166" t="s">
        <v>60</v>
      </c>
      <c r="P1166" t="s">
        <v>61</v>
      </c>
    </row>
    <row r="1167" spans="10:16" ht="0" hidden="1" customHeight="1" x14ac:dyDescent="0.3">
      <c r="J1167" t="s">
        <v>56</v>
      </c>
      <c r="K1167" t="s">
        <v>10</v>
      </c>
      <c r="L1167" t="s">
        <v>58</v>
      </c>
      <c r="M1167" t="s">
        <v>59</v>
      </c>
      <c r="N1167">
        <v>584472</v>
      </c>
      <c r="O1167" t="s">
        <v>60</v>
      </c>
      <c r="P1167" t="s">
        <v>61</v>
      </c>
    </row>
    <row r="1168" spans="10:16" ht="0" hidden="1" customHeight="1" x14ac:dyDescent="0.3">
      <c r="J1168" t="s">
        <v>56</v>
      </c>
      <c r="K1168" t="s">
        <v>10</v>
      </c>
      <c r="L1168" t="s">
        <v>72</v>
      </c>
      <c r="M1168" t="s">
        <v>59</v>
      </c>
      <c r="N1168">
        <v>44262</v>
      </c>
      <c r="O1168" t="s">
        <v>60</v>
      </c>
      <c r="P1168" t="s">
        <v>61</v>
      </c>
    </row>
    <row r="1169" spans="10:16" ht="0" hidden="1" customHeight="1" x14ac:dyDescent="0.3">
      <c r="J1169" t="s">
        <v>56</v>
      </c>
      <c r="K1169" t="s">
        <v>8</v>
      </c>
      <c r="L1169" t="s">
        <v>58</v>
      </c>
      <c r="M1169" t="s">
        <v>59</v>
      </c>
      <c r="N1169">
        <v>1105077</v>
      </c>
      <c r="O1169" t="s">
        <v>63</v>
      </c>
      <c r="P1169" t="s">
        <v>64</v>
      </c>
    </row>
    <row r="1170" spans="10:16" ht="0" hidden="1" customHeight="1" x14ac:dyDescent="0.3">
      <c r="J1170" t="s">
        <v>55</v>
      </c>
      <c r="K1170" t="s">
        <v>12</v>
      </c>
      <c r="L1170" t="s">
        <v>71</v>
      </c>
      <c r="M1170" t="s">
        <v>59</v>
      </c>
      <c r="N1170">
        <v>269442543</v>
      </c>
      <c r="O1170" t="s">
        <v>77</v>
      </c>
      <c r="P1170" t="s">
        <v>85</v>
      </c>
    </row>
    <row r="1171" spans="10:16" ht="0" hidden="1" customHeight="1" x14ac:dyDescent="0.3">
      <c r="J1171" t="s">
        <v>55</v>
      </c>
      <c r="K1171" t="s">
        <v>10</v>
      </c>
      <c r="L1171" t="s">
        <v>58</v>
      </c>
      <c r="M1171" t="s">
        <v>59</v>
      </c>
      <c r="N1171">
        <v>870914668</v>
      </c>
      <c r="P1171" t="s">
        <v>85</v>
      </c>
    </row>
    <row r="1172" spans="10:16" ht="0" hidden="1" customHeight="1" x14ac:dyDescent="0.3">
      <c r="J1172" t="s">
        <v>49</v>
      </c>
      <c r="K1172" t="s">
        <v>10</v>
      </c>
      <c r="L1172" t="s">
        <v>58</v>
      </c>
      <c r="M1172" t="s">
        <v>59</v>
      </c>
      <c r="N1172">
        <v>224900</v>
      </c>
      <c r="O1172" t="s">
        <v>67</v>
      </c>
      <c r="P1172" t="s">
        <v>66</v>
      </c>
    </row>
    <row r="1173" spans="10:16" ht="0" hidden="1" customHeight="1" x14ac:dyDescent="0.3">
      <c r="J1173" t="s">
        <v>49</v>
      </c>
      <c r="K1173" t="s">
        <v>9</v>
      </c>
      <c r="L1173" t="s">
        <v>58</v>
      </c>
      <c r="M1173" t="s">
        <v>59</v>
      </c>
      <c r="N1173">
        <v>125044</v>
      </c>
      <c r="O1173" t="s">
        <v>76</v>
      </c>
      <c r="P1173" t="s">
        <v>85</v>
      </c>
    </row>
    <row r="1174" spans="10:16" ht="0" hidden="1" customHeight="1" x14ac:dyDescent="0.3">
      <c r="J1174" t="s">
        <v>55</v>
      </c>
      <c r="K1174" t="s">
        <v>13</v>
      </c>
      <c r="L1174" t="s">
        <v>58</v>
      </c>
      <c r="M1174" t="s">
        <v>59</v>
      </c>
      <c r="N1174">
        <v>977826</v>
      </c>
      <c r="O1174" t="s">
        <v>60</v>
      </c>
      <c r="P1174" t="s">
        <v>85</v>
      </c>
    </row>
    <row r="1175" spans="10:16" ht="0" hidden="1" customHeight="1" x14ac:dyDescent="0.3">
      <c r="J1175" t="s">
        <v>49</v>
      </c>
      <c r="K1175" t="s">
        <v>14</v>
      </c>
      <c r="L1175" t="s">
        <v>72</v>
      </c>
      <c r="M1175" t="s">
        <v>59</v>
      </c>
      <c r="N1175">
        <v>218311</v>
      </c>
      <c r="O1175" t="s">
        <v>77</v>
      </c>
      <c r="P1175" t="s">
        <v>85</v>
      </c>
    </row>
    <row r="1176" spans="10:16" ht="0" hidden="1" customHeight="1" x14ac:dyDescent="0.3">
      <c r="J1176" t="s">
        <v>55</v>
      </c>
      <c r="K1176" t="s">
        <v>9</v>
      </c>
      <c r="L1176" t="s">
        <v>71</v>
      </c>
      <c r="M1176" t="s">
        <v>59</v>
      </c>
      <c r="N1176">
        <v>3406442</v>
      </c>
      <c r="O1176" t="s">
        <v>60</v>
      </c>
      <c r="P1176" t="s">
        <v>85</v>
      </c>
    </row>
    <row r="1177" spans="10:16" ht="0" hidden="1" customHeight="1" x14ac:dyDescent="0.3">
      <c r="J1177" t="s">
        <v>55</v>
      </c>
      <c r="K1177" t="s">
        <v>13</v>
      </c>
      <c r="L1177" t="s">
        <v>65</v>
      </c>
      <c r="M1177" t="s">
        <v>59</v>
      </c>
      <c r="N1177">
        <v>372623</v>
      </c>
      <c r="O1177" t="s">
        <v>63</v>
      </c>
      <c r="P1177" t="s">
        <v>85</v>
      </c>
    </row>
    <row r="1178" spans="10:16" ht="0" hidden="1" customHeight="1" x14ac:dyDescent="0.3">
      <c r="J1178" t="s">
        <v>55</v>
      </c>
      <c r="K1178" t="s">
        <v>14</v>
      </c>
      <c r="L1178" t="s">
        <v>69</v>
      </c>
      <c r="M1178" t="s">
        <v>59</v>
      </c>
      <c r="N1178">
        <v>31978990</v>
      </c>
      <c r="O1178" t="s">
        <v>67</v>
      </c>
      <c r="P1178" t="s">
        <v>85</v>
      </c>
    </row>
    <row r="1179" spans="10:16" ht="0" hidden="1" customHeight="1" x14ac:dyDescent="0.3">
      <c r="J1179" t="s">
        <v>49</v>
      </c>
      <c r="K1179" t="s">
        <v>12</v>
      </c>
      <c r="L1179" t="s">
        <v>71</v>
      </c>
      <c r="M1179" t="s">
        <v>59</v>
      </c>
      <c r="N1179">
        <v>59040476</v>
      </c>
      <c r="O1179" t="s">
        <v>67</v>
      </c>
      <c r="P1179" t="s">
        <v>85</v>
      </c>
    </row>
    <row r="1180" spans="10:16" ht="0" hidden="1" customHeight="1" x14ac:dyDescent="0.3">
      <c r="J1180" t="s">
        <v>55</v>
      </c>
      <c r="K1180" t="s">
        <v>12</v>
      </c>
      <c r="L1180" t="s">
        <v>71</v>
      </c>
      <c r="M1180" t="s">
        <v>59</v>
      </c>
      <c r="N1180">
        <v>737960169</v>
      </c>
      <c r="O1180" t="s">
        <v>63</v>
      </c>
      <c r="P1180" t="s">
        <v>85</v>
      </c>
    </row>
    <row r="1181" spans="10:16" ht="0" hidden="1" customHeight="1" x14ac:dyDescent="0.3">
      <c r="J1181" t="s">
        <v>55</v>
      </c>
      <c r="K1181" t="s">
        <v>11</v>
      </c>
      <c r="L1181" t="s">
        <v>58</v>
      </c>
      <c r="M1181" t="s">
        <v>59</v>
      </c>
      <c r="N1181">
        <v>452343357</v>
      </c>
      <c r="O1181" t="s">
        <v>67</v>
      </c>
      <c r="P1181" t="s">
        <v>85</v>
      </c>
    </row>
    <row r="1182" spans="10:16" ht="0" hidden="1" customHeight="1" x14ac:dyDescent="0.3">
      <c r="J1182" t="s">
        <v>49</v>
      </c>
      <c r="K1182" t="s">
        <v>11</v>
      </c>
      <c r="L1182" t="s">
        <v>58</v>
      </c>
      <c r="M1182" t="s">
        <v>59</v>
      </c>
      <c r="N1182">
        <v>50344854</v>
      </c>
      <c r="O1182" t="s">
        <v>63</v>
      </c>
      <c r="P1182" t="s">
        <v>85</v>
      </c>
    </row>
    <row r="1183" spans="10:16" ht="0" hidden="1" customHeight="1" x14ac:dyDescent="0.3">
      <c r="J1183" t="s">
        <v>55</v>
      </c>
      <c r="K1183" t="s">
        <v>13</v>
      </c>
      <c r="L1183" t="s">
        <v>72</v>
      </c>
      <c r="M1183" t="s">
        <v>59</v>
      </c>
      <c r="N1183">
        <v>14779569</v>
      </c>
      <c r="P1183" t="s">
        <v>85</v>
      </c>
    </row>
    <row r="1184" spans="10:16" ht="0" hidden="1" customHeight="1" x14ac:dyDescent="0.3">
      <c r="J1184" t="s">
        <v>49</v>
      </c>
      <c r="K1184" t="s">
        <v>9</v>
      </c>
      <c r="L1184" t="s">
        <v>58</v>
      </c>
      <c r="M1184" t="s">
        <v>59</v>
      </c>
      <c r="N1184">
        <v>186253</v>
      </c>
      <c r="O1184" t="s">
        <v>67</v>
      </c>
      <c r="P1184" t="s">
        <v>66</v>
      </c>
    </row>
    <row r="1185" spans="10:16" ht="0" hidden="1" customHeight="1" x14ac:dyDescent="0.3">
      <c r="J1185" t="s">
        <v>49</v>
      </c>
      <c r="K1185" t="s">
        <v>10</v>
      </c>
      <c r="L1185" t="s">
        <v>58</v>
      </c>
      <c r="M1185" t="s">
        <v>59</v>
      </c>
      <c r="N1185">
        <v>385266870</v>
      </c>
      <c r="O1185" t="s">
        <v>63</v>
      </c>
      <c r="P1185" t="s">
        <v>85</v>
      </c>
    </row>
    <row r="1186" spans="10:16" ht="0" hidden="1" customHeight="1" x14ac:dyDescent="0.3">
      <c r="J1186" t="s">
        <v>55</v>
      </c>
      <c r="K1186" t="s">
        <v>14</v>
      </c>
      <c r="L1186" t="s">
        <v>72</v>
      </c>
      <c r="M1186" t="s">
        <v>59</v>
      </c>
      <c r="N1186">
        <v>2342176</v>
      </c>
      <c r="O1186" t="s">
        <v>67</v>
      </c>
      <c r="P1186" t="s">
        <v>85</v>
      </c>
    </row>
    <row r="1187" spans="10:16" ht="0" hidden="1" customHeight="1" x14ac:dyDescent="0.3">
      <c r="J1187" t="s">
        <v>49</v>
      </c>
      <c r="K1187" t="s">
        <v>12</v>
      </c>
      <c r="L1187" t="s">
        <v>71</v>
      </c>
      <c r="M1187" t="s">
        <v>59</v>
      </c>
      <c r="N1187">
        <v>2277173</v>
      </c>
      <c r="O1187" t="s">
        <v>63</v>
      </c>
      <c r="P1187" t="s">
        <v>68</v>
      </c>
    </row>
    <row r="1188" spans="10:16" ht="0" hidden="1" customHeight="1" x14ac:dyDescent="0.3">
      <c r="J1188" t="s">
        <v>49</v>
      </c>
      <c r="K1188" t="s">
        <v>11</v>
      </c>
      <c r="L1188" t="s">
        <v>58</v>
      </c>
      <c r="M1188" t="s">
        <v>59</v>
      </c>
      <c r="N1188">
        <v>23079</v>
      </c>
      <c r="O1188" t="s">
        <v>67</v>
      </c>
      <c r="P1188" t="s">
        <v>66</v>
      </c>
    </row>
    <row r="1189" spans="10:16" ht="0" hidden="1" customHeight="1" x14ac:dyDescent="0.3">
      <c r="J1189" t="s">
        <v>55</v>
      </c>
      <c r="K1189" t="s">
        <v>12</v>
      </c>
      <c r="L1189" t="s">
        <v>58</v>
      </c>
      <c r="M1189" t="s">
        <v>59</v>
      </c>
      <c r="N1189">
        <v>13754328</v>
      </c>
      <c r="O1189" t="s">
        <v>67</v>
      </c>
      <c r="P1189" t="s">
        <v>85</v>
      </c>
    </row>
    <row r="1190" spans="10:16" ht="0" hidden="1" customHeight="1" x14ac:dyDescent="0.3">
      <c r="J1190" t="s">
        <v>49</v>
      </c>
      <c r="K1190" t="s">
        <v>11</v>
      </c>
      <c r="L1190" t="s">
        <v>71</v>
      </c>
      <c r="M1190" t="s">
        <v>59</v>
      </c>
      <c r="N1190">
        <v>1433619</v>
      </c>
      <c r="O1190" t="s">
        <v>63</v>
      </c>
      <c r="P1190" t="s">
        <v>68</v>
      </c>
    </row>
    <row r="1191" spans="10:16" ht="0" hidden="1" customHeight="1" x14ac:dyDescent="0.3">
      <c r="J1191" t="s">
        <v>49</v>
      </c>
      <c r="K1191" t="s">
        <v>9</v>
      </c>
      <c r="L1191" t="s">
        <v>69</v>
      </c>
      <c r="M1191" t="s">
        <v>59</v>
      </c>
      <c r="N1191">
        <v>54146</v>
      </c>
      <c r="O1191" t="s">
        <v>63</v>
      </c>
      <c r="P1191" t="s">
        <v>85</v>
      </c>
    </row>
    <row r="1192" spans="10:16" ht="0" hidden="1" customHeight="1" x14ac:dyDescent="0.3">
      <c r="J1192" t="s">
        <v>49</v>
      </c>
      <c r="K1192" t="s">
        <v>9</v>
      </c>
      <c r="L1192" t="s">
        <v>58</v>
      </c>
      <c r="M1192" t="s">
        <v>59</v>
      </c>
      <c r="N1192">
        <v>22298064</v>
      </c>
      <c r="O1192" t="s">
        <v>60</v>
      </c>
      <c r="P1192" t="s">
        <v>85</v>
      </c>
    </row>
    <row r="1193" spans="10:16" ht="0" hidden="1" customHeight="1" x14ac:dyDescent="0.3">
      <c r="J1193" t="s">
        <v>49</v>
      </c>
      <c r="K1193" t="s">
        <v>9</v>
      </c>
      <c r="L1193" t="s">
        <v>65</v>
      </c>
      <c r="M1193" t="s">
        <v>59</v>
      </c>
      <c r="N1193">
        <v>21555</v>
      </c>
      <c r="O1193" t="s">
        <v>60</v>
      </c>
      <c r="P1193" t="s">
        <v>85</v>
      </c>
    </row>
    <row r="1194" spans="10:16" ht="0" hidden="1" customHeight="1" x14ac:dyDescent="0.3">
      <c r="J1194" t="s">
        <v>55</v>
      </c>
      <c r="K1194" t="s">
        <v>10</v>
      </c>
      <c r="L1194" t="s">
        <v>71</v>
      </c>
      <c r="M1194" t="s">
        <v>59</v>
      </c>
      <c r="N1194">
        <v>19106960</v>
      </c>
      <c r="O1194" t="s">
        <v>77</v>
      </c>
      <c r="P1194" t="s">
        <v>85</v>
      </c>
    </row>
    <row r="1195" spans="10:16" ht="0" hidden="1" customHeight="1" x14ac:dyDescent="0.3">
      <c r="J1195" t="s">
        <v>49</v>
      </c>
      <c r="K1195" t="s">
        <v>8</v>
      </c>
      <c r="L1195" t="s">
        <v>72</v>
      </c>
      <c r="M1195" t="s">
        <v>59</v>
      </c>
      <c r="N1195">
        <v>22623</v>
      </c>
      <c r="O1195" t="s">
        <v>63</v>
      </c>
      <c r="P1195" t="s">
        <v>85</v>
      </c>
    </row>
    <row r="1196" spans="10:16" ht="0" hidden="1" customHeight="1" x14ac:dyDescent="0.3">
      <c r="J1196" t="s">
        <v>55</v>
      </c>
      <c r="K1196" t="s">
        <v>10</v>
      </c>
      <c r="L1196" t="s">
        <v>71</v>
      </c>
      <c r="M1196" t="s">
        <v>59</v>
      </c>
      <c r="N1196">
        <v>36399744</v>
      </c>
      <c r="O1196" t="s">
        <v>63</v>
      </c>
      <c r="P1196" t="s">
        <v>85</v>
      </c>
    </row>
    <row r="1197" spans="10:16" ht="0" hidden="1" customHeight="1" x14ac:dyDescent="0.3">
      <c r="J1197" t="s">
        <v>55</v>
      </c>
      <c r="K1197" t="s">
        <v>11</v>
      </c>
      <c r="L1197" t="s">
        <v>69</v>
      </c>
      <c r="M1197" t="s">
        <v>59</v>
      </c>
      <c r="N1197">
        <v>186088</v>
      </c>
      <c r="O1197" t="s">
        <v>67</v>
      </c>
      <c r="P1197" t="s">
        <v>85</v>
      </c>
    </row>
    <row r="1198" spans="10:16" ht="0" hidden="1" customHeight="1" x14ac:dyDescent="0.3">
      <c r="J1198" t="s">
        <v>49</v>
      </c>
      <c r="K1198" t="s">
        <v>8</v>
      </c>
      <c r="L1198" t="s">
        <v>71</v>
      </c>
      <c r="M1198" t="s">
        <v>59</v>
      </c>
      <c r="N1198">
        <v>1143690</v>
      </c>
      <c r="O1198" t="s">
        <v>63</v>
      </c>
      <c r="P1198" t="s">
        <v>85</v>
      </c>
    </row>
    <row r="1199" spans="10:16" ht="0" hidden="1" customHeight="1" x14ac:dyDescent="0.3">
      <c r="J1199" t="s">
        <v>55</v>
      </c>
      <c r="K1199" t="s">
        <v>13</v>
      </c>
      <c r="L1199" t="s">
        <v>58</v>
      </c>
      <c r="M1199" t="s">
        <v>59</v>
      </c>
      <c r="N1199">
        <v>558559</v>
      </c>
      <c r="O1199" t="s">
        <v>77</v>
      </c>
      <c r="P1199" t="s">
        <v>85</v>
      </c>
    </row>
    <row r="1200" spans="10:16" ht="0" hidden="1" customHeight="1" x14ac:dyDescent="0.3">
      <c r="J1200" t="s">
        <v>55</v>
      </c>
      <c r="K1200" t="s">
        <v>11</v>
      </c>
      <c r="L1200" t="s">
        <v>58</v>
      </c>
      <c r="M1200" t="s">
        <v>59</v>
      </c>
      <c r="N1200">
        <v>5185180</v>
      </c>
      <c r="O1200" t="s">
        <v>76</v>
      </c>
      <c r="P1200" t="s">
        <v>85</v>
      </c>
    </row>
    <row r="1201" spans="10:16" ht="0" hidden="1" customHeight="1" x14ac:dyDescent="0.3">
      <c r="J1201" t="s">
        <v>55</v>
      </c>
      <c r="K1201" t="s">
        <v>10</v>
      </c>
      <c r="L1201" t="s">
        <v>71</v>
      </c>
      <c r="M1201" t="s">
        <v>59</v>
      </c>
      <c r="N1201">
        <v>17531887</v>
      </c>
      <c r="O1201" t="s">
        <v>70</v>
      </c>
      <c r="P1201" t="s">
        <v>85</v>
      </c>
    </row>
    <row r="1202" spans="10:16" ht="0" hidden="1" customHeight="1" x14ac:dyDescent="0.3">
      <c r="J1202" t="s">
        <v>55</v>
      </c>
      <c r="K1202" t="s">
        <v>12</v>
      </c>
      <c r="L1202" t="s">
        <v>58</v>
      </c>
      <c r="M1202" t="s">
        <v>59</v>
      </c>
      <c r="N1202">
        <v>9503172</v>
      </c>
      <c r="O1202" t="s">
        <v>77</v>
      </c>
      <c r="P1202" t="s">
        <v>85</v>
      </c>
    </row>
    <row r="1203" spans="10:16" ht="0" hidden="1" customHeight="1" x14ac:dyDescent="0.3">
      <c r="J1203" t="s">
        <v>49</v>
      </c>
      <c r="K1203" t="s">
        <v>14</v>
      </c>
      <c r="L1203" t="s">
        <v>69</v>
      </c>
      <c r="M1203" t="s">
        <v>59</v>
      </c>
      <c r="N1203">
        <v>4020110</v>
      </c>
      <c r="O1203" t="s">
        <v>77</v>
      </c>
      <c r="P1203" t="s">
        <v>85</v>
      </c>
    </row>
    <row r="1204" spans="10:16" ht="0" hidden="1" customHeight="1" x14ac:dyDescent="0.3">
      <c r="J1204" t="s">
        <v>55</v>
      </c>
      <c r="K1204" t="s">
        <v>13</v>
      </c>
      <c r="L1204" t="s">
        <v>71</v>
      </c>
      <c r="M1204" t="s">
        <v>59</v>
      </c>
      <c r="N1204">
        <v>71843637</v>
      </c>
      <c r="O1204" t="s">
        <v>60</v>
      </c>
      <c r="P1204" t="s">
        <v>85</v>
      </c>
    </row>
    <row r="1205" spans="10:16" ht="0" hidden="1" customHeight="1" x14ac:dyDescent="0.3">
      <c r="J1205" t="s">
        <v>55</v>
      </c>
      <c r="K1205" t="s">
        <v>13</v>
      </c>
      <c r="L1205" t="s">
        <v>69</v>
      </c>
      <c r="M1205" t="s">
        <v>59</v>
      </c>
      <c r="N1205">
        <v>122980270</v>
      </c>
      <c r="P1205" t="s">
        <v>85</v>
      </c>
    </row>
    <row r="1206" spans="10:16" ht="0" hidden="1" customHeight="1" x14ac:dyDescent="0.3">
      <c r="J1206" t="s">
        <v>56</v>
      </c>
      <c r="K1206" t="s">
        <v>9</v>
      </c>
      <c r="L1206" t="s">
        <v>58</v>
      </c>
      <c r="M1206" t="s">
        <v>59</v>
      </c>
      <c r="N1206">
        <v>49334</v>
      </c>
      <c r="O1206" t="s">
        <v>60</v>
      </c>
      <c r="P1206" t="s">
        <v>61</v>
      </c>
    </row>
    <row r="1207" spans="10:16" ht="0" hidden="1" customHeight="1" x14ac:dyDescent="0.3">
      <c r="J1207" t="s">
        <v>56</v>
      </c>
      <c r="K1207" t="s">
        <v>10</v>
      </c>
      <c r="L1207" t="s">
        <v>71</v>
      </c>
      <c r="M1207" t="s">
        <v>59</v>
      </c>
      <c r="N1207">
        <v>39594</v>
      </c>
      <c r="O1207" t="s">
        <v>76</v>
      </c>
      <c r="P1207" t="s">
        <v>83</v>
      </c>
    </row>
    <row r="1208" spans="10:16" ht="0" hidden="1" customHeight="1" x14ac:dyDescent="0.3">
      <c r="J1208" t="s">
        <v>56</v>
      </c>
      <c r="K1208" t="s">
        <v>9</v>
      </c>
      <c r="L1208" t="s">
        <v>71</v>
      </c>
      <c r="M1208" t="s">
        <v>59</v>
      </c>
      <c r="N1208">
        <v>21117</v>
      </c>
      <c r="O1208" t="s">
        <v>77</v>
      </c>
      <c r="P1208" t="s">
        <v>61</v>
      </c>
    </row>
    <row r="1209" spans="10:16" ht="0" hidden="1" customHeight="1" x14ac:dyDescent="0.3">
      <c r="J1209" t="s">
        <v>56</v>
      </c>
      <c r="K1209" t="s">
        <v>13</v>
      </c>
      <c r="L1209" t="s">
        <v>71</v>
      </c>
      <c r="M1209" t="s">
        <v>59</v>
      </c>
      <c r="N1209">
        <v>238792</v>
      </c>
      <c r="O1209" t="s">
        <v>60</v>
      </c>
      <c r="P1209" t="s">
        <v>64</v>
      </c>
    </row>
    <row r="1210" spans="10:16" ht="0" hidden="1" customHeight="1" x14ac:dyDescent="0.3">
      <c r="J1210" t="s">
        <v>56</v>
      </c>
      <c r="K1210" t="s">
        <v>10</v>
      </c>
      <c r="L1210" t="s">
        <v>71</v>
      </c>
      <c r="M1210" t="s">
        <v>59</v>
      </c>
      <c r="N1210">
        <v>1561811</v>
      </c>
      <c r="O1210" t="s">
        <v>67</v>
      </c>
      <c r="P1210" t="s">
        <v>61</v>
      </c>
    </row>
    <row r="1211" spans="10:16" ht="0" hidden="1" customHeight="1" x14ac:dyDescent="0.3">
      <c r="J1211" t="s">
        <v>56</v>
      </c>
      <c r="K1211" t="s">
        <v>10</v>
      </c>
      <c r="L1211" t="s">
        <v>71</v>
      </c>
      <c r="M1211" t="s">
        <v>59</v>
      </c>
      <c r="N1211">
        <v>46378</v>
      </c>
      <c r="O1211" t="s">
        <v>77</v>
      </c>
      <c r="P1211" t="s">
        <v>61</v>
      </c>
    </row>
    <row r="1212" spans="10:16" ht="0" hidden="1" customHeight="1" x14ac:dyDescent="0.3">
      <c r="J1212" t="s">
        <v>56</v>
      </c>
      <c r="K1212" t="s">
        <v>9</v>
      </c>
      <c r="L1212" t="s">
        <v>71</v>
      </c>
      <c r="M1212" t="s">
        <v>59</v>
      </c>
      <c r="N1212">
        <v>61700</v>
      </c>
      <c r="O1212" t="s">
        <v>67</v>
      </c>
      <c r="P1212" t="s">
        <v>64</v>
      </c>
    </row>
    <row r="1213" spans="10:16" ht="0" hidden="1" customHeight="1" x14ac:dyDescent="0.3">
      <c r="J1213" t="s">
        <v>56</v>
      </c>
      <c r="K1213" t="s">
        <v>9</v>
      </c>
      <c r="L1213" t="s">
        <v>71</v>
      </c>
      <c r="M1213" t="s">
        <v>59</v>
      </c>
      <c r="N1213">
        <v>589682</v>
      </c>
      <c r="O1213" t="s">
        <v>63</v>
      </c>
      <c r="P1213" t="s">
        <v>61</v>
      </c>
    </row>
    <row r="1214" spans="10:16" ht="0" hidden="1" customHeight="1" x14ac:dyDescent="0.3">
      <c r="J1214" t="s">
        <v>56</v>
      </c>
      <c r="K1214" t="s">
        <v>12</v>
      </c>
      <c r="L1214" t="s">
        <v>69</v>
      </c>
      <c r="M1214" t="s">
        <v>59</v>
      </c>
      <c r="N1214">
        <v>46300</v>
      </c>
      <c r="O1214" t="s">
        <v>60</v>
      </c>
      <c r="P1214" t="s">
        <v>64</v>
      </c>
    </row>
    <row r="1215" spans="10:16" ht="0" hidden="1" customHeight="1" x14ac:dyDescent="0.3">
      <c r="J1215" t="s">
        <v>49</v>
      </c>
      <c r="K1215" t="s">
        <v>48</v>
      </c>
      <c r="L1215" t="s">
        <v>48</v>
      </c>
      <c r="M1215" t="s">
        <v>59</v>
      </c>
      <c r="N1215">
        <v>13260064</v>
      </c>
      <c r="O1215" t="s">
        <v>80</v>
      </c>
      <c r="P1215" t="s">
        <v>85</v>
      </c>
    </row>
    <row r="1216" spans="10:16" ht="0" hidden="1" customHeight="1" x14ac:dyDescent="0.3">
      <c r="J1216" t="s">
        <v>49</v>
      </c>
      <c r="K1216" t="s">
        <v>14</v>
      </c>
      <c r="L1216" t="s">
        <v>65</v>
      </c>
      <c r="M1216" t="s">
        <v>59</v>
      </c>
      <c r="N1216">
        <v>10</v>
      </c>
      <c r="O1216" t="s">
        <v>60</v>
      </c>
      <c r="P1216" t="s">
        <v>85</v>
      </c>
    </row>
    <row r="1217" spans="10:16" ht="0" hidden="1" customHeight="1" x14ac:dyDescent="0.3">
      <c r="J1217" t="s">
        <v>55</v>
      </c>
      <c r="K1217" t="s">
        <v>8</v>
      </c>
      <c r="L1217" t="s">
        <v>58</v>
      </c>
      <c r="M1217" t="s">
        <v>59</v>
      </c>
      <c r="N1217">
        <v>87384607</v>
      </c>
      <c r="O1217" t="s">
        <v>77</v>
      </c>
      <c r="P1217" t="s">
        <v>85</v>
      </c>
    </row>
    <row r="1218" spans="10:16" ht="0" hidden="1" customHeight="1" x14ac:dyDescent="0.3">
      <c r="J1218" t="s">
        <v>49</v>
      </c>
      <c r="K1218" t="s">
        <v>11</v>
      </c>
      <c r="L1218" t="s">
        <v>71</v>
      </c>
      <c r="M1218" t="s">
        <v>59</v>
      </c>
      <c r="N1218">
        <v>23704507</v>
      </c>
      <c r="O1218" t="s">
        <v>70</v>
      </c>
      <c r="P1218" t="s">
        <v>85</v>
      </c>
    </row>
    <row r="1219" spans="10:16" ht="0" hidden="1" customHeight="1" x14ac:dyDescent="0.3">
      <c r="J1219" t="s">
        <v>55</v>
      </c>
      <c r="K1219" t="s">
        <v>11</v>
      </c>
      <c r="L1219" t="s">
        <v>58</v>
      </c>
      <c r="M1219" t="s">
        <v>59</v>
      </c>
      <c r="N1219">
        <v>12303138</v>
      </c>
      <c r="O1219" t="s">
        <v>73</v>
      </c>
      <c r="P1219" t="s">
        <v>85</v>
      </c>
    </row>
    <row r="1220" spans="10:16" ht="0" hidden="1" customHeight="1" x14ac:dyDescent="0.3">
      <c r="J1220" t="s">
        <v>55</v>
      </c>
      <c r="K1220" t="s">
        <v>12</v>
      </c>
      <c r="L1220" t="s">
        <v>71</v>
      </c>
      <c r="M1220" t="s">
        <v>59</v>
      </c>
      <c r="N1220">
        <v>192849136</v>
      </c>
      <c r="O1220" t="s">
        <v>67</v>
      </c>
      <c r="P1220" t="s">
        <v>85</v>
      </c>
    </row>
    <row r="1221" spans="10:16" ht="0" hidden="1" customHeight="1" x14ac:dyDescent="0.3">
      <c r="J1221" t="s">
        <v>55</v>
      </c>
      <c r="K1221" t="s">
        <v>12</v>
      </c>
      <c r="L1221" t="s">
        <v>58</v>
      </c>
      <c r="M1221" t="s">
        <v>59</v>
      </c>
      <c r="N1221">
        <v>18756355</v>
      </c>
      <c r="O1221" t="s">
        <v>60</v>
      </c>
      <c r="P1221" t="s">
        <v>85</v>
      </c>
    </row>
    <row r="1222" spans="10:16" ht="0" hidden="1" customHeight="1" x14ac:dyDescent="0.3">
      <c r="J1222" t="s">
        <v>49</v>
      </c>
      <c r="K1222" t="s">
        <v>13</v>
      </c>
      <c r="L1222" t="s">
        <v>72</v>
      </c>
      <c r="M1222" t="s">
        <v>59</v>
      </c>
      <c r="N1222">
        <v>623496</v>
      </c>
      <c r="O1222" t="s">
        <v>63</v>
      </c>
      <c r="P1222" t="s">
        <v>68</v>
      </c>
    </row>
    <row r="1223" spans="10:16" ht="0" hidden="1" customHeight="1" x14ac:dyDescent="0.3">
      <c r="J1223" t="s">
        <v>55</v>
      </c>
      <c r="K1223" t="s">
        <v>11</v>
      </c>
      <c r="L1223" t="s">
        <v>69</v>
      </c>
      <c r="M1223" t="s">
        <v>59</v>
      </c>
      <c r="N1223">
        <v>386627</v>
      </c>
      <c r="P1223" t="s">
        <v>85</v>
      </c>
    </row>
    <row r="1224" spans="10:16" ht="0" hidden="1" customHeight="1" x14ac:dyDescent="0.3">
      <c r="J1224" t="s">
        <v>55</v>
      </c>
      <c r="K1224" t="s">
        <v>13</v>
      </c>
      <c r="L1224" t="s">
        <v>72</v>
      </c>
      <c r="M1224" t="s">
        <v>59</v>
      </c>
      <c r="N1224">
        <v>3537369</v>
      </c>
      <c r="O1224" t="s">
        <v>73</v>
      </c>
      <c r="P1224" t="s">
        <v>85</v>
      </c>
    </row>
    <row r="1225" spans="10:16" ht="0" hidden="1" customHeight="1" x14ac:dyDescent="0.3">
      <c r="J1225" t="s">
        <v>55</v>
      </c>
      <c r="K1225" t="s">
        <v>14</v>
      </c>
      <c r="L1225" t="s">
        <v>72</v>
      </c>
      <c r="M1225" t="s">
        <v>59</v>
      </c>
      <c r="N1225">
        <v>92747</v>
      </c>
      <c r="O1225" t="s">
        <v>77</v>
      </c>
      <c r="P1225" t="s">
        <v>85</v>
      </c>
    </row>
    <row r="1226" spans="10:16" ht="0" hidden="1" customHeight="1" x14ac:dyDescent="0.3">
      <c r="J1226" t="s">
        <v>49</v>
      </c>
      <c r="K1226" t="s">
        <v>12</v>
      </c>
      <c r="L1226" t="s">
        <v>69</v>
      </c>
      <c r="M1226" t="s">
        <v>59</v>
      </c>
      <c r="N1226">
        <v>14493</v>
      </c>
      <c r="O1226" t="s">
        <v>63</v>
      </c>
      <c r="P1226" t="s">
        <v>66</v>
      </c>
    </row>
    <row r="1227" spans="10:16" ht="0" hidden="1" customHeight="1" x14ac:dyDescent="0.3">
      <c r="J1227" t="s">
        <v>49</v>
      </c>
      <c r="K1227" t="s">
        <v>11</v>
      </c>
      <c r="L1227" t="s">
        <v>58</v>
      </c>
      <c r="M1227" t="s">
        <v>59</v>
      </c>
      <c r="N1227">
        <v>3457931</v>
      </c>
      <c r="O1227" t="s">
        <v>70</v>
      </c>
      <c r="P1227" t="s">
        <v>85</v>
      </c>
    </row>
    <row r="1228" spans="10:16" ht="0" hidden="1" customHeight="1" x14ac:dyDescent="0.3">
      <c r="J1228" t="s">
        <v>49</v>
      </c>
      <c r="K1228" t="s">
        <v>14</v>
      </c>
      <c r="L1228" t="s">
        <v>72</v>
      </c>
      <c r="M1228" t="s">
        <v>59</v>
      </c>
      <c r="N1228">
        <v>335335</v>
      </c>
      <c r="O1228" t="s">
        <v>63</v>
      </c>
      <c r="P1228" t="s">
        <v>85</v>
      </c>
    </row>
    <row r="1229" spans="10:16" ht="0" hidden="1" customHeight="1" x14ac:dyDescent="0.3">
      <c r="J1229" t="s">
        <v>49</v>
      </c>
      <c r="K1229" t="s">
        <v>9</v>
      </c>
      <c r="L1229" t="s">
        <v>58</v>
      </c>
      <c r="M1229" t="s">
        <v>59</v>
      </c>
      <c r="N1229">
        <v>19097461</v>
      </c>
      <c r="O1229" t="s">
        <v>77</v>
      </c>
      <c r="P1229" t="s">
        <v>85</v>
      </c>
    </row>
    <row r="1230" spans="10:16" ht="0" hidden="1" customHeight="1" x14ac:dyDescent="0.3">
      <c r="J1230" t="s">
        <v>49</v>
      </c>
      <c r="K1230" t="s">
        <v>8</v>
      </c>
      <c r="L1230" t="s">
        <v>69</v>
      </c>
      <c r="M1230" t="s">
        <v>59</v>
      </c>
      <c r="N1230">
        <v>1977704</v>
      </c>
      <c r="O1230" t="s">
        <v>67</v>
      </c>
      <c r="P1230" t="s">
        <v>85</v>
      </c>
    </row>
    <row r="1231" spans="10:16" ht="0" hidden="1" customHeight="1" x14ac:dyDescent="0.3">
      <c r="J1231" t="s">
        <v>55</v>
      </c>
      <c r="K1231" t="s">
        <v>12</v>
      </c>
      <c r="L1231" t="s">
        <v>58</v>
      </c>
      <c r="M1231" t="s">
        <v>59</v>
      </c>
      <c r="N1231">
        <v>34878469</v>
      </c>
      <c r="O1231" t="s">
        <v>63</v>
      </c>
      <c r="P1231" t="s">
        <v>85</v>
      </c>
    </row>
    <row r="1232" spans="10:16" ht="0" hidden="1" customHeight="1" x14ac:dyDescent="0.3">
      <c r="J1232" t="s">
        <v>55</v>
      </c>
      <c r="K1232" t="s">
        <v>11</v>
      </c>
      <c r="L1232" t="s">
        <v>69</v>
      </c>
      <c r="M1232" t="s">
        <v>59</v>
      </c>
      <c r="N1232">
        <v>1436842</v>
      </c>
      <c r="O1232" t="s">
        <v>60</v>
      </c>
      <c r="P1232" t="s">
        <v>85</v>
      </c>
    </row>
    <row r="1233" spans="10:16" ht="0" hidden="1" customHeight="1" x14ac:dyDescent="0.3">
      <c r="J1233" t="s">
        <v>49</v>
      </c>
      <c r="K1233" t="s">
        <v>11</v>
      </c>
      <c r="L1233" t="s">
        <v>71</v>
      </c>
      <c r="M1233" t="s">
        <v>59</v>
      </c>
      <c r="N1233">
        <v>271782992</v>
      </c>
      <c r="O1233" t="s">
        <v>63</v>
      </c>
      <c r="P1233" t="s">
        <v>85</v>
      </c>
    </row>
    <row r="1234" spans="10:16" ht="0" hidden="1" customHeight="1" x14ac:dyDescent="0.3">
      <c r="J1234" t="s">
        <v>49</v>
      </c>
      <c r="K1234" t="s">
        <v>48</v>
      </c>
      <c r="L1234" t="s">
        <v>48</v>
      </c>
      <c r="M1234" t="s">
        <v>59</v>
      </c>
      <c r="N1234">
        <v>234747624</v>
      </c>
      <c r="O1234" t="s">
        <v>82</v>
      </c>
      <c r="P1234" t="s">
        <v>82</v>
      </c>
    </row>
    <row r="1235" spans="10:16" ht="0" hidden="1" customHeight="1" x14ac:dyDescent="0.3">
      <c r="J1235" t="s">
        <v>55</v>
      </c>
      <c r="K1235" t="s">
        <v>13</v>
      </c>
      <c r="L1235" t="s">
        <v>72</v>
      </c>
      <c r="M1235" t="s">
        <v>59</v>
      </c>
      <c r="N1235">
        <v>15926345</v>
      </c>
      <c r="O1235" t="s">
        <v>67</v>
      </c>
      <c r="P1235" t="s">
        <v>85</v>
      </c>
    </row>
    <row r="1236" spans="10:16" ht="0" hidden="1" customHeight="1" x14ac:dyDescent="0.3">
      <c r="J1236" t="s">
        <v>49</v>
      </c>
      <c r="K1236" t="s">
        <v>11</v>
      </c>
      <c r="L1236" t="s">
        <v>71</v>
      </c>
      <c r="M1236" t="s">
        <v>59</v>
      </c>
      <c r="N1236">
        <v>7670264</v>
      </c>
      <c r="O1236" t="s">
        <v>76</v>
      </c>
      <c r="P1236" t="s">
        <v>85</v>
      </c>
    </row>
    <row r="1237" spans="10:16" ht="0" hidden="1" customHeight="1" x14ac:dyDescent="0.3">
      <c r="J1237" t="s">
        <v>55</v>
      </c>
      <c r="K1237" t="s">
        <v>10</v>
      </c>
      <c r="L1237" t="s">
        <v>71</v>
      </c>
      <c r="M1237" t="s">
        <v>59</v>
      </c>
      <c r="N1237">
        <v>39063987</v>
      </c>
      <c r="O1237" t="s">
        <v>60</v>
      </c>
      <c r="P1237" t="s">
        <v>85</v>
      </c>
    </row>
    <row r="1238" spans="10:16" ht="0" hidden="1" customHeight="1" x14ac:dyDescent="0.3">
      <c r="J1238" t="s">
        <v>55</v>
      </c>
      <c r="K1238" t="s">
        <v>8</v>
      </c>
      <c r="L1238" t="s">
        <v>58</v>
      </c>
      <c r="M1238" t="s">
        <v>59</v>
      </c>
      <c r="N1238">
        <v>107414625</v>
      </c>
      <c r="O1238" t="s">
        <v>73</v>
      </c>
      <c r="P1238" t="s">
        <v>85</v>
      </c>
    </row>
    <row r="1239" spans="10:16" ht="0" hidden="1" customHeight="1" x14ac:dyDescent="0.3">
      <c r="J1239" t="s">
        <v>49</v>
      </c>
      <c r="K1239" t="s">
        <v>8</v>
      </c>
      <c r="L1239" t="s">
        <v>58</v>
      </c>
      <c r="M1239" t="s">
        <v>59</v>
      </c>
      <c r="N1239">
        <v>7922433</v>
      </c>
      <c r="O1239" t="s">
        <v>60</v>
      </c>
      <c r="P1239" t="s">
        <v>85</v>
      </c>
    </row>
    <row r="1240" spans="10:16" ht="0" hidden="1" customHeight="1" x14ac:dyDescent="0.3">
      <c r="J1240" t="s">
        <v>49</v>
      </c>
      <c r="K1240" t="s">
        <v>12</v>
      </c>
      <c r="L1240" t="s">
        <v>69</v>
      </c>
      <c r="M1240" t="s">
        <v>59</v>
      </c>
      <c r="N1240">
        <v>851662</v>
      </c>
      <c r="O1240" t="s">
        <v>67</v>
      </c>
      <c r="P1240" t="s">
        <v>68</v>
      </c>
    </row>
    <row r="1241" spans="10:16" ht="0" hidden="1" customHeight="1" x14ac:dyDescent="0.3">
      <c r="J1241" t="s">
        <v>49</v>
      </c>
      <c r="K1241" t="s">
        <v>10</v>
      </c>
      <c r="L1241" t="s">
        <v>58</v>
      </c>
      <c r="M1241" t="s">
        <v>59</v>
      </c>
      <c r="N1241">
        <v>147356</v>
      </c>
      <c r="O1241" t="s">
        <v>73</v>
      </c>
      <c r="P1241" t="s">
        <v>85</v>
      </c>
    </row>
    <row r="1242" spans="10:16" ht="0" hidden="1" customHeight="1" x14ac:dyDescent="0.3">
      <c r="J1242" t="s">
        <v>55</v>
      </c>
      <c r="K1242" t="s">
        <v>48</v>
      </c>
      <c r="L1242" t="s">
        <v>48</v>
      </c>
      <c r="M1242" t="s">
        <v>59</v>
      </c>
      <c r="N1242">
        <v>327371</v>
      </c>
      <c r="O1242" t="s">
        <v>80</v>
      </c>
      <c r="P1242" t="s">
        <v>85</v>
      </c>
    </row>
    <row r="1243" spans="10:16" ht="0" hidden="1" customHeight="1" x14ac:dyDescent="0.3">
      <c r="J1243" t="s">
        <v>49</v>
      </c>
      <c r="K1243" t="s">
        <v>12</v>
      </c>
      <c r="L1243" t="s">
        <v>71</v>
      </c>
      <c r="M1243" t="s">
        <v>59</v>
      </c>
      <c r="N1243">
        <v>11015</v>
      </c>
      <c r="O1243" t="s">
        <v>67</v>
      </c>
      <c r="P1243" t="s">
        <v>66</v>
      </c>
    </row>
    <row r="1244" spans="10:16" ht="0" hidden="1" customHeight="1" x14ac:dyDescent="0.3">
      <c r="J1244" t="s">
        <v>49</v>
      </c>
      <c r="K1244" t="s">
        <v>12</v>
      </c>
      <c r="L1244" t="s">
        <v>71</v>
      </c>
      <c r="M1244" t="s">
        <v>59</v>
      </c>
      <c r="N1244">
        <v>17392</v>
      </c>
      <c r="O1244" t="s">
        <v>70</v>
      </c>
      <c r="P1244" t="s">
        <v>68</v>
      </c>
    </row>
    <row r="1245" spans="10:16" ht="0" hidden="1" customHeight="1" x14ac:dyDescent="0.3">
      <c r="J1245" t="s">
        <v>49</v>
      </c>
      <c r="K1245" t="s">
        <v>9</v>
      </c>
      <c r="L1245" t="s">
        <v>71</v>
      </c>
      <c r="M1245" t="s">
        <v>59</v>
      </c>
      <c r="N1245">
        <v>92380050</v>
      </c>
      <c r="O1245" t="s">
        <v>63</v>
      </c>
      <c r="P1245" t="s">
        <v>85</v>
      </c>
    </row>
    <row r="1246" spans="10:16" ht="0" hidden="1" customHeight="1" x14ac:dyDescent="0.3">
      <c r="J1246" t="s">
        <v>49</v>
      </c>
      <c r="K1246" t="s">
        <v>12</v>
      </c>
      <c r="L1246" t="s">
        <v>71</v>
      </c>
      <c r="M1246" t="s">
        <v>59</v>
      </c>
      <c r="N1246">
        <v>10153</v>
      </c>
      <c r="O1246" t="s">
        <v>70</v>
      </c>
      <c r="P1246" t="s">
        <v>66</v>
      </c>
    </row>
    <row r="1247" spans="10:16" ht="0" hidden="1" customHeight="1" x14ac:dyDescent="0.3">
      <c r="J1247" t="s">
        <v>55</v>
      </c>
      <c r="K1247" t="s">
        <v>12</v>
      </c>
      <c r="L1247" t="s">
        <v>58</v>
      </c>
      <c r="M1247" t="s">
        <v>59</v>
      </c>
      <c r="N1247">
        <v>11610237</v>
      </c>
      <c r="O1247" t="s">
        <v>70</v>
      </c>
      <c r="P1247" t="s">
        <v>85</v>
      </c>
    </row>
    <row r="1248" spans="10:16" ht="0" hidden="1" customHeight="1" x14ac:dyDescent="0.3">
      <c r="J1248" t="s">
        <v>49</v>
      </c>
      <c r="K1248" t="s">
        <v>10</v>
      </c>
      <c r="L1248" t="s">
        <v>58</v>
      </c>
      <c r="M1248" t="s">
        <v>59</v>
      </c>
      <c r="N1248">
        <v>246699713</v>
      </c>
      <c r="O1248" t="s">
        <v>67</v>
      </c>
      <c r="P1248" t="s">
        <v>85</v>
      </c>
    </row>
    <row r="1249" spans="10:16" ht="0" hidden="1" customHeight="1" x14ac:dyDescent="0.3">
      <c r="J1249" t="s">
        <v>49</v>
      </c>
      <c r="K1249" t="s">
        <v>8</v>
      </c>
      <c r="L1249" t="s">
        <v>58</v>
      </c>
      <c r="M1249" t="s">
        <v>59</v>
      </c>
      <c r="N1249">
        <v>80004250</v>
      </c>
      <c r="O1249" t="s">
        <v>63</v>
      </c>
      <c r="P1249" t="s">
        <v>85</v>
      </c>
    </row>
    <row r="1250" spans="10:16" ht="0" hidden="1" customHeight="1" x14ac:dyDescent="0.3">
      <c r="J1250" t="s">
        <v>49</v>
      </c>
      <c r="K1250" t="s">
        <v>13</v>
      </c>
      <c r="L1250" t="s">
        <v>69</v>
      </c>
      <c r="M1250" t="s">
        <v>59</v>
      </c>
      <c r="N1250">
        <v>36386742</v>
      </c>
      <c r="O1250" t="s">
        <v>67</v>
      </c>
      <c r="P1250" t="s">
        <v>85</v>
      </c>
    </row>
    <row r="1251" spans="10:16" ht="0" hidden="1" customHeight="1" x14ac:dyDescent="0.3">
      <c r="J1251" t="s">
        <v>55</v>
      </c>
      <c r="K1251" t="s">
        <v>13</v>
      </c>
      <c r="L1251" t="s">
        <v>71</v>
      </c>
      <c r="M1251" t="s">
        <v>59</v>
      </c>
      <c r="N1251">
        <v>3989414</v>
      </c>
      <c r="O1251" t="s">
        <v>73</v>
      </c>
      <c r="P1251" t="s">
        <v>85</v>
      </c>
    </row>
    <row r="1252" spans="10:16" ht="0" hidden="1" customHeight="1" x14ac:dyDescent="0.3">
      <c r="J1252" t="s">
        <v>55</v>
      </c>
      <c r="K1252" t="s">
        <v>12</v>
      </c>
      <c r="L1252" t="s">
        <v>71</v>
      </c>
      <c r="M1252" t="s">
        <v>59</v>
      </c>
      <c r="N1252">
        <v>289244786</v>
      </c>
      <c r="O1252" t="s">
        <v>70</v>
      </c>
      <c r="P1252" t="s">
        <v>85</v>
      </c>
    </row>
    <row r="1253" spans="10:16" ht="0" hidden="1" customHeight="1" x14ac:dyDescent="0.3">
      <c r="J1253" t="s">
        <v>49</v>
      </c>
      <c r="K1253" t="s">
        <v>10</v>
      </c>
      <c r="L1253" t="s">
        <v>58</v>
      </c>
      <c r="M1253" t="s">
        <v>59</v>
      </c>
      <c r="N1253">
        <v>33319</v>
      </c>
      <c r="O1253" t="s">
        <v>63</v>
      </c>
      <c r="P1253" t="s">
        <v>66</v>
      </c>
    </row>
    <row r="1254" spans="10:16" ht="0" hidden="1" customHeight="1" x14ac:dyDescent="0.3">
      <c r="J1254" t="s">
        <v>55</v>
      </c>
      <c r="K1254" t="s">
        <v>13</v>
      </c>
      <c r="L1254" t="s">
        <v>69</v>
      </c>
      <c r="M1254" t="s">
        <v>59</v>
      </c>
      <c r="N1254">
        <v>101495326</v>
      </c>
      <c r="O1254" t="s">
        <v>77</v>
      </c>
      <c r="P1254" t="s">
        <v>85</v>
      </c>
    </row>
    <row r="1255" spans="10:16" ht="0" hidden="1" customHeight="1" x14ac:dyDescent="0.3">
      <c r="J1255" t="s">
        <v>49</v>
      </c>
      <c r="K1255" t="s">
        <v>10</v>
      </c>
      <c r="L1255" t="s">
        <v>69</v>
      </c>
      <c r="M1255" t="s">
        <v>59</v>
      </c>
      <c r="N1255">
        <v>928661</v>
      </c>
      <c r="O1255" t="s">
        <v>60</v>
      </c>
      <c r="P1255" t="s">
        <v>85</v>
      </c>
    </row>
    <row r="1256" spans="10:16" ht="0" hidden="1" customHeight="1" x14ac:dyDescent="0.3">
      <c r="J1256" t="s">
        <v>55</v>
      </c>
      <c r="K1256" t="s">
        <v>13</v>
      </c>
      <c r="L1256" t="s">
        <v>71</v>
      </c>
      <c r="M1256" t="s">
        <v>59</v>
      </c>
      <c r="N1256">
        <v>14907126</v>
      </c>
      <c r="O1256" t="s">
        <v>70</v>
      </c>
      <c r="P1256" t="s">
        <v>85</v>
      </c>
    </row>
    <row r="1257" spans="10:16" ht="0" hidden="1" customHeight="1" x14ac:dyDescent="0.3">
      <c r="J1257" t="s">
        <v>55</v>
      </c>
      <c r="K1257" t="s">
        <v>9</v>
      </c>
      <c r="L1257" t="s">
        <v>58</v>
      </c>
      <c r="M1257" t="s">
        <v>59</v>
      </c>
      <c r="N1257">
        <v>589473949</v>
      </c>
      <c r="O1257" t="s">
        <v>60</v>
      </c>
      <c r="P1257" t="s">
        <v>85</v>
      </c>
    </row>
    <row r="1258" spans="10:16" ht="0" hidden="1" customHeight="1" x14ac:dyDescent="0.3">
      <c r="J1258" t="s">
        <v>49</v>
      </c>
      <c r="K1258" t="s">
        <v>9</v>
      </c>
      <c r="L1258" t="s">
        <v>69</v>
      </c>
      <c r="M1258" t="s">
        <v>59</v>
      </c>
      <c r="N1258">
        <v>63895</v>
      </c>
      <c r="O1258" t="s">
        <v>70</v>
      </c>
      <c r="P1258" t="s">
        <v>85</v>
      </c>
    </row>
    <row r="1259" spans="10:16" ht="0" hidden="1" customHeight="1" x14ac:dyDescent="0.3">
      <c r="J1259" t="s">
        <v>55</v>
      </c>
      <c r="K1259" t="s">
        <v>8</v>
      </c>
      <c r="L1259" t="s">
        <v>58</v>
      </c>
      <c r="M1259" t="s">
        <v>59</v>
      </c>
      <c r="N1259">
        <v>421566573</v>
      </c>
      <c r="O1259" t="s">
        <v>60</v>
      </c>
      <c r="P1259" t="s">
        <v>85</v>
      </c>
    </row>
    <row r="1260" spans="10:16" ht="0" hidden="1" customHeight="1" x14ac:dyDescent="0.3">
      <c r="J1260" t="s">
        <v>49</v>
      </c>
      <c r="K1260" t="s">
        <v>11</v>
      </c>
      <c r="L1260" t="s">
        <v>58</v>
      </c>
      <c r="M1260" t="s">
        <v>59</v>
      </c>
      <c r="N1260">
        <v>8125777</v>
      </c>
      <c r="O1260" t="s">
        <v>77</v>
      </c>
      <c r="P1260" t="s">
        <v>85</v>
      </c>
    </row>
    <row r="1261" spans="10:16" ht="0" hidden="1" customHeight="1" x14ac:dyDescent="0.3">
      <c r="J1261" t="s">
        <v>49</v>
      </c>
      <c r="K1261" t="s">
        <v>14</v>
      </c>
      <c r="L1261" t="s">
        <v>72</v>
      </c>
      <c r="M1261" t="s">
        <v>59</v>
      </c>
      <c r="N1261">
        <v>1147218</v>
      </c>
      <c r="O1261" t="s">
        <v>67</v>
      </c>
      <c r="P1261" t="s">
        <v>85</v>
      </c>
    </row>
    <row r="1262" spans="10:16" ht="0" hidden="1" customHeight="1" x14ac:dyDescent="0.3">
      <c r="J1262" t="s">
        <v>49</v>
      </c>
      <c r="K1262" t="s">
        <v>13</v>
      </c>
      <c r="L1262" t="s">
        <v>69</v>
      </c>
      <c r="M1262" t="s">
        <v>59</v>
      </c>
      <c r="N1262">
        <v>107354</v>
      </c>
      <c r="O1262" t="s">
        <v>76</v>
      </c>
      <c r="P1262" t="s">
        <v>85</v>
      </c>
    </row>
    <row r="1263" spans="10:16" ht="0" hidden="1" customHeight="1" x14ac:dyDescent="0.3">
      <c r="J1263" t="s">
        <v>55</v>
      </c>
      <c r="K1263" t="s">
        <v>12</v>
      </c>
      <c r="L1263" t="s">
        <v>72</v>
      </c>
      <c r="M1263" t="s">
        <v>59</v>
      </c>
      <c r="N1263">
        <v>172561</v>
      </c>
      <c r="O1263" t="s">
        <v>60</v>
      </c>
      <c r="P1263" t="s">
        <v>85</v>
      </c>
    </row>
    <row r="1264" spans="10:16" ht="0" hidden="1" customHeight="1" x14ac:dyDescent="0.3">
      <c r="J1264" t="s">
        <v>56</v>
      </c>
      <c r="K1264" t="s">
        <v>13</v>
      </c>
      <c r="L1264" t="s">
        <v>69</v>
      </c>
      <c r="M1264" t="s">
        <v>59</v>
      </c>
      <c r="N1264">
        <v>85808</v>
      </c>
      <c r="O1264" t="s">
        <v>67</v>
      </c>
      <c r="P1264" t="s">
        <v>61</v>
      </c>
    </row>
    <row r="1265" spans="10:16" ht="0" hidden="1" customHeight="1" x14ac:dyDescent="0.3">
      <c r="J1265" t="s">
        <v>56</v>
      </c>
      <c r="K1265" t="s">
        <v>10</v>
      </c>
      <c r="L1265" t="s">
        <v>58</v>
      </c>
      <c r="M1265" t="s">
        <v>59</v>
      </c>
      <c r="N1265">
        <v>944023</v>
      </c>
      <c r="O1265" t="s">
        <v>67</v>
      </c>
      <c r="P1265" t="s">
        <v>61</v>
      </c>
    </row>
    <row r="1266" spans="10:16" ht="0" hidden="1" customHeight="1" x14ac:dyDescent="0.3">
      <c r="J1266" t="s">
        <v>56</v>
      </c>
      <c r="K1266" t="s">
        <v>10</v>
      </c>
      <c r="L1266" t="s">
        <v>58</v>
      </c>
      <c r="M1266" t="s">
        <v>59</v>
      </c>
      <c r="N1266">
        <v>73072</v>
      </c>
      <c r="O1266" t="s">
        <v>60</v>
      </c>
      <c r="P1266" t="s">
        <v>64</v>
      </c>
    </row>
    <row r="1267" spans="10:16" ht="0" hidden="1" customHeight="1" x14ac:dyDescent="0.3">
      <c r="J1267" t="s">
        <v>56</v>
      </c>
      <c r="K1267" t="s">
        <v>12</v>
      </c>
      <c r="L1267" t="s">
        <v>69</v>
      </c>
      <c r="M1267" t="s">
        <v>59</v>
      </c>
      <c r="N1267">
        <v>46621</v>
      </c>
      <c r="O1267" t="s">
        <v>70</v>
      </c>
      <c r="P1267" t="s">
        <v>83</v>
      </c>
    </row>
    <row r="1268" spans="10:16" ht="0" hidden="1" customHeight="1" x14ac:dyDescent="0.3">
      <c r="J1268" t="s">
        <v>56</v>
      </c>
      <c r="K1268" t="s">
        <v>13</v>
      </c>
      <c r="L1268" t="s">
        <v>69</v>
      </c>
      <c r="M1268" t="s">
        <v>59</v>
      </c>
      <c r="N1268">
        <v>20660</v>
      </c>
      <c r="O1268" t="s">
        <v>67</v>
      </c>
      <c r="P1268" t="s">
        <v>83</v>
      </c>
    </row>
    <row r="1269" spans="10:16" ht="0" hidden="1" customHeight="1" x14ac:dyDescent="0.3">
      <c r="J1269" t="s">
        <v>56</v>
      </c>
      <c r="K1269" t="s">
        <v>11</v>
      </c>
      <c r="L1269" t="s">
        <v>71</v>
      </c>
      <c r="M1269" t="s">
        <v>59</v>
      </c>
      <c r="N1269">
        <v>1463572</v>
      </c>
      <c r="O1269" t="s">
        <v>63</v>
      </c>
      <c r="P1269" t="s">
        <v>64</v>
      </c>
    </row>
    <row r="1270" spans="10:16" ht="0" hidden="1" customHeight="1" x14ac:dyDescent="0.3">
      <c r="J1270" t="s">
        <v>56</v>
      </c>
      <c r="K1270" t="s">
        <v>11</v>
      </c>
      <c r="L1270" t="s">
        <v>71</v>
      </c>
      <c r="M1270" t="s">
        <v>59</v>
      </c>
      <c r="N1270">
        <v>1487591</v>
      </c>
      <c r="O1270" t="s">
        <v>67</v>
      </c>
      <c r="P1270" t="s">
        <v>61</v>
      </c>
    </row>
    <row r="1271" spans="10:16" ht="0" hidden="1" customHeight="1" x14ac:dyDescent="0.3">
      <c r="J1271" t="s">
        <v>56</v>
      </c>
      <c r="K1271" t="s">
        <v>10</v>
      </c>
      <c r="L1271" t="s">
        <v>71</v>
      </c>
      <c r="M1271" t="s">
        <v>59</v>
      </c>
      <c r="N1271">
        <v>10385995</v>
      </c>
      <c r="O1271" t="s">
        <v>63</v>
      </c>
      <c r="P1271" t="s">
        <v>61</v>
      </c>
    </row>
    <row r="1272" spans="10:16" ht="0" hidden="1" customHeight="1" x14ac:dyDescent="0.3">
      <c r="J1272" t="s">
        <v>56</v>
      </c>
      <c r="K1272" t="s">
        <v>13</v>
      </c>
      <c r="L1272" t="s">
        <v>69</v>
      </c>
      <c r="M1272" t="s">
        <v>59</v>
      </c>
      <c r="N1272">
        <v>139354</v>
      </c>
      <c r="O1272" t="s">
        <v>77</v>
      </c>
      <c r="P1272" t="s">
        <v>61</v>
      </c>
    </row>
    <row r="1273" spans="10:16" ht="0" hidden="1" customHeight="1" x14ac:dyDescent="0.3">
      <c r="J1273" t="s">
        <v>49</v>
      </c>
      <c r="K1273" t="s">
        <v>13</v>
      </c>
      <c r="L1273" t="s">
        <v>71</v>
      </c>
      <c r="M1273" t="s">
        <v>59</v>
      </c>
      <c r="N1273">
        <v>8912</v>
      </c>
      <c r="O1273" t="s">
        <v>67</v>
      </c>
      <c r="P1273" t="s">
        <v>68</v>
      </c>
    </row>
    <row r="1274" spans="10:16" ht="0" hidden="1" customHeight="1" x14ac:dyDescent="0.3">
      <c r="J1274" t="s">
        <v>49</v>
      </c>
      <c r="K1274" t="s">
        <v>10</v>
      </c>
      <c r="L1274" t="s">
        <v>71</v>
      </c>
      <c r="M1274" t="s">
        <v>59</v>
      </c>
      <c r="N1274">
        <v>30495004</v>
      </c>
      <c r="O1274" t="s">
        <v>60</v>
      </c>
      <c r="P1274" t="s">
        <v>85</v>
      </c>
    </row>
    <row r="1275" spans="10:16" ht="0" hidden="1" customHeight="1" x14ac:dyDescent="0.3">
      <c r="J1275" t="s">
        <v>49</v>
      </c>
      <c r="K1275" t="s">
        <v>11</v>
      </c>
      <c r="L1275" t="s">
        <v>65</v>
      </c>
      <c r="M1275" t="s">
        <v>59</v>
      </c>
      <c r="N1275">
        <v>37427</v>
      </c>
      <c r="O1275" t="s">
        <v>60</v>
      </c>
      <c r="P1275" t="s">
        <v>85</v>
      </c>
    </row>
    <row r="1276" spans="10:16" ht="0" hidden="1" customHeight="1" x14ac:dyDescent="0.3">
      <c r="J1276" t="s">
        <v>55</v>
      </c>
      <c r="K1276" t="s">
        <v>13</v>
      </c>
      <c r="L1276" t="s">
        <v>65</v>
      </c>
      <c r="M1276" t="s">
        <v>59</v>
      </c>
      <c r="N1276">
        <v>405555</v>
      </c>
      <c r="O1276" t="s">
        <v>60</v>
      </c>
      <c r="P1276" t="s">
        <v>85</v>
      </c>
    </row>
    <row r="1277" spans="10:16" ht="0" hidden="1" customHeight="1" x14ac:dyDescent="0.3">
      <c r="J1277" t="s">
        <v>55</v>
      </c>
      <c r="K1277" t="s">
        <v>9</v>
      </c>
      <c r="L1277" t="s">
        <v>58</v>
      </c>
      <c r="M1277" t="s">
        <v>59</v>
      </c>
      <c r="N1277">
        <v>458920409</v>
      </c>
      <c r="O1277" t="s">
        <v>67</v>
      </c>
      <c r="P1277" t="s">
        <v>85</v>
      </c>
    </row>
    <row r="1278" spans="10:16" ht="0" hidden="1" customHeight="1" x14ac:dyDescent="0.3">
      <c r="J1278" t="s">
        <v>55</v>
      </c>
      <c r="K1278" t="s">
        <v>14</v>
      </c>
      <c r="L1278" t="s">
        <v>71</v>
      </c>
      <c r="M1278" t="s">
        <v>59</v>
      </c>
      <c r="N1278">
        <v>6679841</v>
      </c>
      <c r="O1278" t="s">
        <v>67</v>
      </c>
      <c r="P1278" t="s">
        <v>85</v>
      </c>
    </row>
    <row r="1279" spans="10:16" ht="0" hidden="1" customHeight="1" x14ac:dyDescent="0.3">
      <c r="J1279" t="s">
        <v>49</v>
      </c>
      <c r="K1279" t="s">
        <v>12</v>
      </c>
      <c r="L1279" t="s">
        <v>69</v>
      </c>
      <c r="M1279" t="s">
        <v>59</v>
      </c>
      <c r="N1279">
        <v>1549816</v>
      </c>
      <c r="O1279" t="s">
        <v>60</v>
      </c>
      <c r="P1279" t="s">
        <v>85</v>
      </c>
    </row>
    <row r="1280" spans="10:16" ht="0" hidden="1" customHeight="1" x14ac:dyDescent="0.3">
      <c r="J1280" t="s">
        <v>49</v>
      </c>
      <c r="K1280" t="s">
        <v>11</v>
      </c>
      <c r="L1280" t="s">
        <v>69</v>
      </c>
      <c r="M1280" t="s">
        <v>59</v>
      </c>
      <c r="N1280">
        <v>37308</v>
      </c>
      <c r="O1280" t="s">
        <v>63</v>
      </c>
      <c r="P1280" t="s">
        <v>85</v>
      </c>
    </row>
    <row r="1281" spans="10:16" ht="0" hidden="1" customHeight="1" x14ac:dyDescent="0.3">
      <c r="J1281" t="s">
        <v>49</v>
      </c>
      <c r="K1281" t="s">
        <v>11</v>
      </c>
      <c r="L1281" t="s">
        <v>58</v>
      </c>
      <c r="M1281" t="s">
        <v>59</v>
      </c>
      <c r="N1281">
        <v>21663</v>
      </c>
      <c r="O1281" t="s">
        <v>67</v>
      </c>
      <c r="P1281" t="s">
        <v>68</v>
      </c>
    </row>
    <row r="1282" spans="10:16" ht="0" hidden="1" customHeight="1" x14ac:dyDescent="0.3">
      <c r="J1282" t="s">
        <v>49</v>
      </c>
      <c r="K1282" t="s">
        <v>12</v>
      </c>
      <c r="L1282" t="s">
        <v>71</v>
      </c>
      <c r="M1282" t="s">
        <v>59</v>
      </c>
      <c r="N1282">
        <v>618526</v>
      </c>
      <c r="O1282" t="s">
        <v>67</v>
      </c>
      <c r="P1282" t="s">
        <v>68</v>
      </c>
    </row>
    <row r="1283" spans="10:16" ht="0" hidden="1" customHeight="1" x14ac:dyDescent="0.3">
      <c r="J1283" t="s">
        <v>55</v>
      </c>
      <c r="K1283" t="s">
        <v>12</v>
      </c>
      <c r="L1283" t="s">
        <v>71</v>
      </c>
      <c r="M1283" t="s">
        <v>59</v>
      </c>
      <c r="N1283">
        <v>113565</v>
      </c>
      <c r="O1283" t="s">
        <v>76</v>
      </c>
      <c r="P1283" t="s">
        <v>85</v>
      </c>
    </row>
    <row r="1284" spans="10:16" ht="0" hidden="1" customHeight="1" x14ac:dyDescent="0.3">
      <c r="J1284" t="s">
        <v>49</v>
      </c>
      <c r="K1284" t="s">
        <v>12</v>
      </c>
      <c r="L1284" t="s">
        <v>71</v>
      </c>
      <c r="M1284" t="s">
        <v>59</v>
      </c>
      <c r="N1284">
        <v>12184</v>
      </c>
      <c r="O1284" t="s">
        <v>63</v>
      </c>
      <c r="P1284" t="s">
        <v>66</v>
      </c>
    </row>
    <row r="1285" spans="10:16" ht="0" hidden="1" customHeight="1" x14ac:dyDescent="0.3">
      <c r="J1285" t="s">
        <v>49</v>
      </c>
      <c r="K1285" t="s">
        <v>9</v>
      </c>
      <c r="L1285" t="s">
        <v>71</v>
      </c>
      <c r="M1285" t="s">
        <v>59</v>
      </c>
      <c r="N1285">
        <v>73170128</v>
      </c>
      <c r="O1285" t="s">
        <v>60</v>
      </c>
      <c r="P1285" t="s">
        <v>85</v>
      </c>
    </row>
    <row r="1286" spans="10:16" ht="0" hidden="1" customHeight="1" x14ac:dyDescent="0.3">
      <c r="J1286" t="s">
        <v>49</v>
      </c>
      <c r="K1286" t="s">
        <v>13</v>
      </c>
      <c r="L1286" t="s">
        <v>69</v>
      </c>
      <c r="M1286" t="s">
        <v>59</v>
      </c>
      <c r="N1286">
        <v>9236506</v>
      </c>
      <c r="O1286" t="s">
        <v>60</v>
      </c>
      <c r="P1286" t="s">
        <v>85</v>
      </c>
    </row>
    <row r="1287" spans="10:16" ht="0" hidden="1" customHeight="1" x14ac:dyDescent="0.3">
      <c r="J1287" t="s">
        <v>49</v>
      </c>
      <c r="K1287" t="s">
        <v>12</v>
      </c>
      <c r="L1287" t="s">
        <v>69</v>
      </c>
      <c r="M1287" t="s">
        <v>59</v>
      </c>
      <c r="N1287">
        <v>1083236</v>
      </c>
      <c r="O1287" t="s">
        <v>70</v>
      </c>
      <c r="P1287" t="s">
        <v>85</v>
      </c>
    </row>
    <row r="1288" spans="10:16" ht="0" hidden="1" customHeight="1" x14ac:dyDescent="0.3">
      <c r="J1288" t="s">
        <v>49</v>
      </c>
      <c r="K1288" t="s">
        <v>13</v>
      </c>
      <c r="L1288" t="s">
        <v>72</v>
      </c>
      <c r="M1288" t="s">
        <v>59</v>
      </c>
      <c r="N1288">
        <v>44144</v>
      </c>
      <c r="O1288" t="s">
        <v>77</v>
      </c>
      <c r="P1288" t="s">
        <v>85</v>
      </c>
    </row>
    <row r="1289" spans="10:16" ht="0" hidden="1" customHeight="1" x14ac:dyDescent="0.3">
      <c r="J1289" t="s">
        <v>55</v>
      </c>
      <c r="K1289" t="s">
        <v>10</v>
      </c>
      <c r="L1289" t="s">
        <v>71</v>
      </c>
      <c r="M1289" t="s">
        <v>59</v>
      </c>
      <c r="N1289">
        <v>1631295</v>
      </c>
      <c r="O1289" t="s">
        <v>73</v>
      </c>
      <c r="P1289" t="s">
        <v>85</v>
      </c>
    </row>
    <row r="1290" spans="10:16" ht="0" hidden="1" customHeight="1" x14ac:dyDescent="0.3">
      <c r="J1290" t="s">
        <v>55</v>
      </c>
      <c r="K1290" t="s">
        <v>48</v>
      </c>
      <c r="L1290" t="s">
        <v>48</v>
      </c>
      <c r="M1290" t="s">
        <v>59</v>
      </c>
      <c r="N1290">
        <v>81009</v>
      </c>
      <c r="O1290" t="s">
        <v>82</v>
      </c>
      <c r="P1290" t="s">
        <v>85</v>
      </c>
    </row>
    <row r="1291" spans="10:16" ht="0" hidden="1" customHeight="1" x14ac:dyDescent="0.3">
      <c r="J1291" t="s">
        <v>55</v>
      </c>
      <c r="K1291" t="s">
        <v>48</v>
      </c>
      <c r="L1291" t="s">
        <v>48</v>
      </c>
      <c r="M1291" t="s">
        <v>59</v>
      </c>
      <c r="N1291">
        <v>45150158</v>
      </c>
      <c r="O1291" t="s">
        <v>82</v>
      </c>
      <c r="P1291" t="s">
        <v>82</v>
      </c>
    </row>
    <row r="1292" spans="10:16" ht="0" hidden="1" customHeight="1" x14ac:dyDescent="0.3">
      <c r="J1292" t="s">
        <v>55</v>
      </c>
      <c r="K1292" t="s">
        <v>11</v>
      </c>
      <c r="L1292" t="s">
        <v>58</v>
      </c>
      <c r="M1292" t="s">
        <v>59</v>
      </c>
      <c r="N1292">
        <v>58291092</v>
      </c>
      <c r="O1292" t="s">
        <v>77</v>
      </c>
      <c r="P1292" t="s">
        <v>85</v>
      </c>
    </row>
    <row r="1293" spans="10:16" ht="0" hidden="1" customHeight="1" x14ac:dyDescent="0.3">
      <c r="J1293" t="s">
        <v>49</v>
      </c>
      <c r="K1293" t="s">
        <v>14</v>
      </c>
      <c r="L1293" t="s">
        <v>65</v>
      </c>
      <c r="M1293" t="s">
        <v>59</v>
      </c>
      <c r="N1293">
        <v>1098475</v>
      </c>
      <c r="O1293" t="s">
        <v>67</v>
      </c>
      <c r="P1293" t="s">
        <v>85</v>
      </c>
    </row>
    <row r="1294" spans="10:16" ht="0" hidden="1" customHeight="1" x14ac:dyDescent="0.3">
      <c r="J1294" t="s">
        <v>49</v>
      </c>
      <c r="K1294" t="s">
        <v>14</v>
      </c>
      <c r="L1294" t="s">
        <v>69</v>
      </c>
      <c r="M1294" t="s">
        <v>59</v>
      </c>
      <c r="N1294">
        <v>60329</v>
      </c>
      <c r="O1294" t="s">
        <v>63</v>
      </c>
      <c r="P1294" t="s">
        <v>68</v>
      </c>
    </row>
    <row r="1295" spans="10:16" ht="0" hidden="1" customHeight="1" x14ac:dyDescent="0.3">
      <c r="J1295" t="s">
        <v>55</v>
      </c>
      <c r="K1295" t="s">
        <v>14</v>
      </c>
      <c r="L1295" t="s">
        <v>72</v>
      </c>
      <c r="M1295" t="s">
        <v>59</v>
      </c>
      <c r="N1295">
        <v>163220</v>
      </c>
      <c r="O1295" t="s">
        <v>60</v>
      </c>
      <c r="P1295" t="s">
        <v>85</v>
      </c>
    </row>
    <row r="1296" spans="10:16" ht="0" hidden="1" customHeight="1" x14ac:dyDescent="0.3">
      <c r="J1296" t="s">
        <v>49</v>
      </c>
      <c r="K1296" t="s">
        <v>8</v>
      </c>
      <c r="L1296" t="s">
        <v>58</v>
      </c>
      <c r="M1296" t="s">
        <v>59</v>
      </c>
      <c r="N1296">
        <v>383758</v>
      </c>
      <c r="O1296" t="s">
        <v>67</v>
      </c>
      <c r="P1296" t="s">
        <v>68</v>
      </c>
    </row>
    <row r="1297" spans="10:16" ht="0" hidden="1" customHeight="1" x14ac:dyDescent="0.3">
      <c r="J1297" t="s">
        <v>49</v>
      </c>
      <c r="K1297" t="s">
        <v>12</v>
      </c>
      <c r="L1297" t="s">
        <v>69</v>
      </c>
      <c r="M1297" t="s">
        <v>59</v>
      </c>
      <c r="N1297">
        <v>11451640</v>
      </c>
      <c r="O1297" t="s">
        <v>77</v>
      </c>
      <c r="P1297" t="s">
        <v>85</v>
      </c>
    </row>
    <row r="1298" spans="10:16" ht="0" hidden="1" customHeight="1" x14ac:dyDescent="0.3">
      <c r="J1298" t="s">
        <v>55</v>
      </c>
      <c r="K1298" t="s">
        <v>14</v>
      </c>
      <c r="L1298" t="s">
        <v>72</v>
      </c>
      <c r="M1298" t="s">
        <v>59</v>
      </c>
      <c r="N1298">
        <v>267451</v>
      </c>
      <c r="O1298" t="s">
        <v>63</v>
      </c>
      <c r="P1298" t="s">
        <v>85</v>
      </c>
    </row>
    <row r="1299" spans="10:16" ht="0" hidden="1" customHeight="1" x14ac:dyDescent="0.3">
      <c r="J1299" t="s">
        <v>49</v>
      </c>
      <c r="K1299" t="s">
        <v>13</v>
      </c>
      <c r="L1299" t="s">
        <v>69</v>
      </c>
      <c r="M1299" t="s">
        <v>59</v>
      </c>
      <c r="N1299">
        <v>86318</v>
      </c>
      <c r="O1299" t="s">
        <v>63</v>
      </c>
      <c r="P1299" t="s">
        <v>66</v>
      </c>
    </row>
    <row r="1300" spans="10:16" ht="0" hidden="1" customHeight="1" x14ac:dyDescent="0.3">
      <c r="J1300" t="s">
        <v>55</v>
      </c>
      <c r="K1300" t="s">
        <v>10</v>
      </c>
      <c r="L1300" t="s">
        <v>58</v>
      </c>
      <c r="M1300" t="s">
        <v>59</v>
      </c>
      <c r="N1300">
        <v>836333614</v>
      </c>
      <c r="O1300" t="s">
        <v>67</v>
      </c>
      <c r="P1300" t="s">
        <v>85</v>
      </c>
    </row>
    <row r="1301" spans="10:16" ht="0" hidden="1" customHeight="1" x14ac:dyDescent="0.3">
      <c r="J1301" t="s">
        <v>49</v>
      </c>
      <c r="K1301" t="s">
        <v>11</v>
      </c>
      <c r="L1301" t="s">
        <v>69</v>
      </c>
      <c r="M1301" t="s">
        <v>59</v>
      </c>
      <c r="N1301">
        <v>1020539</v>
      </c>
      <c r="O1301" t="s">
        <v>67</v>
      </c>
      <c r="P1301" t="s">
        <v>85</v>
      </c>
    </row>
    <row r="1302" spans="10:16" ht="0" hidden="1" customHeight="1" x14ac:dyDescent="0.3">
      <c r="J1302" t="s">
        <v>49</v>
      </c>
      <c r="K1302" t="s">
        <v>13</v>
      </c>
      <c r="L1302" t="s">
        <v>69</v>
      </c>
      <c r="M1302" t="s">
        <v>59</v>
      </c>
      <c r="N1302">
        <v>310873</v>
      </c>
      <c r="O1302" t="s">
        <v>67</v>
      </c>
      <c r="P1302" t="s">
        <v>68</v>
      </c>
    </row>
    <row r="1303" spans="10:16" ht="0" hidden="1" customHeight="1" x14ac:dyDescent="0.3">
      <c r="J1303" t="s">
        <v>55</v>
      </c>
      <c r="K1303" t="s">
        <v>14</v>
      </c>
      <c r="L1303" t="s">
        <v>71</v>
      </c>
      <c r="M1303" t="s">
        <v>59</v>
      </c>
      <c r="N1303">
        <v>8121083</v>
      </c>
      <c r="O1303" t="s">
        <v>63</v>
      </c>
      <c r="P1303" t="s">
        <v>85</v>
      </c>
    </row>
    <row r="1304" spans="10:16" ht="0" hidden="1" customHeight="1" x14ac:dyDescent="0.3">
      <c r="J1304" t="s">
        <v>49</v>
      </c>
      <c r="K1304" t="s">
        <v>9</v>
      </c>
      <c r="L1304" t="s">
        <v>58</v>
      </c>
      <c r="M1304" t="s">
        <v>59</v>
      </c>
      <c r="N1304">
        <v>243506</v>
      </c>
      <c r="O1304" t="s">
        <v>67</v>
      </c>
      <c r="P1304" t="s">
        <v>68</v>
      </c>
    </row>
    <row r="1305" spans="10:16" ht="0" hidden="1" customHeight="1" x14ac:dyDescent="0.3">
      <c r="J1305" t="s">
        <v>49</v>
      </c>
      <c r="K1305" t="s">
        <v>10</v>
      </c>
      <c r="L1305" t="s">
        <v>58</v>
      </c>
      <c r="M1305" t="s">
        <v>59</v>
      </c>
      <c r="N1305">
        <v>35086</v>
      </c>
      <c r="O1305" t="s">
        <v>70</v>
      </c>
      <c r="P1305" t="s">
        <v>68</v>
      </c>
    </row>
    <row r="1306" spans="10:16" ht="0" hidden="1" customHeight="1" x14ac:dyDescent="0.3">
      <c r="J1306" t="s">
        <v>49</v>
      </c>
      <c r="K1306" t="s">
        <v>10</v>
      </c>
      <c r="L1306" t="s">
        <v>58</v>
      </c>
      <c r="M1306" t="s">
        <v>59</v>
      </c>
      <c r="N1306">
        <v>30161271</v>
      </c>
      <c r="O1306" t="s">
        <v>70</v>
      </c>
      <c r="P1306" t="s">
        <v>85</v>
      </c>
    </row>
    <row r="1307" spans="10:16" ht="0" hidden="1" customHeight="1" x14ac:dyDescent="0.3">
      <c r="J1307" t="s">
        <v>56</v>
      </c>
      <c r="K1307" t="s">
        <v>10</v>
      </c>
      <c r="L1307" t="s">
        <v>71</v>
      </c>
      <c r="M1307" t="s">
        <v>59</v>
      </c>
      <c r="N1307">
        <v>188606</v>
      </c>
      <c r="O1307" t="s">
        <v>63</v>
      </c>
      <c r="P1307" t="s">
        <v>64</v>
      </c>
    </row>
    <row r="1308" spans="10:16" ht="0" hidden="1" customHeight="1" x14ac:dyDescent="0.3">
      <c r="J1308" t="s">
        <v>56</v>
      </c>
      <c r="K1308" t="s">
        <v>11</v>
      </c>
      <c r="L1308" t="s">
        <v>71</v>
      </c>
      <c r="M1308" t="s">
        <v>59</v>
      </c>
      <c r="N1308">
        <v>120142</v>
      </c>
      <c r="O1308" t="s">
        <v>76</v>
      </c>
      <c r="P1308" t="s">
        <v>61</v>
      </c>
    </row>
    <row r="1309" spans="10:16" ht="0" hidden="1" customHeight="1" x14ac:dyDescent="0.3">
      <c r="J1309" t="s">
        <v>56</v>
      </c>
      <c r="K1309" t="s">
        <v>12</v>
      </c>
      <c r="L1309" t="s">
        <v>71</v>
      </c>
      <c r="M1309" t="s">
        <v>59</v>
      </c>
      <c r="N1309">
        <v>30000</v>
      </c>
      <c r="O1309" t="s">
        <v>70</v>
      </c>
      <c r="P1309" t="s">
        <v>61</v>
      </c>
    </row>
    <row r="1310" spans="10:16" ht="0" hidden="1" customHeight="1" x14ac:dyDescent="0.3">
      <c r="J1310" t="s">
        <v>56</v>
      </c>
      <c r="K1310" t="s">
        <v>11</v>
      </c>
      <c r="L1310" t="s">
        <v>71</v>
      </c>
      <c r="M1310" t="s">
        <v>59</v>
      </c>
      <c r="N1310">
        <v>389800</v>
      </c>
      <c r="O1310" t="s">
        <v>60</v>
      </c>
      <c r="P1310" t="s">
        <v>64</v>
      </c>
    </row>
    <row r="1311" spans="10:16" ht="0" hidden="1" customHeight="1" x14ac:dyDescent="0.3">
      <c r="J1311" t="s">
        <v>56</v>
      </c>
      <c r="K1311" t="s">
        <v>48</v>
      </c>
      <c r="L1311" t="s">
        <v>48</v>
      </c>
      <c r="M1311" t="s">
        <v>59</v>
      </c>
      <c r="N1311">
        <v>100</v>
      </c>
      <c r="O1311" t="s">
        <v>82</v>
      </c>
      <c r="P1311" t="s">
        <v>64</v>
      </c>
    </row>
    <row r="1312" spans="10:16" ht="0" hidden="1" customHeight="1" x14ac:dyDescent="0.3">
      <c r="J1312" t="s">
        <v>56</v>
      </c>
      <c r="K1312" t="s">
        <v>48</v>
      </c>
      <c r="L1312" t="s">
        <v>48</v>
      </c>
      <c r="M1312" t="s">
        <v>59</v>
      </c>
      <c r="N1312">
        <v>290912</v>
      </c>
      <c r="O1312" t="s">
        <v>82</v>
      </c>
      <c r="P1312" t="s">
        <v>83</v>
      </c>
    </row>
    <row r="1313" spans="10:16" ht="0" hidden="1" customHeight="1" x14ac:dyDescent="0.3">
      <c r="J1313" t="s">
        <v>56</v>
      </c>
      <c r="K1313" t="s">
        <v>11</v>
      </c>
      <c r="L1313" t="s">
        <v>71</v>
      </c>
      <c r="M1313" t="s">
        <v>59</v>
      </c>
      <c r="N1313">
        <v>16974112</v>
      </c>
      <c r="O1313" t="s">
        <v>63</v>
      </c>
      <c r="P1313" t="s">
        <v>61</v>
      </c>
    </row>
    <row r="1314" spans="10:16" ht="0" hidden="1" customHeight="1" x14ac:dyDescent="0.3">
      <c r="J1314" t="s">
        <v>56</v>
      </c>
      <c r="K1314" t="s">
        <v>13</v>
      </c>
      <c r="L1314" t="s">
        <v>69</v>
      </c>
      <c r="M1314" t="s">
        <v>59</v>
      </c>
      <c r="N1314">
        <v>647893</v>
      </c>
      <c r="O1314" t="s">
        <v>60</v>
      </c>
      <c r="P1314" t="s">
        <v>61</v>
      </c>
    </row>
    <row r="1315" spans="10:16" ht="0" hidden="1" customHeight="1" x14ac:dyDescent="0.3">
      <c r="J1315" t="s">
        <v>56</v>
      </c>
      <c r="K1315" t="s">
        <v>9</v>
      </c>
      <c r="L1315" t="s">
        <v>58</v>
      </c>
      <c r="M1315" t="s">
        <v>59</v>
      </c>
      <c r="N1315">
        <v>900</v>
      </c>
      <c r="O1315" t="s">
        <v>67</v>
      </c>
      <c r="P1315" t="s">
        <v>64</v>
      </c>
    </row>
    <row r="1316" spans="10:16" ht="0" hidden="1" customHeight="1" x14ac:dyDescent="0.3">
      <c r="J1316" t="s">
        <v>56</v>
      </c>
      <c r="K1316" t="s">
        <v>9</v>
      </c>
      <c r="L1316" t="s">
        <v>58</v>
      </c>
      <c r="M1316" t="s">
        <v>59</v>
      </c>
      <c r="N1316">
        <v>63100</v>
      </c>
      <c r="O1316" t="s">
        <v>77</v>
      </c>
      <c r="P1316" t="s">
        <v>64</v>
      </c>
    </row>
    <row r="1317" spans="10:16" ht="0" hidden="1" customHeight="1" x14ac:dyDescent="0.3">
      <c r="J1317" t="s">
        <v>56</v>
      </c>
      <c r="K1317" t="s">
        <v>10</v>
      </c>
      <c r="L1317" t="s">
        <v>58</v>
      </c>
      <c r="M1317" t="s">
        <v>59</v>
      </c>
      <c r="N1317">
        <v>55000</v>
      </c>
      <c r="O1317" t="s">
        <v>76</v>
      </c>
      <c r="P1317" t="s">
        <v>61</v>
      </c>
    </row>
    <row r="1318" spans="10:16" ht="0" hidden="1" customHeight="1" x14ac:dyDescent="0.3">
      <c r="J1318" t="s">
        <v>56</v>
      </c>
      <c r="K1318" t="s">
        <v>48</v>
      </c>
      <c r="L1318" t="s">
        <v>48</v>
      </c>
      <c r="M1318" t="s">
        <v>59</v>
      </c>
      <c r="N1318">
        <v>2217462</v>
      </c>
      <c r="O1318" t="s">
        <v>82</v>
      </c>
      <c r="P1318" t="s">
        <v>61</v>
      </c>
    </row>
    <row r="1319" spans="10:16" ht="0" hidden="1" customHeight="1" x14ac:dyDescent="0.3">
      <c r="J1319" t="s">
        <v>49</v>
      </c>
      <c r="K1319" t="s">
        <v>13</v>
      </c>
      <c r="L1319" t="s">
        <v>58</v>
      </c>
      <c r="M1319" t="s">
        <v>59</v>
      </c>
      <c r="N1319">
        <v>418577</v>
      </c>
      <c r="O1319" t="s">
        <v>67</v>
      </c>
      <c r="P1319" t="s">
        <v>85</v>
      </c>
    </row>
    <row r="1320" spans="10:16" ht="0" hidden="1" customHeight="1" x14ac:dyDescent="0.3">
      <c r="J1320" t="s">
        <v>55</v>
      </c>
      <c r="K1320" t="s">
        <v>13</v>
      </c>
      <c r="L1320" t="s">
        <v>65</v>
      </c>
      <c r="M1320" t="s">
        <v>59</v>
      </c>
      <c r="N1320">
        <v>176425</v>
      </c>
      <c r="O1320" t="s">
        <v>67</v>
      </c>
      <c r="P1320" t="s">
        <v>85</v>
      </c>
    </row>
    <row r="1321" spans="10:16" ht="0" hidden="1" customHeight="1" x14ac:dyDescent="0.3">
      <c r="J1321" t="s">
        <v>49</v>
      </c>
      <c r="K1321" t="s">
        <v>9</v>
      </c>
      <c r="L1321" t="s">
        <v>58</v>
      </c>
      <c r="M1321" t="s">
        <v>59</v>
      </c>
      <c r="N1321">
        <v>9525</v>
      </c>
      <c r="O1321" t="s">
        <v>77</v>
      </c>
      <c r="P1321" t="s">
        <v>68</v>
      </c>
    </row>
    <row r="1322" spans="10:16" ht="0" hidden="1" customHeight="1" x14ac:dyDescent="0.3">
      <c r="J1322" t="s">
        <v>55</v>
      </c>
      <c r="K1322" t="s">
        <v>12</v>
      </c>
      <c r="L1322" t="s">
        <v>69</v>
      </c>
      <c r="M1322" t="s">
        <v>59</v>
      </c>
      <c r="N1322">
        <v>73892653</v>
      </c>
      <c r="O1322" t="s">
        <v>60</v>
      </c>
      <c r="P1322" t="s">
        <v>85</v>
      </c>
    </row>
    <row r="1323" spans="10:16" ht="0" hidden="1" customHeight="1" x14ac:dyDescent="0.3">
      <c r="J1323" t="s">
        <v>49</v>
      </c>
      <c r="K1323" t="s">
        <v>11</v>
      </c>
      <c r="L1323" t="s">
        <v>71</v>
      </c>
      <c r="M1323" t="s">
        <v>59</v>
      </c>
      <c r="N1323">
        <v>33361299</v>
      </c>
      <c r="O1323" t="s">
        <v>77</v>
      </c>
      <c r="P1323" t="s">
        <v>85</v>
      </c>
    </row>
    <row r="1324" spans="10:16" ht="0" hidden="1" customHeight="1" x14ac:dyDescent="0.3">
      <c r="J1324" t="s">
        <v>49</v>
      </c>
      <c r="K1324" t="s">
        <v>8</v>
      </c>
      <c r="L1324" t="s">
        <v>58</v>
      </c>
      <c r="M1324" t="s">
        <v>59</v>
      </c>
      <c r="N1324">
        <v>132036</v>
      </c>
      <c r="O1324" t="s">
        <v>76</v>
      </c>
      <c r="P1324" t="s">
        <v>85</v>
      </c>
    </row>
    <row r="1325" spans="10:16" ht="0" hidden="1" customHeight="1" x14ac:dyDescent="0.3">
      <c r="J1325" t="s">
        <v>55</v>
      </c>
      <c r="K1325" t="s">
        <v>13</v>
      </c>
      <c r="L1325" t="s">
        <v>69</v>
      </c>
      <c r="M1325" t="s">
        <v>59</v>
      </c>
      <c r="N1325">
        <v>22096412</v>
      </c>
      <c r="O1325" t="s">
        <v>73</v>
      </c>
      <c r="P1325" t="s">
        <v>85</v>
      </c>
    </row>
    <row r="1326" spans="10:16" ht="0" hidden="1" customHeight="1" x14ac:dyDescent="0.3">
      <c r="J1326" t="s">
        <v>49</v>
      </c>
      <c r="K1326" t="s">
        <v>14</v>
      </c>
      <c r="L1326" t="s">
        <v>71</v>
      </c>
      <c r="M1326" t="s">
        <v>59</v>
      </c>
      <c r="N1326">
        <v>6</v>
      </c>
      <c r="O1326" t="s">
        <v>77</v>
      </c>
      <c r="P1326" t="s">
        <v>85</v>
      </c>
    </row>
    <row r="1327" spans="10:16" ht="0" hidden="1" customHeight="1" x14ac:dyDescent="0.3">
      <c r="J1327" t="s">
        <v>55</v>
      </c>
      <c r="K1327" t="s">
        <v>9</v>
      </c>
      <c r="L1327" t="s">
        <v>58</v>
      </c>
      <c r="M1327" t="s">
        <v>59</v>
      </c>
      <c r="N1327">
        <v>186038</v>
      </c>
      <c r="O1327" t="s">
        <v>76</v>
      </c>
      <c r="P1327" t="s">
        <v>85</v>
      </c>
    </row>
    <row r="1328" spans="10:16" ht="0" hidden="1" customHeight="1" x14ac:dyDescent="0.3">
      <c r="J1328" t="s">
        <v>55</v>
      </c>
      <c r="K1328" t="s">
        <v>11</v>
      </c>
      <c r="L1328" t="s">
        <v>71</v>
      </c>
      <c r="M1328" t="s">
        <v>59</v>
      </c>
      <c r="N1328">
        <v>778454552</v>
      </c>
      <c r="O1328" t="s">
        <v>70</v>
      </c>
      <c r="P1328" t="s">
        <v>85</v>
      </c>
    </row>
    <row r="1329" spans="10:16" ht="0" hidden="1" customHeight="1" x14ac:dyDescent="0.3">
      <c r="J1329" t="s">
        <v>49</v>
      </c>
      <c r="K1329" t="s">
        <v>10</v>
      </c>
      <c r="L1329" t="s">
        <v>69</v>
      </c>
      <c r="M1329" t="s">
        <v>59</v>
      </c>
      <c r="N1329">
        <v>2887464</v>
      </c>
      <c r="O1329" t="s">
        <v>63</v>
      </c>
      <c r="P1329" t="s">
        <v>85</v>
      </c>
    </row>
    <row r="1330" spans="10:16" ht="0" hidden="1" customHeight="1" x14ac:dyDescent="0.3">
      <c r="J1330" t="s">
        <v>49</v>
      </c>
      <c r="K1330" t="s">
        <v>11</v>
      </c>
      <c r="L1330" t="s">
        <v>71</v>
      </c>
      <c r="M1330" t="s">
        <v>59</v>
      </c>
      <c r="N1330">
        <v>15589</v>
      </c>
      <c r="O1330" t="s">
        <v>70</v>
      </c>
      <c r="P1330" t="s">
        <v>68</v>
      </c>
    </row>
    <row r="1331" spans="10:16" ht="0" hidden="1" customHeight="1" x14ac:dyDescent="0.3">
      <c r="J1331" t="s">
        <v>55</v>
      </c>
      <c r="K1331" t="s">
        <v>13</v>
      </c>
      <c r="L1331" t="s">
        <v>72</v>
      </c>
      <c r="M1331" t="s">
        <v>59</v>
      </c>
      <c r="N1331">
        <v>66005395</v>
      </c>
      <c r="O1331" t="s">
        <v>63</v>
      </c>
      <c r="P1331" t="s">
        <v>85</v>
      </c>
    </row>
    <row r="1332" spans="10:16" ht="0" hidden="1" customHeight="1" x14ac:dyDescent="0.3">
      <c r="J1332" t="s">
        <v>55</v>
      </c>
      <c r="K1332" t="s">
        <v>8</v>
      </c>
      <c r="L1332" t="s">
        <v>71</v>
      </c>
      <c r="M1332" t="s">
        <v>59</v>
      </c>
      <c r="N1332">
        <v>16606</v>
      </c>
      <c r="O1332" t="s">
        <v>67</v>
      </c>
      <c r="P1332" t="s">
        <v>85</v>
      </c>
    </row>
    <row r="1333" spans="10:16" ht="0" hidden="1" customHeight="1" x14ac:dyDescent="0.3">
      <c r="J1333" t="s">
        <v>55</v>
      </c>
      <c r="K1333" t="s">
        <v>9</v>
      </c>
      <c r="L1333" t="s">
        <v>71</v>
      </c>
      <c r="M1333" t="s">
        <v>59</v>
      </c>
      <c r="N1333">
        <v>5276302</v>
      </c>
      <c r="O1333" t="s">
        <v>67</v>
      </c>
      <c r="P1333" t="s">
        <v>85</v>
      </c>
    </row>
    <row r="1334" spans="10:16" ht="0" hidden="1" customHeight="1" x14ac:dyDescent="0.3">
      <c r="J1334" t="s">
        <v>49</v>
      </c>
      <c r="K1334" t="s">
        <v>11</v>
      </c>
      <c r="L1334" t="s">
        <v>58</v>
      </c>
      <c r="M1334" t="s">
        <v>59</v>
      </c>
      <c r="N1334">
        <v>6352568</v>
      </c>
      <c r="O1334" t="s">
        <v>63</v>
      </c>
      <c r="P1334" t="s">
        <v>68</v>
      </c>
    </row>
    <row r="1335" spans="10:16" ht="0" hidden="1" customHeight="1" x14ac:dyDescent="0.3">
      <c r="J1335" t="s">
        <v>49</v>
      </c>
      <c r="K1335" t="s">
        <v>12</v>
      </c>
      <c r="L1335" t="s">
        <v>71</v>
      </c>
      <c r="M1335" t="s">
        <v>59</v>
      </c>
      <c r="N1335">
        <v>26535594</v>
      </c>
      <c r="O1335" t="s">
        <v>60</v>
      </c>
      <c r="P1335" t="s">
        <v>85</v>
      </c>
    </row>
    <row r="1336" spans="10:16" ht="0" hidden="1" customHeight="1" x14ac:dyDescent="0.3">
      <c r="J1336" t="s">
        <v>49</v>
      </c>
      <c r="K1336" t="s">
        <v>10</v>
      </c>
      <c r="L1336" t="s">
        <v>71</v>
      </c>
      <c r="M1336" t="s">
        <v>59</v>
      </c>
      <c r="N1336">
        <v>33541048</v>
      </c>
      <c r="O1336" t="s">
        <v>70</v>
      </c>
      <c r="P1336" t="s">
        <v>85</v>
      </c>
    </row>
    <row r="1337" spans="10:16" ht="0" hidden="1" customHeight="1" x14ac:dyDescent="0.3">
      <c r="J1337" t="s">
        <v>55</v>
      </c>
      <c r="K1337" t="s">
        <v>11</v>
      </c>
      <c r="L1337" t="s">
        <v>69</v>
      </c>
      <c r="M1337" t="s">
        <v>59</v>
      </c>
      <c r="N1337">
        <v>255249</v>
      </c>
      <c r="O1337" t="s">
        <v>63</v>
      </c>
      <c r="P1337" t="s">
        <v>85</v>
      </c>
    </row>
    <row r="1338" spans="10:16" ht="0" hidden="1" customHeight="1" x14ac:dyDescent="0.3">
      <c r="J1338" t="s">
        <v>55</v>
      </c>
      <c r="K1338" t="s">
        <v>14</v>
      </c>
      <c r="L1338" t="s">
        <v>69</v>
      </c>
      <c r="M1338" t="s">
        <v>59</v>
      </c>
      <c r="N1338">
        <v>327656</v>
      </c>
      <c r="O1338" t="s">
        <v>70</v>
      </c>
      <c r="P1338" t="s">
        <v>85</v>
      </c>
    </row>
    <row r="1339" spans="10:16" ht="0" hidden="1" customHeight="1" x14ac:dyDescent="0.3">
      <c r="J1339" t="s">
        <v>55</v>
      </c>
      <c r="K1339" t="s">
        <v>13</v>
      </c>
      <c r="L1339" t="s">
        <v>58</v>
      </c>
      <c r="M1339" t="s">
        <v>59</v>
      </c>
      <c r="N1339">
        <v>220713</v>
      </c>
      <c r="O1339" t="s">
        <v>70</v>
      </c>
      <c r="P1339" t="s">
        <v>85</v>
      </c>
    </row>
    <row r="1340" spans="10:16" ht="0" hidden="1" customHeight="1" x14ac:dyDescent="0.3">
      <c r="J1340" t="s">
        <v>49</v>
      </c>
      <c r="K1340" t="s">
        <v>9</v>
      </c>
      <c r="L1340" t="s">
        <v>58</v>
      </c>
      <c r="M1340" t="s">
        <v>59</v>
      </c>
      <c r="N1340">
        <v>69674934</v>
      </c>
      <c r="O1340" t="s">
        <v>63</v>
      </c>
      <c r="P1340" t="s">
        <v>85</v>
      </c>
    </row>
    <row r="1341" spans="10:16" ht="0" hidden="1" customHeight="1" x14ac:dyDescent="0.3">
      <c r="J1341" t="s">
        <v>49</v>
      </c>
      <c r="K1341" t="s">
        <v>13</v>
      </c>
      <c r="L1341" t="s">
        <v>71</v>
      </c>
      <c r="M1341" t="s">
        <v>59</v>
      </c>
      <c r="N1341">
        <v>6090854</v>
      </c>
      <c r="O1341" t="s">
        <v>67</v>
      </c>
      <c r="P1341" t="s">
        <v>85</v>
      </c>
    </row>
    <row r="1342" spans="10:16" ht="0" hidden="1" customHeight="1" x14ac:dyDescent="0.3">
      <c r="J1342" t="s">
        <v>55</v>
      </c>
      <c r="K1342" t="s">
        <v>10</v>
      </c>
      <c r="L1342" t="s">
        <v>58</v>
      </c>
      <c r="M1342" t="s">
        <v>59</v>
      </c>
      <c r="N1342">
        <v>1032545500</v>
      </c>
      <c r="O1342" t="s">
        <v>60</v>
      </c>
      <c r="P1342" t="s">
        <v>85</v>
      </c>
    </row>
    <row r="1343" spans="10:16" ht="0" hidden="1" customHeight="1" x14ac:dyDescent="0.3">
      <c r="J1343" t="s">
        <v>49</v>
      </c>
      <c r="K1343" t="s">
        <v>12</v>
      </c>
      <c r="L1343" t="s">
        <v>71</v>
      </c>
      <c r="M1343" t="s">
        <v>59</v>
      </c>
      <c r="N1343">
        <v>119407689</v>
      </c>
      <c r="O1343" t="s">
        <v>63</v>
      </c>
      <c r="P1343" t="s">
        <v>85</v>
      </c>
    </row>
    <row r="1344" spans="10:16" ht="0" hidden="1" customHeight="1" x14ac:dyDescent="0.3">
      <c r="J1344" t="s">
        <v>55</v>
      </c>
      <c r="K1344" t="s">
        <v>11</v>
      </c>
      <c r="L1344" t="s">
        <v>58</v>
      </c>
      <c r="M1344" t="s">
        <v>59</v>
      </c>
      <c r="N1344">
        <v>253255938</v>
      </c>
      <c r="O1344" t="s">
        <v>63</v>
      </c>
      <c r="P1344" t="s">
        <v>85</v>
      </c>
    </row>
    <row r="1345" spans="10:16" ht="0" hidden="1" customHeight="1" x14ac:dyDescent="0.3">
      <c r="J1345" t="s">
        <v>55</v>
      </c>
      <c r="K1345" t="s">
        <v>13</v>
      </c>
      <c r="L1345" t="s">
        <v>69</v>
      </c>
      <c r="M1345" t="s">
        <v>59</v>
      </c>
      <c r="N1345">
        <v>130226165</v>
      </c>
      <c r="O1345" t="s">
        <v>67</v>
      </c>
      <c r="P1345" t="s">
        <v>85</v>
      </c>
    </row>
    <row r="1346" spans="10:16" ht="0" hidden="1" customHeight="1" x14ac:dyDescent="0.3">
      <c r="J1346" t="s">
        <v>49</v>
      </c>
      <c r="K1346" t="s">
        <v>13</v>
      </c>
      <c r="L1346" t="s">
        <v>72</v>
      </c>
      <c r="M1346" t="s">
        <v>59</v>
      </c>
      <c r="N1346">
        <v>2745685</v>
      </c>
      <c r="O1346" t="s">
        <v>63</v>
      </c>
      <c r="P1346" t="s">
        <v>85</v>
      </c>
    </row>
    <row r="1347" spans="10:16" ht="0" hidden="1" customHeight="1" x14ac:dyDescent="0.3">
      <c r="J1347" t="s">
        <v>55</v>
      </c>
      <c r="K1347" t="s">
        <v>10</v>
      </c>
      <c r="L1347" t="s">
        <v>58</v>
      </c>
      <c r="M1347" t="s">
        <v>59</v>
      </c>
      <c r="N1347">
        <v>126945042</v>
      </c>
      <c r="O1347" t="s">
        <v>73</v>
      </c>
      <c r="P1347" t="s">
        <v>85</v>
      </c>
    </row>
    <row r="1348" spans="10:16" ht="0" hidden="1" customHeight="1" x14ac:dyDescent="0.3">
      <c r="J1348" t="s">
        <v>55</v>
      </c>
      <c r="K1348" t="s">
        <v>12</v>
      </c>
      <c r="L1348" t="s">
        <v>58</v>
      </c>
      <c r="M1348" t="s">
        <v>59</v>
      </c>
      <c r="N1348">
        <v>20755488</v>
      </c>
      <c r="P1348" t="s">
        <v>85</v>
      </c>
    </row>
    <row r="1349" spans="10:16" ht="0" hidden="1" customHeight="1" x14ac:dyDescent="0.3">
      <c r="J1349" t="s">
        <v>49</v>
      </c>
      <c r="K1349" t="s">
        <v>10</v>
      </c>
      <c r="L1349" t="s">
        <v>58</v>
      </c>
      <c r="M1349" t="s">
        <v>59</v>
      </c>
      <c r="N1349">
        <v>106879</v>
      </c>
      <c r="O1349" t="s">
        <v>77</v>
      </c>
      <c r="P1349" t="s">
        <v>66</v>
      </c>
    </row>
    <row r="1350" spans="10:16" ht="0" hidden="1" customHeight="1" x14ac:dyDescent="0.3">
      <c r="J1350" t="s">
        <v>55</v>
      </c>
      <c r="K1350" t="s">
        <v>9</v>
      </c>
      <c r="L1350" t="s">
        <v>69</v>
      </c>
      <c r="M1350" t="s">
        <v>59</v>
      </c>
      <c r="N1350">
        <v>45183</v>
      </c>
      <c r="O1350" t="s">
        <v>67</v>
      </c>
      <c r="P1350" t="s">
        <v>85</v>
      </c>
    </row>
    <row r="1351" spans="10:16" ht="0" hidden="1" customHeight="1" x14ac:dyDescent="0.3">
      <c r="J1351" t="s">
        <v>55</v>
      </c>
      <c r="K1351" t="s">
        <v>12</v>
      </c>
      <c r="L1351" t="s">
        <v>71</v>
      </c>
      <c r="M1351" t="s">
        <v>59</v>
      </c>
      <c r="N1351">
        <v>510961791</v>
      </c>
      <c r="O1351" t="s">
        <v>60</v>
      </c>
      <c r="P1351" t="s">
        <v>85</v>
      </c>
    </row>
  </sheetData>
  <autoFilter ref="I9:O490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showGridLines="0" zoomScaleNormal="100" workbookViewId="0">
      <pane ySplit="6" topLeftCell="A7" activePane="bottomLeft" state="frozen"/>
      <selection pane="bottomLeft"/>
    </sheetView>
  </sheetViews>
  <sheetFormatPr defaultColWidth="0" defaultRowHeight="0" customHeight="1" zeroHeight="1" outlineLevelRow="2" x14ac:dyDescent="0.3"/>
  <cols>
    <col min="1" max="1" width="3.6640625" customWidth="1"/>
    <col min="2" max="2" width="15.5546875" bestFit="1" customWidth="1"/>
    <col min="3" max="3" width="44.6640625" customWidth="1"/>
    <col min="4" max="6" width="25.6640625" customWidth="1"/>
    <col min="7" max="7" width="3.6640625" customWidth="1"/>
    <col min="8" max="14" width="9.109375" customWidth="1"/>
    <col min="15" max="16" width="3.6640625" customWidth="1"/>
    <col min="17" max="16384" width="9.109375" hidden="1"/>
  </cols>
  <sheetData>
    <row r="1" spans="1:16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4.4" x14ac:dyDescent="0.3"/>
    <row r="8" spans="1:16" ht="14.4" outlineLevel="2" x14ac:dyDescent="0.3"/>
    <row r="9" spans="1:16" ht="14.4" outlineLevel="2" x14ac:dyDescent="0.3"/>
    <row r="10" spans="1:16" ht="14.4" outlineLevel="2" x14ac:dyDescent="0.3"/>
    <row r="11" spans="1:16" ht="14.4" outlineLevel="2" x14ac:dyDescent="0.3"/>
    <row r="12" spans="1:16" ht="14.4" outlineLevel="2" x14ac:dyDescent="0.3"/>
    <row r="13" spans="1:16" ht="14.4" outlineLevel="2" x14ac:dyDescent="0.3"/>
    <row r="14" spans="1:16" ht="14.4" outlineLevel="2" x14ac:dyDescent="0.3"/>
    <row r="15" spans="1:16" ht="14.4" outlineLevel="2" x14ac:dyDescent="0.3"/>
    <row r="16" spans="1:16" ht="14.4" outlineLevel="2" x14ac:dyDescent="0.3"/>
    <row r="17" ht="14.4" outlineLevel="2" x14ac:dyDescent="0.3"/>
    <row r="18" ht="14.4" outlineLevel="2" x14ac:dyDescent="0.3"/>
    <row r="19" ht="14.4" outlineLevel="2" x14ac:dyDescent="0.3"/>
    <row r="20" ht="14.4" outlineLevel="2" x14ac:dyDescent="0.3"/>
    <row r="21" ht="14.4" outlineLevel="2" x14ac:dyDescent="0.3"/>
    <row r="22" ht="14.4" outlineLevel="2" x14ac:dyDescent="0.3"/>
    <row r="23" ht="14.4" hidden="1" outlineLevel="2" x14ac:dyDescent="0.3"/>
    <row r="24" ht="14.4" hidden="1" outlineLevel="2" x14ac:dyDescent="0.3"/>
    <row r="25" ht="14.4" hidden="1" outlineLevel="2" x14ac:dyDescent="0.3"/>
    <row r="26" ht="14.4" hidden="1" outlineLevel="2" x14ac:dyDescent="0.3"/>
    <row r="27" ht="14.4" hidden="1" outlineLevel="2" x14ac:dyDescent="0.3"/>
    <row r="28" ht="14.4" hidden="1" outlineLevel="2" x14ac:dyDescent="0.3"/>
    <row r="29" ht="14.4" hidden="1" outlineLevel="2" x14ac:dyDescent="0.3"/>
    <row r="30" ht="14.4" hidden="1" outlineLevel="2" x14ac:dyDescent="0.3"/>
    <row r="31" ht="14.4" hidden="1" outlineLevel="2" x14ac:dyDescent="0.3"/>
    <row r="32" ht="14.4" hidden="1" outlineLevel="2" x14ac:dyDescent="0.3"/>
    <row r="33" ht="14.4" hidden="1" outlineLevel="2" x14ac:dyDescent="0.3"/>
    <row r="34" ht="14.4" hidden="1" outlineLevel="2" x14ac:dyDescent="0.3"/>
    <row r="35" ht="14.4" hidden="1" outlineLevel="2" x14ac:dyDescent="0.3"/>
    <row r="36" ht="14.4" hidden="1" outlineLevel="2" x14ac:dyDescent="0.3"/>
    <row r="37" ht="14.4" hidden="1" outlineLevel="2" x14ac:dyDescent="0.3"/>
    <row r="38" ht="14.4" hidden="1" outlineLevel="2" x14ac:dyDescent="0.3"/>
    <row r="39" ht="14.4" hidden="1" outlineLevel="2" x14ac:dyDescent="0.3"/>
    <row r="40" ht="14.4" hidden="1" outlineLevel="2" x14ac:dyDescent="0.3"/>
    <row r="41" ht="14.4" hidden="1" outlineLevel="2" x14ac:dyDescent="0.3"/>
    <row r="42" ht="14.4" hidden="1" outlineLevel="2" x14ac:dyDescent="0.3"/>
    <row r="43" ht="14.4" hidden="1" outlineLevel="2" x14ac:dyDescent="0.3"/>
    <row r="44" ht="14.4" hidden="1" outlineLevel="2" x14ac:dyDescent="0.3"/>
    <row r="45" ht="14.4" hidden="1" outlineLevel="2" x14ac:dyDescent="0.3"/>
    <row r="46" ht="14.4" hidden="1" outlineLevel="2" x14ac:dyDescent="0.3"/>
    <row r="47" ht="14.4" hidden="1" outlineLevel="2" x14ac:dyDescent="0.3"/>
    <row r="48" ht="0" hidden="1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20"/>
  <sheetViews>
    <sheetView showGridLines="0" zoomScaleNormal="100" workbookViewId="0">
      <pane xSplit="2" topLeftCell="C1" activePane="topRight" state="frozen"/>
      <selection pane="topRight"/>
    </sheetView>
  </sheetViews>
  <sheetFormatPr defaultColWidth="9.109375" defaultRowHeight="14.4" zeroHeight="1" outlineLevelRow="1" x14ac:dyDescent="0.3"/>
  <cols>
    <col min="1" max="1" width="3.6640625" customWidth="1"/>
    <col min="2" max="2" width="83.6640625" customWidth="1"/>
    <col min="3" max="3" width="10.6640625" customWidth="1"/>
    <col min="4" max="5" width="12.5546875" bestFit="1" customWidth="1"/>
    <col min="6" max="6" width="10.6640625" customWidth="1"/>
    <col min="7" max="8" width="12.5546875" bestFit="1" customWidth="1"/>
    <col min="9" max="9" width="10.6640625" customWidth="1"/>
    <col min="10" max="11" width="12.5546875" bestFit="1" customWidth="1"/>
    <col min="12" max="12" width="10.6640625" customWidth="1"/>
    <col min="13" max="14" width="11.5546875" bestFit="1" customWidth="1"/>
    <col min="15" max="15" width="9.109375" customWidth="1"/>
    <col min="16" max="17" width="10" bestFit="1" customWidth="1"/>
    <col min="18" max="27" width="9.109375" customWidth="1"/>
    <col min="28" max="29" width="10" bestFit="1" customWidth="1"/>
    <col min="30" max="30" width="9.109375" customWidth="1"/>
    <col min="31" max="32" width="11.5546875" bestFit="1" customWidth="1"/>
    <col min="33" max="33" width="9.109375" customWidth="1"/>
    <col min="34" max="35" width="10" bestFit="1" customWidth="1"/>
    <col min="36" max="45" width="9.109375" customWidth="1"/>
    <col min="46" max="47" width="11.5546875" bestFit="1" customWidth="1"/>
    <col min="48" max="48" width="2.6640625" customWidth="1"/>
  </cols>
  <sheetData>
    <row r="1" spans="1:4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x14ac:dyDescent="0.3"/>
    <row r="8" spans="1:48" x14ac:dyDescent="0.3">
      <c r="C8" s="6" t="s">
        <v>1</v>
      </c>
      <c r="D8" s="7"/>
      <c r="E8" s="7"/>
      <c r="F8" s="6" t="s">
        <v>2</v>
      </c>
      <c r="G8" s="7"/>
      <c r="H8" s="7"/>
      <c r="I8" s="6" t="s">
        <v>3</v>
      </c>
      <c r="J8" s="7"/>
      <c r="K8" s="7"/>
      <c r="L8" s="6" t="s">
        <v>4</v>
      </c>
      <c r="M8" s="7"/>
      <c r="N8" s="7"/>
      <c r="O8" s="6" t="s">
        <v>5</v>
      </c>
      <c r="P8" s="7"/>
      <c r="Q8" s="7"/>
      <c r="R8" s="6" t="s">
        <v>6</v>
      </c>
      <c r="S8" s="7"/>
      <c r="T8" s="7"/>
      <c r="U8" s="6" t="s">
        <v>7</v>
      </c>
      <c r="V8" s="7"/>
      <c r="W8" s="7"/>
      <c r="X8" s="6" t="s">
        <v>8</v>
      </c>
      <c r="Y8" s="7"/>
      <c r="Z8" s="7"/>
      <c r="AA8" s="6" t="s">
        <v>9</v>
      </c>
      <c r="AB8" s="7"/>
      <c r="AC8" s="7"/>
      <c r="AD8" s="6" t="s">
        <v>10</v>
      </c>
      <c r="AE8" s="7"/>
      <c r="AF8" s="7"/>
      <c r="AG8" s="6" t="s">
        <v>11</v>
      </c>
      <c r="AH8" s="7"/>
      <c r="AI8" s="7"/>
      <c r="AJ8" s="6" t="s">
        <v>12</v>
      </c>
      <c r="AK8" s="7"/>
      <c r="AL8" s="7"/>
      <c r="AM8" s="6" t="s">
        <v>13</v>
      </c>
      <c r="AN8" s="7"/>
      <c r="AO8" s="7"/>
      <c r="AP8" s="6" t="s">
        <v>14</v>
      </c>
      <c r="AQ8" s="7"/>
      <c r="AR8" s="7"/>
      <c r="AS8" s="6" t="s">
        <v>15</v>
      </c>
      <c r="AT8" s="7"/>
      <c r="AU8" s="7"/>
    </row>
    <row r="9" spans="1:48" x14ac:dyDescent="0.3">
      <c r="B9" s="5"/>
      <c r="C9" s="16">
        <v>45627</v>
      </c>
      <c r="D9" s="16">
        <v>45748</v>
      </c>
      <c r="E9" s="15" t="s">
        <v>0</v>
      </c>
      <c r="F9" s="16">
        <v>45627</v>
      </c>
      <c r="G9" s="16">
        <v>45748</v>
      </c>
      <c r="H9" s="15" t="s">
        <v>0</v>
      </c>
      <c r="I9" s="16">
        <v>45627</v>
      </c>
      <c r="J9" s="16">
        <v>45748</v>
      </c>
      <c r="K9" s="15" t="s">
        <v>0</v>
      </c>
      <c r="L9" s="16">
        <v>45627</v>
      </c>
      <c r="M9" s="16">
        <v>45748</v>
      </c>
      <c r="N9" s="15" t="s">
        <v>0</v>
      </c>
      <c r="O9" s="16">
        <v>45627</v>
      </c>
      <c r="P9" s="16">
        <v>45748</v>
      </c>
      <c r="Q9" s="15" t="s">
        <v>0</v>
      </c>
      <c r="R9" s="16">
        <v>45627</v>
      </c>
      <c r="S9" s="16">
        <v>45748</v>
      </c>
      <c r="T9" s="15" t="s">
        <v>0</v>
      </c>
      <c r="U9" s="16">
        <v>45627</v>
      </c>
      <c r="V9" s="16">
        <v>45748</v>
      </c>
      <c r="W9" s="15" t="s">
        <v>0</v>
      </c>
      <c r="X9" s="16">
        <v>45627</v>
      </c>
      <c r="Y9" s="16">
        <v>45748</v>
      </c>
      <c r="Z9" s="15" t="s">
        <v>0</v>
      </c>
      <c r="AA9" s="16">
        <v>45627</v>
      </c>
      <c r="AB9" s="16">
        <v>45748</v>
      </c>
      <c r="AC9" s="15" t="s">
        <v>0</v>
      </c>
      <c r="AD9" s="16">
        <v>45627</v>
      </c>
      <c r="AE9" s="16">
        <v>45748</v>
      </c>
      <c r="AF9" s="15" t="s">
        <v>0</v>
      </c>
      <c r="AG9" s="16">
        <v>45627</v>
      </c>
      <c r="AH9" s="16">
        <v>45748</v>
      </c>
      <c r="AI9" s="15" t="s">
        <v>0</v>
      </c>
      <c r="AJ9" s="16">
        <v>45627</v>
      </c>
      <c r="AK9" s="16">
        <v>45748</v>
      </c>
      <c r="AL9" s="15" t="s">
        <v>0</v>
      </c>
      <c r="AM9" s="16">
        <v>45627</v>
      </c>
      <c r="AN9" s="16">
        <v>45748</v>
      </c>
      <c r="AO9" s="15" t="s">
        <v>0</v>
      </c>
      <c r="AP9" s="16">
        <v>45627</v>
      </c>
      <c r="AQ9" s="16">
        <v>45748</v>
      </c>
      <c r="AR9" s="15" t="s">
        <v>0</v>
      </c>
      <c r="AS9" s="16">
        <v>45627</v>
      </c>
      <c r="AT9" s="16">
        <v>45748</v>
      </c>
      <c r="AU9" s="15" t="s">
        <v>0</v>
      </c>
    </row>
    <row r="10" spans="1:48" x14ac:dyDescent="0.3">
      <c r="B10" s="17" t="s">
        <v>18</v>
      </c>
      <c r="C10" s="18">
        <f>'Dez24'!D14</f>
        <v>26904.628052</v>
      </c>
      <c r="D10" s="18">
        <f>Paralelo!D14</f>
        <v>26833.996931000001</v>
      </c>
      <c r="E10" s="18">
        <f t="shared" ref="E10:E19" si="0">D10-C10</f>
        <v>-70.631120999998529</v>
      </c>
      <c r="F10" s="18">
        <f>'Dez24'!E14</f>
        <v>13857.398217</v>
      </c>
      <c r="G10" s="18">
        <f>Paralelo!E14</f>
        <v>8842.7385169999998</v>
      </c>
      <c r="H10" s="18">
        <f t="shared" ref="H10:H19" si="1">G10-F10</f>
        <v>-5014.6597000000002</v>
      </c>
      <c r="I10" s="18">
        <f>'Dez24'!F14</f>
        <v>10225.19167</v>
      </c>
      <c r="J10" s="18">
        <f>Paralelo!F14</f>
        <v>6594.472025</v>
      </c>
      <c r="K10" s="18">
        <f t="shared" ref="K10:K19" si="2">J10-I10</f>
        <v>-3630.7196450000001</v>
      </c>
      <c r="L10" s="18">
        <f>'Dez24'!G14</f>
        <v>2367.2076109999998</v>
      </c>
      <c r="M10" s="18">
        <f>Paralelo!G14</f>
        <v>1780.6512420000001</v>
      </c>
      <c r="N10" s="18">
        <f t="shared" ref="N10:N19" si="3">M10-L10</f>
        <v>-586.55636899999968</v>
      </c>
      <c r="O10" s="18">
        <f>'Dez24'!H14</f>
        <v>188.210984</v>
      </c>
      <c r="P10" s="18">
        <f>Paralelo!H14</f>
        <v>249.815676</v>
      </c>
      <c r="Q10" s="18">
        <f t="shared" ref="Q10:Q19" si="4">P10-O10</f>
        <v>61.604692</v>
      </c>
      <c r="R10" s="18">
        <f>'Dez24'!I14</f>
        <v>1.1108199999999999</v>
      </c>
      <c r="S10" s="18">
        <f>Paralelo!I14</f>
        <v>73.330776</v>
      </c>
      <c r="T10" s="18">
        <f t="shared" ref="T10:T19" si="5">S10-R10</f>
        <v>72.219955999999996</v>
      </c>
      <c r="U10" s="18">
        <f>'Dez24'!J14</f>
        <v>1.5201309999999999</v>
      </c>
      <c r="V10" s="18">
        <f>Paralelo!J14</f>
        <v>87.35429400000001</v>
      </c>
      <c r="W10" s="18">
        <f t="shared" ref="W10:W19" si="6">V10-U10</f>
        <v>85.834163000000004</v>
      </c>
      <c r="X10" s="18">
        <f>'Dez24'!K14</f>
        <v>1671.450621</v>
      </c>
      <c r="Y10" s="18">
        <f>Paralelo!K14</f>
        <v>1745.4755439999999</v>
      </c>
      <c r="Z10" s="18">
        <f t="shared" ref="Z10:Z19" si="7">Y10-X10</f>
        <v>74.024922999999944</v>
      </c>
      <c r="AA10" s="18">
        <f>'Dez24'!L14</f>
        <v>1784.9640039999999</v>
      </c>
      <c r="AB10" s="18">
        <f>Paralelo!L14</f>
        <v>1814.156438</v>
      </c>
      <c r="AC10" s="18">
        <f t="shared" ref="AC10:AC19" si="8">AB10-AA10</f>
        <v>29.192434000000048</v>
      </c>
      <c r="AD10" s="18">
        <f>'Dez24'!M14</f>
        <v>3299.9852810000002</v>
      </c>
      <c r="AE10" s="18">
        <f>Paralelo!M14</f>
        <v>3317.7250480000002</v>
      </c>
      <c r="AF10" s="18">
        <f t="shared" ref="AF10:AF19" si="9">AE10-AD10</f>
        <v>17.739767000000029</v>
      </c>
      <c r="AG10" s="18">
        <f>'Dez24'!N14</f>
        <v>3275.3678460000001</v>
      </c>
      <c r="AH10" s="18">
        <f>Paralelo!N14</f>
        <v>3289.722276</v>
      </c>
      <c r="AI10" s="18">
        <f t="shared" ref="AI10:AI19" si="10">AH10-AG10</f>
        <v>14.354429999999866</v>
      </c>
      <c r="AJ10" s="21">
        <f>'Dez24'!O14</f>
        <v>1823.456758</v>
      </c>
      <c r="AK10" s="21">
        <f>Paralelo!O14</f>
        <v>1832.8598530000002</v>
      </c>
      <c r="AL10" s="21">
        <f t="shared" ref="AL10:AL19" si="11">AK10-AJ10</f>
        <v>9.4030950000001212</v>
      </c>
      <c r="AM10" s="21">
        <f>'Dez24'!P14</f>
        <v>817.21932600000002</v>
      </c>
      <c r="AN10" s="21">
        <f>Paralelo!P14</f>
        <v>821.85213199999998</v>
      </c>
      <c r="AO10" s="21">
        <f t="shared" ref="AO10:AO19" si="12">AN10-AM10</f>
        <v>4.6328059999999596</v>
      </c>
      <c r="AP10" s="21">
        <f>'Dez24'!Q14</f>
        <v>2.9791750000000001</v>
      </c>
      <c r="AQ10" s="21">
        <f>Paralelo!Q14</f>
        <v>2.979174</v>
      </c>
      <c r="AR10" s="21">
        <f t="shared" ref="AR10:AR19" si="13">AQ10-AP10</f>
        <v>-1.000000000139778E-6</v>
      </c>
      <c r="AS10" s="21">
        <f>'Dez24'!R14</f>
        <v>14229.205040999999</v>
      </c>
      <c r="AT10" s="21">
        <f>Paralelo!R14</f>
        <v>14002.447517999999</v>
      </c>
      <c r="AU10" s="21">
        <f>AT10-AS10</f>
        <v>-226.75752300000022</v>
      </c>
    </row>
    <row r="11" spans="1:48" outlineLevel="1" x14ac:dyDescent="0.3">
      <c r="B11" s="19" t="s">
        <v>19</v>
      </c>
      <c r="C11" s="20">
        <f>'Dez24'!D15</f>
        <v>3564.4292249999999</v>
      </c>
      <c r="D11" s="20">
        <f>Paralelo!D15</f>
        <v>3564.4292190000001</v>
      </c>
      <c r="E11" s="20">
        <f t="shared" si="0"/>
        <v>-5.9999997574777808E-6</v>
      </c>
      <c r="F11" s="20">
        <f>'Dez24'!E15</f>
        <v>1309.576605</v>
      </c>
      <c r="G11" s="20">
        <f>Paralelo!E15</f>
        <v>1195.789205</v>
      </c>
      <c r="H11" s="20">
        <f t="shared" si="1"/>
        <v>-113.78739999999993</v>
      </c>
      <c r="I11" s="20">
        <f>'Dez24'!F15</f>
        <v>1805.1866259999999</v>
      </c>
      <c r="J11" s="20">
        <f>Paralelo!F15</f>
        <v>1697.329377</v>
      </c>
      <c r="K11" s="20">
        <f t="shared" si="2"/>
        <v>-107.85724899999991</v>
      </c>
      <c r="L11" s="20">
        <f>'Dez24'!G15</f>
        <v>215.60634300000001</v>
      </c>
      <c r="M11" s="20">
        <f>Paralelo!G15</f>
        <v>208.25164699999999</v>
      </c>
      <c r="N11" s="20">
        <f t="shared" si="3"/>
        <v>-7.3546960000000183</v>
      </c>
      <c r="O11" s="20">
        <f>'Dez24'!H15</f>
        <v>9.0199110000000005</v>
      </c>
      <c r="P11" s="20">
        <f>Paralelo!H15</f>
        <v>10.462529</v>
      </c>
      <c r="Q11" s="20">
        <f t="shared" si="4"/>
        <v>1.4426179999999995</v>
      </c>
      <c r="R11" s="20">
        <f>'Dez24'!I15</f>
        <v>1.0000000000000001E-5</v>
      </c>
      <c r="S11" s="20">
        <f>Paralelo!I15</f>
        <v>5.4134419999999999</v>
      </c>
      <c r="T11" s="20">
        <f t="shared" si="5"/>
        <v>5.4134320000000002</v>
      </c>
      <c r="U11" s="20">
        <f>'Dez24'!J15</f>
        <v>1.5201309999999999</v>
      </c>
      <c r="V11" s="20">
        <f>Paralelo!J15</f>
        <v>13.343540000000001</v>
      </c>
      <c r="W11" s="20">
        <f t="shared" si="6"/>
        <v>11.823409000000002</v>
      </c>
      <c r="X11" s="20">
        <f>'Dez24'!K15</f>
        <v>76.726506999999998</v>
      </c>
      <c r="Y11" s="20">
        <f>Paralelo!K15</f>
        <v>76.938940000000002</v>
      </c>
      <c r="Z11" s="20">
        <f t="shared" si="7"/>
        <v>0.21243300000000431</v>
      </c>
      <c r="AA11" s="20">
        <f>'Dez24'!L15</f>
        <v>162.195592</v>
      </c>
      <c r="AB11" s="20">
        <f>Paralelo!L15</f>
        <v>160.71633499999999</v>
      </c>
      <c r="AC11" s="20">
        <f t="shared" si="8"/>
        <v>-1.4792570000000183</v>
      </c>
      <c r="AD11" s="20">
        <f>'Dez24'!M15</f>
        <v>106.266201</v>
      </c>
      <c r="AE11" s="20">
        <f>Paralelo!M15</f>
        <v>107.044533</v>
      </c>
      <c r="AF11" s="20">
        <f t="shared" si="9"/>
        <v>0.77833200000000602</v>
      </c>
      <c r="AG11" s="20">
        <f>'Dez24'!N15</f>
        <v>75.884760999999997</v>
      </c>
      <c r="AH11" s="20">
        <f>Paralelo!N15</f>
        <v>76.000791000000007</v>
      </c>
      <c r="AI11" s="20">
        <f t="shared" si="10"/>
        <v>0.11603000000000918</v>
      </c>
      <c r="AJ11" s="22">
        <f>'Dez24'!O15</f>
        <v>35.911971000000001</v>
      </c>
      <c r="AK11" s="22">
        <f>Paralelo!O15</f>
        <v>36.374197000000002</v>
      </c>
      <c r="AL11" s="22">
        <f t="shared" si="11"/>
        <v>0.46222600000000114</v>
      </c>
      <c r="AM11" s="22">
        <f>'Dez24'!P15</f>
        <v>33.117263999999999</v>
      </c>
      <c r="AN11" s="22">
        <f>Paralelo!P15</f>
        <v>33.117265000000003</v>
      </c>
      <c r="AO11" s="22">
        <f t="shared" si="12"/>
        <v>1.0000000045806701E-6</v>
      </c>
      <c r="AP11" s="22">
        <f>'Dez24'!Q15</f>
        <v>0.71281399999999995</v>
      </c>
      <c r="AQ11" s="22">
        <f>Paralelo!Q15</f>
        <v>0.71281399999999995</v>
      </c>
      <c r="AR11" s="22">
        <f t="shared" si="13"/>
        <v>0</v>
      </c>
      <c r="AS11" s="22">
        <f>'Dez24'!R15</f>
        <v>3073.6141149999999</v>
      </c>
      <c r="AT11" s="22">
        <f>Paralelo!R15</f>
        <v>3066.8999359999998</v>
      </c>
      <c r="AU11" s="22">
        <f t="shared" ref="AU11:AU19" si="14">AT11-AS11</f>
        <v>-6.7141790000000583</v>
      </c>
    </row>
    <row r="12" spans="1:48" outlineLevel="1" x14ac:dyDescent="0.3">
      <c r="B12" s="19" t="s">
        <v>20</v>
      </c>
      <c r="C12" s="20">
        <f>'Dez24'!D16</f>
        <v>23291.74726</v>
      </c>
      <c r="D12" s="20">
        <f>Paralelo!D16</f>
        <v>23269.567712</v>
      </c>
      <c r="E12" s="20">
        <f t="shared" ref="E12:E19" si="15">D12-C12</f>
        <v>-22.179548000000068</v>
      </c>
      <c r="F12" s="20">
        <f>'Dez24'!E16</f>
        <v>12529.955185000001</v>
      </c>
      <c r="G12" s="20">
        <f>Paralelo!E16</f>
        <v>7646.9493119999997</v>
      </c>
      <c r="H12" s="20">
        <f t="shared" ref="H12:H19" si="16">G12-F12</f>
        <v>-4883.005873000001</v>
      </c>
      <c r="I12" s="20">
        <f>'Dez24'!F16</f>
        <v>8394.6603680000007</v>
      </c>
      <c r="J12" s="20">
        <f>Paralelo!F16</f>
        <v>4897.142648</v>
      </c>
      <c r="K12" s="20">
        <f t="shared" ref="K12:K19" si="17">J12-I12</f>
        <v>-3497.5177200000007</v>
      </c>
      <c r="L12" s="20">
        <f>'Dez24'!G16</f>
        <v>2149.729104</v>
      </c>
      <c r="M12" s="20">
        <f>Paralelo!G16</f>
        <v>1572.3995950000001</v>
      </c>
      <c r="N12" s="20">
        <f t="shared" ref="N12:N19" si="18">M12-L12</f>
        <v>-577.32950899999992</v>
      </c>
      <c r="O12" s="20">
        <f>'Dez24'!H16</f>
        <v>178.979591</v>
      </c>
      <c r="P12" s="20">
        <f>Paralelo!H16</f>
        <v>239.35314700000001</v>
      </c>
      <c r="Q12" s="20">
        <f t="shared" ref="Q12:Q19" si="19">P12-O12</f>
        <v>60.373556000000008</v>
      </c>
      <c r="R12" s="20">
        <f>'Dez24'!I16</f>
        <v>1.1108100000000001</v>
      </c>
      <c r="S12" s="20">
        <f>Paralelo!I16</f>
        <v>67.917333999999997</v>
      </c>
      <c r="T12" s="20">
        <f t="shared" ref="T12:T19" si="20">S12-R12</f>
        <v>66.806523999999996</v>
      </c>
      <c r="U12" s="20">
        <f>'Dez24'!J16</f>
        <v>0</v>
      </c>
      <c r="V12" s="20">
        <f>Paralelo!J16</f>
        <v>74.010754000000006</v>
      </c>
      <c r="W12" s="20">
        <f t="shared" ref="W12:W19" si="21">V12-U12</f>
        <v>74.010754000000006</v>
      </c>
      <c r="X12" s="20">
        <f>'Dez24'!K16</f>
        <v>1594.7241140000001</v>
      </c>
      <c r="Y12" s="20">
        <f>Paralelo!K16</f>
        <v>1668.5366039999999</v>
      </c>
      <c r="Z12" s="86">
        <f t="shared" ref="Z12:Z19" si="22">Y12-X12</f>
        <v>73.812489999999798</v>
      </c>
      <c r="AA12" s="20">
        <f>'Dez24'!L16</f>
        <v>1622.6418289999999</v>
      </c>
      <c r="AB12" s="20">
        <f>Paralelo!L16</f>
        <v>1653.4401029999999</v>
      </c>
      <c r="AC12" s="86">
        <f t="shared" ref="AC12:AC19" si="23">AB12-AA12</f>
        <v>30.798273999999992</v>
      </c>
      <c r="AD12" s="20">
        <f>'Dez24'!M16</f>
        <v>3193.2777120000001</v>
      </c>
      <c r="AE12" s="20">
        <f>Paralelo!M16</f>
        <v>3210.680515</v>
      </c>
      <c r="AF12" s="20">
        <f t="shared" ref="AF12:AF19" si="24">AE12-AD12</f>
        <v>17.402802999999949</v>
      </c>
      <c r="AG12" s="20">
        <f>'Dez24'!N16</f>
        <v>3199.195678</v>
      </c>
      <c r="AH12" s="20">
        <f>Paralelo!N16</f>
        <v>3213.721485</v>
      </c>
      <c r="AI12" s="20">
        <f t="shared" ref="AI12:AI19" si="25">AH12-AG12</f>
        <v>14.525806999999986</v>
      </c>
      <c r="AJ12" s="22">
        <f>'Dez24'!O16</f>
        <v>1787.281853</v>
      </c>
      <c r="AK12" s="22">
        <f>Paralelo!O16</f>
        <v>1796.4856560000001</v>
      </c>
      <c r="AL12" s="22">
        <f t="shared" ref="AL12:AL19" si="26">AK12-AJ12</f>
        <v>9.2038030000001072</v>
      </c>
      <c r="AM12" s="22">
        <f>'Dez24'!P16</f>
        <v>783.44508900000005</v>
      </c>
      <c r="AN12" s="22">
        <f>Paralelo!P16</f>
        <v>788.73486700000001</v>
      </c>
      <c r="AO12" s="22">
        <f t="shared" ref="AO12:AO19" si="27">AN12-AM12</f>
        <v>5.2897779999999557</v>
      </c>
      <c r="AP12" s="22">
        <f>'Dez24'!Q16</f>
        <v>2.2663609999999998</v>
      </c>
      <c r="AQ12" s="22">
        <f>Paralelo!Q16</f>
        <v>2.2663600000000002</v>
      </c>
      <c r="AR12" s="22">
        <f t="shared" ref="AR12:AR19" si="28">AQ12-AP12</f>
        <v>-9.9999999969568876E-7</v>
      </c>
      <c r="AS12" s="22">
        <f>'Dez24'!R16</f>
        <v>11108.914623999999</v>
      </c>
      <c r="AT12" s="22">
        <f>Paralelo!R16</f>
        <v>10935.547581999999</v>
      </c>
      <c r="AU12" s="90">
        <f t="shared" ref="AU12:AU19" si="29">AT12-AS12</f>
        <v>-173.36704199999986</v>
      </c>
    </row>
    <row r="13" spans="1:48" ht="15" customHeight="1" outlineLevel="1" x14ac:dyDescent="0.3">
      <c r="B13" s="19" t="s">
        <v>21</v>
      </c>
      <c r="C13" s="20">
        <f>'Dez24'!D17</f>
        <v>48.451566999999997</v>
      </c>
      <c r="D13" s="20">
        <f>Paralelo!D17</f>
        <v>0</v>
      </c>
      <c r="E13" s="20">
        <f t="shared" si="15"/>
        <v>-48.451566999999997</v>
      </c>
      <c r="F13" s="20">
        <f>'Dez24'!E17</f>
        <v>17.866427000000002</v>
      </c>
      <c r="G13" s="20">
        <f>Paralelo!E17</f>
        <v>0</v>
      </c>
      <c r="H13" s="20">
        <f t="shared" si="16"/>
        <v>-17.866427000000002</v>
      </c>
      <c r="I13" s="20">
        <f>'Dez24'!F17</f>
        <v>25.344676</v>
      </c>
      <c r="J13" s="20">
        <f>Paralelo!F17</f>
        <v>0</v>
      </c>
      <c r="K13" s="20">
        <f t="shared" si="17"/>
        <v>-25.344676</v>
      </c>
      <c r="L13" s="20">
        <f>'Dez24'!G17</f>
        <v>1.8721639999999999</v>
      </c>
      <c r="M13" s="20">
        <f>Paralelo!G17</f>
        <v>0</v>
      </c>
      <c r="N13" s="20">
        <f t="shared" si="18"/>
        <v>-1.8721639999999999</v>
      </c>
      <c r="O13" s="20">
        <f>'Dez24'!H17</f>
        <v>0.211482</v>
      </c>
      <c r="P13" s="20">
        <f>Paralelo!H17</f>
        <v>0</v>
      </c>
      <c r="Q13" s="20">
        <f t="shared" si="19"/>
        <v>-0.211482</v>
      </c>
      <c r="R13" s="20">
        <f>'Dez24'!I17</f>
        <v>0</v>
      </c>
      <c r="S13" s="20">
        <f>Paralelo!I17</f>
        <v>0</v>
      </c>
      <c r="T13" s="20">
        <f t="shared" si="20"/>
        <v>0</v>
      </c>
      <c r="U13" s="20">
        <f>'Dez24'!J17</f>
        <v>0</v>
      </c>
      <c r="V13" s="20">
        <f>Paralelo!J17</f>
        <v>0</v>
      </c>
      <c r="W13" s="20">
        <f t="shared" si="21"/>
        <v>0</v>
      </c>
      <c r="X13" s="20">
        <f>'Dez24'!K17</f>
        <v>0</v>
      </c>
      <c r="Y13" s="20">
        <f>Paralelo!K17</f>
        <v>0</v>
      </c>
      <c r="Z13" s="20">
        <f t="shared" si="22"/>
        <v>0</v>
      </c>
      <c r="AA13" s="20">
        <f>'Dez24'!L17</f>
        <v>0.126583</v>
      </c>
      <c r="AB13" s="20">
        <f>Paralelo!L17</f>
        <v>0</v>
      </c>
      <c r="AC13" s="20">
        <f t="shared" si="23"/>
        <v>-0.126583</v>
      </c>
      <c r="AD13" s="20">
        <f>'Dez24'!M17</f>
        <v>0.44136799999999998</v>
      </c>
      <c r="AE13" s="20">
        <f>Paralelo!M17</f>
        <v>0</v>
      </c>
      <c r="AF13" s="20">
        <f t="shared" si="24"/>
        <v>-0.44136799999999998</v>
      </c>
      <c r="AG13" s="20">
        <f>'Dez24'!N17</f>
        <v>0.28740700000000002</v>
      </c>
      <c r="AH13" s="20">
        <f>Paralelo!N17</f>
        <v>0</v>
      </c>
      <c r="AI13" s="20">
        <f t="shared" si="25"/>
        <v>-0.28740700000000002</v>
      </c>
      <c r="AJ13" s="22">
        <f>'Dez24'!O17</f>
        <v>0.262934</v>
      </c>
      <c r="AK13" s="22">
        <f>Paralelo!O17</f>
        <v>0</v>
      </c>
      <c r="AL13" s="22">
        <f t="shared" si="26"/>
        <v>-0.262934</v>
      </c>
      <c r="AM13" s="22">
        <f>'Dez24'!P17</f>
        <v>0.65697300000000003</v>
      </c>
      <c r="AN13" s="22">
        <f>Paralelo!P17</f>
        <v>0</v>
      </c>
      <c r="AO13" s="22">
        <f t="shared" si="27"/>
        <v>-0.65697300000000003</v>
      </c>
      <c r="AP13" s="22">
        <f>'Dez24'!Q17</f>
        <v>0</v>
      </c>
      <c r="AQ13" s="22">
        <f>Paralelo!Q17</f>
        <v>0</v>
      </c>
      <c r="AR13" s="22">
        <f t="shared" si="28"/>
        <v>0</v>
      </c>
      <c r="AS13" s="22">
        <f>'Dez24'!R17</f>
        <v>46.676302</v>
      </c>
      <c r="AT13" s="22">
        <f>Paralelo!R17</f>
        <v>0</v>
      </c>
      <c r="AU13" s="22">
        <f t="shared" si="29"/>
        <v>-46.676302</v>
      </c>
    </row>
    <row r="14" spans="1:48" ht="15" customHeight="1" outlineLevel="1" x14ac:dyDescent="0.3">
      <c r="B14" s="19" t="s">
        <v>22</v>
      </c>
      <c r="C14" s="20">
        <f>'Dez24'!D18</f>
        <v>26640.639433</v>
      </c>
      <c r="D14" s="20">
        <f>Paralelo!D18</f>
        <v>17646.746002</v>
      </c>
      <c r="E14" s="86">
        <f t="shared" si="15"/>
        <v>-8993.8934310000004</v>
      </c>
      <c r="F14" s="20">
        <f>'Dez24'!E18</f>
        <v>13857.398217</v>
      </c>
      <c r="G14" s="20">
        <f>Paralelo!E18</f>
        <v>8842.7385169999998</v>
      </c>
      <c r="H14" s="86">
        <f t="shared" si="16"/>
        <v>-5014.6597000000002</v>
      </c>
      <c r="I14" s="20">
        <f>'Dez24'!F18</f>
        <v>10225.19167</v>
      </c>
      <c r="J14" s="20">
        <f>Paralelo!F18</f>
        <v>6594.472025</v>
      </c>
      <c r="K14" s="86">
        <f t="shared" si="17"/>
        <v>-3630.7196450000001</v>
      </c>
      <c r="L14" s="20">
        <f>'Dez24'!G18</f>
        <v>2367.2076109999998</v>
      </c>
      <c r="M14" s="20">
        <f>Paralelo!G18</f>
        <v>1780.6512419999999</v>
      </c>
      <c r="N14" s="20">
        <f t="shared" si="18"/>
        <v>-586.5563689999999</v>
      </c>
      <c r="O14" s="20">
        <f>'Dez24'!H18</f>
        <v>188.210984</v>
      </c>
      <c r="P14" s="20">
        <f>Paralelo!H18</f>
        <v>249.815676</v>
      </c>
      <c r="Q14" s="20">
        <f t="shared" si="19"/>
        <v>61.604692</v>
      </c>
      <c r="R14" s="20">
        <f>'Dez24'!I18</f>
        <v>1.1108199999999999</v>
      </c>
      <c r="S14" s="20">
        <f>Paralelo!I18</f>
        <v>73.330776</v>
      </c>
      <c r="T14" s="20">
        <f t="shared" si="20"/>
        <v>72.219955999999996</v>
      </c>
      <c r="U14" s="20">
        <f>'Dez24'!J18</f>
        <v>1.5201309999999999</v>
      </c>
      <c r="V14" s="20">
        <f>Paralelo!J18</f>
        <v>87.354293999999996</v>
      </c>
      <c r="W14" s="20">
        <f t="shared" si="21"/>
        <v>85.83416299999999</v>
      </c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8"/>
      <c r="AK14" s="88"/>
      <c r="AL14" s="88"/>
      <c r="AM14" s="88"/>
      <c r="AN14" s="88"/>
      <c r="AO14" s="88"/>
      <c r="AP14" s="88"/>
      <c r="AQ14" s="88"/>
      <c r="AR14" s="88"/>
      <c r="AS14" s="22">
        <f>'Dez24'!R18</f>
        <v>13965.712417999999</v>
      </c>
      <c r="AT14" s="22">
        <f>Paralelo!R18</f>
        <v>13749.273423000001</v>
      </c>
      <c r="AU14" s="89">
        <f t="shared" si="29"/>
        <v>-216.43899499999861</v>
      </c>
    </row>
    <row r="15" spans="1:48" ht="15" customHeight="1" x14ac:dyDescent="0.3">
      <c r="B15" s="68" t="s">
        <v>23</v>
      </c>
      <c r="C15" s="18">
        <f>'Dez24'!D19</f>
        <v>0</v>
      </c>
      <c r="D15" s="18">
        <f>Paralelo!D19</f>
        <v>22.179551</v>
      </c>
      <c r="E15" s="18">
        <f t="shared" si="15"/>
        <v>22.179551</v>
      </c>
      <c r="F15" s="18">
        <f>'Dez24'!E19</f>
        <v>0</v>
      </c>
      <c r="G15" s="18">
        <f>Paralelo!E19</f>
        <v>10.931941</v>
      </c>
      <c r="H15" s="18">
        <f t="shared" si="16"/>
        <v>10.931941</v>
      </c>
      <c r="I15" s="18">
        <f>'Dez24'!F19</f>
        <v>0</v>
      </c>
      <c r="J15" s="18">
        <f>Paralelo!F19</f>
        <v>3.5176050000000001</v>
      </c>
      <c r="K15" s="18">
        <f t="shared" si="17"/>
        <v>3.5176050000000001</v>
      </c>
      <c r="L15" s="18">
        <f>'Dez24'!G19</f>
        <v>0</v>
      </c>
      <c r="M15" s="18">
        <f>Paralelo!G19</f>
        <v>2.4192399999999998</v>
      </c>
      <c r="N15" s="18">
        <f t="shared" si="18"/>
        <v>2.4192399999999998</v>
      </c>
      <c r="O15" s="18">
        <f>'Dez24'!H19</f>
        <v>0</v>
      </c>
      <c r="P15" s="18">
        <f>Paralelo!H19</f>
        <v>0.94138900000000003</v>
      </c>
      <c r="Q15" s="18">
        <f t="shared" si="19"/>
        <v>0.94138900000000003</v>
      </c>
      <c r="R15" s="18">
        <f>'Dez24'!I19</f>
        <v>0</v>
      </c>
      <c r="S15" s="18">
        <f>Paralelo!I19</f>
        <v>0.43797399999999997</v>
      </c>
      <c r="T15" s="18">
        <f t="shared" si="20"/>
        <v>0.43797399999999997</v>
      </c>
      <c r="U15" s="18">
        <f>'Dez24'!J19</f>
        <v>0</v>
      </c>
      <c r="V15" s="18">
        <f>Paralelo!J19</f>
        <v>0.135323</v>
      </c>
      <c r="W15" s="18">
        <f t="shared" si="21"/>
        <v>0.135323</v>
      </c>
      <c r="X15" s="18">
        <f>'Dez24'!K19</f>
        <v>0</v>
      </c>
      <c r="Y15" s="18">
        <f>Paralelo!K19</f>
        <v>3.0636899999999998</v>
      </c>
      <c r="Z15" s="18">
        <f t="shared" si="22"/>
        <v>3.0636899999999998</v>
      </c>
      <c r="AA15" s="18">
        <f>'Dez24'!L19</f>
        <v>0</v>
      </c>
      <c r="AB15" s="18">
        <f>Paralelo!L19</f>
        <v>7.0418390000000004</v>
      </c>
      <c r="AC15" s="18">
        <f t="shared" si="23"/>
        <v>7.0418390000000004</v>
      </c>
      <c r="AD15" s="18">
        <f>'Dez24'!M19</f>
        <v>0</v>
      </c>
      <c r="AE15" s="18">
        <f>Paralelo!M19</f>
        <v>2.3548830000000001</v>
      </c>
      <c r="AF15" s="18">
        <f t="shared" si="24"/>
        <v>2.3548830000000001</v>
      </c>
      <c r="AG15" s="18">
        <f>'Dez24'!N19</f>
        <v>0</v>
      </c>
      <c r="AH15" s="18">
        <f>Paralelo!N19</f>
        <v>2.1034470000000001</v>
      </c>
      <c r="AI15" s="18">
        <f t="shared" si="25"/>
        <v>2.1034470000000001</v>
      </c>
      <c r="AJ15" s="21">
        <f>'Dez24'!O19</f>
        <v>0</v>
      </c>
      <c r="AK15" s="21">
        <f>Paralelo!O19</f>
        <v>2.3693080000000002</v>
      </c>
      <c r="AL15" s="21">
        <f t="shared" si="26"/>
        <v>2.3693080000000002</v>
      </c>
      <c r="AM15" s="21">
        <f>'Dez24'!P19</f>
        <v>0</v>
      </c>
      <c r="AN15" s="21">
        <f>Paralelo!P19</f>
        <v>1.2256819999999999</v>
      </c>
      <c r="AO15" s="21">
        <f t="shared" si="27"/>
        <v>1.2256819999999999</v>
      </c>
      <c r="AP15" s="21">
        <f>'Dez24'!Q19</f>
        <v>0</v>
      </c>
      <c r="AQ15" s="21">
        <f>Paralelo!Q19</f>
        <v>0</v>
      </c>
      <c r="AR15" s="21">
        <f t="shared" si="28"/>
        <v>0</v>
      </c>
      <c r="AS15" s="21">
        <f>'Dez24'!R19</f>
        <v>0</v>
      </c>
      <c r="AT15" s="21">
        <f>Paralelo!R19</f>
        <v>4.020702</v>
      </c>
      <c r="AU15" s="21">
        <f t="shared" si="29"/>
        <v>4.020702</v>
      </c>
    </row>
    <row r="16" spans="1:48" ht="15" customHeight="1" outlineLevel="1" x14ac:dyDescent="0.3">
      <c r="B16" s="19" t="s">
        <v>19</v>
      </c>
      <c r="C16" s="20">
        <f>'Dez24'!D20</f>
        <v>0</v>
      </c>
      <c r="D16" s="20">
        <f>Paralelo!D20</f>
        <v>0</v>
      </c>
      <c r="E16" s="20">
        <f t="shared" si="15"/>
        <v>0</v>
      </c>
      <c r="F16" s="20">
        <f>'Dez24'!E20</f>
        <v>0</v>
      </c>
      <c r="G16" s="20">
        <f>Paralelo!E20</f>
        <v>0</v>
      </c>
      <c r="H16" s="20">
        <f t="shared" si="16"/>
        <v>0</v>
      </c>
      <c r="I16" s="20">
        <f>'Dez24'!F20</f>
        <v>0</v>
      </c>
      <c r="J16" s="20">
        <f>Paralelo!F20</f>
        <v>0</v>
      </c>
      <c r="K16" s="20">
        <f t="shared" si="17"/>
        <v>0</v>
      </c>
      <c r="L16" s="20">
        <f>'Dez24'!G20</f>
        <v>0</v>
      </c>
      <c r="M16" s="20">
        <f>Paralelo!G20</f>
        <v>0</v>
      </c>
      <c r="N16" s="20">
        <f t="shared" si="18"/>
        <v>0</v>
      </c>
      <c r="O16" s="20">
        <f>'Dez24'!H20</f>
        <v>0</v>
      </c>
      <c r="P16" s="20">
        <f>Paralelo!H20</f>
        <v>0</v>
      </c>
      <c r="Q16" s="20">
        <f t="shared" si="19"/>
        <v>0</v>
      </c>
      <c r="R16" s="20">
        <f>'Dez24'!I20</f>
        <v>0</v>
      </c>
      <c r="S16" s="20">
        <f>Paralelo!I20</f>
        <v>0</v>
      </c>
      <c r="T16" s="20">
        <f t="shared" si="20"/>
        <v>0</v>
      </c>
      <c r="U16" s="20">
        <f>'Dez24'!J20</f>
        <v>0</v>
      </c>
      <c r="V16" s="20">
        <f>Paralelo!J20</f>
        <v>0</v>
      </c>
      <c r="W16" s="20">
        <f t="shared" si="21"/>
        <v>0</v>
      </c>
      <c r="X16" s="20">
        <f>'Dez24'!K20</f>
        <v>0</v>
      </c>
      <c r="Y16" s="20">
        <f>Paralelo!K20</f>
        <v>0</v>
      </c>
      <c r="Z16" s="20">
        <f t="shared" si="22"/>
        <v>0</v>
      </c>
      <c r="AA16" s="20">
        <f>'Dez24'!L20</f>
        <v>0</v>
      </c>
      <c r="AB16" s="20">
        <f>Paralelo!L20</f>
        <v>0</v>
      </c>
      <c r="AC16" s="20">
        <f t="shared" si="23"/>
        <v>0</v>
      </c>
      <c r="AD16" s="20">
        <f>'Dez24'!M20</f>
        <v>0</v>
      </c>
      <c r="AE16" s="20">
        <f>Paralelo!M20</f>
        <v>0</v>
      </c>
      <c r="AF16" s="20">
        <f t="shared" si="24"/>
        <v>0</v>
      </c>
      <c r="AG16" s="20">
        <f>'Dez24'!N20</f>
        <v>0</v>
      </c>
      <c r="AH16" s="20">
        <f>Paralelo!N20</f>
        <v>0</v>
      </c>
      <c r="AI16" s="20">
        <f t="shared" si="25"/>
        <v>0</v>
      </c>
      <c r="AJ16" s="22">
        <f>'Dez24'!O20</f>
        <v>0</v>
      </c>
      <c r="AK16" s="22">
        <f>Paralelo!O20</f>
        <v>0</v>
      </c>
      <c r="AL16" s="22">
        <f t="shared" si="26"/>
        <v>0</v>
      </c>
      <c r="AM16" s="22">
        <f>'Dez24'!P20</f>
        <v>0</v>
      </c>
      <c r="AN16" s="22">
        <f>Paralelo!P20</f>
        <v>0</v>
      </c>
      <c r="AO16" s="22">
        <f t="shared" si="27"/>
        <v>0</v>
      </c>
      <c r="AP16" s="22">
        <f>'Dez24'!Q20</f>
        <v>0</v>
      </c>
      <c r="AQ16" s="22">
        <f>Paralelo!Q20</f>
        <v>0</v>
      </c>
      <c r="AR16" s="22">
        <f t="shared" si="28"/>
        <v>0</v>
      </c>
      <c r="AS16" s="22">
        <f>'Dez24'!R20</f>
        <v>0</v>
      </c>
      <c r="AT16" s="22">
        <f>Paralelo!R20</f>
        <v>0</v>
      </c>
      <c r="AU16" s="22">
        <f t="shared" si="29"/>
        <v>0</v>
      </c>
    </row>
    <row r="17" spans="2:47" ht="15" customHeight="1" outlineLevel="1" x14ac:dyDescent="0.3">
      <c r="B17" s="19" t="s">
        <v>20</v>
      </c>
      <c r="C17" s="20">
        <f>'Dez24'!D21</f>
        <v>0</v>
      </c>
      <c r="D17" s="20">
        <f>Paralelo!D21</f>
        <v>22.179551</v>
      </c>
      <c r="E17" s="20">
        <f t="shared" si="15"/>
        <v>22.179551</v>
      </c>
      <c r="F17" s="20">
        <f>'Dez24'!E21</f>
        <v>0</v>
      </c>
      <c r="G17" s="20">
        <f>Paralelo!E21</f>
        <v>10.931941</v>
      </c>
      <c r="H17" s="20">
        <f t="shared" si="16"/>
        <v>10.931941</v>
      </c>
      <c r="I17" s="20">
        <f>'Dez24'!F21</f>
        <v>0</v>
      </c>
      <c r="J17" s="20">
        <f>Paralelo!F21</f>
        <v>3.5176050000000001</v>
      </c>
      <c r="K17" s="20">
        <f t="shared" si="17"/>
        <v>3.5176050000000001</v>
      </c>
      <c r="L17" s="20">
        <f>'Dez24'!G21</f>
        <v>0</v>
      </c>
      <c r="M17" s="20">
        <f>Paralelo!G21</f>
        <v>2.4192399999999998</v>
      </c>
      <c r="N17" s="20">
        <f t="shared" si="18"/>
        <v>2.4192399999999998</v>
      </c>
      <c r="O17" s="20">
        <f>'Dez24'!H21</f>
        <v>0</v>
      </c>
      <c r="P17" s="20">
        <f>Paralelo!H21</f>
        <v>0.94138900000000003</v>
      </c>
      <c r="Q17" s="20">
        <f t="shared" si="19"/>
        <v>0.94138900000000003</v>
      </c>
      <c r="R17" s="20">
        <f>'Dez24'!I21</f>
        <v>0</v>
      </c>
      <c r="S17" s="20">
        <f>Paralelo!I21</f>
        <v>0.43797399999999997</v>
      </c>
      <c r="T17" s="20">
        <f t="shared" si="20"/>
        <v>0.43797399999999997</v>
      </c>
      <c r="U17" s="20">
        <f>'Dez24'!J21</f>
        <v>0</v>
      </c>
      <c r="V17" s="20">
        <f>Paralelo!J21</f>
        <v>0.135323</v>
      </c>
      <c r="W17" s="20">
        <f t="shared" si="21"/>
        <v>0.135323</v>
      </c>
      <c r="X17" s="20">
        <f>'Dez24'!K21</f>
        <v>0</v>
      </c>
      <c r="Y17" s="20">
        <f>Paralelo!K21</f>
        <v>3.0636899999999998</v>
      </c>
      <c r="Z17" s="20">
        <f t="shared" si="22"/>
        <v>3.0636899999999998</v>
      </c>
      <c r="AA17" s="20">
        <f>'Dez24'!L21</f>
        <v>0</v>
      </c>
      <c r="AB17" s="20">
        <f>Paralelo!L21</f>
        <v>7.0418390000000004</v>
      </c>
      <c r="AC17" s="20">
        <f t="shared" si="23"/>
        <v>7.0418390000000004</v>
      </c>
      <c r="AD17" s="20">
        <f>'Dez24'!M21</f>
        <v>0</v>
      </c>
      <c r="AE17" s="20">
        <f>Paralelo!M21</f>
        <v>2.3548830000000001</v>
      </c>
      <c r="AF17" s="20">
        <f t="shared" si="24"/>
        <v>2.3548830000000001</v>
      </c>
      <c r="AG17" s="20">
        <f>'Dez24'!N21</f>
        <v>0</v>
      </c>
      <c r="AH17" s="20">
        <f>Paralelo!N21</f>
        <v>2.1034470000000001</v>
      </c>
      <c r="AI17" s="20">
        <f t="shared" si="25"/>
        <v>2.1034470000000001</v>
      </c>
      <c r="AJ17" s="22">
        <f>'Dez24'!O21</f>
        <v>0</v>
      </c>
      <c r="AK17" s="22">
        <f>Paralelo!O21</f>
        <v>2.3693080000000002</v>
      </c>
      <c r="AL17" s="22">
        <f t="shared" si="26"/>
        <v>2.3693080000000002</v>
      </c>
      <c r="AM17" s="22">
        <f>'Dez24'!P21</f>
        <v>0</v>
      </c>
      <c r="AN17" s="22">
        <f>Paralelo!P21</f>
        <v>1.2256819999999999</v>
      </c>
      <c r="AO17" s="22">
        <f t="shared" si="27"/>
        <v>1.2256819999999999</v>
      </c>
      <c r="AP17" s="22">
        <f>'Dez24'!Q21</f>
        <v>0</v>
      </c>
      <c r="AQ17" s="22">
        <f>Paralelo!Q21</f>
        <v>0</v>
      </c>
      <c r="AR17" s="22">
        <f t="shared" si="28"/>
        <v>0</v>
      </c>
      <c r="AS17" s="22">
        <f>'Dez24'!R21</f>
        <v>0</v>
      </c>
      <c r="AT17" s="22">
        <f>Paralelo!R21</f>
        <v>4.020702</v>
      </c>
      <c r="AU17" s="22">
        <f t="shared" si="29"/>
        <v>4.020702</v>
      </c>
    </row>
    <row r="18" spans="2:47" ht="15" customHeight="1" outlineLevel="1" x14ac:dyDescent="0.3">
      <c r="B18" s="19" t="s">
        <v>21</v>
      </c>
      <c r="C18" s="20">
        <f>'Dez24'!D22</f>
        <v>0</v>
      </c>
      <c r="D18" s="20">
        <f>Paralelo!D22</f>
        <v>0</v>
      </c>
      <c r="E18" s="20">
        <f t="shared" si="15"/>
        <v>0</v>
      </c>
      <c r="F18" s="20">
        <f>'Dez24'!E22</f>
        <v>0</v>
      </c>
      <c r="G18" s="20">
        <f>Paralelo!E22</f>
        <v>0</v>
      </c>
      <c r="H18" s="20">
        <f t="shared" si="16"/>
        <v>0</v>
      </c>
      <c r="I18" s="20">
        <f>'Dez24'!F22</f>
        <v>0</v>
      </c>
      <c r="J18" s="20">
        <f>Paralelo!F22</f>
        <v>0</v>
      </c>
      <c r="K18" s="20">
        <f t="shared" si="17"/>
        <v>0</v>
      </c>
      <c r="L18" s="20">
        <f>'Dez24'!G22</f>
        <v>0</v>
      </c>
      <c r="M18" s="20">
        <f>Paralelo!G22</f>
        <v>0</v>
      </c>
      <c r="N18" s="20">
        <f t="shared" si="18"/>
        <v>0</v>
      </c>
      <c r="O18" s="20">
        <f>'Dez24'!H22</f>
        <v>0</v>
      </c>
      <c r="P18" s="20">
        <f>Paralelo!H22</f>
        <v>0</v>
      </c>
      <c r="Q18" s="20">
        <f t="shared" si="19"/>
        <v>0</v>
      </c>
      <c r="R18" s="20">
        <f>'Dez24'!I22</f>
        <v>0</v>
      </c>
      <c r="S18" s="20">
        <f>Paralelo!I22</f>
        <v>0</v>
      </c>
      <c r="T18" s="20">
        <f t="shared" si="20"/>
        <v>0</v>
      </c>
      <c r="U18" s="20">
        <f>'Dez24'!J22</f>
        <v>0</v>
      </c>
      <c r="V18" s="20">
        <f>Paralelo!J22</f>
        <v>0</v>
      </c>
      <c r="W18" s="20">
        <f t="shared" si="21"/>
        <v>0</v>
      </c>
      <c r="X18" s="20">
        <f>'Dez24'!K22</f>
        <v>0</v>
      </c>
      <c r="Y18" s="20">
        <f>Paralelo!K22</f>
        <v>0</v>
      </c>
      <c r="Z18" s="20">
        <f t="shared" si="22"/>
        <v>0</v>
      </c>
      <c r="AA18" s="20">
        <f>'Dez24'!L22</f>
        <v>0</v>
      </c>
      <c r="AB18" s="20">
        <f>Paralelo!L22</f>
        <v>0</v>
      </c>
      <c r="AC18" s="20">
        <f t="shared" si="23"/>
        <v>0</v>
      </c>
      <c r="AD18" s="20">
        <f>'Dez24'!M22</f>
        <v>0</v>
      </c>
      <c r="AE18" s="20">
        <f>Paralelo!M22</f>
        <v>0</v>
      </c>
      <c r="AF18" s="20">
        <f t="shared" si="24"/>
        <v>0</v>
      </c>
      <c r="AG18" s="20">
        <f>'Dez24'!N22</f>
        <v>0</v>
      </c>
      <c r="AH18" s="20">
        <f>Paralelo!N22</f>
        <v>0</v>
      </c>
      <c r="AI18" s="20">
        <f t="shared" si="25"/>
        <v>0</v>
      </c>
      <c r="AJ18" s="22">
        <f>'Dez24'!O22</f>
        <v>0</v>
      </c>
      <c r="AK18" s="22">
        <f>Paralelo!O22</f>
        <v>0</v>
      </c>
      <c r="AL18" s="22">
        <f t="shared" si="26"/>
        <v>0</v>
      </c>
      <c r="AM18" s="22">
        <f>'Dez24'!P22</f>
        <v>0</v>
      </c>
      <c r="AN18" s="22">
        <f>Paralelo!P22</f>
        <v>0</v>
      </c>
      <c r="AO18" s="22">
        <f t="shared" si="27"/>
        <v>0</v>
      </c>
      <c r="AP18" s="22">
        <f>'Dez24'!Q22</f>
        <v>0</v>
      </c>
      <c r="AQ18" s="22">
        <f>Paralelo!Q22</f>
        <v>0</v>
      </c>
      <c r="AR18" s="22">
        <f t="shared" si="28"/>
        <v>0</v>
      </c>
      <c r="AS18" s="22">
        <f>'Dez24'!R22</f>
        <v>0</v>
      </c>
      <c r="AT18" s="22">
        <f>Paralelo!R22</f>
        <v>0</v>
      </c>
      <c r="AU18" s="22">
        <f t="shared" si="29"/>
        <v>0</v>
      </c>
    </row>
    <row r="19" spans="2:47" outlineLevel="1" x14ac:dyDescent="0.3">
      <c r="B19" s="19" t="s">
        <v>22</v>
      </c>
      <c r="C19" s="20">
        <f>'Dez24'!D23</f>
        <v>0</v>
      </c>
      <c r="D19" s="20">
        <f>Paralelo!D23</f>
        <v>18.383472000000001</v>
      </c>
      <c r="E19" s="20">
        <f t="shared" si="15"/>
        <v>18.383472000000001</v>
      </c>
      <c r="F19" s="20">
        <f>'Dez24'!E23</f>
        <v>0</v>
      </c>
      <c r="G19" s="20">
        <f>Paralelo!E23</f>
        <v>10.931941</v>
      </c>
      <c r="H19" s="20">
        <f t="shared" si="16"/>
        <v>10.931941</v>
      </c>
      <c r="I19" s="20">
        <f>'Dez24'!F23</f>
        <v>0</v>
      </c>
      <c r="J19" s="20">
        <f>Paralelo!F23</f>
        <v>3.5176050000000001</v>
      </c>
      <c r="K19" s="20">
        <f t="shared" si="17"/>
        <v>3.5176050000000001</v>
      </c>
      <c r="L19" s="20">
        <f>'Dez24'!G23</f>
        <v>0</v>
      </c>
      <c r="M19" s="20">
        <f>Paralelo!G23</f>
        <v>2.4192399999999998</v>
      </c>
      <c r="N19" s="20">
        <f t="shared" si="18"/>
        <v>2.4192399999999998</v>
      </c>
      <c r="O19" s="20">
        <f>'Dez24'!H23</f>
        <v>0</v>
      </c>
      <c r="P19" s="20">
        <f>Paralelo!H23</f>
        <v>0.94138900000000003</v>
      </c>
      <c r="Q19" s="20">
        <f t="shared" si="19"/>
        <v>0.94138900000000003</v>
      </c>
      <c r="R19" s="20">
        <f>'Dez24'!I23</f>
        <v>0</v>
      </c>
      <c r="S19" s="20">
        <f>Paralelo!I23</f>
        <v>0.43797399999999997</v>
      </c>
      <c r="T19" s="20">
        <f t="shared" si="20"/>
        <v>0.43797399999999997</v>
      </c>
      <c r="U19" s="20">
        <f>'Dez24'!J23</f>
        <v>0</v>
      </c>
      <c r="V19" s="20">
        <f>Paralelo!J23</f>
        <v>0.135323</v>
      </c>
      <c r="W19" s="20">
        <f t="shared" si="21"/>
        <v>0.135323</v>
      </c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8"/>
      <c r="AK19" s="88"/>
      <c r="AL19" s="88"/>
      <c r="AM19" s="88"/>
      <c r="AN19" s="88"/>
      <c r="AO19" s="88"/>
      <c r="AP19" s="88"/>
      <c r="AQ19" s="88"/>
      <c r="AR19" s="88"/>
      <c r="AS19" s="22">
        <f>'Dez24'!R23</f>
        <v>0</v>
      </c>
      <c r="AT19" s="22">
        <f>Paralelo!R23</f>
        <v>2.3466100000000001</v>
      </c>
      <c r="AU19" s="22">
        <f t="shared" si="29"/>
        <v>2.3466100000000001</v>
      </c>
    </row>
    <row r="20" spans="2:47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66"/>
  <sheetViews>
    <sheetView showGridLines="0" zoomScaleNormal="100" workbookViewId="0">
      <pane xSplit="2" topLeftCell="AJ1" activePane="topRight" state="frozen"/>
      <selection pane="topRight"/>
    </sheetView>
  </sheetViews>
  <sheetFormatPr defaultColWidth="9.109375" defaultRowHeight="15" customHeight="1" zeroHeight="1" outlineLevelRow="1" x14ac:dyDescent="0.3"/>
  <cols>
    <col min="1" max="1" width="3.6640625" customWidth="1"/>
    <col min="2" max="2" width="83.6640625" customWidth="1"/>
    <col min="3" max="4" width="11.88671875" customWidth="1"/>
    <col min="5" max="5" width="12.5546875" bestFit="1" customWidth="1"/>
    <col min="6" max="9" width="11.88671875" customWidth="1"/>
    <col min="10" max="10" width="12.5546875" bestFit="1" customWidth="1"/>
    <col min="11" max="14" width="11.88671875" customWidth="1"/>
    <col min="15" max="15" width="12.5546875" bestFit="1" customWidth="1"/>
    <col min="16" max="77" width="11.88671875" customWidth="1"/>
    <col min="78" max="78" width="2.6640625" customWidth="1"/>
    <col min="79" max="86" width="0" hidden="1" customWidth="1"/>
  </cols>
  <sheetData>
    <row r="1" spans="1:7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 spans="1:7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</row>
    <row r="7" spans="1:78" ht="14.4" x14ac:dyDescent="0.3"/>
    <row r="8" spans="1:78" ht="14.4" x14ac:dyDescent="0.3">
      <c r="C8" s="6" t="s">
        <v>1</v>
      </c>
      <c r="D8" s="6"/>
      <c r="E8" s="7"/>
      <c r="F8" s="7"/>
      <c r="G8" s="7"/>
      <c r="H8" s="6" t="s">
        <v>2</v>
      </c>
      <c r="I8" s="6"/>
      <c r="J8" s="7"/>
      <c r="K8" s="7"/>
      <c r="L8" s="7"/>
      <c r="M8" s="6" t="s">
        <v>3</v>
      </c>
      <c r="N8" s="6"/>
      <c r="O8" s="7"/>
      <c r="P8" s="7"/>
      <c r="Q8" s="7"/>
      <c r="R8" s="6" t="s">
        <v>4</v>
      </c>
      <c r="S8" s="6"/>
      <c r="T8" s="7"/>
      <c r="U8" s="7"/>
      <c r="V8" s="7"/>
      <c r="W8" s="6" t="s">
        <v>5</v>
      </c>
      <c r="X8" s="6"/>
      <c r="Y8" s="7"/>
      <c r="Z8" s="7"/>
      <c r="AA8" s="7"/>
      <c r="AB8" s="6" t="s">
        <v>6</v>
      </c>
      <c r="AC8" s="6"/>
      <c r="AD8" s="7"/>
      <c r="AE8" s="7"/>
      <c r="AF8" s="7"/>
      <c r="AG8" s="6" t="s">
        <v>7</v>
      </c>
      <c r="AH8" s="6"/>
      <c r="AI8" s="7"/>
      <c r="AJ8" s="7"/>
      <c r="AK8" s="7"/>
      <c r="AL8" s="6" t="s">
        <v>8</v>
      </c>
      <c r="AM8" s="6"/>
      <c r="AN8" s="7"/>
      <c r="AO8" s="7"/>
      <c r="AP8" s="7"/>
      <c r="AQ8" s="6" t="s">
        <v>9</v>
      </c>
      <c r="AR8" s="6"/>
      <c r="AS8" s="7"/>
      <c r="AT8" s="7"/>
      <c r="AU8" s="7"/>
      <c r="AV8" s="6" t="s">
        <v>10</v>
      </c>
      <c r="AW8" s="6"/>
      <c r="AX8" s="7"/>
      <c r="AY8" s="7"/>
      <c r="AZ8" s="7"/>
      <c r="BA8" s="6" t="s">
        <v>11</v>
      </c>
      <c r="BB8" s="6"/>
      <c r="BC8" s="7"/>
      <c r="BD8" s="7"/>
      <c r="BE8" s="7"/>
      <c r="BF8" s="6" t="s">
        <v>12</v>
      </c>
      <c r="BG8" s="6"/>
      <c r="BH8" s="7"/>
      <c r="BI8" s="7"/>
      <c r="BJ8" s="7"/>
      <c r="BK8" s="6" t="s">
        <v>13</v>
      </c>
      <c r="BL8" s="6"/>
      <c r="BM8" s="7"/>
      <c r="BN8" s="7"/>
      <c r="BO8" s="7"/>
      <c r="BP8" s="6" t="s">
        <v>14</v>
      </c>
      <c r="BQ8" s="6"/>
      <c r="BR8" s="7"/>
      <c r="BS8" s="7"/>
      <c r="BT8" s="7"/>
      <c r="BU8" s="6" t="s">
        <v>15</v>
      </c>
      <c r="BV8" s="6"/>
      <c r="BW8" s="7"/>
      <c r="BX8" s="7"/>
      <c r="BY8" s="7"/>
    </row>
    <row r="9" spans="1:78" ht="14.4" x14ac:dyDescent="0.3">
      <c r="B9" s="5"/>
      <c r="C9" s="16">
        <v>45627</v>
      </c>
      <c r="D9" s="16" t="s">
        <v>16</v>
      </c>
      <c r="E9" s="16">
        <v>45748</v>
      </c>
      <c r="F9" s="16" t="s">
        <v>86</v>
      </c>
      <c r="G9" s="15" t="s">
        <v>17</v>
      </c>
      <c r="H9" s="16">
        <v>45627</v>
      </c>
      <c r="I9" s="16" t="s">
        <v>16</v>
      </c>
      <c r="J9" s="16">
        <v>45748</v>
      </c>
      <c r="K9" s="16" t="s">
        <v>86</v>
      </c>
      <c r="L9" s="15" t="s">
        <v>17</v>
      </c>
      <c r="M9" s="16">
        <v>45627</v>
      </c>
      <c r="N9" s="16" t="s">
        <v>16</v>
      </c>
      <c r="O9" s="16">
        <v>45748</v>
      </c>
      <c r="P9" s="16" t="s">
        <v>86</v>
      </c>
      <c r="Q9" s="15" t="s">
        <v>17</v>
      </c>
      <c r="R9" s="16">
        <v>45627</v>
      </c>
      <c r="S9" s="16" t="s">
        <v>16</v>
      </c>
      <c r="T9" s="16">
        <v>45748</v>
      </c>
      <c r="U9" s="16" t="s">
        <v>86</v>
      </c>
      <c r="V9" s="15" t="s">
        <v>17</v>
      </c>
      <c r="W9" s="16">
        <v>45627</v>
      </c>
      <c r="X9" s="16" t="s">
        <v>16</v>
      </c>
      <c r="Y9" s="16">
        <v>45748</v>
      </c>
      <c r="Z9" s="16" t="s">
        <v>86</v>
      </c>
      <c r="AA9" s="15" t="s">
        <v>17</v>
      </c>
      <c r="AB9" s="16">
        <v>45627</v>
      </c>
      <c r="AC9" s="16" t="s">
        <v>16</v>
      </c>
      <c r="AD9" s="16">
        <v>45748</v>
      </c>
      <c r="AE9" s="16" t="s">
        <v>86</v>
      </c>
      <c r="AF9" s="15" t="s">
        <v>17</v>
      </c>
      <c r="AG9" s="16">
        <v>45627</v>
      </c>
      <c r="AH9" s="16" t="s">
        <v>16</v>
      </c>
      <c r="AI9" s="16">
        <v>45748</v>
      </c>
      <c r="AJ9" s="16" t="s">
        <v>86</v>
      </c>
      <c r="AK9" s="15" t="s">
        <v>17</v>
      </c>
      <c r="AL9" s="16">
        <v>45627</v>
      </c>
      <c r="AM9" s="16" t="s">
        <v>16</v>
      </c>
      <c r="AN9" s="16">
        <v>45748</v>
      </c>
      <c r="AO9" s="16" t="s">
        <v>86</v>
      </c>
      <c r="AP9" s="15" t="s">
        <v>17</v>
      </c>
      <c r="AQ9" s="16">
        <v>45627</v>
      </c>
      <c r="AR9" s="16" t="s">
        <v>16</v>
      </c>
      <c r="AS9" s="16">
        <v>45748</v>
      </c>
      <c r="AT9" s="16" t="s">
        <v>86</v>
      </c>
      <c r="AU9" s="15" t="s">
        <v>17</v>
      </c>
      <c r="AV9" s="16">
        <v>45627</v>
      </c>
      <c r="AW9" s="16" t="s">
        <v>16</v>
      </c>
      <c r="AX9" s="16">
        <v>45748</v>
      </c>
      <c r="AY9" s="16" t="s">
        <v>86</v>
      </c>
      <c r="AZ9" s="15" t="s">
        <v>17</v>
      </c>
      <c r="BA9" s="16">
        <v>45627</v>
      </c>
      <c r="BB9" s="16" t="s">
        <v>16</v>
      </c>
      <c r="BC9" s="16">
        <v>45748</v>
      </c>
      <c r="BD9" s="16" t="s">
        <v>86</v>
      </c>
      <c r="BE9" s="15" t="s">
        <v>17</v>
      </c>
      <c r="BF9" s="16">
        <v>45627</v>
      </c>
      <c r="BG9" s="16" t="s">
        <v>16</v>
      </c>
      <c r="BH9" s="16">
        <v>45748</v>
      </c>
      <c r="BI9" s="16" t="s">
        <v>86</v>
      </c>
      <c r="BJ9" s="15" t="s">
        <v>17</v>
      </c>
      <c r="BK9" s="16">
        <v>45627</v>
      </c>
      <c r="BL9" s="16" t="s">
        <v>16</v>
      </c>
      <c r="BM9" s="16">
        <v>45748</v>
      </c>
      <c r="BN9" s="16" t="s">
        <v>86</v>
      </c>
      <c r="BO9" s="15" t="s">
        <v>17</v>
      </c>
      <c r="BP9" s="16">
        <v>45627</v>
      </c>
      <c r="BQ9" s="16" t="s">
        <v>16</v>
      </c>
      <c r="BR9" s="16">
        <v>45748</v>
      </c>
      <c r="BS9" s="16" t="s">
        <v>86</v>
      </c>
      <c r="BT9" s="15" t="s">
        <v>17</v>
      </c>
      <c r="BU9" s="16">
        <v>45627</v>
      </c>
      <c r="BV9" s="16" t="s">
        <v>16</v>
      </c>
      <c r="BW9" s="16">
        <v>45748</v>
      </c>
      <c r="BX9" s="16" t="s">
        <v>86</v>
      </c>
      <c r="BY9" s="15" t="s">
        <v>17</v>
      </c>
    </row>
    <row r="10" spans="1:78" ht="14.4" x14ac:dyDescent="0.3">
      <c r="B10" s="17" t="s">
        <v>18</v>
      </c>
      <c r="C10" s="18">
        <f>'Dez24'!D14</f>
        <v>26904.628052</v>
      </c>
      <c r="D10" s="40"/>
      <c r="E10" s="18">
        <f>Paralelo!D14</f>
        <v>26833.996931000001</v>
      </c>
      <c r="F10" s="40"/>
      <c r="G10" s="18"/>
      <c r="H10" s="18">
        <f>'Dez24'!E14</f>
        <v>13857.398217</v>
      </c>
      <c r="I10" s="40"/>
      <c r="J10" s="18">
        <f>Paralelo!E14</f>
        <v>8842.7385169999998</v>
      </c>
      <c r="K10" s="40"/>
      <c r="L10" s="18"/>
      <c r="M10" s="18">
        <f>'Dez24'!F14</f>
        <v>10225.19167</v>
      </c>
      <c r="N10" s="40"/>
      <c r="O10" s="18">
        <f>Paralelo!F14</f>
        <v>6594.472025</v>
      </c>
      <c r="P10" s="40"/>
      <c r="Q10" s="18"/>
      <c r="R10" s="18">
        <f>'Dez24'!G14</f>
        <v>2367.2076109999998</v>
      </c>
      <c r="S10" s="40"/>
      <c r="T10" s="18">
        <f>Paralelo!G14</f>
        <v>1780.6512420000001</v>
      </c>
      <c r="U10" s="40"/>
      <c r="V10" s="18"/>
      <c r="W10" s="18">
        <f>'Dez24'!H14</f>
        <v>188.210984</v>
      </c>
      <c r="X10" s="40"/>
      <c r="Y10" s="18">
        <f>Paralelo!H14</f>
        <v>249.815676</v>
      </c>
      <c r="Z10" s="40"/>
      <c r="AA10" s="18"/>
      <c r="AB10" s="18">
        <f>'Dez24'!I14</f>
        <v>1.1108199999999999</v>
      </c>
      <c r="AC10" s="40"/>
      <c r="AD10" s="18">
        <f>Paralelo!I14</f>
        <v>73.330776</v>
      </c>
      <c r="AE10" s="40"/>
      <c r="AF10" s="18"/>
      <c r="AG10" s="18">
        <f>'Dez24'!J14</f>
        <v>1.5201309999999999</v>
      </c>
      <c r="AH10" s="40"/>
      <c r="AI10" s="18">
        <f>Paralelo!J14</f>
        <v>87.35429400000001</v>
      </c>
      <c r="AJ10" s="40"/>
      <c r="AK10" s="18"/>
      <c r="AL10" s="18">
        <f>'Dez24'!K14</f>
        <v>1671.450621</v>
      </c>
      <c r="AM10" s="40"/>
      <c r="AN10" s="18">
        <f>Paralelo!K14</f>
        <v>1745.4755439999999</v>
      </c>
      <c r="AO10" s="40"/>
      <c r="AP10" s="18"/>
      <c r="AQ10" s="18">
        <f>'Dez24'!L14</f>
        <v>1784.9640039999999</v>
      </c>
      <c r="AR10" s="40"/>
      <c r="AS10" s="18">
        <f>Paralelo!L14</f>
        <v>1814.156438</v>
      </c>
      <c r="AT10" s="40"/>
      <c r="AU10" s="18"/>
      <c r="AV10" s="18">
        <f>'Dez24'!M14</f>
        <v>3299.9852810000002</v>
      </c>
      <c r="AW10" s="40"/>
      <c r="AX10" s="18">
        <f>Paralelo!M14</f>
        <v>3317.7250480000002</v>
      </c>
      <c r="AY10" s="40"/>
      <c r="AZ10" s="18"/>
      <c r="BA10" s="18">
        <f>'Dez24'!N14</f>
        <v>3275.3678460000001</v>
      </c>
      <c r="BB10" s="40"/>
      <c r="BC10" s="18">
        <f>Paralelo!N14</f>
        <v>3289.722276</v>
      </c>
      <c r="BD10" s="40"/>
      <c r="BE10" s="18"/>
      <c r="BF10" s="21">
        <f>'Dez24'!O14</f>
        <v>1823.456758</v>
      </c>
      <c r="BG10" s="40"/>
      <c r="BH10" s="21">
        <f>Paralelo!O14</f>
        <v>1832.8598530000002</v>
      </c>
      <c r="BI10" s="40"/>
      <c r="BJ10" s="18"/>
      <c r="BK10" s="21">
        <f>'Dez24'!P14</f>
        <v>817.21932600000002</v>
      </c>
      <c r="BL10" s="40"/>
      <c r="BM10" s="21">
        <f>Paralelo!P14</f>
        <v>821.85213199999998</v>
      </c>
      <c r="BN10" s="40"/>
      <c r="BO10" s="18"/>
      <c r="BP10" s="21">
        <f>'Dez24'!Q14</f>
        <v>2.9791750000000001</v>
      </c>
      <c r="BQ10" s="40"/>
      <c r="BR10" s="21">
        <f>Paralelo!Q14</f>
        <v>2.979174</v>
      </c>
      <c r="BS10" s="40"/>
      <c r="BT10" s="18"/>
      <c r="BU10" s="21">
        <f>'Dez24'!R14</f>
        <v>14229.205040999999</v>
      </c>
      <c r="BV10" s="40"/>
      <c r="BW10" s="21">
        <f>Paralelo!R14</f>
        <v>14002.447517999999</v>
      </c>
      <c r="BX10" s="40"/>
      <c r="BY10" s="18"/>
    </row>
    <row r="11" spans="1:78" ht="14.4" outlineLevel="1" x14ac:dyDescent="0.3">
      <c r="B11" s="19" t="s">
        <v>19</v>
      </c>
      <c r="C11" s="20">
        <f>'Dez24'!D15</f>
        <v>3564.4292249999999</v>
      </c>
      <c r="D11" s="51">
        <f>IFERROR(C11/C$10,"-")</f>
        <v>0.13248386924773087</v>
      </c>
      <c r="E11" s="20">
        <f>Paralelo!D15</f>
        <v>3564.4292190000001</v>
      </c>
      <c r="F11" s="51">
        <f>IFERROR(E11/E$10,"-")</f>
        <v>0.13283258651946067</v>
      </c>
      <c r="G11" s="20">
        <f>D11-F11</f>
        <v>-3.4871727172980371E-4</v>
      </c>
      <c r="H11" s="20">
        <f>'Dez24'!E15</f>
        <v>1309.576605</v>
      </c>
      <c r="I11" s="51">
        <f>IFERROR(H11/H$10,"-")</f>
        <v>9.4503786677172602E-2</v>
      </c>
      <c r="J11" s="20">
        <f>Paralelo!E15</f>
        <v>1195.789205</v>
      </c>
      <c r="K11" s="51">
        <f>IFERROR(J11/J$10,"-")</f>
        <v>0.13522838006587184</v>
      </c>
      <c r="L11" s="20">
        <f>I11-K11</f>
        <v>-4.0724593388699243E-2</v>
      </c>
      <c r="M11" s="20">
        <f>'Dez24'!F15</f>
        <v>1805.1866259999999</v>
      </c>
      <c r="N11" s="51">
        <f>IFERROR(M11/M$10,"-")</f>
        <v>0.17654305995028843</v>
      </c>
      <c r="O11" s="20">
        <f>Paralelo!F15</f>
        <v>1697.329377</v>
      </c>
      <c r="P11" s="51">
        <f>IFERROR(O11/O$10,"-")</f>
        <v>0.25738669761056421</v>
      </c>
      <c r="Q11" s="20">
        <f>N11-P11</f>
        <v>-8.0843637660275774E-2</v>
      </c>
      <c r="R11" s="20">
        <f>'Dez24'!G15</f>
        <v>215.60634300000001</v>
      </c>
      <c r="S11" s="51">
        <f>IFERROR(R11/R$10,"-")</f>
        <v>9.1080453610454373E-2</v>
      </c>
      <c r="T11" s="20">
        <f>Paralelo!G15</f>
        <v>208.25164699999999</v>
      </c>
      <c r="U11" s="51">
        <f>IFERROR(T11/T$10,"-")</f>
        <v>0.11695251831913751</v>
      </c>
      <c r="V11" s="20">
        <f>S11-U11</f>
        <v>-2.587206470868314E-2</v>
      </c>
      <c r="W11" s="20">
        <f>'Dez24'!H15</f>
        <v>9.0199110000000005</v>
      </c>
      <c r="X11" s="51">
        <f>IFERROR(W11/W$10,"-")</f>
        <v>4.7924466512538934E-2</v>
      </c>
      <c r="Y11" s="20">
        <f>Paralelo!H15</f>
        <v>10.462529</v>
      </c>
      <c r="Z11" s="51">
        <f>IFERROR(Y11/Y$10,"-")</f>
        <v>4.1880994689860854E-2</v>
      </c>
      <c r="AA11" s="20">
        <f>X11-Z11</f>
        <v>6.0434718226780801E-3</v>
      </c>
      <c r="AB11" s="20">
        <f>'Dez24'!I15</f>
        <v>1.0000000000000001E-5</v>
      </c>
      <c r="AC11" s="51">
        <f>IFERROR(AB11/AB$10,"-")</f>
        <v>9.0023586179579067E-6</v>
      </c>
      <c r="AD11" s="20">
        <f>Paralelo!I15</f>
        <v>5.4134419999999999</v>
      </c>
      <c r="AE11" s="51">
        <f>IFERROR(AD11/AD$10,"-")</f>
        <v>7.3822238019136732E-2</v>
      </c>
      <c r="AF11" s="20">
        <f>AC11-AE11</f>
        <v>-7.3813235660518769E-2</v>
      </c>
      <c r="AG11" s="20">
        <f>'Dez24'!J15</f>
        <v>1.5201309999999999</v>
      </c>
      <c r="AH11" s="51">
        <f>IFERROR(AG11/AG$10,"-")</f>
        <v>1</v>
      </c>
      <c r="AI11" s="20">
        <f>Paralelo!J15</f>
        <v>13.343540000000001</v>
      </c>
      <c r="AJ11" s="51">
        <f>IFERROR(AI11/AI$10,"-")</f>
        <v>0.15275196431671692</v>
      </c>
      <c r="AK11" s="20">
        <f>AH11-AJ11</f>
        <v>0.84724803568328311</v>
      </c>
      <c r="AL11" s="20">
        <f>'Dez24'!K15</f>
        <v>76.726506999999998</v>
      </c>
      <c r="AM11" s="51">
        <f>IFERROR(AL11/AL$10,"-")</f>
        <v>4.5904142207979712E-2</v>
      </c>
      <c r="AN11" s="20">
        <f>Paralelo!K15</f>
        <v>76.938940000000002</v>
      </c>
      <c r="AO11" s="51">
        <f>IFERROR(AN11/AN$10,"-")</f>
        <v>4.4079070752079244E-2</v>
      </c>
      <c r="AP11" s="20">
        <f>AM11-AO11</f>
        <v>1.8250714559004677E-3</v>
      </c>
      <c r="AQ11" s="20">
        <f>'Dez24'!L15</f>
        <v>162.195592</v>
      </c>
      <c r="AR11" s="51">
        <f>IFERROR(AQ11/AQ$10,"-")</f>
        <v>9.0867710293613305E-2</v>
      </c>
      <c r="AS11" s="20">
        <f>Paralelo!L15</f>
        <v>160.71633499999999</v>
      </c>
      <c r="AT11" s="51">
        <f>IFERROR(AS11/AS$10,"-")</f>
        <v>8.8590119150463248E-2</v>
      </c>
      <c r="AU11" s="20">
        <f>AR11-AT11</f>
        <v>2.2775911431500567E-3</v>
      </c>
      <c r="AV11" s="20">
        <f>'Dez24'!M15</f>
        <v>106.266201</v>
      </c>
      <c r="AW11" s="51">
        <f>IFERROR(AV11/AV$10,"-")</f>
        <v>3.2202022721688615E-2</v>
      </c>
      <c r="AX11" s="20">
        <f>Paralelo!M15</f>
        <v>107.044533</v>
      </c>
      <c r="AY11" s="51">
        <f>IFERROR(AX11/AX$10,"-")</f>
        <v>3.2264437664757319E-2</v>
      </c>
      <c r="AZ11" s="20">
        <f>AW11-AY11</f>
        <v>-6.241494306870321E-5</v>
      </c>
      <c r="BA11" s="20">
        <f>'Dez24'!N15</f>
        <v>75.884760999999997</v>
      </c>
      <c r="BB11" s="51">
        <f>IFERROR(BA11/BA$10,"-")</f>
        <v>2.3168317138080617E-2</v>
      </c>
      <c r="BC11" s="20">
        <f>Paralelo!N15</f>
        <v>76.000791000000007</v>
      </c>
      <c r="BD11" s="51">
        <f>IFERROR(BC11/BC$10,"-")</f>
        <v>2.3102494564498612E-2</v>
      </c>
      <c r="BE11" s="20">
        <f>BB11-BD11</f>
        <v>6.5822573582004912E-5</v>
      </c>
      <c r="BF11" s="22">
        <f>'Dez24'!O15</f>
        <v>35.911971000000001</v>
      </c>
      <c r="BG11" s="51">
        <f>IFERROR(BF11/BF$10,"-")</f>
        <v>1.9694446189877785E-2</v>
      </c>
      <c r="BH11" s="22">
        <f>Paralelo!O15</f>
        <v>36.374197000000002</v>
      </c>
      <c r="BI11" s="51">
        <f>IFERROR(BH11/BH$10,"-")</f>
        <v>1.9845596454340583E-2</v>
      </c>
      <c r="BJ11" s="20">
        <f>BG11-BI11</f>
        <v>-1.5115026446279808E-4</v>
      </c>
      <c r="BK11" s="22">
        <f>'Dez24'!P15</f>
        <v>33.117263999999999</v>
      </c>
      <c r="BL11" s="51">
        <f>IFERROR(BK11/BK$10,"-")</f>
        <v>4.0524327981935171E-2</v>
      </c>
      <c r="BM11" s="22">
        <f>Paralelo!P15</f>
        <v>33.117265000000003</v>
      </c>
      <c r="BN11" s="51">
        <f>IFERROR(BM11/BM$10,"-")</f>
        <v>4.0295892302923422E-2</v>
      </c>
      <c r="BO11" s="20">
        <f>BL11-BN11</f>
        <v>2.2843567901174866E-4</v>
      </c>
      <c r="BP11" s="22">
        <f>'Dez24'!Q15</f>
        <v>0.71281399999999995</v>
      </c>
      <c r="BQ11" s="51">
        <f>IFERROR(BP11/BP$10,"-")</f>
        <v>0.2392655684879203</v>
      </c>
      <c r="BR11" s="22">
        <f>Paralelo!Q15</f>
        <v>0.71281399999999995</v>
      </c>
      <c r="BS11" s="51">
        <f>IFERROR(BR11/BR$10,"-")</f>
        <v>0.23926564880064069</v>
      </c>
      <c r="BT11" s="20">
        <f>BQ11-BS11</f>
        <v>-8.0312720390773862E-8</v>
      </c>
      <c r="BU11" s="22">
        <f>'Dez24'!R15</f>
        <v>3073.6141149999999</v>
      </c>
      <c r="BV11" s="51">
        <f>IFERROR(BU11/BU$10,"-")</f>
        <v>0.21600743724921351</v>
      </c>
      <c r="BW11" s="22">
        <f>Paralelo!R15</f>
        <v>3066.8999359999998</v>
      </c>
      <c r="BX11" s="51">
        <f>IFERROR(BW11/BW$10,"-")</f>
        <v>0.21902599042471199</v>
      </c>
      <c r="BY11" s="20">
        <f>BV11-BX11</f>
        <v>-3.018553175498484E-3</v>
      </c>
    </row>
    <row r="12" spans="1:78" ht="14.4" outlineLevel="1" x14ac:dyDescent="0.3">
      <c r="B12" s="19" t="s">
        <v>20</v>
      </c>
      <c r="C12" s="20">
        <f>'Dez24'!D16</f>
        <v>23291.74726</v>
      </c>
      <c r="D12" s="51">
        <f t="shared" ref="D12:F14" si="0">IFERROR(C12/C$10,"-")</f>
        <v>0.8657152670902124</v>
      </c>
      <c r="E12" s="20">
        <f>Paralelo!D16</f>
        <v>23269.567712</v>
      </c>
      <c r="F12" s="51">
        <f t="shared" si="0"/>
        <v>0.86716741348053927</v>
      </c>
      <c r="G12" s="20">
        <f t="shared" ref="G12:G14" si="1">D12-F12</f>
        <v>-1.4521463903268694E-3</v>
      </c>
      <c r="H12" s="20">
        <f>'Dez24'!E16</f>
        <v>12529.955185000001</v>
      </c>
      <c r="I12" s="51">
        <f t="shared" ref="I12:K12" si="2">IFERROR(H12/H$10,"-")</f>
        <v>0.90420690729869357</v>
      </c>
      <c r="J12" s="20">
        <f>Paralelo!E16</f>
        <v>7646.9493119999997</v>
      </c>
      <c r="K12" s="51">
        <f t="shared" si="2"/>
        <v>0.8647716199341281</v>
      </c>
      <c r="L12" s="20">
        <f t="shared" ref="L12:L14" si="3">I12-K12</f>
        <v>3.9435287364565474E-2</v>
      </c>
      <c r="M12" s="20">
        <f>'Dez24'!F16</f>
        <v>8394.6603680000007</v>
      </c>
      <c r="N12" s="51">
        <f t="shared" ref="N12:P12" si="4">IFERROR(M12/M$10,"-")</f>
        <v>0.82097828959327479</v>
      </c>
      <c r="O12" s="20">
        <f>Paralelo!F16</f>
        <v>4897.142648</v>
      </c>
      <c r="P12" s="51">
        <f t="shared" si="4"/>
        <v>0.74261330238943579</v>
      </c>
      <c r="Q12" s="20">
        <f t="shared" ref="Q12:Q14" si="5">N12-P12</f>
        <v>7.8364987203838998E-2</v>
      </c>
      <c r="R12" s="20">
        <f>'Dez24'!G16</f>
        <v>2149.729104</v>
      </c>
      <c r="S12" s="51">
        <f t="shared" ref="S12:U12" si="6">IFERROR(R12/R$10,"-")</f>
        <v>0.90812867194688995</v>
      </c>
      <c r="T12" s="20">
        <f>Paralelo!G16</f>
        <v>1572.3995950000001</v>
      </c>
      <c r="U12" s="51">
        <f t="shared" si="6"/>
        <v>0.88304748168086244</v>
      </c>
      <c r="V12" s="20">
        <f t="shared" ref="V12:V14" si="7">S12-U12</f>
        <v>2.5081190266027509E-2</v>
      </c>
      <c r="W12" s="20">
        <f>'Dez24'!H16</f>
        <v>178.979591</v>
      </c>
      <c r="X12" s="51">
        <f t="shared" ref="X12" si="8">IFERROR(W12/W$10,"-")</f>
        <v>0.95095189024674565</v>
      </c>
      <c r="Y12" s="20">
        <f>Paralelo!H16</f>
        <v>239.35314700000001</v>
      </c>
      <c r="Z12" s="51">
        <f t="shared" ref="Z12" si="9">IFERROR(Y12/Y$10,"-")</f>
        <v>0.95811900531013916</v>
      </c>
      <c r="AA12" s="20">
        <f t="shared" ref="AA12:AA14" si="10">X12-Z12</f>
        <v>-7.1671150633935143E-3</v>
      </c>
      <c r="AB12" s="20">
        <f>'Dez24'!I16</f>
        <v>1.1108100000000001</v>
      </c>
      <c r="AC12" s="51">
        <f t="shared" ref="AC12:AC14" si="11">IFERROR(AB12/AB$10,"-")</f>
        <v>0.99999099764138222</v>
      </c>
      <c r="AD12" s="20">
        <f>Paralelo!I16</f>
        <v>67.917333999999997</v>
      </c>
      <c r="AE12" s="51">
        <f t="shared" ref="AE12:AE14" si="12">IFERROR(AD12/AD$10,"-")</f>
        <v>0.92617776198086321</v>
      </c>
      <c r="AF12" s="20">
        <f t="shared" ref="AF12:AF14" si="13">AC12-AE12</f>
        <v>7.3813235660519005E-2</v>
      </c>
      <c r="AG12" s="20">
        <f>'Dez24'!J16</f>
        <v>0</v>
      </c>
      <c r="AH12" s="51">
        <f t="shared" ref="AH12:AH14" si="14">IFERROR(AG12/AG$10,"-")</f>
        <v>0</v>
      </c>
      <c r="AI12" s="20">
        <f>Paralelo!J16</f>
        <v>74.010754000000006</v>
      </c>
      <c r="AJ12" s="51">
        <f t="shared" ref="AJ12:AJ14" si="15">IFERROR(AI12/AI$10,"-")</f>
        <v>0.847248035683283</v>
      </c>
      <c r="AK12" s="20">
        <f t="shared" ref="AK12:AK14" si="16">AH12-AJ12</f>
        <v>-0.847248035683283</v>
      </c>
      <c r="AL12" s="20">
        <f>'Dez24'!K16</f>
        <v>1594.7241140000001</v>
      </c>
      <c r="AM12" s="51">
        <f t="shared" ref="AM12:AM14" si="17">IFERROR(AL12/AL$10,"-")</f>
        <v>0.95409585779202033</v>
      </c>
      <c r="AN12" s="20">
        <f>Paralelo!K16</f>
        <v>1668.5366039999999</v>
      </c>
      <c r="AO12" s="51">
        <f t="shared" ref="AO12:AO14" si="18">IFERROR(AN12/AN$10,"-")</f>
        <v>0.95592092924792071</v>
      </c>
      <c r="AP12" s="20">
        <f t="shared" ref="AP12:AP14" si="19">AM12-AO12</f>
        <v>-1.8250714559003844E-3</v>
      </c>
      <c r="AQ12" s="20">
        <f>'Dez24'!L16</f>
        <v>1622.6418289999999</v>
      </c>
      <c r="AR12" s="51">
        <f t="shared" ref="AR12:AR14" si="20">IFERROR(AQ12/AQ$10,"-")</f>
        <v>0.90906137343036297</v>
      </c>
      <c r="AS12" s="20">
        <f>Paralelo!L16</f>
        <v>1653.4401029999999</v>
      </c>
      <c r="AT12" s="51">
        <f t="shared" ref="AT12:AT14" si="21">IFERROR(AS12/AS$10,"-")</f>
        <v>0.91140988084953667</v>
      </c>
      <c r="AU12" s="20">
        <f t="shared" ref="AU12:AU14" si="22">AR12-AT12</f>
        <v>-2.3485074191736954E-3</v>
      </c>
      <c r="AV12" s="20">
        <f>'Dez24'!M16</f>
        <v>3193.2777120000001</v>
      </c>
      <c r="AW12" s="51">
        <f t="shared" ref="AW12:AW14" si="23">IFERROR(AV12/AV$10,"-")</f>
        <v>0.96766422880296477</v>
      </c>
      <c r="AX12" s="20">
        <f>Paralelo!M16</f>
        <v>3210.680515</v>
      </c>
      <c r="AY12" s="51">
        <f t="shared" ref="AY12:AY14" si="24">IFERROR(AX12/AX$10,"-")</f>
        <v>0.96773556233524261</v>
      </c>
      <c r="AZ12" s="20">
        <f t="shared" ref="AZ12:AZ14" si="25">AW12-AY12</f>
        <v>-7.1333532277839673E-5</v>
      </c>
      <c r="BA12" s="20">
        <f>'Dez24'!N16</f>
        <v>3199.195678</v>
      </c>
      <c r="BB12" s="51">
        <f t="shared" ref="BB12:BB14" si="26">IFERROR(BA12/BA$10,"-")</f>
        <v>0.97674393485512645</v>
      </c>
      <c r="BC12" s="20">
        <f>Paralelo!N16</f>
        <v>3213.721485</v>
      </c>
      <c r="BD12" s="51">
        <f t="shared" ref="BD12:BD14" si="27">IFERROR(BC12/BC$10,"-")</f>
        <v>0.97689750543550136</v>
      </c>
      <c r="BE12" s="20">
        <f t="shared" ref="BE12:BE14" si="28">BB12-BD12</f>
        <v>-1.5357058037490656E-4</v>
      </c>
      <c r="BF12" s="22">
        <f>'Dez24'!O16</f>
        <v>1787.281853</v>
      </c>
      <c r="BG12" s="51">
        <f t="shared" ref="BG12:BG14" si="29">IFERROR(BF12/BF$10,"-")</f>
        <v>0.9801613584521317</v>
      </c>
      <c r="BH12" s="22">
        <f>Paralelo!O16</f>
        <v>1796.4856560000001</v>
      </c>
      <c r="BI12" s="51">
        <f t="shared" ref="BI12:BI14" si="30">IFERROR(BH12/BH$10,"-")</f>
        <v>0.98015440354565941</v>
      </c>
      <c r="BJ12" s="20">
        <f t="shared" ref="BJ12:BJ14" si="31">BG12-BI12</f>
        <v>6.9549064722895793E-6</v>
      </c>
      <c r="BK12" s="22">
        <f>'Dez24'!P16</f>
        <v>783.44508900000005</v>
      </c>
      <c r="BL12" s="51">
        <f t="shared" ref="BL12:BL14" si="32">IFERROR(BK12/BK$10,"-")</f>
        <v>0.9586717593117714</v>
      </c>
      <c r="BM12" s="22">
        <f>Paralelo!P16</f>
        <v>788.73486700000001</v>
      </c>
      <c r="BN12" s="51">
        <f t="shared" ref="BN12:BN14" si="33">IFERROR(BM12/BM$10,"-")</f>
        <v>0.95970410769707659</v>
      </c>
      <c r="BO12" s="20">
        <f t="shared" ref="BO12:BO14" si="34">BL12-BN12</f>
        <v>-1.0323483853051929E-3</v>
      </c>
      <c r="BP12" s="22">
        <f>'Dez24'!Q16</f>
        <v>2.2663609999999998</v>
      </c>
      <c r="BQ12" s="51">
        <f t="shared" ref="BQ12:BQ14" si="35">IFERROR(BP12/BP$10,"-")</f>
        <v>0.76073443151207965</v>
      </c>
      <c r="BR12" s="22">
        <f>Paralelo!Q16</f>
        <v>2.2663600000000002</v>
      </c>
      <c r="BS12" s="51">
        <f t="shared" ref="BS12:BS14" si="36">IFERROR(BR12/BR$10,"-")</f>
        <v>0.76073435119935939</v>
      </c>
      <c r="BT12" s="20">
        <f t="shared" ref="BT12:BT14" si="37">BQ12-BS12</f>
        <v>8.0312720251995984E-8</v>
      </c>
      <c r="BU12" s="22">
        <f>'Dez24'!R16</f>
        <v>11108.914623999999</v>
      </c>
      <c r="BV12" s="51">
        <f t="shared" ref="BV12:BV14" si="38">IFERROR(BU12/BU$10,"-")</f>
        <v>0.78071224583459142</v>
      </c>
      <c r="BW12" s="22">
        <f>Paralelo!R16</f>
        <v>10935.547581999999</v>
      </c>
      <c r="BX12" s="51">
        <f t="shared" ref="BX12:BX14" si="39">IFERROR(BW12/BW$10,"-")</f>
        <v>0.78097400957528806</v>
      </c>
      <c r="BY12" s="20">
        <f t="shared" ref="BY12:BY14" si="40">BV12-BX12</f>
        <v>-2.617637406966411E-4</v>
      </c>
    </row>
    <row r="13" spans="1:78" ht="15" customHeight="1" outlineLevel="1" x14ac:dyDescent="0.3">
      <c r="B13" s="19" t="s">
        <v>21</v>
      </c>
      <c r="C13" s="20">
        <f>'Dez24'!D17</f>
        <v>48.451566999999997</v>
      </c>
      <c r="D13" s="51">
        <f t="shared" si="0"/>
        <v>1.800863662056769E-3</v>
      </c>
      <c r="E13" s="20">
        <f>Paralelo!D17</f>
        <v>0</v>
      </c>
      <c r="F13" s="51">
        <f t="shared" si="0"/>
        <v>0</v>
      </c>
      <c r="G13" s="20">
        <f t="shared" si="1"/>
        <v>1.800863662056769E-3</v>
      </c>
      <c r="H13" s="20">
        <f>'Dez24'!E17</f>
        <v>17.866427000000002</v>
      </c>
      <c r="I13" s="51">
        <f t="shared" ref="I13:K13" si="41">IFERROR(H13/H$10,"-")</f>
        <v>1.2893060241338666E-3</v>
      </c>
      <c r="J13" s="20">
        <f>Paralelo!E17</f>
        <v>0</v>
      </c>
      <c r="K13" s="51">
        <f t="shared" si="41"/>
        <v>0</v>
      </c>
      <c r="L13" s="20">
        <f t="shared" si="3"/>
        <v>1.2893060241338666E-3</v>
      </c>
      <c r="M13" s="20">
        <f>'Dez24'!F17</f>
        <v>25.344676</v>
      </c>
      <c r="N13" s="51">
        <f t="shared" ref="N13:P13" si="42">IFERROR(M13/M$10,"-")</f>
        <v>2.4786504564368716E-3</v>
      </c>
      <c r="O13" s="20">
        <f>Paralelo!F17</f>
        <v>0</v>
      </c>
      <c r="P13" s="51">
        <f t="shared" si="42"/>
        <v>0</v>
      </c>
      <c r="Q13" s="20">
        <f t="shared" si="5"/>
        <v>2.4786504564368716E-3</v>
      </c>
      <c r="R13" s="20">
        <f>'Dez24'!G17</f>
        <v>1.8721639999999999</v>
      </c>
      <c r="S13" s="51">
        <f t="shared" ref="S13:U13" si="43">IFERROR(R13/R$10,"-")</f>
        <v>7.9087444265571862E-4</v>
      </c>
      <c r="T13" s="20">
        <f>Paralelo!G17</f>
        <v>0</v>
      </c>
      <c r="U13" s="51">
        <f t="shared" si="43"/>
        <v>0</v>
      </c>
      <c r="V13" s="20">
        <f t="shared" si="7"/>
        <v>7.9087444265571862E-4</v>
      </c>
      <c r="W13" s="20">
        <f>'Dez24'!H17</f>
        <v>0.211482</v>
      </c>
      <c r="X13" s="51">
        <f t="shared" ref="X13" si="44">IFERROR(W13/W$10,"-")</f>
        <v>1.1236432407154304E-3</v>
      </c>
      <c r="Y13" s="20">
        <f>Paralelo!H17</f>
        <v>0</v>
      </c>
      <c r="Z13" s="51">
        <f>IFERROR(Y13/Y$10,"-")</f>
        <v>0</v>
      </c>
      <c r="AA13" s="20">
        <f t="shared" si="10"/>
        <v>1.1236432407154304E-3</v>
      </c>
      <c r="AB13" s="20">
        <f>'Dez24'!I17</f>
        <v>0</v>
      </c>
      <c r="AC13" s="51">
        <f t="shared" si="11"/>
        <v>0</v>
      </c>
      <c r="AD13" s="20">
        <f>Paralelo!I17</f>
        <v>0</v>
      </c>
      <c r="AE13" s="51">
        <f t="shared" si="12"/>
        <v>0</v>
      </c>
      <c r="AF13" s="20">
        <f t="shared" si="13"/>
        <v>0</v>
      </c>
      <c r="AG13" s="20">
        <f>'Dez24'!J17</f>
        <v>0</v>
      </c>
      <c r="AH13" s="51">
        <f t="shared" si="14"/>
        <v>0</v>
      </c>
      <c r="AI13" s="20">
        <f>Paralelo!J17</f>
        <v>0</v>
      </c>
      <c r="AJ13" s="51">
        <f t="shared" si="15"/>
        <v>0</v>
      </c>
      <c r="AK13" s="20">
        <f t="shared" si="16"/>
        <v>0</v>
      </c>
      <c r="AL13" s="20">
        <f>'Dez24'!K17</f>
        <v>0</v>
      </c>
      <c r="AM13" s="51">
        <f t="shared" si="17"/>
        <v>0</v>
      </c>
      <c r="AN13" s="20">
        <f>Paralelo!K17</f>
        <v>0</v>
      </c>
      <c r="AO13" s="51">
        <f t="shared" si="18"/>
        <v>0</v>
      </c>
      <c r="AP13" s="20">
        <f t="shared" si="19"/>
        <v>0</v>
      </c>
      <c r="AQ13" s="20">
        <f>'Dez24'!L17</f>
        <v>0.126583</v>
      </c>
      <c r="AR13" s="51">
        <f t="shared" si="20"/>
        <v>7.091627602368165E-5</v>
      </c>
      <c r="AS13" s="20">
        <f>Paralelo!L17</f>
        <v>0</v>
      </c>
      <c r="AT13" s="51">
        <f t="shared" si="21"/>
        <v>0</v>
      </c>
      <c r="AU13" s="20">
        <f t="shared" si="22"/>
        <v>7.091627602368165E-5</v>
      </c>
      <c r="AV13" s="20">
        <f>'Dez24'!M17</f>
        <v>0.44136799999999998</v>
      </c>
      <c r="AW13" s="51">
        <f t="shared" si="23"/>
        <v>1.3374847534660867E-4</v>
      </c>
      <c r="AX13" s="20">
        <f>Paralelo!M17</f>
        <v>0</v>
      </c>
      <c r="AY13" s="51">
        <f t="shared" si="24"/>
        <v>0</v>
      </c>
      <c r="AZ13" s="20">
        <f t="shared" si="25"/>
        <v>1.3374847534660867E-4</v>
      </c>
      <c r="BA13" s="20">
        <f>'Dez24'!N17</f>
        <v>0.28740700000000002</v>
      </c>
      <c r="BB13" s="51">
        <f t="shared" si="26"/>
        <v>8.7748006792883449E-5</v>
      </c>
      <c r="BC13" s="20">
        <f>Paralelo!N17</f>
        <v>0</v>
      </c>
      <c r="BD13" s="51">
        <f t="shared" si="27"/>
        <v>0</v>
      </c>
      <c r="BE13" s="20">
        <f t="shared" si="28"/>
        <v>8.7748006792883449E-5</v>
      </c>
      <c r="BF13" s="22">
        <f>'Dez24'!O17</f>
        <v>0.262934</v>
      </c>
      <c r="BG13" s="51">
        <f t="shared" si="29"/>
        <v>1.4419535799049642E-4</v>
      </c>
      <c r="BH13" s="22">
        <f>Paralelo!O17</f>
        <v>0</v>
      </c>
      <c r="BI13" s="51">
        <f t="shared" si="30"/>
        <v>0</v>
      </c>
      <c r="BJ13" s="20">
        <f t="shared" si="31"/>
        <v>1.4419535799049642E-4</v>
      </c>
      <c r="BK13" s="22">
        <f>'Dez24'!P17</f>
        <v>0.65697300000000003</v>
      </c>
      <c r="BL13" s="51">
        <f t="shared" si="32"/>
        <v>8.0391270629348772E-4</v>
      </c>
      <c r="BM13" s="22">
        <f>Paralelo!P17</f>
        <v>0</v>
      </c>
      <c r="BN13" s="51">
        <f t="shared" si="33"/>
        <v>0</v>
      </c>
      <c r="BO13" s="20">
        <f t="shared" si="34"/>
        <v>8.0391270629348772E-4</v>
      </c>
      <c r="BP13" s="22">
        <f>'Dez24'!Q17</f>
        <v>0</v>
      </c>
      <c r="BQ13" s="51">
        <f t="shared" si="35"/>
        <v>0</v>
      </c>
      <c r="BR13" s="22">
        <f>Paralelo!Q17</f>
        <v>0</v>
      </c>
      <c r="BS13" s="51">
        <f t="shared" si="36"/>
        <v>0</v>
      </c>
      <c r="BT13" s="20">
        <f t="shared" si="37"/>
        <v>0</v>
      </c>
      <c r="BU13" s="22">
        <f>'Dez24'!R17</f>
        <v>46.676302</v>
      </c>
      <c r="BV13" s="51">
        <f t="shared" si="38"/>
        <v>3.2803169161950375E-3</v>
      </c>
      <c r="BW13" s="22">
        <f>Paralelo!R17</f>
        <v>0</v>
      </c>
      <c r="BX13" s="51">
        <f t="shared" si="39"/>
        <v>0</v>
      </c>
      <c r="BY13" s="20">
        <f t="shared" si="40"/>
        <v>3.2803169161950375E-3</v>
      </c>
    </row>
    <row r="14" spans="1:78" ht="15" customHeight="1" outlineLevel="1" x14ac:dyDescent="0.3">
      <c r="B14" s="19" t="s">
        <v>22</v>
      </c>
      <c r="C14" s="20">
        <f>'Dez24'!D18</f>
        <v>26640.639433</v>
      </c>
      <c r="D14" s="51">
        <f t="shared" si="0"/>
        <v>0.99018798481473991</v>
      </c>
      <c r="E14" s="20">
        <f>Paralelo!D18</f>
        <v>17646.746002</v>
      </c>
      <c r="F14" s="51">
        <f t="shared" si="0"/>
        <v>0.65762644481834831</v>
      </c>
      <c r="G14" s="20">
        <f t="shared" si="1"/>
        <v>0.3325615399963916</v>
      </c>
      <c r="H14" s="20">
        <f>'Dez24'!E18</f>
        <v>13857.398217</v>
      </c>
      <c r="I14" s="51">
        <f t="shared" ref="I14:K14" si="45">IFERROR(H14/H$10,"-")</f>
        <v>1</v>
      </c>
      <c r="J14" s="20">
        <f>Paralelo!E18</f>
        <v>8842.7385169999998</v>
      </c>
      <c r="K14" s="51">
        <f t="shared" si="45"/>
        <v>1</v>
      </c>
      <c r="L14" s="20">
        <f t="shared" si="3"/>
        <v>0</v>
      </c>
      <c r="M14" s="20">
        <f>'Dez24'!F18</f>
        <v>10225.19167</v>
      </c>
      <c r="N14" s="51">
        <f t="shared" ref="N14:P14" si="46">IFERROR(M14/M$10,"-")</f>
        <v>1</v>
      </c>
      <c r="O14" s="20">
        <f>Paralelo!F18</f>
        <v>6594.472025</v>
      </c>
      <c r="P14" s="51">
        <f t="shared" si="46"/>
        <v>1</v>
      </c>
      <c r="Q14" s="20">
        <f t="shared" si="5"/>
        <v>0</v>
      </c>
      <c r="R14" s="20">
        <f>'Dez24'!G18</f>
        <v>2367.2076109999998</v>
      </c>
      <c r="S14" s="51">
        <f t="shared" ref="S14:U14" si="47">IFERROR(R14/R$10,"-")</f>
        <v>1</v>
      </c>
      <c r="T14" s="20">
        <f>Paralelo!G18</f>
        <v>1780.6512419999999</v>
      </c>
      <c r="U14" s="51">
        <f t="shared" si="47"/>
        <v>0.99999999999999989</v>
      </c>
      <c r="V14" s="20">
        <f t="shared" si="7"/>
        <v>0</v>
      </c>
      <c r="W14" s="20">
        <f>'Dez24'!H18</f>
        <v>188.210984</v>
      </c>
      <c r="X14" s="51">
        <f t="shared" ref="X14" si="48">IFERROR(W14/W$10,"-")</f>
        <v>1</v>
      </c>
      <c r="Y14" s="20">
        <f>Paralelo!H18</f>
        <v>249.815676</v>
      </c>
      <c r="Z14" s="51">
        <f t="shared" ref="Z14" si="49">IFERROR(Y14/Y$10,"-")</f>
        <v>1</v>
      </c>
      <c r="AA14" s="20">
        <f t="shared" si="10"/>
        <v>0</v>
      </c>
      <c r="AB14" s="20">
        <f>'Dez24'!I18</f>
        <v>1.1108199999999999</v>
      </c>
      <c r="AC14" s="51">
        <f t="shared" si="11"/>
        <v>1</v>
      </c>
      <c r="AD14" s="20">
        <f>Paralelo!I18</f>
        <v>73.330776</v>
      </c>
      <c r="AE14" s="51">
        <f t="shared" si="12"/>
        <v>1</v>
      </c>
      <c r="AF14" s="20">
        <f t="shared" si="13"/>
        <v>0</v>
      </c>
      <c r="AG14" s="20">
        <f>'Dez24'!J18</f>
        <v>1.5201309999999999</v>
      </c>
      <c r="AH14" s="51">
        <f t="shared" si="14"/>
        <v>1</v>
      </c>
      <c r="AI14" s="20">
        <f>Paralelo!J18</f>
        <v>87.354293999999996</v>
      </c>
      <c r="AJ14" s="51">
        <f t="shared" si="15"/>
        <v>0.99999999999999989</v>
      </c>
      <c r="AK14" s="20">
        <f t="shared" si="16"/>
        <v>0</v>
      </c>
      <c r="AL14" s="20">
        <f>'Dez24'!K18</f>
        <v>0</v>
      </c>
      <c r="AM14" s="51">
        <f t="shared" si="17"/>
        <v>0</v>
      </c>
      <c r="AN14" s="20">
        <f>Paralelo!K18</f>
        <v>0</v>
      </c>
      <c r="AO14" s="51">
        <f t="shared" si="18"/>
        <v>0</v>
      </c>
      <c r="AP14" s="20">
        <f t="shared" si="19"/>
        <v>0</v>
      </c>
      <c r="AQ14" s="20">
        <f>'Dez24'!L18</f>
        <v>0</v>
      </c>
      <c r="AR14" s="51">
        <f t="shared" si="20"/>
        <v>0</v>
      </c>
      <c r="AS14" s="20">
        <f>Paralelo!L18</f>
        <v>0</v>
      </c>
      <c r="AT14" s="51">
        <f t="shared" si="21"/>
        <v>0</v>
      </c>
      <c r="AU14" s="20">
        <f t="shared" si="22"/>
        <v>0</v>
      </c>
      <c r="AV14" s="20">
        <f>'Dez24'!M18</f>
        <v>0</v>
      </c>
      <c r="AW14" s="51">
        <f t="shared" si="23"/>
        <v>0</v>
      </c>
      <c r="AX14" s="20">
        <f>Paralelo!M18</f>
        <v>0</v>
      </c>
      <c r="AY14" s="51">
        <f t="shared" si="24"/>
        <v>0</v>
      </c>
      <c r="AZ14" s="20">
        <f t="shared" si="25"/>
        <v>0</v>
      </c>
      <c r="BA14" s="20">
        <f>'Dez24'!N18</f>
        <v>0</v>
      </c>
      <c r="BB14" s="51">
        <f t="shared" si="26"/>
        <v>0</v>
      </c>
      <c r="BC14" s="20">
        <f>Paralelo!N18</f>
        <v>0</v>
      </c>
      <c r="BD14" s="51">
        <f t="shared" si="27"/>
        <v>0</v>
      </c>
      <c r="BE14" s="20">
        <f t="shared" si="28"/>
        <v>0</v>
      </c>
      <c r="BF14" s="22">
        <f>'Dez24'!O18</f>
        <v>0</v>
      </c>
      <c r="BG14" s="51">
        <f t="shared" si="29"/>
        <v>0</v>
      </c>
      <c r="BH14" s="22">
        <f>Paralelo!O18</f>
        <v>0</v>
      </c>
      <c r="BI14" s="51">
        <f t="shared" si="30"/>
        <v>0</v>
      </c>
      <c r="BJ14" s="20">
        <f t="shared" si="31"/>
        <v>0</v>
      </c>
      <c r="BK14" s="22">
        <f>'Dez24'!P18</f>
        <v>0</v>
      </c>
      <c r="BL14" s="51">
        <f t="shared" si="32"/>
        <v>0</v>
      </c>
      <c r="BM14" s="22">
        <f>Paralelo!P18</f>
        <v>0</v>
      </c>
      <c r="BN14" s="51">
        <f t="shared" si="33"/>
        <v>0</v>
      </c>
      <c r="BO14" s="20">
        <f t="shared" si="34"/>
        <v>0</v>
      </c>
      <c r="BP14" s="22">
        <f>'Dez24'!Q18</f>
        <v>0</v>
      </c>
      <c r="BQ14" s="51">
        <f t="shared" si="35"/>
        <v>0</v>
      </c>
      <c r="BR14" s="22">
        <f>Paralelo!Q18</f>
        <v>0</v>
      </c>
      <c r="BS14" s="51">
        <f t="shared" si="36"/>
        <v>0</v>
      </c>
      <c r="BT14" s="20">
        <f t="shared" si="37"/>
        <v>0</v>
      </c>
      <c r="BU14" s="22">
        <f>'Dez24'!R18</f>
        <v>13965.712417999999</v>
      </c>
      <c r="BV14" s="51">
        <f t="shared" si="38"/>
        <v>0.98148226677170136</v>
      </c>
      <c r="BW14" s="22">
        <f>Paralelo!R18</f>
        <v>13749.273423000001</v>
      </c>
      <c r="BX14" s="51">
        <f t="shared" si="39"/>
        <v>0.98191929698900526</v>
      </c>
      <c r="BY14" s="20">
        <f t="shared" si="40"/>
        <v>-4.3703021730390201E-4</v>
      </c>
    </row>
    <row r="15" spans="1:78" ht="15" customHeight="1" x14ac:dyDescent="0.3">
      <c r="B15" s="17" t="s">
        <v>23</v>
      </c>
      <c r="C15" s="18">
        <f>'Dez24'!D19</f>
        <v>0</v>
      </c>
      <c r="D15" s="40"/>
      <c r="E15" s="18">
        <f>Paralelo!D19</f>
        <v>22.179551</v>
      </c>
      <c r="F15" s="40"/>
      <c r="G15" s="18"/>
      <c r="H15" s="18">
        <f>'Dez24'!E19</f>
        <v>0</v>
      </c>
      <c r="I15" s="40"/>
      <c r="J15" s="18">
        <f>Paralelo!E19</f>
        <v>10.931941</v>
      </c>
      <c r="K15" s="40"/>
      <c r="L15" s="18"/>
      <c r="M15" s="18">
        <f>'Dez24'!F19</f>
        <v>0</v>
      </c>
      <c r="N15" s="40"/>
      <c r="O15" s="18">
        <f>Paralelo!F19</f>
        <v>3.5176050000000001</v>
      </c>
      <c r="P15" s="40"/>
      <c r="Q15" s="18"/>
      <c r="R15" s="18">
        <f>'Dez24'!G19</f>
        <v>0</v>
      </c>
      <c r="S15" s="40"/>
      <c r="T15" s="18">
        <f>Paralelo!G19</f>
        <v>2.4192399999999998</v>
      </c>
      <c r="U15" s="40"/>
      <c r="V15" s="18"/>
      <c r="W15" s="18">
        <f>'Dez24'!H19</f>
        <v>0</v>
      </c>
      <c r="X15" s="40"/>
      <c r="Y15" s="18">
        <f>Paralelo!H19</f>
        <v>0.94138900000000003</v>
      </c>
      <c r="Z15" s="40"/>
      <c r="AA15" s="18"/>
      <c r="AB15" s="18">
        <f>'Dez24'!I19</f>
        <v>0</v>
      </c>
      <c r="AC15" s="40"/>
      <c r="AD15" s="18">
        <f>Paralelo!I19</f>
        <v>0.43797399999999997</v>
      </c>
      <c r="AE15" s="40"/>
      <c r="AF15" s="18"/>
      <c r="AG15" s="18">
        <f>'Dez24'!J19</f>
        <v>0</v>
      </c>
      <c r="AH15" s="40"/>
      <c r="AI15" s="18">
        <f>Paralelo!J19</f>
        <v>0.135323</v>
      </c>
      <c r="AJ15" s="40"/>
      <c r="AK15" s="18"/>
      <c r="AL15" s="18">
        <f>'Dez24'!K19</f>
        <v>0</v>
      </c>
      <c r="AM15" s="40"/>
      <c r="AN15" s="18">
        <f>Paralelo!K19</f>
        <v>3.0636899999999998</v>
      </c>
      <c r="AO15" s="40"/>
      <c r="AP15" s="18"/>
      <c r="AQ15" s="18">
        <f>'Dez24'!L19</f>
        <v>0</v>
      </c>
      <c r="AR15" s="40"/>
      <c r="AS15" s="18">
        <f>Paralelo!L19</f>
        <v>7.0418390000000004</v>
      </c>
      <c r="AT15" s="40"/>
      <c r="AU15" s="18"/>
      <c r="AV15" s="18">
        <f>'Dez24'!M19</f>
        <v>0</v>
      </c>
      <c r="AW15" s="40"/>
      <c r="AX15" s="18">
        <f>Paralelo!M19</f>
        <v>2.3548830000000001</v>
      </c>
      <c r="AY15" s="40"/>
      <c r="AZ15" s="18"/>
      <c r="BA15" s="18">
        <f>'Dez24'!N19</f>
        <v>0</v>
      </c>
      <c r="BB15" s="40"/>
      <c r="BC15" s="18">
        <f>Paralelo!N19</f>
        <v>2.1034470000000001</v>
      </c>
      <c r="BD15" s="40"/>
      <c r="BE15" s="18"/>
      <c r="BF15" s="21">
        <f>'Dez24'!O19</f>
        <v>0</v>
      </c>
      <c r="BG15" s="40"/>
      <c r="BH15" s="21">
        <f>Paralelo!O19</f>
        <v>2.3693080000000002</v>
      </c>
      <c r="BI15" s="40"/>
      <c r="BJ15" s="18"/>
      <c r="BK15" s="21">
        <f>'Dez24'!P19</f>
        <v>0</v>
      </c>
      <c r="BL15" s="40"/>
      <c r="BM15" s="21">
        <f>Paralelo!P19</f>
        <v>1.2256819999999999</v>
      </c>
      <c r="BN15" s="40"/>
      <c r="BO15" s="18"/>
      <c r="BP15" s="21">
        <f>'Dez24'!Q19</f>
        <v>0</v>
      </c>
      <c r="BQ15" s="40"/>
      <c r="BR15" s="21">
        <f>Paralelo!Q19</f>
        <v>0</v>
      </c>
      <c r="BS15" s="40"/>
      <c r="BT15" s="18"/>
      <c r="BU15" s="21">
        <f>'Dez24'!R19</f>
        <v>0</v>
      </c>
      <c r="BV15" s="40"/>
      <c r="BW15" s="21">
        <f>Paralelo!R19</f>
        <v>4.020702</v>
      </c>
      <c r="BX15" s="40"/>
      <c r="BY15" s="18"/>
    </row>
    <row r="16" spans="1:78" ht="15" customHeight="1" outlineLevel="1" x14ac:dyDescent="0.3">
      <c r="B16" s="19" t="s">
        <v>19</v>
      </c>
      <c r="C16" s="20">
        <f>'Dez24'!D20</f>
        <v>0</v>
      </c>
      <c r="D16" s="51" t="str">
        <f>IFERROR(C16/C$15,"-")</f>
        <v>-</v>
      </c>
      <c r="E16" s="20">
        <f>Paralelo!D20</f>
        <v>0</v>
      </c>
      <c r="F16" s="51">
        <f>IFERROR(E16/E$15,"-")</f>
        <v>0</v>
      </c>
      <c r="G16" s="51" t="str">
        <f>IFERROR(D16-F16,"-")</f>
        <v>-</v>
      </c>
      <c r="H16" s="20">
        <f>'Dez24'!E20</f>
        <v>0</v>
      </c>
      <c r="I16" s="51" t="str">
        <f>IFERROR(H16/H$15,"-")</f>
        <v>-</v>
      </c>
      <c r="J16" s="20">
        <f>Paralelo!E20</f>
        <v>0</v>
      </c>
      <c r="K16" s="51">
        <f>IFERROR(J16/J$15,"-")</f>
        <v>0</v>
      </c>
      <c r="L16" s="51" t="str">
        <f t="shared" ref="L16:L19" si="50">IFERROR(I16-K16,"-")</f>
        <v>-</v>
      </c>
      <c r="M16" s="20">
        <f>'Dez24'!F20</f>
        <v>0</v>
      </c>
      <c r="N16" s="51" t="str">
        <f>IFERROR(M16/M$15,"-")</f>
        <v>-</v>
      </c>
      <c r="O16" s="20">
        <f>Paralelo!F20</f>
        <v>0</v>
      </c>
      <c r="P16" s="51">
        <f>IFERROR(O16/O$15,"-")</f>
        <v>0</v>
      </c>
      <c r="Q16" s="51" t="str">
        <f t="shared" ref="Q16:Q19" si="51">IFERROR(N16-P16,"-")</f>
        <v>-</v>
      </c>
      <c r="R16" s="20">
        <f>'Dez24'!G20</f>
        <v>0</v>
      </c>
      <c r="S16" s="51" t="str">
        <f>IFERROR(R16/R$15,"-")</f>
        <v>-</v>
      </c>
      <c r="T16" s="20">
        <f>Paralelo!G20</f>
        <v>0</v>
      </c>
      <c r="U16" s="51">
        <f>IFERROR(T16/T$15,"-")</f>
        <v>0</v>
      </c>
      <c r="V16" s="51" t="str">
        <f t="shared" ref="V16:V19" si="52">IFERROR(S16-U16,"-")</f>
        <v>-</v>
      </c>
      <c r="W16" s="20">
        <f>'Dez24'!H20</f>
        <v>0</v>
      </c>
      <c r="X16" s="51" t="str">
        <f>IFERROR(W16/W$15,"-")</f>
        <v>-</v>
      </c>
      <c r="Y16" s="20">
        <f>Paralelo!H20</f>
        <v>0</v>
      </c>
      <c r="Z16" s="51">
        <f>IFERROR(Y16/Y$15,"-")</f>
        <v>0</v>
      </c>
      <c r="AA16" s="51" t="str">
        <f t="shared" ref="AA16:AA19" si="53">IFERROR(X16-Z16,"-")</f>
        <v>-</v>
      </c>
      <c r="AB16" s="20">
        <f>'Dez24'!I20</f>
        <v>0</v>
      </c>
      <c r="AC16" s="51" t="str">
        <f>IFERROR(AB16/AB$15,"-")</f>
        <v>-</v>
      </c>
      <c r="AD16" s="20">
        <f>Paralelo!I20</f>
        <v>0</v>
      </c>
      <c r="AE16" s="51">
        <f>IFERROR(AD16/AD$15,"-")</f>
        <v>0</v>
      </c>
      <c r="AF16" s="51" t="str">
        <f t="shared" ref="AF16:AF19" si="54">IFERROR(AC16-AE16,"-")</f>
        <v>-</v>
      </c>
      <c r="AG16" s="20">
        <f>'Dez24'!J20</f>
        <v>0</v>
      </c>
      <c r="AH16" s="51" t="str">
        <f>IFERROR(AG16/AG$15,"-")</f>
        <v>-</v>
      </c>
      <c r="AI16" s="20">
        <f>Paralelo!J20</f>
        <v>0</v>
      </c>
      <c r="AJ16" s="51">
        <f>IFERROR(AI16/AI$15,"-")</f>
        <v>0</v>
      </c>
      <c r="AK16" s="51" t="str">
        <f t="shared" ref="AK16:AK19" si="55">IFERROR(AH16-AJ16,"-")</f>
        <v>-</v>
      </c>
      <c r="AL16" s="20">
        <f>'Dez24'!K20</f>
        <v>0</v>
      </c>
      <c r="AM16" s="51" t="str">
        <f>IFERROR(AL16/AL$15,"-")</f>
        <v>-</v>
      </c>
      <c r="AN16" s="20">
        <f>Paralelo!K20</f>
        <v>0</v>
      </c>
      <c r="AO16" s="51">
        <f>IFERROR(AN16/AN$15,"-")</f>
        <v>0</v>
      </c>
      <c r="AP16" s="51" t="str">
        <f t="shared" ref="AP16:AP19" si="56">IFERROR(AM16-AO16,"-")</f>
        <v>-</v>
      </c>
      <c r="AQ16" s="20">
        <f>'Dez24'!L20</f>
        <v>0</v>
      </c>
      <c r="AR16" s="51" t="str">
        <f>IFERROR(AQ16/AQ$15,"-")</f>
        <v>-</v>
      </c>
      <c r="AS16" s="20">
        <f>Paralelo!L20</f>
        <v>0</v>
      </c>
      <c r="AT16" s="51">
        <f>IFERROR(AS16/AS$15,"-")</f>
        <v>0</v>
      </c>
      <c r="AU16" s="51" t="str">
        <f t="shared" ref="AU16:AU19" si="57">IFERROR(AR16-AT16,"-")</f>
        <v>-</v>
      </c>
      <c r="AV16" s="20">
        <f>'Dez24'!M20</f>
        <v>0</v>
      </c>
      <c r="AW16" s="51" t="str">
        <f>IFERROR(AV16/AV$15,"-")</f>
        <v>-</v>
      </c>
      <c r="AX16" s="20">
        <f>Paralelo!M20</f>
        <v>0</v>
      </c>
      <c r="AY16" s="51">
        <f>IFERROR(AX16/AX$15,"-")</f>
        <v>0</v>
      </c>
      <c r="AZ16" s="51" t="str">
        <f t="shared" ref="AZ16:AZ19" si="58">IFERROR(AW16-AY16,"-")</f>
        <v>-</v>
      </c>
      <c r="BA16" s="20">
        <f>'Dez24'!N20</f>
        <v>0</v>
      </c>
      <c r="BB16" s="51" t="str">
        <f>IFERROR(BA16/BA$15,"-")</f>
        <v>-</v>
      </c>
      <c r="BC16" s="20">
        <f>Paralelo!N20</f>
        <v>0</v>
      </c>
      <c r="BD16" s="51">
        <f>IFERROR(BC16/BC$15,"-")</f>
        <v>0</v>
      </c>
      <c r="BE16" s="51" t="str">
        <f t="shared" ref="BE16:BE19" si="59">IFERROR(BB16-BD16,"-")</f>
        <v>-</v>
      </c>
      <c r="BF16" s="22">
        <f>'Dez24'!O20</f>
        <v>0</v>
      </c>
      <c r="BG16" s="51" t="str">
        <f>IFERROR(BF16/BF$15,"-")</f>
        <v>-</v>
      </c>
      <c r="BH16" s="22">
        <f>Paralelo!O20</f>
        <v>0</v>
      </c>
      <c r="BI16" s="51">
        <f>IFERROR(BH16/BH$15,"-")</f>
        <v>0</v>
      </c>
      <c r="BJ16" s="51" t="str">
        <f t="shared" ref="BJ16:BJ19" si="60">IFERROR(BG16-BI16,"-")</f>
        <v>-</v>
      </c>
      <c r="BK16" s="22">
        <f>'Dez24'!P20</f>
        <v>0</v>
      </c>
      <c r="BL16" s="51" t="str">
        <f>IFERROR(BK16/BK$15,"-")</f>
        <v>-</v>
      </c>
      <c r="BM16" s="22">
        <f>Paralelo!P20</f>
        <v>0</v>
      </c>
      <c r="BN16" s="51">
        <f>IFERROR(BM16/BM$15,"-")</f>
        <v>0</v>
      </c>
      <c r="BO16" s="51" t="str">
        <f t="shared" ref="BO16:BO19" si="61">IFERROR(BL16-BN16,"-")</f>
        <v>-</v>
      </c>
      <c r="BP16" s="22">
        <f>'Dez24'!Q20</f>
        <v>0</v>
      </c>
      <c r="BQ16" s="51" t="str">
        <f>IFERROR(BP16/BP$15,"-")</f>
        <v>-</v>
      </c>
      <c r="BR16" s="22">
        <f>Paralelo!Q20</f>
        <v>0</v>
      </c>
      <c r="BS16" s="51" t="str">
        <f>IFERROR(BR16/BR$15,"-")</f>
        <v>-</v>
      </c>
      <c r="BT16" s="51" t="str">
        <f t="shared" ref="BT16:BT19" si="62">IFERROR(BQ16-BS16,"-")</f>
        <v>-</v>
      </c>
      <c r="BU16" s="22">
        <f>'Dez24'!R20</f>
        <v>0</v>
      </c>
      <c r="BV16" s="51" t="str">
        <f>IFERROR(BU16/BU$15,"-")</f>
        <v>-</v>
      </c>
      <c r="BW16" s="22">
        <f>Paralelo!R20</f>
        <v>0</v>
      </c>
      <c r="BX16" s="51">
        <f>IFERROR(BW16/BW$15,"-")</f>
        <v>0</v>
      </c>
      <c r="BY16" s="51" t="str">
        <f t="shared" ref="BY16:BY19" si="63">IFERROR(BV16-BX16,"-")</f>
        <v>-</v>
      </c>
    </row>
    <row r="17" spans="2:77" ht="15" customHeight="1" outlineLevel="1" x14ac:dyDescent="0.3">
      <c r="B17" s="19" t="s">
        <v>20</v>
      </c>
      <c r="C17" s="20">
        <f>'Dez24'!D21</f>
        <v>0</v>
      </c>
      <c r="D17" s="51" t="str">
        <f t="shared" ref="D17:F19" si="64">IFERROR(C17/C$15,"-")</f>
        <v>-</v>
      </c>
      <c r="E17" s="20">
        <f>Paralelo!D21</f>
        <v>22.179551</v>
      </c>
      <c r="F17" s="51">
        <f t="shared" si="64"/>
        <v>1</v>
      </c>
      <c r="G17" s="51" t="str">
        <f t="shared" ref="G17:G19" si="65">IFERROR(D17-F17,"-")</f>
        <v>-</v>
      </c>
      <c r="H17" s="20">
        <f>'Dez24'!E21</f>
        <v>0</v>
      </c>
      <c r="I17" s="51" t="str">
        <f t="shared" ref="I17:K17" si="66">IFERROR(H17/H$15,"-")</f>
        <v>-</v>
      </c>
      <c r="J17" s="20">
        <f>Paralelo!E21</f>
        <v>10.931941</v>
      </c>
      <c r="K17" s="51">
        <f t="shared" si="66"/>
        <v>1</v>
      </c>
      <c r="L17" s="51" t="str">
        <f t="shared" si="50"/>
        <v>-</v>
      </c>
      <c r="M17" s="20">
        <f>'Dez24'!F21</f>
        <v>0</v>
      </c>
      <c r="N17" s="51" t="str">
        <f t="shared" ref="N17:P17" si="67">IFERROR(M17/M$15,"-")</f>
        <v>-</v>
      </c>
      <c r="O17" s="20">
        <f>Paralelo!F21</f>
        <v>3.5176050000000001</v>
      </c>
      <c r="P17" s="51">
        <f t="shared" si="67"/>
        <v>1</v>
      </c>
      <c r="Q17" s="51" t="str">
        <f t="shared" si="51"/>
        <v>-</v>
      </c>
      <c r="R17" s="20">
        <f>'Dez24'!G21</f>
        <v>0</v>
      </c>
      <c r="S17" s="51" t="str">
        <f t="shared" ref="S17:U17" si="68">IFERROR(R17/R$15,"-")</f>
        <v>-</v>
      </c>
      <c r="T17" s="20">
        <f>Paralelo!G21</f>
        <v>2.4192399999999998</v>
      </c>
      <c r="U17" s="51">
        <f t="shared" si="68"/>
        <v>1</v>
      </c>
      <c r="V17" s="51" t="str">
        <f t="shared" si="52"/>
        <v>-</v>
      </c>
      <c r="W17" s="20">
        <f>'Dez24'!H21</f>
        <v>0</v>
      </c>
      <c r="X17" s="51" t="str">
        <f t="shared" ref="X17" si="69">IFERROR(W17/W$15,"-")</f>
        <v>-</v>
      </c>
      <c r="Y17" s="20">
        <f>Paralelo!H21</f>
        <v>0.94138900000000003</v>
      </c>
      <c r="Z17" s="51">
        <f t="shared" ref="Z17" si="70">IFERROR(Y17/Y$15,"-")</f>
        <v>1</v>
      </c>
      <c r="AA17" s="51" t="str">
        <f t="shared" si="53"/>
        <v>-</v>
      </c>
      <c r="AB17" s="20">
        <f>'Dez24'!I21</f>
        <v>0</v>
      </c>
      <c r="AC17" s="51" t="str">
        <f t="shared" ref="AC17:AC19" si="71">IFERROR(AB17/AB$15,"-")</f>
        <v>-</v>
      </c>
      <c r="AD17" s="20">
        <f>Paralelo!I21</f>
        <v>0.43797399999999997</v>
      </c>
      <c r="AE17" s="51">
        <f t="shared" ref="AE17:AE19" si="72">IFERROR(AD17/AD$15,"-")</f>
        <v>1</v>
      </c>
      <c r="AF17" s="51" t="str">
        <f t="shared" si="54"/>
        <v>-</v>
      </c>
      <c r="AG17" s="20">
        <f>'Dez24'!J21</f>
        <v>0</v>
      </c>
      <c r="AH17" s="51" t="str">
        <f t="shared" ref="AH17:AH19" si="73">IFERROR(AG17/AG$15,"-")</f>
        <v>-</v>
      </c>
      <c r="AI17" s="20">
        <f>Paralelo!J21</f>
        <v>0.135323</v>
      </c>
      <c r="AJ17" s="51">
        <f t="shared" ref="AJ17:AJ19" si="74">IFERROR(AI17/AI$15,"-")</f>
        <v>1</v>
      </c>
      <c r="AK17" s="51" t="str">
        <f t="shared" si="55"/>
        <v>-</v>
      </c>
      <c r="AL17" s="20">
        <f>'Dez24'!K21</f>
        <v>0</v>
      </c>
      <c r="AM17" s="51" t="str">
        <f t="shared" ref="AM17:AM19" si="75">IFERROR(AL17/AL$15,"-")</f>
        <v>-</v>
      </c>
      <c r="AN17" s="20">
        <f>Paralelo!K21</f>
        <v>3.0636899999999998</v>
      </c>
      <c r="AO17" s="51">
        <f t="shared" ref="AO17:AO19" si="76">IFERROR(AN17/AN$15,"-")</f>
        <v>1</v>
      </c>
      <c r="AP17" s="51" t="str">
        <f t="shared" si="56"/>
        <v>-</v>
      </c>
      <c r="AQ17" s="20">
        <f>'Dez24'!L21</f>
        <v>0</v>
      </c>
      <c r="AR17" s="51" t="str">
        <f t="shared" ref="AR17:AR19" si="77">IFERROR(AQ17/AQ$15,"-")</f>
        <v>-</v>
      </c>
      <c r="AS17" s="20">
        <f>Paralelo!L21</f>
        <v>7.0418390000000004</v>
      </c>
      <c r="AT17" s="51">
        <f t="shared" ref="AT17:AT19" si="78">IFERROR(AS17/AS$15,"-")</f>
        <v>1</v>
      </c>
      <c r="AU17" s="51" t="str">
        <f t="shared" si="57"/>
        <v>-</v>
      </c>
      <c r="AV17" s="20">
        <f>'Dez24'!M21</f>
        <v>0</v>
      </c>
      <c r="AW17" s="51" t="str">
        <f t="shared" ref="AW17:AW19" si="79">IFERROR(AV17/AV$15,"-")</f>
        <v>-</v>
      </c>
      <c r="AX17" s="20">
        <f>Paralelo!M21</f>
        <v>2.3548830000000001</v>
      </c>
      <c r="AY17" s="51">
        <f t="shared" ref="AY17:AY19" si="80">IFERROR(AX17/AX$15,"-")</f>
        <v>1</v>
      </c>
      <c r="AZ17" s="51" t="str">
        <f t="shared" si="58"/>
        <v>-</v>
      </c>
      <c r="BA17" s="20">
        <f>'Dez24'!N21</f>
        <v>0</v>
      </c>
      <c r="BB17" s="51" t="str">
        <f t="shared" ref="BB17:BB19" si="81">IFERROR(BA17/BA$15,"-")</f>
        <v>-</v>
      </c>
      <c r="BC17" s="20">
        <f>Paralelo!N21</f>
        <v>2.1034470000000001</v>
      </c>
      <c r="BD17" s="51">
        <f t="shared" ref="BD17:BD19" si="82">IFERROR(BC17/BC$15,"-")</f>
        <v>1</v>
      </c>
      <c r="BE17" s="51" t="str">
        <f t="shared" si="59"/>
        <v>-</v>
      </c>
      <c r="BF17" s="22">
        <f>'Dez24'!O21</f>
        <v>0</v>
      </c>
      <c r="BG17" s="51" t="str">
        <f t="shared" ref="BG17:BG19" si="83">IFERROR(BF17/BF$15,"-")</f>
        <v>-</v>
      </c>
      <c r="BH17" s="22">
        <f>Paralelo!O21</f>
        <v>2.3693080000000002</v>
      </c>
      <c r="BI17" s="51">
        <f t="shared" ref="BI17:BI19" si="84">IFERROR(BH17/BH$15,"-")</f>
        <v>1</v>
      </c>
      <c r="BJ17" s="51" t="str">
        <f t="shared" si="60"/>
        <v>-</v>
      </c>
      <c r="BK17" s="22">
        <f>'Dez24'!P21</f>
        <v>0</v>
      </c>
      <c r="BL17" s="51" t="str">
        <f t="shared" ref="BL17:BL19" si="85">IFERROR(BK17/BK$15,"-")</f>
        <v>-</v>
      </c>
      <c r="BM17" s="22">
        <f>Paralelo!P21</f>
        <v>1.2256819999999999</v>
      </c>
      <c r="BN17" s="51">
        <f t="shared" ref="BN17:BN19" si="86">IFERROR(BM17/BM$15,"-")</f>
        <v>1</v>
      </c>
      <c r="BO17" s="51" t="str">
        <f t="shared" si="61"/>
        <v>-</v>
      </c>
      <c r="BP17" s="22">
        <f>'Dez24'!Q21</f>
        <v>0</v>
      </c>
      <c r="BQ17" s="51" t="str">
        <f t="shared" ref="BQ17:BQ19" si="87">IFERROR(BP17/BP$15,"-")</f>
        <v>-</v>
      </c>
      <c r="BR17" s="22">
        <f>Paralelo!Q21</f>
        <v>0</v>
      </c>
      <c r="BS17" s="51" t="str">
        <f t="shared" ref="BS17:BS19" si="88">IFERROR(BR17/BR$15,"-")</f>
        <v>-</v>
      </c>
      <c r="BT17" s="51" t="str">
        <f t="shared" si="62"/>
        <v>-</v>
      </c>
      <c r="BU17" s="22">
        <f>'Dez24'!R21</f>
        <v>0</v>
      </c>
      <c r="BV17" s="51" t="str">
        <f t="shared" ref="BV17:BV19" si="89">IFERROR(BU17/BU$15,"-")</f>
        <v>-</v>
      </c>
      <c r="BW17" s="22">
        <f>Paralelo!R21</f>
        <v>4.020702</v>
      </c>
      <c r="BX17" s="51">
        <f t="shared" ref="BX17:BX19" si="90">IFERROR(BW17/BW$15,"-")</f>
        <v>1</v>
      </c>
      <c r="BY17" s="51" t="str">
        <f t="shared" si="63"/>
        <v>-</v>
      </c>
    </row>
    <row r="18" spans="2:77" ht="15" customHeight="1" outlineLevel="1" x14ac:dyDescent="0.3">
      <c r="B18" s="19" t="s">
        <v>21</v>
      </c>
      <c r="C18" s="20">
        <f>'Dez24'!D22</f>
        <v>0</v>
      </c>
      <c r="D18" s="51" t="str">
        <f t="shared" si="64"/>
        <v>-</v>
      </c>
      <c r="E18" s="20">
        <f>Paralelo!D22</f>
        <v>0</v>
      </c>
      <c r="F18" s="51">
        <f t="shared" si="64"/>
        <v>0</v>
      </c>
      <c r="G18" s="51" t="str">
        <f t="shared" si="65"/>
        <v>-</v>
      </c>
      <c r="H18" s="20">
        <f>'Dez24'!E22</f>
        <v>0</v>
      </c>
      <c r="I18" s="51" t="str">
        <f t="shared" ref="I18:K18" si="91">IFERROR(H18/H$15,"-")</f>
        <v>-</v>
      </c>
      <c r="J18" s="20">
        <f>Paralelo!E22</f>
        <v>0</v>
      </c>
      <c r="K18" s="51">
        <f t="shared" si="91"/>
        <v>0</v>
      </c>
      <c r="L18" s="51" t="str">
        <f t="shared" si="50"/>
        <v>-</v>
      </c>
      <c r="M18" s="20">
        <f>'Dez24'!F22</f>
        <v>0</v>
      </c>
      <c r="N18" s="51" t="str">
        <f t="shared" ref="N18:P18" si="92">IFERROR(M18/M$15,"-")</f>
        <v>-</v>
      </c>
      <c r="O18" s="20">
        <f>Paralelo!F22</f>
        <v>0</v>
      </c>
      <c r="P18" s="51">
        <f t="shared" si="92"/>
        <v>0</v>
      </c>
      <c r="Q18" s="51" t="str">
        <f t="shared" si="51"/>
        <v>-</v>
      </c>
      <c r="R18" s="20">
        <f>'Dez24'!G22</f>
        <v>0</v>
      </c>
      <c r="S18" s="51" t="str">
        <f t="shared" ref="S18:U18" si="93">IFERROR(R18/R$15,"-")</f>
        <v>-</v>
      </c>
      <c r="T18" s="20">
        <f>Paralelo!G22</f>
        <v>0</v>
      </c>
      <c r="U18" s="51">
        <f t="shared" si="93"/>
        <v>0</v>
      </c>
      <c r="V18" s="51" t="str">
        <f t="shared" si="52"/>
        <v>-</v>
      </c>
      <c r="W18" s="20">
        <f>'Dez24'!H22</f>
        <v>0</v>
      </c>
      <c r="X18" s="51" t="str">
        <f t="shared" ref="X18" si="94">IFERROR(W18/W$15,"-")</f>
        <v>-</v>
      </c>
      <c r="Y18" s="20">
        <f>Paralelo!H22</f>
        <v>0</v>
      </c>
      <c r="Z18" s="51">
        <f t="shared" ref="Z18" si="95">IFERROR(Y18/Y$15,"-")</f>
        <v>0</v>
      </c>
      <c r="AA18" s="51" t="str">
        <f t="shared" si="53"/>
        <v>-</v>
      </c>
      <c r="AB18" s="20">
        <f>'Dez24'!I22</f>
        <v>0</v>
      </c>
      <c r="AC18" s="51" t="str">
        <f t="shared" si="71"/>
        <v>-</v>
      </c>
      <c r="AD18" s="20">
        <f>Paralelo!I22</f>
        <v>0</v>
      </c>
      <c r="AE18" s="51">
        <f t="shared" si="72"/>
        <v>0</v>
      </c>
      <c r="AF18" s="51" t="str">
        <f t="shared" si="54"/>
        <v>-</v>
      </c>
      <c r="AG18" s="20">
        <f>'Dez24'!J22</f>
        <v>0</v>
      </c>
      <c r="AH18" s="51" t="str">
        <f t="shared" si="73"/>
        <v>-</v>
      </c>
      <c r="AI18" s="20">
        <f>Paralelo!J22</f>
        <v>0</v>
      </c>
      <c r="AJ18" s="51">
        <f t="shared" si="74"/>
        <v>0</v>
      </c>
      <c r="AK18" s="51" t="str">
        <f t="shared" si="55"/>
        <v>-</v>
      </c>
      <c r="AL18" s="20">
        <f>'Dez24'!K22</f>
        <v>0</v>
      </c>
      <c r="AM18" s="51" t="str">
        <f t="shared" si="75"/>
        <v>-</v>
      </c>
      <c r="AN18" s="20">
        <f>Paralelo!K22</f>
        <v>0</v>
      </c>
      <c r="AO18" s="51">
        <f t="shared" si="76"/>
        <v>0</v>
      </c>
      <c r="AP18" s="51" t="str">
        <f t="shared" si="56"/>
        <v>-</v>
      </c>
      <c r="AQ18" s="20">
        <f>'Dez24'!L22</f>
        <v>0</v>
      </c>
      <c r="AR18" s="51" t="str">
        <f t="shared" si="77"/>
        <v>-</v>
      </c>
      <c r="AS18" s="20">
        <f>Paralelo!L22</f>
        <v>0</v>
      </c>
      <c r="AT18" s="51">
        <f t="shared" si="78"/>
        <v>0</v>
      </c>
      <c r="AU18" s="51" t="str">
        <f t="shared" si="57"/>
        <v>-</v>
      </c>
      <c r="AV18" s="20">
        <f>'Dez24'!M22</f>
        <v>0</v>
      </c>
      <c r="AW18" s="51" t="str">
        <f t="shared" si="79"/>
        <v>-</v>
      </c>
      <c r="AX18" s="20">
        <f>Paralelo!M22</f>
        <v>0</v>
      </c>
      <c r="AY18" s="51">
        <f t="shared" si="80"/>
        <v>0</v>
      </c>
      <c r="AZ18" s="51" t="str">
        <f t="shared" si="58"/>
        <v>-</v>
      </c>
      <c r="BA18" s="20">
        <f>'Dez24'!N22</f>
        <v>0</v>
      </c>
      <c r="BB18" s="51" t="str">
        <f t="shared" si="81"/>
        <v>-</v>
      </c>
      <c r="BC18" s="20">
        <f>Paralelo!N22</f>
        <v>0</v>
      </c>
      <c r="BD18" s="51">
        <f t="shared" si="82"/>
        <v>0</v>
      </c>
      <c r="BE18" s="51" t="str">
        <f t="shared" si="59"/>
        <v>-</v>
      </c>
      <c r="BF18" s="22">
        <f>'Dez24'!O22</f>
        <v>0</v>
      </c>
      <c r="BG18" s="51" t="str">
        <f t="shared" si="83"/>
        <v>-</v>
      </c>
      <c r="BH18" s="22">
        <f>Paralelo!O22</f>
        <v>0</v>
      </c>
      <c r="BI18" s="51">
        <f t="shared" si="84"/>
        <v>0</v>
      </c>
      <c r="BJ18" s="51" t="str">
        <f t="shared" si="60"/>
        <v>-</v>
      </c>
      <c r="BK18" s="22">
        <f>'Dez24'!P22</f>
        <v>0</v>
      </c>
      <c r="BL18" s="51" t="str">
        <f t="shared" si="85"/>
        <v>-</v>
      </c>
      <c r="BM18" s="22">
        <f>Paralelo!P22</f>
        <v>0</v>
      </c>
      <c r="BN18" s="51">
        <f t="shared" si="86"/>
        <v>0</v>
      </c>
      <c r="BO18" s="51" t="str">
        <f t="shared" si="61"/>
        <v>-</v>
      </c>
      <c r="BP18" s="22">
        <f>'Dez24'!Q22</f>
        <v>0</v>
      </c>
      <c r="BQ18" s="51" t="str">
        <f t="shared" si="87"/>
        <v>-</v>
      </c>
      <c r="BR18" s="22">
        <f>Paralelo!Q22</f>
        <v>0</v>
      </c>
      <c r="BS18" s="51" t="str">
        <f t="shared" si="88"/>
        <v>-</v>
      </c>
      <c r="BT18" s="51" t="str">
        <f t="shared" si="62"/>
        <v>-</v>
      </c>
      <c r="BU18" s="22">
        <f>'Dez24'!R22</f>
        <v>0</v>
      </c>
      <c r="BV18" s="51" t="str">
        <f t="shared" si="89"/>
        <v>-</v>
      </c>
      <c r="BW18" s="22">
        <f>Paralelo!R22</f>
        <v>0</v>
      </c>
      <c r="BX18" s="51">
        <f t="shared" si="90"/>
        <v>0</v>
      </c>
      <c r="BY18" s="51" t="str">
        <f t="shared" si="63"/>
        <v>-</v>
      </c>
    </row>
    <row r="19" spans="2:77" ht="14.4" outlineLevel="1" x14ac:dyDescent="0.3">
      <c r="B19" s="19" t="s">
        <v>22</v>
      </c>
      <c r="C19" s="20">
        <f>'Dez24'!D23</f>
        <v>0</v>
      </c>
      <c r="D19" s="51" t="str">
        <f t="shared" si="64"/>
        <v>-</v>
      </c>
      <c r="E19" s="20">
        <f>Paralelo!D23</f>
        <v>18.383472000000001</v>
      </c>
      <c r="F19" s="51">
        <f t="shared" si="64"/>
        <v>0.82884779768535444</v>
      </c>
      <c r="G19" s="51" t="str">
        <f t="shared" si="65"/>
        <v>-</v>
      </c>
      <c r="H19" s="20">
        <f>'Dez24'!E23</f>
        <v>0</v>
      </c>
      <c r="I19" s="51" t="str">
        <f t="shared" ref="I19:K19" si="96">IFERROR(H19/H$15,"-")</f>
        <v>-</v>
      </c>
      <c r="J19" s="20">
        <f>Paralelo!E23</f>
        <v>10.931941</v>
      </c>
      <c r="K19" s="51">
        <f t="shared" si="96"/>
        <v>1</v>
      </c>
      <c r="L19" s="51" t="str">
        <f t="shared" si="50"/>
        <v>-</v>
      </c>
      <c r="M19" s="20">
        <f>'Dez24'!F23</f>
        <v>0</v>
      </c>
      <c r="N19" s="51" t="str">
        <f t="shared" ref="N19:P19" si="97">IFERROR(M19/M$15,"-")</f>
        <v>-</v>
      </c>
      <c r="O19" s="20">
        <f>Paralelo!F23</f>
        <v>3.5176050000000001</v>
      </c>
      <c r="P19" s="51">
        <f t="shared" si="97"/>
        <v>1</v>
      </c>
      <c r="Q19" s="51" t="str">
        <f t="shared" si="51"/>
        <v>-</v>
      </c>
      <c r="R19" s="20">
        <f>'Dez24'!G23</f>
        <v>0</v>
      </c>
      <c r="S19" s="51" t="str">
        <f t="shared" ref="S19:U19" si="98">IFERROR(R19/R$15,"-")</f>
        <v>-</v>
      </c>
      <c r="T19" s="20">
        <f>Paralelo!G23</f>
        <v>2.4192399999999998</v>
      </c>
      <c r="U19" s="51">
        <f t="shared" si="98"/>
        <v>1</v>
      </c>
      <c r="V19" s="51" t="str">
        <f t="shared" si="52"/>
        <v>-</v>
      </c>
      <c r="W19" s="20">
        <f>'Dez24'!H23</f>
        <v>0</v>
      </c>
      <c r="X19" s="51" t="str">
        <f t="shared" ref="X19" si="99">IFERROR(W19/W$15,"-")</f>
        <v>-</v>
      </c>
      <c r="Y19" s="20">
        <f>Paralelo!H23</f>
        <v>0.94138900000000003</v>
      </c>
      <c r="Z19" s="51">
        <f t="shared" ref="Z19" si="100">IFERROR(Y19/Y$15,"-")</f>
        <v>1</v>
      </c>
      <c r="AA19" s="51" t="str">
        <f t="shared" si="53"/>
        <v>-</v>
      </c>
      <c r="AB19" s="20">
        <f>'Dez24'!I23</f>
        <v>0</v>
      </c>
      <c r="AC19" s="51" t="str">
        <f t="shared" si="71"/>
        <v>-</v>
      </c>
      <c r="AD19" s="20">
        <f>Paralelo!I23</f>
        <v>0.43797399999999997</v>
      </c>
      <c r="AE19" s="51">
        <f t="shared" si="72"/>
        <v>1</v>
      </c>
      <c r="AF19" s="51" t="str">
        <f t="shared" si="54"/>
        <v>-</v>
      </c>
      <c r="AG19" s="20">
        <f>'Dez24'!J23</f>
        <v>0</v>
      </c>
      <c r="AH19" s="51" t="str">
        <f t="shared" si="73"/>
        <v>-</v>
      </c>
      <c r="AI19" s="20">
        <f>Paralelo!J23</f>
        <v>0.135323</v>
      </c>
      <c r="AJ19" s="51">
        <f t="shared" si="74"/>
        <v>1</v>
      </c>
      <c r="AK19" s="51" t="str">
        <f t="shared" si="55"/>
        <v>-</v>
      </c>
      <c r="AL19" s="20">
        <f>'Dez24'!K23</f>
        <v>0</v>
      </c>
      <c r="AM19" s="51" t="str">
        <f t="shared" si="75"/>
        <v>-</v>
      </c>
      <c r="AN19" s="20">
        <f>Paralelo!K23</f>
        <v>0</v>
      </c>
      <c r="AO19" s="51">
        <f t="shared" si="76"/>
        <v>0</v>
      </c>
      <c r="AP19" s="51" t="str">
        <f t="shared" si="56"/>
        <v>-</v>
      </c>
      <c r="AQ19" s="20">
        <f>'Dez24'!L23</f>
        <v>0</v>
      </c>
      <c r="AR19" s="51" t="str">
        <f t="shared" si="77"/>
        <v>-</v>
      </c>
      <c r="AS19" s="20">
        <f>Paralelo!L23</f>
        <v>0</v>
      </c>
      <c r="AT19" s="51">
        <f t="shared" si="78"/>
        <v>0</v>
      </c>
      <c r="AU19" s="51" t="str">
        <f t="shared" si="57"/>
        <v>-</v>
      </c>
      <c r="AV19" s="20">
        <f>'Dez24'!M23</f>
        <v>0</v>
      </c>
      <c r="AW19" s="51" t="str">
        <f t="shared" si="79"/>
        <v>-</v>
      </c>
      <c r="AX19" s="20">
        <f>Paralelo!M23</f>
        <v>0</v>
      </c>
      <c r="AY19" s="51">
        <f t="shared" si="80"/>
        <v>0</v>
      </c>
      <c r="AZ19" s="51" t="str">
        <f t="shared" si="58"/>
        <v>-</v>
      </c>
      <c r="BA19" s="20">
        <f>'Dez24'!N23</f>
        <v>0</v>
      </c>
      <c r="BB19" s="51" t="str">
        <f t="shared" si="81"/>
        <v>-</v>
      </c>
      <c r="BC19" s="20">
        <f>Paralelo!N23</f>
        <v>0</v>
      </c>
      <c r="BD19" s="51">
        <f t="shared" si="82"/>
        <v>0</v>
      </c>
      <c r="BE19" s="51" t="str">
        <f t="shared" si="59"/>
        <v>-</v>
      </c>
      <c r="BF19" s="22">
        <f>'Dez24'!O23</f>
        <v>0</v>
      </c>
      <c r="BG19" s="51" t="str">
        <f t="shared" si="83"/>
        <v>-</v>
      </c>
      <c r="BH19" s="22">
        <f>Paralelo!O23</f>
        <v>0</v>
      </c>
      <c r="BI19" s="51">
        <f t="shared" si="84"/>
        <v>0</v>
      </c>
      <c r="BJ19" s="51" t="str">
        <f t="shared" si="60"/>
        <v>-</v>
      </c>
      <c r="BK19" s="22">
        <f>'Dez24'!P23</f>
        <v>0</v>
      </c>
      <c r="BL19" s="51" t="str">
        <f t="shared" si="85"/>
        <v>-</v>
      </c>
      <c r="BM19" s="22">
        <f>Paralelo!P23</f>
        <v>0</v>
      </c>
      <c r="BN19" s="51">
        <f t="shared" si="86"/>
        <v>0</v>
      </c>
      <c r="BO19" s="51" t="str">
        <f t="shared" si="61"/>
        <v>-</v>
      </c>
      <c r="BP19" s="22">
        <f>'Dez24'!Q23</f>
        <v>0</v>
      </c>
      <c r="BQ19" s="51" t="str">
        <f t="shared" si="87"/>
        <v>-</v>
      </c>
      <c r="BR19" s="22">
        <f>Paralelo!Q23</f>
        <v>0</v>
      </c>
      <c r="BS19" s="51" t="str">
        <f t="shared" si="88"/>
        <v>-</v>
      </c>
      <c r="BT19" s="51" t="str">
        <f t="shared" si="62"/>
        <v>-</v>
      </c>
      <c r="BU19" s="22">
        <f>'Dez24'!R23</f>
        <v>0</v>
      </c>
      <c r="BV19" s="51" t="str">
        <f t="shared" si="89"/>
        <v>-</v>
      </c>
      <c r="BW19" s="22">
        <f>Paralelo!R23</f>
        <v>2.3466100000000001</v>
      </c>
      <c r="BX19" s="51">
        <f t="shared" si="90"/>
        <v>0.58363191303409212</v>
      </c>
      <c r="BY19" s="51" t="str">
        <f t="shared" si="63"/>
        <v>-</v>
      </c>
    </row>
    <row r="20" spans="2:77" ht="14.4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</row>
    <row r="21" spans="2:77" ht="14.4" hidden="1" x14ac:dyDescent="0.3"/>
    <row r="22" spans="2:77" ht="14.4" hidden="1" x14ac:dyDescent="0.3"/>
    <row r="23" spans="2:77" ht="14.4" hidden="1" x14ac:dyDescent="0.3"/>
    <row r="24" spans="2:77" ht="14.4" hidden="1" x14ac:dyDescent="0.3"/>
    <row r="25" spans="2:77" ht="14.4" hidden="1" x14ac:dyDescent="0.3"/>
    <row r="26" spans="2:77" ht="14.4" hidden="1" x14ac:dyDescent="0.3"/>
    <row r="27" spans="2:77" ht="14.4" hidden="1" x14ac:dyDescent="0.3"/>
    <row r="28" spans="2:77" ht="14.4" hidden="1" x14ac:dyDescent="0.3"/>
    <row r="29" spans="2:77" ht="14.4" hidden="1" x14ac:dyDescent="0.3"/>
    <row r="30" spans="2:77" ht="14.4" hidden="1" x14ac:dyDescent="0.3"/>
    <row r="31" spans="2:77" ht="14.4" hidden="1" x14ac:dyDescent="0.3"/>
    <row r="32" spans="2:77" ht="14.4" hidden="1" x14ac:dyDescent="0.3"/>
    <row r="33" ht="14.4" hidden="1" x14ac:dyDescent="0.3"/>
    <row r="34" ht="14.4" hidden="1" x14ac:dyDescent="0.3"/>
    <row r="35" ht="14.4" hidden="1" x14ac:dyDescent="0.3"/>
    <row r="36" ht="14.4" hidden="1" x14ac:dyDescent="0.3"/>
    <row r="37" ht="14.4" hidden="1" x14ac:dyDescent="0.3"/>
    <row r="38" ht="14.4" hidden="1" x14ac:dyDescent="0.3"/>
    <row r="39" ht="14.4" hidden="1" x14ac:dyDescent="0.3"/>
    <row r="40" ht="14.4" hidden="1" x14ac:dyDescent="0.3"/>
    <row r="41" ht="14.4" hidden="1" x14ac:dyDescent="0.3"/>
    <row r="42" ht="14.4" hidden="1" x14ac:dyDescent="0.3"/>
    <row r="43" ht="14.4" hidden="1" x14ac:dyDescent="0.3"/>
    <row r="44" ht="14.4" hidden="1" x14ac:dyDescent="0.3"/>
    <row r="45" ht="14.4" hidden="1" x14ac:dyDescent="0.3"/>
    <row r="46" ht="14.4" hidden="1" x14ac:dyDescent="0.3"/>
    <row r="47" ht="14.4" hidden="1" x14ac:dyDescent="0.3"/>
    <row r="48" ht="14.4" hidden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4.4" hidden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zoomScaleNormal="100" workbookViewId="0"/>
  </sheetViews>
  <sheetFormatPr defaultColWidth="0" defaultRowHeight="14.4" zeroHeight="1" x14ac:dyDescent="0.3"/>
  <cols>
    <col min="1" max="1" width="3.6640625" style="36" customWidth="1"/>
    <col min="2" max="2" width="3" style="36" bestFit="1" customWidth="1"/>
    <col min="3" max="3" width="84.44140625" style="36" bestFit="1" customWidth="1"/>
    <col min="4" max="4" width="16.88671875" style="36" bestFit="1" customWidth="1"/>
    <col min="5" max="6" width="15.109375" style="36" customWidth="1"/>
    <col min="7" max="7" width="14.88671875" style="36" bestFit="1" customWidth="1"/>
    <col min="8" max="8" width="13.44140625" style="36" bestFit="1" customWidth="1"/>
    <col min="9" max="9" width="11.6640625" style="36" bestFit="1" customWidth="1"/>
    <col min="10" max="10" width="10.6640625" style="36" bestFit="1" customWidth="1"/>
    <col min="11" max="11" width="13.44140625" style="36" bestFit="1" customWidth="1"/>
    <col min="12" max="15" width="14.88671875" style="36" bestFit="1" customWidth="1"/>
    <col min="16" max="16" width="13.44140625" style="36" bestFit="1" customWidth="1"/>
    <col min="17" max="17" width="11.88671875" style="36" bestFit="1" customWidth="1"/>
    <col min="18" max="18" width="15.44140625" style="36" customWidth="1"/>
    <col min="19" max="19" width="27.5546875" style="36" bestFit="1" customWidth="1"/>
    <col min="20" max="20" width="3.6640625" style="36" customWidth="1"/>
    <col min="21" max="16384" width="0" style="36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x14ac:dyDescent="0.3">
      <c r="C8" s="9" t="s">
        <v>24</v>
      </c>
      <c r="D8" s="2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x14ac:dyDescent="0.3">
      <c r="C9" s="9"/>
      <c r="D9" s="2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25</v>
      </c>
      <c r="E10" s="10" t="s">
        <v>26</v>
      </c>
      <c r="F10" s="10" t="s">
        <v>27</v>
      </c>
      <c r="G10" s="10" t="s">
        <v>28</v>
      </c>
      <c r="H10" s="10" t="s">
        <v>29</v>
      </c>
      <c r="I10" s="10" t="s">
        <v>30</v>
      </c>
      <c r="J10" s="10" t="s">
        <v>31</v>
      </c>
      <c r="K10" s="10" t="s">
        <v>32</v>
      </c>
      <c r="L10" s="10" t="s">
        <v>33</v>
      </c>
      <c r="M10" s="10" t="s">
        <v>34</v>
      </c>
      <c r="N10" s="10" t="s">
        <v>35</v>
      </c>
      <c r="O10" s="10" t="s">
        <v>36</v>
      </c>
      <c r="P10" s="10" t="s">
        <v>37</v>
      </c>
      <c r="Q10" s="10" t="s">
        <v>38</v>
      </c>
      <c r="R10" s="10" t="s">
        <v>39</v>
      </c>
      <c r="S10" s="10" t="s">
        <v>40</v>
      </c>
    </row>
    <row r="11" spans="1:24" s="8" customFormat="1" ht="24" customHeight="1" x14ac:dyDescent="0.3">
      <c r="C11" s="11" t="s">
        <v>41</v>
      </c>
      <c r="D11" s="59" t="s">
        <v>42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1"/>
      <c r="T11" s="24"/>
    </row>
    <row r="12" spans="1:24" s="8" customFormat="1" ht="24" customHeight="1" x14ac:dyDescent="0.3">
      <c r="C12" s="12"/>
      <c r="D12" s="25"/>
      <c r="E12" s="62" t="s">
        <v>43</v>
      </c>
      <c r="F12" s="63"/>
      <c r="G12" s="63"/>
      <c r="H12" s="63"/>
      <c r="I12" s="63"/>
      <c r="J12" s="64"/>
      <c r="K12" s="62" t="s">
        <v>44</v>
      </c>
      <c r="L12" s="63"/>
      <c r="M12" s="63"/>
      <c r="N12" s="63"/>
      <c r="O12" s="63"/>
      <c r="P12" s="63"/>
      <c r="Q12" s="64"/>
      <c r="R12" s="59" t="s">
        <v>15</v>
      </c>
      <c r="S12" s="61"/>
      <c r="T12" s="24"/>
    </row>
    <row r="13" spans="1:24" s="8" customFormat="1" ht="43.65" customHeight="1" x14ac:dyDescent="0.3">
      <c r="C13" s="26"/>
      <c r="D13" s="27"/>
      <c r="E13" s="28" t="s">
        <v>2</v>
      </c>
      <c r="F13" s="28" t="s">
        <v>3</v>
      </c>
      <c r="G13" s="28" t="s">
        <v>4</v>
      </c>
      <c r="H13" s="28" t="s">
        <v>5</v>
      </c>
      <c r="I13" s="28" t="s">
        <v>6</v>
      </c>
      <c r="J13" s="28" t="s">
        <v>7</v>
      </c>
      <c r="K13" s="27" t="s">
        <v>8</v>
      </c>
      <c r="L13" s="27" t="s">
        <v>9</v>
      </c>
      <c r="M13" s="27" t="s">
        <v>10</v>
      </c>
      <c r="N13" s="27" t="s">
        <v>11</v>
      </c>
      <c r="O13" s="27" t="s">
        <v>12</v>
      </c>
      <c r="P13" s="27" t="s">
        <v>13</v>
      </c>
      <c r="Q13" s="27" t="s">
        <v>14</v>
      </c>
      <c r="R13" s="29"/>
      <c r="S13" s="30" t="s">
        <v>45</v>
      </c>
      <c r="T13" s="24"/>
    </row>
    <row r="14" spans="1:24" s="8" customFormat="1" ht="13.8" x14ac:dyDescent="0.3">
      <c r="A14" s="31">
        <v>1000000</v>
      </c>
      <c r="B14" s="10">
        <v>1</v>
      </c>
      <c r="C14" s="32" t="s">
        <v>18</v>
      </c>
      <c r="D14" s="52">
        <v>26833.996931000001</v>
      </c>
      <c r="E14" s="52">
        <v>8842.7385169999998</v>
      </c>
      <c r="F14" s="52">
        <v>6594.472025</v>
      </c>
      <c r="G14" s="52">
        <v>1780.6512420000001</v>
      </c>
      <c r="H14" s="52">
        <v>249.815676</v>
      </c>
      <c r="I14" s="52">
        <v>73.330776</v>
      </c>
      <c r="J14" s="52">
        <v>87.35429400000001</v>
      </c>
      <c r="K14" s="52">
        <v>1745.4755439999999</v>
      </c>
      <c r="L14" s="52">
        <v>1814.156438</v>
      </c>
      <c r="M14" s="52">
        <v>3317.7250480000002</v>
      </c>
      <c r="N14" s="52">
        <v>3289.722276</v>
      </c>
      <c r="O14" s="52">
        <v>1832.8598530000002</v>
      </c>
      <c r="P14" s="52">
        <v>821.85213199999998</v>
      </c>
      <c r="Q14" s="52">
        <v>2.979174</v>
      </c>
      <c r="R14" s="52">
        <v>14002.447517999999</v>
      </c>
      <c r="S14" s="33">
        <v>0.98193231028541406</v>
      </c>
      <c r="T14" s="24"/>
    </row>
    <row r="15" spans="1:24" s="8" customFormat="1" ht="13.8" x14ac:dyDescent="0.3">
      <c r="A15" s="31"/>
      <c r="B15" s="10">
        <v>2</v>
      </c>
      <c r="C15" s="34" t="s">
        <v>19</v>
      </c>
      <c r="D15" s="52">
        <v>3564.4292190000001</v>
      </c>
      <c r="E15" s="52">
        <v>1195.789205</v>
      </c>
      <c r="F15" s="52">
        <v>1697.329377</v>
      </c>
      <c r="G15" s="52">
        <v>208.25164699999999</v>
      </c>
      <c r="H15" s="52">
        <v>10.462529</v>
      </c>
      <c r="I15" s="52">
        <v>5.4134419999999999</v>
      </c>
      <c r="J15" s="52">
        <v>13.343540000000001</v>
      </c>
      <c r="K15" s="52">
        <v>76.938940000000002</v>
      </c>
      <c r="L15" s="52">
        <v>160.71633499999999</v>
      </c>
      <c r="M15" s="52">
        <v>107.044533</v>
      </c>
      <c r="N15" s="52">
        <v>76.000791000000007</v>
      </c>
      <c r="O15" s="52">
        <v>36.374197000000002</v>
      </c>
      <c r="P15" s="52">
        <v>33.117265000000003</v>
      </c>
      <c r="Q15" s="52">
        <v>0.71281399999999995</v>
      </c>
      <c r="R15" s="52">
        <v>3066.8999359999998</v>
      </c>
      <c r="S15" s="33">
        <v>0.92901857297505264</v>
      </c>
      <c r="T15" s="24"/>
    </row>
    <row r="16" spans="1:24" s="8" customFormat="1" ht="13.8" x14ac:dyDescent="0.3">
      <c r="A16" s="31"/>
      <c r="B16" s="10">
        <v>3</v>
      </c>
      <c r="C16" s="34" t="s">
        <v>20</v>
      </c>
      <c r="D16" s="52">
        <v>23269.567712</v>
      </c>
      <c r="E16" s="52">
        <v>7646.9493119999997</v>
      </c>
      <c r="F16" s="52">
        <v>4897.142648</v>
      </c>
      <c r="G16" s="52">
        <v>1572.3995950000001</v>
      </c>
      <c r="H16" s="52">
        <v>239.35314700000001</v>
      </c>
      <c r="I16" s="52">
        <v>67.917333999999997</v>
      </c>
      <c r="J16" s="52">
        <v>74.010754000000006</v>
      </c>
      <c r="K16" s="52">
        <v>1668.5366039999999</v>
      </c>
      <c r="L16" s="52">
        <v>1653.4401029999999</v>
      </c>
      <c r="M16" s="52">
        <v>3210.680515</v>
      </c>
      <c r="N16" s="52">
        <v>3213.721485</v>
      </c>
      <c r="O16" s="52">
        <v>1796.4856560000001</v>
      </c>
      <c r="P16" s="52">
        <v>788.73486700000001</v>
      </c>
      <c r="Q16" s="52">
        <v>2.2663600000000002</v>
      </c>
      <c r="R16" s="52">
        <v>10935.547581999999</v>
      </c>
      <c r="S16" s="33">
        <v>0.99677209186505644</v>
      </c>
      <c r="T16" s="24"/>
    </row>
    <row r="17" spans="1:20" s="8" customFormat="1" ht="13.8" x14ac:dyDescent="0.3">
      <c r="A17" s="31"/>
      <c r="B17" s="10">
        <v>4</v>
      </c>
      <c r="C17" s="34" t="s">
        <v>21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33">
        <v>0</v>
      </c>
      <c r="T17" s="24"/>
    </row>
    <row r="18" spans="1:20" s="8" customFormat="1" ht="13.8" x14ac:dyDescent="0.3">
      <c r="A18" s="31"/>
      <c r="B18" s="10">
        <v>5</v>
      </c>
      <c r="C18" s="35" t="s">
        <v>22</v>
      </c>
      <c r="D18" s="52">
        <v>17646.746002</v>
      </c>
      <c r="E18" s="52">
        <v>8842.7385169999998</v>
      </c>
      <c r="F18" s="52">
        <v>6594.472025</v>
      </c>
      <c r="G18" s="52">
        <v>1780.6512419999999</v>
      </c>
      <c r="H18" s="52">
        <v>249.815676</v>
      </c>
      <c r="I18" s="52">
        <v>73.330776</v>
      </c>
      <c r="J18" s="52">
        <v>87.354293999999996</v>
      </c>
      <c r="K18" s="53"/>
      <c r="L18" s="53"/>
      <c r="M18" s="53"/>
      <c r="N18" s="53"/>
      <c r="O18" s="53"/>
      <c r="P18" s="53"/>
      <c r="Q18" s="53"/>
      <c r="R18" s="52">
        <v>13749.273423000001</v>
      </c>
      <c r="S18" s="33">
        <v>1.000013252918492</v>
      </c>
      <c r="T18" s="24"/>
    </row>
    <row r="19" spans="1:20" s="8" customFormat="1" ht="13.8" x14ac:dyDescent="0.3">
      <c r="B19" s="10">
        <v>6</v>
      </c>
      <c r="C19" s="32" t="s">
        <v>23</v>
      </c>
      <c r="D19" s="27">
        <v>22.179551</v>
      </c>
      <c r="E19" s="27">
        <v>10.931941</v>
      </c>
      <c r="F19" s="27">
        <v>3.5176050000000001</v>
      </c>
      <c r="G19" s="27">
        <v>2.4192399999999998</v>
      </c>
      <c r="H19" s="27">
        <v>0.94138900000000003</v>
      </c>
      <c r="I19" s="27">
        <v>0.43797399999999997</v>
      </c>
      <c r="J19" s="27">
        <v>0.135323</v>
      </c>
      <c r="K19" s="27">
        <v>3.0636899999999998</v>
      </c>
      <c r="L19" s="27">
        <v>7.0418390000000004</v>
      </c>
      <c r="M19" s="27">
        <v>2.3548830000000001</v>
      </c>
      <c r="N19" s="27">
        <v>2.1034470000000001</v>
      </c>
      <c r="O19" s="27">
        <v>2.3693080000000002</v>
      </c>
      <c r="P19" s="27">
        <v>1.2256819999999999</v>
      </c>
      <c r="Q19" s="27">
        <v>0</v>
      </c>
      <c r="R19" s="27">
        <v>4.020702</v>
      </c>
      <c r="S19" s="33">
        <v>0.58363191303409212</v>
      </c>
    </row>
    <row r="20" spans="1:20" x14ac:dyDescent="0.3">
      <c r="B20" s="10">
        <v>7</v>
      </c>
      <c r="C20" s="34" t="s">
        <v>19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33">
        <v>0</v>
      </c>
    </row>
    <row r="21" spans="1:20" x14ac:dyDescent="0.3">
      <c r="B21" s="10">
        <v>8</v>
      </c>
      <c r="C21" s="34" t="s">
        <v>20</v>
      </c>
      <c r="D21" s="27">
        <v>22.179551</v>
      </c>
      <c r="E21" s="27">
        <v>10.931941</v>
      </c>
      <c r="F21" s="27">
        <v>3.5176050000000001</v>
      </c>
      <c r="G21" s="27">
        <v>2.4192399999999998</v>
      </c>
      <c r="H21" s="27">
        <v>0.94138900000000003</v>
      </c>
      <c r="I21" s="27">
        <v>0.43797399999999997</v>
      </c>
      <c r="J21" s="27">
        <v>0.135323</v>
      </c>
      <c r="K21" s="27">
        <v>3.0636899999999998</v>
      </c>
      <c r="L21" s="27">
        <v>7.0418390000000004</v>
      </c>
      <c r="M21" s="27">
        <v>2.3548830000000001</v>
      </c>
      <c r="N21" s="27">
        <v>2.1034470000000001</v>
      </c>
      <c r="O21" s="27">
        <v>2.3693080000000002</v>
      </c>
      <c r="P21" s="27">
        <v>1.2256819999999999</v>
      </c>
      <c r="Q21" s="27">
        <v>0</v>
      </c>
      <c r="R21" s="27">
        <v>4.020702</v>
      </c>
      <c r="S21" s="33">
        <v>0.58363191303409212</v>
      </c>
    </row>
    <row r="22" spans="1:20" s="8" customFormat="1" ht="13.8" x14ac:dyDescent="0.3">
      <c r="B22" s="10">
        <v>9</v>
      </c>
      <c r="C22" s="34" t="s">
        <v>21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33">
        <v>0</v>
      </c>
      <c r="T22" s="24"/>
    </row>
    <row r="23" spans="1:20" s="8" customFormat="1" ht="13.8" x14ac:dyDescent="0.3">
      <c r="B23" s="10">
        <v>10</v>
      </c>
      <c r="C23" s="35" t="s">
        <v>22</v>
      </c>
      <c r="D23" s="27">
        <v>18.383472000000001</v>
      </c>
      <c r="E23" s="27">
        <v>10.931941</v>
      </c>
      <c r="F23" s="27">
        <v>3.5176050000000001</v>
      </c>
      <c r="G23" s="27">
        <v>2.4192399999999998</v>
      </c>
      <c r="H23" s="27">
        <v>0.94138900000000003</v>
      </c>
      <c r="I23" s="27">
        <v>0.43797399999999997</v>
      </c>
      <c r="J23" s="27">
        <v>0.135323</v>
      </c>
      <c r="K23" s="37"/>
      <c r="L23" s="37"/>
      <c r="M23" s="37"/>
      <c r="N23" s="37"/>
      <c r="O23" s="37"/>
      <c r="P23" s="37"/>
      <c r="Q23" s="37"/>
      <c r="R23" s="27">
        <v>2.3466100000000001</v>
      </c>
      <c r="S23" s="33">
        <v>1</v>
      </c>
      <c r="T23" s="24"/>
    </row>
    <row r="24" spans="1:20" x14ac:dyDescent="0.3">
      <c r="D24" s="54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</row>
    <row r="25" spans="1:20" hidden="1" x14ac:dyDescent="0.3">
      <c r="K25" s="39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zoomScaleNormal="100" workbookViewId="0"/>
  </sheetViews>
  <sheetFormatPr defaultColWidth="0" defaultRowHeight="15" customHeight="1" zeroHeight="1" x14ac:dyDescent="0.3"/>
  <cols>
    <col min="1" max="1" width="3.6640625" style="36" customWidth="1"/>
    <col min="2" max="2" width="3" style="36" bestFit="1" customWidth="1"/>
    <col min="3" max="3" width="84.44140625" style="36" bestFit="1" customWidth="1"/>
    <col min="4" max="4" width="16.6640625" style="36" bestFit="1" customWidth="1"/>
    <col min="5" max="6" width="15.109375" style="36" customWidth="1"/>
    <col min="7" max="7" width="13.33203125" style="36" bestFit="1" customWidth="1"/>
    <col min="8" max="8" width="11.6640625" style="36" bestFit="1" customWidth="1"/>
    <col min="9" max="9" width="11.5546875" style="36" bestFit="1" customWidth="1"/>
    <col min="10" max="10" width="10.5546875" style="36" bestFit="1" customWidth="1"/>
    <col min="11" max="16" width="13.33203125" style="36" bestFit="1" customWidth="1"/>
    <col min="17" max="17" width="11.6640625" style="36" bestFit="1" customWidth="1"/>
    <col min="18" max="18" width="15.44140625" style="36" customWidth="1"/>
    <col min="19" max="19" width="27.44140625" style="36" bestFit="1" customWidth="1"/>
    <col min="20" max="20" width="3.6640625" style="36" customWidth="1"/>
    <col min="21" max="16384" width="0" style="36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ht="14.4" x14ac:dyDescent="0.3">
      <c r="C8" s="9" t="s">
        <v>24</v>
      </c>
      <c r="D8" s="2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ht="14.4" x14ac:dyDescent="0.3">
      <c r="C9" s="9"/>
      <c r="D9" s="2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25</v>
      </c>
      <c r="E10" s="10" t="s">
        <v>26</v>
      </c>
      <c r="F10" s="10" t="s">
        <v>27</v>
      </c>
      <c r="G10" s="10" t="s">
        <v>28</v>
      </c>
      <c r="H10" s="10" t="s">
        <v>29</v>
      </c>
      <c r="I10" s="10" t="s">
        <v>30</v>
      </c>
      <c r="J10" s="10" t="s">
        <v>31</v>
      </c>
      <c r="K10" s="10" t="s">
        <v>32</v>
      </c>
      <c r="L10" s="10" t="s">
        <v>33</v>
      </c>
      <c r="M10" s="10" t="s">
        <v>34</v>
      </c>
      <c r="N10" s="10" t="s">
        <v>35</v>
      </c>
      <c r="O10" s="10" t="s">
        <v>36</v>
      </c>
      <c r="P10" s="10" t="s">
        <v>37</v>
      </c>
      <c r="Q10" s="10" t="s">
        <v>38</v>
      </c>
      <c r="R10" s="10" t="s">
        <v>39</v>
      </c>
      <c r="S10" s="10" t="s">
        <v>40</v>
      </c>
    </row>
    <row r="11" spans="1:24" s="8" customFormat="1" ht="24" customHeight="1" x14ac:dyDescent="0.3">
      <c r="C11" s="11" t="s">
        <v>41</v>
      </c>
      <c r="D11" s="59" t="s">
        <v>42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1"/>
      <c r="T11" s="24"/>
    </row>
    <row r="12" spans="1:24" s="8" customFormat="1" ht="24" customHeight="1" x14ac:dyDescent="0.3">
      <c r="C12" s="12"/>
      <c r="D12" s="25"/>
      <c r="E12" s="62" t="s">
        <v>43</v>
      </c>
      <c r="F12" s="63"/>
      <c r="G12" s="63"/>
      <c r="H12" s="63"/>
      <c r="I12" s="63"/>
      <c r="J12" s="64"/>
      <c r="K12" s="62" t="s">
        <v>44</v>
      </c>
      <c r="L12" s="63"/>
      <c r="M12" s="63"/>
      <c r="N12" s="63"/>
      <c r="O12" s="63"/>
      <c r="P12" s="63"/>
      <c r="Q12" s="64"/>
      <c r="R12" s="59" t="s">
        <v>15</v>
      </c>
      <c r="S12" s="61"/>
      <c r="T12" s="24"/>
    </row>
    <row r="13" spans="1:24" s="8" customFormat="1" ht="43.65" customHeight="1" x14ac:dyDescent="0.3">
      <c r="C13" s="26"/>
      <c r="D13" s="27"/>
      <c r="E13" s="28" t="s">
        <v>2</v>
      </c>
      <c r="F13" s="28" t="s">
        <v>3</v>
      </c>
      <c r="G13" s="28" t="s">
        <v>4</v>
      </c>
      <c r="H13" s="28" t="s">
        <v>5</v>
      </c>
      <c r="I13" s="28" t="s">
        <v>6</v>
      </c>
      <c r="J13" s="28" t="s">
        <v>7</v>
      </c>
      <c r="K13" s="27" t="s">
        <v>8</v>
      </c>
      <c r="L13" s="27" t="s">
        <v>9</v>
      </c>
      <c r="M13" s="27" t="s">
        <v>10</v>
      </c>
      <c r="N13" s="27" t="s">
        <v>11</v>
      </c>
      <c r="O13" s="27" t="s">
        <v>12</v>
      </c>
      <c r="P13" s="27" t="s">
        <v>13</v>
      </c>
      <c r="Q13" s="27" t="s">
        <v>14</v>
      </c>
      <c r="R13" s="29"/>
      <c r="S13" s="30" t="s">
        <v>45</v>
      </c>
      <c r="T13" s="24"/>
    </row>
    <row r="14" spans="1:24" s="8" customFormat="1" ht="13.8" x14ac:dyDescent="0.3">
      <c r="A14" s="31">
        <v>1000000</v>
      </c>
      <c r="B14" s="10">
        <v>1</v>
      </c>
      <c r="C14" s="32" t="s">
        <v>18</v>
      </c>
      <c r="D14" s="65">
        <v>26904.628052</v>
      </c>
      <c r="E14" s="65">
        <v>13857.398217</v>
      </c>
      <c r="F14" s="65">
        <v>10225.19167</v>
      </c>
      <c r="G14" s="65">
        <v>2367.2076109999998</v>
      </c>
      <c r="H14" s="65">
        <v>188.210984</v>
      </c>
      <c r="I14" s="65">
        <v>1.1108199999999999</v>
      </c>
      <c r="J14" s="65">
        <v>1.5201309999999999</v>
      </c>
      <c r="K14" s="65">
        <v>1671.450621</v>
      </c>
      <c r="L14" s="65">
        <v>1784.9640039999999</v>
      </c>
      <c r="M14" s="65">
        <v>3299.9852810000002</v>
      </c>
      <c r="N14" s="65">
        <v>3275.3678460000001</v>
      </c>
      <c r="O14" s="65">
        <v>1823.456758</v>
      </c>
      <c r="P14" s="65">
        <v>817.21932600000002</v>
      </c>
      <c r="Q14" s="65">
        <v>2.9791750000000001</v>
      </c>
      <c r="R14" s="65">
        <v>14229.205040999999</v>
      </c>
      <c r="S14" s="33">
        <v>0.98145782647450996</v>
      </c>
      <c r="T14" s="24"/>
    </row>
    <row r="15" spans="1:24" s="8" customFormat="1" ht="13.8" x14ac:dyDescent="0.3">
      <c r="A15" s="31"/>
      <c r="B15" s="10">
        <v>2</v>
      </c>
      <c r="C15" s="34" t="s">
        <v>19</v>
      </c>
      <c r="D15" s="65">
        <v>3564.4292249999999</v>
      </c>
      <c r="E15" s="65">
        <v>1309.576605</v>
      </c>
      <c r="F15" s="65">
        <v>1805.1866259999999</v>
      </c>
      <c r="G15" s="65">
        <v>215.60634300000001</v>
      </c>
      <c r="H15" s="65">
        <v>9.0199110000000005</v>
      </c>
      <c r="I15" s="65">
        <v>1.0000000000000001E-5</v>
      </c>
      <c r="J15" s="65">
        <v>1.5201309999999999</v>
      </c>
      <c r="K15" s="65">
        <v>76.726506999999998</v>
      </c>
      <c r="L15" s="65">
        <v>162.195592</v>
      </c>
      <c r="M15" s="65">
        <v>106.266201</v>
      </c>
      <c r="N15" s="65">
        <v>75.884760999999997</v>
      </c>
      <c r="O15" s="65">
        <v>35.911971000000001</v>
      </c>
      <c r="P15" s="65">
        <v>33.117263999999999</v>
      </c>
      <c r="Q15" s="65">
        <v>0.71281399999999995</v>
      </c>
      <c r="R15" s="65">
        <v>3073.6141149999999</v>
      </c>
      <c r="S15" s="33">
        <v>0.92727750666254338</v>
      </c>
      <c r="T15" s="24"/>
    </row>
    <row r="16" spans="1:24" s="8" customFormat="1" ht="13.8" x14ac:dyDescent="0.3">
      <c r="A16" s="31"/>
      <c r="B16" s="10">
        <v>3</v>
      </c>
      <c r="C16" s="34" t="s">
        <v>20</v>
      </c>
      <c r="D16" s="65">
        <v>23291.74726</v>
      </c>
      <c r="E16" s="65">
        <v>12529.955185000001</v>
      </c>
      <c r="F16" s="65">
        <v>8394.6603680000007</v>
      </c>
      <c r="G16" s="65">
        <v>2149.729104</v>
      </c>
      <c r="H16" s="65">
        <v>178.979591</v>
      </c>
      <c r="I16" s="65">
        <v>1.1108100000000001</v>
      </c>
      <c r="J16" s="65">
        <v>0</v>
      </c>
      <c r="K16" s="65">
        <v>1594.7241140000001</v>
      </c>
      <c r="L16" s="65">
        <v>1622.6418289999999</v>
      </c>
      <c r="M16" s="65">
        <v>3193.2777120000001</v>
      </c>
      <c r="N16" s="65">
        <v>3199.195678</v>
      </c>
      <c r="O16" s="65">
        <v>1787.281853</v>
      </c>
      <c r="P16" s="65">
        <v>783.44508900000005</v>
      </c>
      <c r="Q16" s="65">
        <v>2.2663609999999998</v>
      </c>
      <c r="R16" s="65">
        <v>11108.914623999999</v>
      </c>
      <c r="S16" s="33">
        <v>0.99666212836671808</v>
      </c>
      <c r="T16" s="24"/>
    </row>
    <row r="17" spans="1:20" s="8" customFormat="1" ht="13.8" x14ac:dyDescent="0.3">
      <c r="A17" s="31"/>
      <c r="B17" s="10">
        <v>4</v>
      </c>
      <c r="C17" s="34" t="s">
        <v>21</v>
      </c>
      <c r="D17" s="65">
        <v>48.451566999999997</v>
      </c>
      <c r="E17" s="65">
        <v>17.866427000000002</v>
      </c>
      <c r="F17" s="65">
        <v>25.344676</v>
      </c>
      <c r="G17" s="65">
        <v>1.8721639999999999</v>
      </c>
      <c r="H17" s="65">
        <v>0.211482</v>
      </c>
      <c r="I17" s="65">
        <v>0</v>
      </c>
      <c r="J17" s="65">
        <v>0</v>
      </c>
      <c r="K17" s="65">
        <v>0</v>
      </c>
      <c r="L17" s="65">
        <v>0.126583</v>
      </c>
      <c r="M17" s="65">
        <v>0.44136799999999998</v>
      </c>
      <c r="N17" s="65">
        <v>0.28740700000000002</v>
      </c>
      <c r="O17" s="65">
        <v>0.262934</v>
      </c>
      <c r="P17" s="65">
        <v>0.65697300000000003</v>
      </c>
      <c r="Q17" s="65">
        <v>0</v>
      </c>
      <c r="R17" s="65">
        <v>46.676302</v>
      </c>
      <c r="S17" s="33">
        <v>0.93059912929691813</v>
      </c>
      <c r="T17" s="24"/>
    </row>
    <row r="18" spans="1:20" s="8" customFormat="1" ht="13.8" x14ac:dyDescent="0.3">
      <c r="A18" s="31"/>
      <c r="B18" s="10">
        <v>5</v>
      </c>
      <c r="C18" s="35" t="s">
        <v>22</v>
      </c>
      <c r="D18" s="65">
        <v>26640.639433</v>
      </c>
      <c r="E18" s="65">
        <v>13857.398217</v>
      </c>
      <c r="F18" s="65">
        <v>10225.19167</v>
      </c>
      <c r="G18" s="65">
        <v>2367.2076109999998</v>
      </c>
      <c r="H18" s="65">
        <v>188.210984</v>
      </c>
      <c r="I18" s="65">
        <v>1.1108199999999999</v>
      </c>
      <c r="J18" s="65">
        <v>1.5201309999999999</v>
      </c>
      <c r="K18" s="66"/>
      <c r="L18" s="66"/>
      <c r="M18" s="66"/>
      <c r="N18" s="66"/>
      <c r="O18" s="66"/>
      <c r="P18" s="66"/>
      <c r="Q18" s="66"/>
      <c r="R18" s="65">
        <v>13965.712417999999</v>
      </c>
      <c r="S18" s="33">
        <v>0.99997509858504952</v>
      </c>
      <c r="T18" s="24"/>
    </row>
    <row r="19" spans="1:20" s="8" customFormat="1" ht="13.8" x14ac:dyDescent="0.3">
      <c r="B19" s="10">
        <v>6</v>
      </c>
      <c r="C19" s="32" t="s">
        <v>23</v>
      </c>
      <c r="D19" s="65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</row>
    <row r="20" spans="1:20" ht="14.4" x14ac:dyDescent="0.3">
      <c r="B20" s="10">
        <v>7</v>
      </c>
      <c r="C20" s="34" t="s">
        <v>19</v>
      </c>
      <c r="D20" s="65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</row>
    <row r="21" spans="1:20" ht="14.4" x14ac:dyDescent="0.3">
      <c r="B21" s="10">
        <v>8</v>
      </c>
      <c r="C21" s="34" t="s">
        <v>20</v>
      </c>
      <c r="D21" s="65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</row>
    <row r="22" spans="1:20" s="8" customFormat="1" ht="13.8" x14ac:dyDescent="0.3">
      <c r="B22" s="10">
        <v>9</v>
      </c>
      <c r="C22" s="34" t="s">
        <v>21</v>
      </c>
      <c r="D22" s="65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24"/>
    </row>
    <row r="23" spans="1:20" s="8" customFormat="1" ht="13.8" x14ac:dyDescent="0.3">
      <c r="B23" s="10">
        <v>10</v>
      </c>
      <c r="C23" s="35" t="s">
        <v>22</v>
      </c>
      <c r="D23" s="65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6"/>
      <c r="L23" s="66"/>
      <c r="M23" s="66"/>
      <c r="N23" s="66"/>
      <c r="O23" s="66"/>
      <c r="P23" s="66"/>
      <c r="Q23" s="66"/>
      <c r="R23" s="65">
        <v>0</v>
      </c>
      <c r="S23" s="65">
        <v>0</v>
      </c>
      <c r="T23" s="24"/>
    </row>
    <row r="24" spans="1:20" ht="14.4" x14ac:dyDescent="0.3"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</row>
    <row r="25" spans="1:20" ht="14.4" hidden="1" x14ac:dyDescent="0.3">
      <c r="K25" s="39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1471D5-CC2D-4085-BB26-EAB9433414A6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572bdb13-c576-4166-8827-65186753b8b5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2BA1A3-C978-4E5C-903E-0D6D2B4A8F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Comparativos granulares</vt:lpstr>
      <vt:lpstr>Aux</vt:lpstr>
      <vt:lpstr>Overview Gráfica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2025-04-24T14:28:30Z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